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46036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46036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46036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46036</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46036</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46036</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46036</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46036</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46036</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46036</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46036</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46036</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46036</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46036</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46036</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46036</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46036</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46036</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46036</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46036</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46036</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46036</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46036</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46036</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46036</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46036</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46036</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46036</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445-2023</t>
        </is>
      </c>
      <c r="B36" s="1" t="n">
        <v>44929</v>
      </c>
      <c r="C36" s="1" t="n">
        <v>46036</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35141-2022</t>
        </is>
      </c>
      <c r="B37" s="1" t="n">
        <v>44797.53318287037</v>
      </c>
      <c r="C37" s="1" t="n">
        <v>46036</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46036</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46036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46036</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46036</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46036</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46036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46036</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46036</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46036</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46036</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46036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46036</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46036</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46036</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46036</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46036</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46036</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46036</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46036</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46036</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46036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46036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46036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46036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46036</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46036</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46036</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46036</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46036</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46036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46036</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46036</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46036</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46036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46036</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46036</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46036</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46036</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46036</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46036</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32326-2024</t>
        </is>
      </c>
      <c r="B80" s="1" t="n">
        <v>45512</v>
      </c>
      <c r="C80" s="1" t="n">
        <v>46036</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35293-2025</t>
        </is>
      </c>
      <c r="B81" s="1" t="n">
        <v>45854.39438657407</v>
      </c>
      <c r="C81" s="1" t="n">
        <v>46036</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46036</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52245-2025</t>
        </is>
      </c>
      <c r="B83" s="1" t="n">
        <v>45953.47115740741</v>
      </c>
      <c r="C83" s="1" t="n">
        <v>46036</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2213-2023</t>
        </is>
      </c>
      <c r="B84" s="1" t="n">
        <v>44942</v>
      </c>
      <c r="C84" s="1" t="n">
        <v>46036</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42936-2024</t>
        </is>
      </c>
      <c r="B85" s="1" t="n">
        <v>45567</v>
      </c>
      <c r="C85" s="1" t="n">
        <v>46036</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46036</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16375-2025</t>
        </is>
      </c>
      <c r="B87" s="1" t="n">
        <v>45751.41064814815</v>
      </c>
      <c r="C87" s="1" t="n">
        <v>46036</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46036</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56717-2024</t>
        </is>
      </c>
      <c r="B89" s="1" t="n">
        <v>45628.3166550926</v>
      </c>
      <c r="C89" s="1" t="n">
        <v>46036</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40099-2025</t>
        </is>
      </c>
      <c r="B90" s="1" t="n">
        <v>45894.48462962963</v>
      </c>
      <c r="C90" s="1" t="n">
        <v>46036</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20833-2024</t>
        </is>
      </c>
      <c r="B91" s="1" t="n">
        <v>45439</v>
      </c>
      <c r="C91" s="1" t="n">
        <v>46036</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54523-2023</t>
        </is>
      </c>
      <c r="B92" s="1" t="n">
        <v>45233</v>
      </c>
      <c r="C92" s="1" t="n">
        <v>46036</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2485-2025</t>
        </is>
      </c>
      <c r="B93" s="1" t="n">
        <v>45673</v>
      </c>
      <c r="C93" s="1" t="n">
        <v>46036</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5904-2024</t>
        </is>
      </c>
      <c r="B94" s="1" t="n">
        <v>45335</v>
      </c>
      <c r="C94" s="1" t="n">
        <v>46036</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6159-2023</t>
        </is>
      </c>
      <c r="B95" s="1" t="n">
        <v>44964</v>
      </c>
      <c r="C95" s="1" t="n">
        <v>46036</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46036</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1971-2023</t>
        </is>
      </c>
      <c r="B97" s="1" t="n">
        <v>44939</v>
      </c>
      <c r="C97" s="1" t="n">
        <v>46036</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52250-2025</t>
        </is>
      </c>
      <c r="B98" s="1" t="n">
        <v>45953.48998842593</v>
      </c>
      <c r="C98" s="1" t="n">
        <v>46036</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186-2023</t>
        </is>
      </c>
      <c r="B99" s="1" t="n">
        <v>44928</v>
      </c>
      <c r="C99" s="1" t="n">
        <v>46036</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57463-2025</t>
        </is>
      </c>
      <c r="B100" s="1" t="n">
        <v>45980.54174768519</v>
      </c>
      <c r="C100" s="1" t="n">
        <v>46036</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52309-2025</t>
        </is>
      </c>
      <c r="B101" s="1" t="n">
        <v>45953.64381944444</v>
      </c>
      <c r="C101" s="1" t="n">
        <v>46036</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52309-2025 artfynd.xlsx", "A 52309-2025")</f>
        <v/>
      </c>
      <c r="T101">
        <f>HYPERLINK("https://klasma.github.io/Logging_0980/kartor/A 52309-2025 karta.png", "A 52309-2025")</f>
        <v/>
      </c>
      <c r="V101">
        <f>HYPERLINK("https://klasma.github.io/Logging_0980/klagomål/A 52309-2025 FSC-klagomål.docx", "A 52309-2025")</f>
        <v/>
      </c>
      <c r="W101">
        <f>HYPERLINK("https://klasma.github.io/Logging_0980/klagomålsmail/A 52309-2025 FSC-klagomål mail.docx", "A 52309-2025")</f>
        <v/>
      </c>
      <c r="X101">
        <f>HYPERLINK("https://klasma.github.io/Logging_0980/tillsyn/A 52309-2025 tillsynsbegäran.docx", "A 52309-2025")</f>
        <v/>
      </c>
      <c r="Y101">
        <f>HYPERLINK("https://klasma.github.io/Logging_0980/tillsynsmail/A 52309-2025 tillsynsbegäran mail.docx", "A 52309-2025")</f>
        <v/>
      </c>
    </row>
    <row r="102" ht="15" customHeight="1">
      <c r="A102" t="inlineStr">
        <is>
          <t>A 8265-2023</t>
        </is>
      </c>
      <c r="B102" s="1" t="n">
        <v>44974</v>
      </c>
      <c r="C102" s="1" t="n">
        <v>46036</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46036</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46036</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46036</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46036</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46036</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46036</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73144-2021</t>
        </is>
      </c>
      <c r="B109" s="1" t="n">
        <v>44550</v>
      </c>
      <c r="C109" s="1" t="n">
        <v>46036</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43013-2022</t>
        </is>
      </c>
      <c r="B110" s="1" t="n">
        <v>44833</v>
      </c>
      <c r="C110" s="1" t="n">
        <v>46036</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13499-2022</t>
        </is>
      </c>
      <c r="B111" s="1" t="n">
        <v>44647.79203703703</v>
      </c>
      <c r="C111" s="1" t="n">
        <v>46036</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46036</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48126-2022</t>
        </is>
      </c>
      <c r="B113" s="1" t="n">
        <v>44857</v>
      </c>
      <c r="C113" s="1" t="n">
        <v>46036</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46036</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46036</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55334-2024</t>
        </is>
      </c>
      <c r="B116" s="1" t="n">
        <v>45621</v>
      </c>
      <c r="C116" s="1" t="n">
        <v>46036</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49709-2025</t>
        </is>
      </c>
      <c r="B117" s="1" t="n">
        <v>45939.68228009259</v>
      </c>
      <c r="C117" s="1" t="n">
        <v>46036</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17975-2024</t>
        </is>
      </c>
      <c r="B118" s="1" t="n">
        <v>45419.85546296297</v>
      </c>
      <c r="C118" s="1" t="n">
        <v>46036</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46036</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1520-2026</t>
        </is>
      </c>
      <c r="B120" s="1" t="n">
        <v>46034.35891203704</v>
      </c>
      <c r="C120" s="1" t="n">
        <v>46036</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53552-2021</t>
        </is>
      </c>
      <c r="B121" s="1" t="n">
        <v>44468</v>
      </c>
      <c r="C121" s="1" t="n">
        <v>46036</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46036</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46036</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46036</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46036</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46036</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46036</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46036</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46036</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46036</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46036</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46036</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46036</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46036</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63162-2025</t>
        </is>
      </c>
      <c r="B135" s="1" t="n">
        <v>46010.37629629629</v>
      </c>
      <c r="C135" s="1" t="n">
        <v>46036</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46008.59275462963</v>
      </c>
      <c r="C136" s="1" t="n">
        <v>46036</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26077-2024</t>
        </is>
      </c>
      <c r="B137" s="1" t="n">
        <v>45467</v>
      </c>
      <c r="C137" s="1" t="n">
        <v>46036</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46036</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46036</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46036</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46036</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46036</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46036</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22883-2024</t>
        </is>
      </c>
      <c r="B144" s="1" t="n">
        <v>45448.66368055555</v>
      </c>
      <c r="C144" s="1" t="n">
        <v>46036</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24245-2022</t>
        </is>
      </c>
      <c r="B145" s="1" t="n">
        <v>44725</v>
      </c>
      <c r="C145" s="1" t="n">
        <v>46036</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44308-2021</t>
        </is>
      </c>
      <c r="B146" s="1" t="n">
        <v>44434</v>
      </c>
      <c r="C146" s="1" t="n">
        <v>46036</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46527-2023</t>
        </is>
      </c>
      <c r="B147" s="1" t="n">
        <v>45197</v>
      </c>
      <c r="C147" s="1" t="n">
        <v>46036</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17723-2021</t>
        </is>
      </c>
      <c r="B148" s="1" t="n">
        <v>44300</v>
      </c>
      <c r="C148" s="1" t="n">
        <v>46036</v>
      </c>
      <c r="D148" t="inlineStr">
        <is>
          <t>GOTLANDS LÄN</t>
        </is>
      </c>
      <c r="E148" t="inlineStr">
        <is>
          <t>GOTLAND</t>
        </is>
      </c>
      <c r="G148" t="n">
        <v>1.5</v>
      </c>
      <c r="H148" t="n">
        <v>1</v>
      </c>
      <c r="I148" t="n">
        <v>1</v>
      </c>
      <c r="J148" t="n">
        <v>0</v>
      </c>
      <c r="K148" t="n">
        <v>0</v>
      </c>
      <c r="L148" t="n">
        <v>0</v>
      </c>
      <c r="M148" t="n">
        <v>0</v>
      </c>
      <c r="N148" t="n">
        <v>0</v>
      </c>
      <c r="O148" t="n">
        <v>0</v>
      </c>
      <c r="P148" t="n">
        <v>0</v>
      </c>
      <c r="Q148" t="n">
        <v>1</v>
      </c>
      <c r="R148" s="2" t="inlineStr">
        <is>
          <t>Vit skogslilja</t>
        </is>
      </c>
      <c r="S148">
        <f>HYPERLINK("https://klasma.github.io/Logging_0980/artfynd/A 17723-2021 artfynd.xlsx", "A 17723-2021")</f>
        <v/>
      </c>
      <c r="T148">
        <f>HYPERLINK("https://klasma.github.io/Logging_0980/kartor/A 17723-2021 karta.png", "A 17723-2021")</f>
        <v/>
      </c>
      <c r="V148">
        <f>HYPERLINK("https://klasma.github.io/Logging_0980/klagomål/A 17723-2021 FSC-klagomål.docx", "A 17723-2021")</f>
        <v/>
      </c>
      <c r="W148">
        <f>HYPERLINK("https://klasma.github.io/Logging_0980/klagomålsmail/A 17723-2021 FSC-klagomål mail.docx", "A 17723-2021")</f>
        <v/>
      </c>
      <c r="X148">
        <f>HYPERLINK("https://klasma.github.io/Logging_0980/tillsyn/A 17723-2021 tillsynsbegäran.docx", "A 17723-2021")</f>
        <v/>
      </c>
      <c r="Y148">
        <f>HYPERLINK("https://klasma.github.io/Logging_0980/tillsynsmail/A 17723-2021 tillsynsbegäran mail.docx", "A 17723-2021")</f>
        <v/>
      </c>
    </row>
    <row r="149" ht="15" customHeight="1">
      <c r="A149" t="inlineStr">
        <is>
          <t>A 6303-2024</t>
        </is>
      </c>
      <c r="B149" s="1" t="n">
        <v>45338.35376157407</v>
      </c>
      <c r="C149" s="1" t="n">
        <v>46036</v>
      </c>
      <c r="D149" t="inlineStr">
        <is>
          <t>GOTLANDS LÄN</t>
        </is>
      </c>
      <c r="E149" t="inlineStr">
        <is>
          <t>GOTLAND</t>
        </is>
      </c>
      <c r="G149" t="n">
        <v>0.6</v>
      </c>
      <c r="H149" t="n">
        <v>0</v>
      </c>
      <c r="I149" t="n">
        <v>1</v>
      </c>
      <c r="J149" t="n">
        <v>0</v>
      </c>
      <c r="K149" t="n">
        <v>0</v>
      </c>
      <c r="L149" t="n">
        <v>0</v>
      </c>
      <c r="M149" t="n">
        <v>0</v>
      </c>
      <c r="N149" t="n">
        <v>0</v>
      </c>
      <c r="O149" t="n">
        <v>0</v>
      </c>
      <c r="P149" t="n">
        <v>0</v>
      </c>
      <c r="Q149" t="n">
        <v>1</v>
      </c>
      <c r="R149" s="2" t="inlineStr">
        <is>
          <t>Strävlosta</t>
        </is>
      </c>
      <c r="S149">
        <f>HYPERLINK("https://klasma.github.io/Logging_0980/artfynd/A 6303-2024 artfynd.xlsx", "A 6303-2024")</f>
        <v/>
      </c>
      <c r="T149">
        <f>HYPERLINK("https://klasma.github.io/Logging_0980/kartor/A 6303-2024 karta.png", "A 6303-2024")</f>
        <v/>
      </c>
      <c r="V149">
        <f>HYPERLINK("https://klasma.github.io/Logging_0980/klagomål/A 6303-2024 FSC-klagomål.docx", "A 6303-2024")</f>
        <v/>
      </c>
      <c r="W149">
        <f>HYPERLINK("https://klasma.github.io/Logging_0980/klagomålsmail/A 6303-2024 FSC-klagomål mail.docx", "A 6303-2024")</f>
        <v/>
      </c>
      <c r="X149">
        <f>HYPERLINK("https://klasma.github.io/Logging_0980/tillsyn/A 6303-2024 tillsynsbegäran.docx", "A 6303-2024")</f>
        <v/>
      </c>
      <c r="Y149">
        <f>HYPERLINK("https://klasma.github.io/Logging_0980/tillsynsmail/A 6303-2024 tillsynsbegäran mail.docx", "A 6303-2024")</f>
        <v/>
      </c>
    </row>
    <row r="150" ht="15" customHeight="1">
      <c r="A150" t="inlineStr">
        <is>
          <t>A 62552-2022</t>
        </is>
      </c>
      <c r="B150" s="1" t="n">
        <v>44924</v>
      </c>
      <c r="C150" s="1" t="n">
        <v>46036</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39812-2025</t>
        </is>
      </c>
      <c r="B151" s="1" t="n">
        <v>45891</v>
      </c>
      <c r="C151" s="1" t="n">
        <v>46036</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25977-2024</t>
        </is>
      </c>
      <c r="B152" s="1" t="n">
        <v>45467.69356481481</v>
      </c>
      <c r="C152" s="1" t="n">
        <v>46036</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27589-2023</t>
        </is>
      </c>
      <c r="B153" s="1" t="n">
        <v>45097</v>
      </c>
      <c r="C153" s="1" t="n">
        <v>46036</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9862-2024</t>
        </is>
      </c>
      <c r="B154" s="1" t="n">
        <v>45363</v>
      </c>
      <c r="C154" s="1" t="n">
        <v>46036</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34141-2024</t>
        </is>
      </c>
      <c r="B155" s="1" t="n">
        <v>45524.36229166666</v>
      </c>
      <c r="C155" s="1" t="n">
        <v>46036</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35467-2021</t>
        </is>
      </c>
      <c r="B156" s="1" t="n">
        <v>44385</v>
      </c>
      <c r="C156" s="1" t="n">
        <v>46036</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65927-2021</t>
        </is>
      </c>
      <c r="B157" s="1" t="n">
        <v>44516</v>
      </c>
      <c r="C157" s="1" t="n">
        <v>46036</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44619-2025</t>
        </is>
      </c>
      <c r="B158" s="1" t="n">
        <v>45917</v>
      </c>
      <c r="C158" s="1" t="n">
        <v>46036</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947-2023</t>
        </is>
      </c>
      <c r="B159" s="1" t="n">
        <v>44934</v>
      </c>
      <c r="C159" s="1" t="n">
        <v>46036</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61561-2023</t>
        </is>
      </c>
      <c r="B160" s="1" t="n">
        <v>45265</v>
      </c>
      <c r="C160" s="1" t="n">
        <v>46036</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12924-2025</t>
        </is>
      </c>
      <c r="B161" s="1" t="n">
        <v>45734</v>
      </c>
      <c r="C161" s="1" t="n">
        <v>46036</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13939-2021</t>
        </is>
      </c>
      <c r="B162" s="1" t="n">
        <v>44277</v>
      </c>
      <c r="C162" s="1" t="n">
        <v>46036</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20429-2025</t>
        </is>
      </c>
      <c r="B163" s="1" t="n">
        <v>45775.47728009259</v>
      </c>
      <c r="C163" s="1" t="n">
        <v>46036</v>
      </c>
      <c r="D163" t="inlineStr">
        <is>
          <t>GOTLANDS LÄN</t>
        </is>
      </c>
      <c r="E163" t="inlineStr">
        <is>
          <t>GOTLAND</t>
        </is>
      </c>
      <c r="G163" t="n">
        <v>1.4</v>
      </c>
      <c r="H163" t="n">
        <v>1</v>
      </c>
      <c r="I163" t="n">
        <v>0</v>
      </c>
      <c r="J163" t="n">
        <v>0</v>
      </c>
      <c r="K163" t="n">
        <v>0</v>
      </c>
      <c r="L163" t="n">
        <v>0</v>
      </c>
      <c r="M163" t="n">
        <v>0</v>
      </c>
      <c r="N163" t="n">
        <v>0</v>
      </c>
      <c r="O163" t="n">
        <v>0</v>
      </c>
      <c r="P163" t="n">
        <v>0</v>
      </c>
      <c r="Q163" t="n">
        <v>1</v>
      </c>
      <c r="R163" s="2" t="inlineStr">
        <is>
          <t>Äkta lopplummer</t>
        </is>
      </c>
      <c r="S163">
        <f>HYPERLINK("https://klasma.github.io/Logging_0980/artfynd/A 20429-2025 artfynd.xlsx", "A 20429-2025")</f>
        <v/>
      </c>
      <c r="T163">
        <f>HYPERLINK("https://klasma.github.io/Logging_0980/kartor/A 20429-2025 karta.png", "A 20429-2025")</f>
        <v/>
      </c>
      <c r="V163">
        <f>HYPERLINK("https://klasma.github.io/Logging_0980/klagomål/A 20429-2025 FSC-klagomål.docx", "A 20429-2025")</f>
        <v/>
      </c>
      <c r="W163">
        <f>HYPERLINK("https://klasma.github.io/Logging_0980/klagomålsmail/A 20429-2025 FSC-klagomål mail.docx", "A 20429-2025")</f>
        <v/>
      </c>
      <c r="X163">
        <f>HYPERLINK("https://klasma.github.io/Logging_0980/tillsyn/A 20429-2025 tillsynsbegäran.docx", "A 20429-2025")</f>
        <v/>
      </c>
      <c r="Y163">
        <f>HYPERLINK("https://klasma.github.io/Logging_0980/tillsynsmail/A 20429-2025 tillsynsbegäran mail.docx", "A 20429-2025")</f>
        <v/>
      </c>
    </row>
    <row r="164" ht="15" customHeight="1">
      <c r="A164" t="inlineStr">
        <is>
          <t>A 49726-2025</t>
        </is>
      </c>
      <c r="B164" s="1" t="n">
        <v>45939.84466435185</v>
      </c>
      <c r="C164" s="1" t="n">
        <v>46036</v>
      </c>
      <c r="D164" t="inlineStr">
        <is>
          <t>GOTLANDS LÄN</t>
        </is>
      </c>
      <c r="E164" t="inlineStr">
        <is>
          <t>GOTLAND</t>
        </is>
      </c>
      <c r="F164" t="inlineStr">
        <is>
          <t>Kyrkan</t>
        </is>
      </c>
      <c r="G164" t="n">
        <v>5.4</v>
      </c>
      <c r="H164" t="n">
        <v>0</v>
      </c>
      <c r="I164" t="n">
        <v>0</v>
      </c>
      <c r="J164" t="n">
        <v>1</v>
      </c>
      <c r="K164" t="n">
        <v>0</v>
      </c>
      <c r="L164" t="n">
        <v>0</v>
      </c>
      <c r="M164" t="n">
        <v>0</v>
      </c>
      <c r="N164" t="n">
        <v>0</v>
      </c>
      <c r="O164" t="n">
        <v>1</v>
      </c>
      <c r="P164" t="n">
        <v>0</v>
      </c>
      <c r="Q164" t="n">
        <v>1</v>
      </c>
      <c r="R164" s="2" t="inlineStr">
        <is>
          <t>Odörspindling</t>
        </is>
      </c>
      <c r="S164">
        <f>HYPERLINK("https://klasma.github.io/Logging_0980/artfynd/A 49726-2025 artfynd.xlsx", "A 49726-2025")</f>
        <v/>
      </c>
      <c r="T164">
        <f>HYPERLINK("https://klasma.github.io/Logging_0980/kartor/A 49726-2025 karta.png", "A 49726-2025")</f>
        <v/>
      </c>
      <c r="V164">
        <f>HYPERLINK("https://klasma.github.io/Logging_0980/klagomål/A 49726-2025 FSC-klagomål.docx", "A 49726-2025")</f>
        <v/>
      </c>
      <c r="W164">
        <f>HYPERLINK("https://klasma.github.io/Logging_0980/klagomålsmail/A 49726-2025 FSC-klagomål mail.docx", "A 49726-2025")</f>
        <v/>
      </c>
      <c r="X164">
        <f>HYPERLINK("https://klasma.github.io/Logging_0980/tillsyn/A 49726-2025 tillsynsbegäran.docx", "A 49726-2025")</f>
        <v/>
      </c>
      <c r="Y164">
        <f>HYPERLINK("https://klasma.github.io/Logging_0980/tillsynsmail/A 49726-2025 tillsynsbegäran mail.docx", "A 49726-2025")</f>
        <v/>
      </c>
    </row>
    <row r="165" ht="15" customHeight="1">
      <c r="A165" t="inlineStr">
        <is>
          <t>A 12324-2025</t>
        </is>
      </c>
      <c r="B165" s="1" t="n">
        <v>45730</v>
      </c>
      <c r="C165" s="1" t="n">
        <v>46036</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2476-2025</t>
        </is>
      </c>
      <c r="B166" s="1" t="n">
        <v>45673</v>
      </c>
      <c r="C166" s="1" t="n">
        <v>46036</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44304-2021</t>
        </is>
      </c>
      <c r="B167" s="1" t="n">
        <v>44434</v>
      </c>
      <c r="C167" s="1" t="n">
        <v>46036</v>
      </c>
      <c r="D167" t="inlineStr">
        <is>
          <t>GOTLANDS LÄN</t>
        </is>
      </c>
      <c r="E167" t="inlineStr">
        <is>
          <t>GOTLAND</t>
        </is>
      </c>
      <c r="G167" t="n">
        <v>5.8</v>
      </c>
      <c r="H167" t="n">
        <v>0</v>
      </c>
      <c r="I167" t="n">
        <v>0</v>
      </c>
      <c r="J167" t="n">
        <v>1</v>
      </c>
      <c r="K167" t="n">
        <v>0</v>
      </c>
      <c r="L167" t="n">
        <v>0</v>
      </c>
      <c r="M167" t="n">
        <v>0</v>
      </c>
      <c r="N167" t="n">
        <v>0</v>
      </c>
      <c r="O167" t="n">
        <v>1</v>
      </c>
      <c r="P167" t="n">
        <v>0</v>
      </c>
      <c r="Q167" t="n">
        <v>1</v>
      </c>
      <c r="R167" s="2" t="inlineStr">
        <is>
          <t>Svinrot</t>
        </is>
      </c>
      <c r="S167">
        <f>HYPERLINK("https://klasma.github.io/Logging_0980/artfynd/A 44304-2021 artfynd.xlsx", "A 44304-2021")</f>
        <v/>
      </c>
      <c r="T167">
        <f>HYPERLINK("https://klasma.github.io/Logging_0980/kartor/A 44304-2021 karta.png", "A 44304-2021")</f>
        <v/>
      </c>
      <c r="V167">
        <f>HYPERLINK("https://klasma.github.io/Logging_0980/klagomål/A 44304-2021 FSC-klagomål.docx", "A 44304-2021")</f>
        <v/>
      </c>
      <c r="W167">
        <f>HYPERLINK("https://klasma.github.io/Logging_0980/klagomålsmail/A 44304-2021 FSC-klagomål mail.docx", "A 44304-2021")</f>
        <v/>
      </c>
      <c r="X167">
        <f>HYPERLINK("https://klasma.github.io/Logging_0980/tillsyn/A 44304-2021 tillsynsbegäran.docx", "A 44304-2021")</f>
        <v/>
      </c>
      <c r="Y167">
        <f>HYPERLINK("https://klasma.github.io/Logging_0980/tillsynsmail/A 44304-2021 tillsynsbegäran mail.docx", "A 44304-2021")</f>
        <v/>
      </c>
    </row>
    <row r="168" ht="15" customHeight="1">
      <c r="A168" t="inlineStr">
        <is>
          <t>A 447-2023</t>
        </is>
      </c>
      <c r="B168" s="1" t="n">
        <v>44929</v>
      </c>
      <c r="C168" s="1" t="n">
        <v>46036</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34809-2024</t>
        </is>
      </c>
      <c r="B169" s="1" t="n">
        <v>45526</v>
      </c>
      <c r="C169" s="1" t="n">
        <v>46036</v>
      </c>
      <c r="D169" t="inlineStr">
        <is>
          <t>GOTLANDS LÄN</t>
        </is>
      </c>
      <c r="E169" t="inlineStr">
        <is>
          <t>GOTLAND</t>
        </is>
      </c>
      <c r="G169" t="n">
        <v>9.9</v>
      </c>
      <c r="H169" t="n">
        <v>1</v>
      </c>
      <c r="I169" t="n">
        <v>0</v>
      </c>
      <c r="J169" t="n">
        <v>1</v>
      </c>
      <c r="K169" t="n">
        <v>0</v>
      </c>
      <c r="L169" t="n">
        <v>0</v>
      </c>
      <c r="M169" t="n">
        <v>0</v>
      </c>
      <c r="N169" t="n">
        <v>0</v>
      </c>
      <c r="O169" t="n">
        <v>1</v>
      </c>
      <c r="P169" t="n">
        <v>0</v>
      </c>
      <c r="Q169" t="n">
        <v>1</v>
      </c>
      <c r="R169" s="2" t="inlineStr">
        <is>
          <t>Brun ögontröst</t>
        </is>
      </c>
      <c r="S169">
        <f>HYPERLINK("https://klasma.github.io/Logging_0980/artfynd/A 34809-2024 artfynd.xlsx", "A 34809-2024")</f>
        <v/>
      </c>
      <c r="T169">
        <f>HYPERLINK("https://klasma.github.io/Logging_0980/kartor/A 34809-2024 karta.png", "A 34809-2024")</f>
        <v/>
      </c>
      <c r="V169">
        <f>HYPERLINK("https://klasma.github.io/Logging_0980/klagomål/A 34809-2024 FSC-klagomål.docx", "A 34809-2024")</f>
        <v/>
      </c>
      <c r="W169">
        <f>HYPERLINK("https://klasma.github.io/Logging_0980/klagomålsmail/A 34809-2024 FSC-klagomål mail.docx", "A 34809-2024")</f>
        <v/>
      </c>
      <c r="X169">
        <f>HYPERLINK("https://klasma.github.io/Logging_0980/tillsyn/A 34809-2024 tillsynsbegäran.docx", "A 34809-2024")</f>
        <v/>
      </c>
      <c r="Y169">
        <f>HYPERLINK("https://klasma.github.io/Logging_0980/tillsynsmail/A 34809-2024 tillsynsbegäran mail.docx", "A 34809-2024")</f>
        <v/>
      </c>
    </row>
    <row r="170" ht="15" customHeight="1">
      <c r="A170" t="inlineStr">
        <is>
          <t>A 49304-2024</t>
        </is>
      </c>
      <c r="B170" s="1" t="n">
        <v>45595.54996527778</v>
      </c>
      <c r="C170" s="1" t="n">
        <v>46036</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22782-2023</t>
        </is>
      </c>
      <c r="B171" s="1" t="n">
        <v>45072</v>
      </c>
      <c r="C171" s="1" t="n">
        <v>46036</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44088-2022</t>
        </is>
      </c>
      <c r="B172" s="1" t="n">
        <v>44839</v>
      </c>
      <c r="C172" s="1" t="n">
        <v>46036</v>
      </c>
      <c r="D172" t="inlineStr">
        <is>
          <t>GOTLANDS LÄN</t>
        </is>
      </c>
      <c r="E172" t="inlineStr">
        <is>
          <t>GOTLAND</t>
        </is>
      </c>
      <c r="G172" t="n">
        <v>1.5</v>
      </c>
      <c r="H172" t="n">
        <v>0</v>
      </c>
      <c r="I172" t="n">
        <v>1</v>
      </c>
      <c r="J172" t="n">
        <v>0</v>
      </c>
      <c r="K172" t="n">
        <v>0</v>
      </c>
      <c r="L172" t="n">
        <v>0</v>
      </c>
      <c r="M172" t="n">
        <v>0</v>
      </c>
      <c r="N172" t="n">
        <v>0</v>
      </c>
      <c r="O172" t="n">
        <v>0</v>
      </c>
      <c r="P172" t="n">
        <v>0</v>
      </c>
      <c r="Q172" t="n">
        <v>1</v>
      </c>
      <c r="R172" s="2" t="inlineStr">
        <is>
          <t>Strävlosta</t>
        </is>
      </c>
      <c r="S172">
        <f>HYPERLINK("https://klasma.github.io/Logging_0980/artfynd/A 44088-2022 artfynd.xlsx", "A 44088-2022")</f>
        <v/>
      </c>
      <c r="T172">
        <f>HYPERLINK("https://klasma.github.io/Logging_0980/kartor/A 44088-2022 karta.png", "A 44088-2022")</f>
        <v/>
      </c>
      <c r="V172">
        <f>HYPERLINK("https://klasma.github.io/Logging_0980/klagomål/A 44088-2022 FSC-klagomål.docx", "A 44088-2022")</f>
        <v/>
      </c>
      <c r="W172">
        <f>HYPERLINK("https://klasma.github.io/Logging_0980/klagomålsmail/A 44088-2022 FSC-klagomål mail.docx", "A 44088-2022")</f>
        <v/>
      </c>
      <c r="X172">
        <f>HYPERLINK("https://klasma.github.io/Logging_0980/tillsyn/A 44088-2022 tillsynsbegäran.docx", "A 44088-2022")</f>
        <v/>
      </c>
      <c r="Y172">
        <f>HYPERLINK("https://klasma.github.io/Logging_0980/tillsynsmail/A 44088-2022 tillsynsbegäran mail.docx", "A 44088-2022")</f>
        <v/>
      </c>
    </row>
    <row r="173" ht="15" customHeight="1">
      <c r="A173" t="inlineStr">
        <is>
          <t>A 63149-2025</t>
        </is>
      </c>
      <c r="B173" s="1" t="n">
        <v>46010</v>
      </c>
      <c r="C173" s="1" t="n">
        <v>46036</v>
      </c>
      <c r="D173" t="inlineStr">
        <is>
          <t>GOTLANDS LÄN</t>
        </is>
      </c>
      <c r="E173" t="inlineStr">
        <is>
          <t>GOTLAND</t>
        </is>
      </c>
      <c r="G173" t="n">
        <v>4.3</v>
      </c>
      <c r="H173" t="n">
        <v>0</v>
      </c>
      <c r="I173" t="n">
        <v>1</v>
      </c>
      <c r="J173" t="n">
        <v>0</v>
      </c>
      <c r="K173" t="n">
        <v>0</v>
      </c>
      <c r="L173" t="n">
        <v>0</v>
      </c>
      <c r="M173" t="n">
        <v>0</v>
      </c>
      <c r="N173" t="n">
        <v>0</v>
      </c>
      <c r="O173" t="n">
        <v>0</v>
      </c>
      <c r="P173" t="n">
        <v>0</v>
      </c>
      <c r="Q173" t="n">
        <v>1</v>
      </c>
      <c r="R173" s="2" t="inlineStr">
        <is>
          <t>Anisspindling</t>
        </is>
      </c>
      <c r="S173">
        <f>HYPERLINK("https://klasma.github.io/Logging_0980/artfynd/A 63149-2025 artfynd.xlsx", "A 63149-2025")</f>
        <v/>
      </c>
      <c r="T173">
        <f>HYPERLINK("https://klasma.github.io/Logging_0980/kartor/A 63149-2025 karta.png", "A 63149-2025")</f>
        <v/>
      </c>
      <c r="V173">
        <f>HYPERLINK("https://klasma.github.io/Logging_0980/klagomål/A 63149-2025 FSC-klagomål.docx", "A 63149-2025")</f>
        <v/>
      </c>
      <c r="W173">
        <f>HYPERLINK("https://klasma.github.io/Logging_0980/klagomålsmail/A 63149-2025 FSC-klagomål mail.docx", "A 63149-2025")</f>
        <v/>
      </c>
      <c r="X173">
        <f>HYPERLINK("https://klasma.github.io/Logging_0980/tillsyn/A 63149-2025 tillsynsbegäran.docx", "A 63149-2025")</f>
        <v/>
      </c>
      <c r="Y173">
        <f>HYPERLINK("https://klasma.github.io/Logging_0980/tillsynsmail/A 63149-2025 tillsynsbegäran mail.docx", "A 63149-2025")</f>
        <v/>
      </c>
    </row>
    <row r="174" ht="15" customHeight="1">
      <c r="A174" t="inlineStr">
        <is>
          <t>A 1477-2024</t>
        </is>
      </c>
      <c r="B174" s="1" t="n">
        <v>45305.37987268518</v>
      </c>
      <c r="C174" s="1" t="n">
        <v>46036</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7637-2025</t>
        </is>
      </c>
      <c r="B175" s="1" t="n">
        <v>45705.77181712963</v>
      </c>
      <c r="C175" s="1" t="n">
        <v>46036</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46036</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46036</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46036</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46036</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46036</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46036</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46036</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46036</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46036</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46036</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46036</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46036</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26461-2025</t>
        </is>
      </c>
      <c r="B188" s="1" t="n">
        <v>45807.43337962963</v>
      </c>
      <c r="C188" s="1" t="n">
        <v>46036</v>
      </c>
      <c r="D188" t="inlineStr">
        <is>
          <t>GOTLANDS LÄN</t>
        </is>
      </c>
      <c r="E188" t="inlineStr">
        <is>
          <t>GOTLAND</t>
        </is>
      </c>
      <c r="G188" t="n">
        <v>4.1</v>
      </c>
      <c r="H188" t="n">
        <v>0</v>
      </c>
      <c r="I188" t="n">
        <v>0</v>
      </c>
      <c r="J188" t="n">
        <v>0</v>
      </c>
      <c r="K188" t="n">
        <v>1</v>
      </c>
      <c r="L188" t="n">
        <v>0</v>
      </c>
      <c r="M188" t="n">
        <v>0</v>
      </c>
      <c r="N188" t="n">
        <v>0</v>
      </c>
      <c r="O188" t="n">
        <v>1</v>
      </c>
      <c r="P188" t="n">
        <v>1</v>
      </c>
      <c r="Q188" t="n">
        <v>1</v>
      </c>
      <c r="R188" s="2" t="inlineStr">
        <is>
          <t>Gotlandsmåra</t>
        </is>
      </c>
      <c r="S188">
        <f>HYPERLINK("https://klasma.github.io/Logging_0980/artfynd/A 26461-2025 artfynd.xlsx", "A 26461-2025")</f>
        <v/>
      </c>
      <c r="T188">
        <f>HYPERLINK("https://klasma.github.io/Logging_0980/kartor/A 26461-2025 karta.png", "A 26461-2025")</f>
        <v/>
      </c>
      <c r="V188">
        <f>HYPERLINK("https://klasma.github.io/Logging_0980/klagomål/A 26461-2025 FSC-klagomål.docx", "A 26461-2025")</f>
        <v/>
      </c>
      <c r="W188">
        <f>HYPERLINK("https://klasma.github.io/Logging_0980/klagomålsmail/A 26461-2025 FSC-klagomål mail.docx", "A 26461-2025")</f>
        <v/>
      </c>
      <c r="X188">
        <f>HYPERLINK("https://klasma.github.io/Logging_0980/tillsyn/A 26461-2025 tillsynsbegäran.docx", "A 26461-2025")</f>
        <v/>
      </c>
      <c r="Y188">
        <f>HYPERLINK("https://klasma.github.io/Logging_0980/tillsynsmail/A 26461-2025 tillsynsbegäran mail.docx", "A 26461-2025")</f>
        <v/>
      </c>
    </row>
    <row r="189" ht="15" customHeight="1">
      <c r="A189" t="inlineStr">
        <is>
          <t>A 19901-2021</t>
        </is>
      </c>
      <c r="B189" s="1" t="n">
        <v>44312</v>
      </c>
      <c r="C189" s="1" t="n">
        <v>46036</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46036</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46036</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46036</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46036</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46036</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46036</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46036</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46036</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46036</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46036</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46036</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46036</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46036</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46036</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46036</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46036</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46036</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46036</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46036</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46036</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46036</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46036</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46036</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46036</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46036</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46036</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46036</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46036</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46036</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46036</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46036</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46036</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46036</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46036</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46036</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46036</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46036</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46036</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46036</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46036</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46036</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46036</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46036</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46036</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46036</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46036</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46036</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46036</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46036</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46036</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58476-2022</t>
        </is>
      </c>
      <c r="B240" s="1" t="n">
        <v>44902</v>
      </c>
      <c r="C240" s="1" t="n">
        <v>46036</v>
      </c>
      <c r="D240" t="inlineStr">
        <is>
          <t>GOTLANDS LÄN</t>
        </is>
      </c>
      <c r="E240" t="inlineStr">
        <is>
          <t>GOTLAND</t>
        </is>
      </c>
      <c r="G240" t="n">
        <v>0.9</v>
      </c>
      <c r="H240" t="n">
        <v>0</v>
      </c>
      <c r="I240" t="n">
        <v>0</v>
      </c>
      <c r="J240" t="n">
        <v>0</v>
      </c>
      <c r="K240" t="n">
        <v>0</v>
      </c>
      <c r="L240" t="n">
        <v>0</v>
      </c>
      <c r="M240" t="n">
        <v>0</v>
      </c>
      <c r="N240" t="n">
        <v>0</v>
      </c>
      <c r="O240" t="n">
        <v>0</v>
      </c>
      <c r="P240" t="n">
        <v>0</v>
      </c>
      <c r="Q240" t="n">
        <v>0</v>
      </c>
      <c r="R240" s="2" t="inlineStr"/>
    </row>
    <row r="241" ht="15" customHeight="1">
      <c r="A241" t="inlineStr">
        <is>
          <t>A 61596-2023</t>
        </is>
      </c>
      <c r="B241" s="1" t="n">
        <v>45265</v>
      </c>
      <c r="C241" s="1" t="n">
        <v>46036</v>
      </c>
      <c r="D241" t="inlineStr">
        <is>
          <t>GOTLANDS LÄN</t>
        </is>
      </c>
      <c r="E241" t="inlineStr">
        <is>
          <t>GOTLAND</t>
        </is>
      </c>
      <c r="G241" t="n">
        <v>1.7</v>
      </c>
      <c r="H241" t="n">
        <v>0</v>
      </c>
      <c r="I241" t="n">
        <v>0</v>
      </c>
      <c r="J241" t="n">
        <v>0</v>
      </c>
      <c r="K241" t="n">
        <v>0</v>
      </c>
      <c r="L241" t="n">
        <v>0</v>
      </c>
      <c r="M241" t="n">
        <v>0</v>
      </c>
      <c r="N241" t="n">
        <v>0</v>
      </c>
      <c r="O241" t="n">
        <v>0</v>
      </c>
      <c r="P241" t="n">
        <v>0</v>
      </c>
      <c r="Q241" t="n">
        <v>0</v>
      </c>
      <c r="R241" s="2" t="inlineStr"/>
    </row>
    <row r="242" ht="15" customHeight="1">
      <c r="A242" t="inlineStr">
        <is>
          <t>A 63229-2021</t>
        </is>
      </c>
      <c r="B242" s="1" t="n">
        <v>44508.34518518519</v>
      </c>
      <c r="C242" s="1" t="n">
        <v>46036</v>
      </c>
      <c r="D242" t="inlineStr">
        <is>
          <t>GOTLANDS LÄN</t>
        </is>
      </c>
      <c r="E242" t="inlineStr">
        <is>
          <t>GOTLAND</t>
        </is>
      </c>
      <c r="F242" t="inlineStr">
        <is>
          <t>Kyrkan</t>
        </is>
      </c>
      <c r="G242" t="n">
        <v>3.8</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46036</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44228-2022</t>
        </is>
      </c>
      <c r="B244" s="1" t="n">
        <v>44839.51599537037</v>
      </c>
      <c r="C244" s="1" t="n">
        <v>46036</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61386-2023</t>
        </is>
      </c>
      <c r="B245" s="1" t="n">
        <v>45264</v>
      </c>
      <c r="C245" s="1" t="n">
        <v>46036</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27593-2023</t>
        </is>
      </c>
      <c r="B246" s="1" t="n">
        <v>45097</v>
      </c>
      <c r="C246" s="1" t="n">
        <v>46036</v>
      </c>
      <c r="D246" t="inlineStr">
        <is>
          <t>GOTLANDS LÄN</t>
        </is>
      </c>
      <c r="E246" t="inlineStr">
        <is>
          <t>GOTLAND</t>
        </is>
      </c>
      <c r="G246" t="n">
        <v>3.1</v>
      </c>
      <c r="H246" t="n">
        <v>0</v>
      </c>
      <c r="I246" t="n">
        <v>0</v>
      </c>
      <c r="J246" t="n">
        <v>0</v>
      </c>
      <c r="K246" t="n">
        <v>0</v>
      </c>
      <c r="L246" t="n">
        <v>0</v>
      </c>
      <c r="M246" t="n">
        <v>0</v>
      </c>
      <c r="N246" t="n">
        <v>0</v>
      </c>
      <c r="O246" t="n">
        <v>0</v>
      </c>
      <c r="P246" t="n">
        <v>0</v>
      </c>
      <c r="Q246" t="n">
        <v>0</v>
      </c>
      <c r="R246" s="2" t="inlineStr"/>
    </row>
    <row r="247" ht="15" customHeight="1">
      <c r="A247" t="inlineStr">
        <is>
          <t>A 25129-2023</t>
        </is>
      </c>
      <c r="B247" s="1" t="n">
        <v>45086.44261574074</v>
      </c>
      <c r="C247" s="1" t="n">
        <v>46036</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56009-2024</t>
        </is>
      </c>
      <c r="B248" s="1" t="n">
        <v>45623.80864583333</v>
      </c>
      <c r="C248" s="1" t="n">
        <v>46036</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54073-2022</t>
        </is>
      </c>
      <c r="B249" s="1" t="n">
        <v>44881.50380787037</v>
      </c>
      <c r="C249" s="1" t="n">
        <v>46036</v>
      </c>
      <c r="D249" t="inlineStr">
        <is>
          <t>GOTLANDS LÄN</t>
        </is>
      </c>
      <c r="E249" t="inlineStr">
        <is>
          <t>GOTLAND</t>
        </is>
      </c>
      <c r="G249" t="n">
        <v>3.8</v>
      </c>
      <c r="H249" t="n">
        <v>0</v>
      </c>
      <c r="I249" t="n">
        <v>0</v>
      </c>
      <c r="J249" t="n">
        <v>0</v>
      </c>
      <c r="K249" t="n">
        <v>0</v>
      </c>
      <c r="L249" t="n">
        <v>0</v>
      </c>
      <c r="M249" t="n">
        <v>0</v>
      </c>
      <c r="N249" t="n">
        <v>0</v>
      </c>
      <c r="O249" t="n">
        <v>0</v>
      </c>
      <c r="P249" t="n">
        <v>0</v>
      </c>
      <c r="Q249" t="n">
        <v>0</v>
      </c>
      <c r="R249" s="2" t="inlineStr"/>
    </row>
    <row r="250" ht="15" customHeight="1">
      <c r="A250" t="inlineStr">
        <is>
          <t>A 3964-2024</t>
        </is>
      </c>
      <c r="B250" s="1" t="n">
        <v>45322</v>
      </c>
      <c r="C250" s="1" t="n">
        <v>46036</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45106-2024</t>
        </is>
      </c>
      <c r="B251" s="1" t="n">
        <v>45575</v>
      </c>
      <c r="C251" s="1" t="n">
        <v>46036</v>
      </c>
      <c r="D251" t="inlineStr">
        <is>
          <t>GOTLANDS LÄN</t>
        </is>
      </c>
      <c r="E251" t="inlineStr">
        <is>
          <t>GOTLAND</t>
        </is>
      </c>
      <c r="G251" t="n">
        <v>10</v>
      </c>
      <c r="H251" t="n">
        <v>0</v>
      </c>
      <c r="I251" t="n">
        <v>0</v>
      </c>
      <c r="J251" t="n">
        <v>0</v>
      </c>
      <c r="K251" t="n">
        <v>0</v>
      </c>
      <c r="L251" t="n">
        <v>0</v>
      </c>
      <c r="M251" t="n">
        <v>0</v>
      </c>
      <c r="N251" t="n">
        <v>0</v>
      </c>
      <c r="O251" t="n">
        <v>0</v>
      </c>
      <c r="P251" t="n">
        <v>0</v>
      </c>
      <c r="Q251" t="n">
        <v>0</v>
      </c>
      <c r="R251" s="2" t="inlineStr"/>
    </row>
    <row r="252" ht="15" customHeight="1">
      <c r="A252" t="inlineStr">
        <is>
          <t>A 45112-2024</t>
        </is>
      </c>
      <c r="B252" s="1" t="n">
        <v>45575</v>
      </c>
      <c r="C252" s="1" t="n">
        <v>46036</v>
      </c>
      <c r="D252" t="inlineStr">
        <is>
          <t>GOTLANDS LÄN</t>
        </is>
      </c>
      <c r="E252" t="inlineStr">
        <is>
          <t>GOTLAND</t>
        </is>
      </c>
      <c r="G252" t="n">
        <v>5.1</v>
      </c>
      <c r="H252" t="n">
        <v>0</v>
      </c>
      <c r="I252" t="n">
        <v>0</v>
      </c>
      <c r="J252" t="n">
        <v>0</v>
      </c>
      <c r="K252" t="n">
        <v>0</v>
      </c>
      <c r="L252" t="n">
        <v>0</v>
      </c>
      <c r="M252" t="n">
        <v>0</v>
      </c>
      <c r="N252" t="n">
        <v>0</v>
      </c>
      <c r="O252" t="n">
        <v>0</v>
      </c>
      <c r="P252" t="n">
        <v>0</v>
      </c>
      <c r="Q252" t="n">
        <v>0</v>
      </c>
      <c r="R252" s="2" t="inlineStr"/>
    </row>
    <row r="253" ht="15" customHeight="1">
      <c r="A253" t="inlineStr">
        <is>
          <t>A 7026-2023</t>
        </is>
      </c>
      <c r="B253" s="1" t="n">
        <v>44968.30340277778</v>
      </c>
      <c r="C253" s="1" t="n">
        <v>46036</v>
      </c>
      <c r="D253" t="inlineStr">
        <is>
          <t>GOTLANDS LÄN</t>
        </is>
      </c>
      <c r="E253" t="inlineStr">
        <is>
          <t>GOTLAND</t>
        </is>
      </c>
      <c r="G253" t="n">
        <v>2.9</v>
      </c>
      <c r="H253" t="n">
        <v>0</v>
      </c>
      <c r="I253" t="n">
        <v>0</v>
      </c>
      <c r="J253" t="n">
        <v>0</v>
      </c>
      <c r="K253" t="n">
        <v>0</v>
      </c>
      <c r="L253" t="n">
        <v>0</v>
      </c>
      <c r="M253" t="n">
        <v>0</v>
      </c>
      <c r="N253" t="n">
        <v>0</v>
      </c>
      <c r="O253" t="n">
        <v>0</v>
      </c>
      <c r="P253" t="n">
        <v>0</v>
      </c>
      <c r="Q253" t="n">
        <v>0</v>
      </c>
      <c r="R253" s="2" t="inlineStr"/>
    </row>
    <row r="254" ht="15" customHeight="1">
      <c r="A254" t="inlineStr">
        <is>
          <t>A 52892-2021</t>
        </is>
      </c>
      <c r="B254" s="1" t="n">
        <v>44467.49048611111</v>
      </c>
      <c r="C254" s="1" t="n">
        <v>46036</v>
      </c>
      <c r="D254" t="inlineStr">
        <is>
          <t>GOTLANDS LÄN</t>
        </is>
      </c>
      <c r="E254" t="inlineStr">
        <is>
          <t>GOTLAND</t>
        </is>
      </c>
      <c r="G254" t="n">
        <v>2</v>
      </c>
      <c r="H254" t="n">
        <v>0</v>
      </c>
      <c r="I254" t="n">
        <v>0</v>
      </c>
      <c r="J254" t="n">
        <v>0</v>
      </c>
      <c r="K254" t="n">
        <v>0</v>
      </c>
      <c r="L254" t="n">
        <v>0</v>
      </c>
      <c r="M254" t="n">
        <v>0</v>
      </c>
      <c r="N254" t="n">
        <v>0</v>
      </c>
      <c r="O254" t="n">
        <v>0</v>
      </c>
      <c r="P254" t="n">
        <v>0</v>
      </c>
      <c r="Q254" t="n">
        <v>0</v>
      </c>
      <c r="R254" s="2" t="inlineStr"/>
    </row>
    <row r="255" ht="15" customHeight="1">
      <c r="A255" t="inlineStr">
        <is>
          <t>A 1351-2025</t>
        </is>
      </c>
      <c r="B255" s="1" t="n">
        <v>45667.62246527777</v>
      </c>
      <c r="C255" s="1" t="n">
        <v>46036</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49874-2024</t>
        </is>
      </c>
      <c r="B256" s="1" t="n">
        <v>45597.49274305555</v>
      </c>
      <c r="C256" s="1" t="n">
        <v>46036</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17901-2023</t>
        </is>
      </c>
      <c r="B257" s="1" t="n">
        <v>45039</v>
      </c>
      <c r="C257" s="1" t="n">
        <v>46036</v>
      </c>
      <c r="D257" t="inlineStr">
        <is>
          <t>GOTLANDS LÄN</t>
        </is>
      </c>
      <c r="E257" t="inlineStr">
        <is>
          <t>GOTLAND</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51782-2023</t>
        </is>
      </c>
      <c r="B258" s="1" t="n">
        <v>45222.80952546297</v>
      </c>
      <c r="C258" s="1" t="n">
        <v>46036</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60675-2021</t>
        </is>
      </c>
      <c r="B259" s="1" t="n">
        <v>44496.64855324074</v>
      </c>
      <c r="C259" s="1" t="n">
        <v>46036</v>
      </c>
      <c r="D259" t="inlineStr">
        <is>
          <t>GOTLANDS LÄN</t>
        </is>
      </c>
      <c r="E259" t="inlineStr">
        <is>
          <t>GOTLAND</t>
        </is>
      </c>
      <c r="G259" t="n">
        <v>4.6</v>
      </c>
      <c r="H259" t="n">
        <v>0</v>
      </c>
      <c r="I259" t="n">
        <v>0</v>
      </c>
      <c r="J259" t="n">
        <v>0</v>
      </c>
      <c r="K259" t="n">
        <v>0</v>
      </c>
      <c r="L259" t="n">
        <v>0</v>
      </c>
      <c r="M259" t="n">
        <v>0</v>
      </c>
      <c r="N259" t="n">
        <v>0</v>
      </c>
      <c r="O259" t="n">
        <v>0</v>
      </c>
      <c r="P259" t="n">
        <v>0</v>
      </c>
      <c r="Q259" t="n">
        <v>0</v>
      </c>
      <c r="R259" s="2" t="inlineStr"/>
    </row>
    <row r="260" ht="15" customHeight="1">
      <c r="A260" t="inlineStr">
        <is>
          <t>A 4421-2024</t>
        </is>
      </c>
      <c r="B260" s="1" t="n">
        <v>45327.45173611111</v>
      </c>
      <c r="C260" s="1" t="n">
        <v>46036</v>
      </c>
      <c r="D260" t="inlineStr">
        <is>
          <t>GOTLANDS LÄN</t>
        </is>
      </c>
      <c r="E260" t="inlineStr">
        <is>
          <t>GOTLAND</t>
        </is>
      </c>
      <c r="G260" t="n">
        <v>5.1</v>
      </c>
      <c r="H260" t="n">
        <v>0</v>
      </c>
      <c r="I260" t="n">
        <v>0</v>
      </c>
      <c r="J260" t="n">
        <v>0</v>
      </c>
      <c r="K260" t="n">
        <v>0</v>
      </c>
      <c r="L260" t="n">
        <v>0</v>
      </c>
      <c r="M260" t="n">
        <v>0</v>
      </c>
      <c r="N260" t="n">
        <v>0</v>
      </c>
      <c r="O260" t="n">
        <v>0</v>
      </c>
      <c r="P260" t="n">
        <v>0</v>
      </c>
      <c r="Q260" t="n">
        <v>0</v>
      </c>
      <c r="R260" s="2" t="inlineStr"/>
    </row>
    <row r="261" ht="15" customHeight="1">
      <c r="A261" t="inlineStr">
        <is>
          <t>A 5217-2023</t>
        </is>
      </c>
      <c r="B261" s="1" t="n">
        <v>44959.39582175926</v>
      </c>
      <c r="C261" s="1" t="n">
        <v>46036</v>
      </c>
      <c r="D261" t="inlineStr">
        <is>
          <t>GOTLANDS LÄN</t>
        </is>
      </c>
      <c r="E261" t="inlineStr">
        <is>
          <t>GOTLAND</t>
        </is>
      </c>
      <c r="G261" t="n">
        <v>1.9</v>
      </c>
      <c r="H261" t="n">
        <v>0</v>
      </c>
      <c r="I261" t="n">
        <v>0</v>
      </c>
      <c r="J261" t="n">
        <v>0</v>
      </c>
      <c r="K261" t="n">
        <v>0</v>
      </c>
      <c r="L261" t="n">
        <v>0</v>
      </c>
      <c r="M261" t="n">
        <v>0</v>
      </c>
      <c r="N261" t="n">
        <v>0</v>
      </c>
      <c r="O261" t="n">
        <v>0</v>
      </c>
      <c r="P261" t="n">
        <v>0</v>
      </c>
      <c r="Q261" t="n">
        <v>0</v>
      </c>
      <c r="R261" s="2" t="inlineStr"/>
    </row>
    <row r="262" ht="15" customHeight="1">
      <c r="A262" t="inlineStr">
        <is>
          <t>A 14638-2025</t>
        </is>
      </c>
      <c r="B262" s="1" t="n">
        <v>45742</v>
      </c>
      <c r="C262" s="1" t="n">
        <v>46036</v>
      </c>
      <c r="D262" t="inlineStr">
        <is>
          <t>GOTLANDS LÄN</t>
        </is>
      </c>
      <c r="E262" t="inlineStr">
        <is>
          <t>GOTLAND</t>
        </is>
      </c>
      <c r="G262" t="n">
        <v>13.4</v>
      </c>
      <c r="H262" t="n">
        <v>0</v>
      </c>
      <c r="I262" t="n">
        <v>0</v>
      </c>
      <c r="J262" t="n">
        <v>0</v>
      </c>
      <c r="K262" t="n">
        <v>0</v>
      </c>
      <c r="L262" t="n">
        <v>0</v>
      </c>
      <c r="M262" t="n">
        <v>0</v>
      </c>
      <c r="N262" t="n">
        <v>0</v>
      </c>
      <c r="O262" t="n">
        <v>0</v>
      </c>
      <c r="P262" t="n">
        <v>0</v>
      </c>
      <c r="Q262" t="n">
        <v>0</v>
      </c>
      <c r="R262" s="2" t="inlineStr"/>
    </row>
    <row r="263" ht="15" customHeight="1">
      <c r="A263" t="inlineStr">
        <is>
          <t>A 20165-2022</t>
        </is>
      </c>
      <c r="B263" s="1" t="n">
        <v>44698.49854166667</v>
      </c>
      <c r="C263" s="1" t="n">
        <v>46036</v>
      </c>
      <c r="D263" t="inlineStr">
        <is>
          <t>GOTLANDS LÄN</t>
        </is>
      </c>
      <c r="E263" t="inlineStr">
        <is>
          <t>GOTLAND</t>
        </is>
      </c>
      <c r="G263" t="n">
        <v>4.1</v>
      </c>
      <c r="H263" t="n">
        <v>0</v>
      </c>
      <c r="I263" t="n">
        <v>0</v>
      </c>
      <c r="J263" t="n">
        <v>0</v>
      </c>
      <c r="K263" t="n">
        <v>0</v>
      </c>
      <c r="L263" t="n">
        <v>0</v>
      </c>
      <c r="M263" t="n">
        <v>0</v>
      </c>
      <c r="N263" t="n">
        <v>0</v>
      </c>
      <c r="O263" t="n">
        <v>0</v>
      </c>
      <c r="P263" t="n">
        <v>0</v>
      </c>
      <c r="Q263" t="n">
        <v>0</v>
      </c>
      <c r="R263" s="2" t="inlineStr"/>
    </row>
    <row r="264" ht="15" customHeight="1">
      <c r="A264" t="inlineStr">
        <is>
          <t>A 33876-2024</t>
        </is>
      </c>
      <c r="B264" s="1" t="n">
        <v>45521.87988425926</v>
      </c>
      <c r="C264" s="1" t="n">
        <v>46036</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31264-2021</t>
        </is>
      </c>
      <c r="B265" s="1" t="n">
        <v>44368</v>
      </c>
      <c r="C265" s="1" t="n">
        <v>46036</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61962-2024</t>
        </is>
      </c>
      <c r="B266" s="1" t="n">
        <v>45653.54340277778</v>
      </c>
      <c r="C266" s="1" t="n">
        <v>46036</v>
      </c>
      <c r="D266" t="inlineStr">
        <is>
          <t>GOTLANDS LÄN</t>
        </is>
      </c>
      <c r="E266" t="inlineStr">
        <is>
          <t>GOTLAND</t>
        </is>
      </c>
      <c r="G266" t="n">
        <v>0.7</v>
      </c>
      <c r="H266" t="n">
        <v>0</v>
      </c>
      <c r="I266" t="n">
        <v>0</v>
      </c>
      <c r="J266" t="n">
        <v>0</v>
      </c>
      <c r="K266" t="n">
        <v>0</v>
      </c>
      <c r="L266" t="n">
        <v>0</v>
      </c>
      <c r="M266" t="n">
        <v>0</v>
      </c>
      <c r="N266" t="n">
        <v>0</v>
      </c>
      <c r="O266" t="n">
        <v>0</v>
      </c>
      <c r="P266" t="n">
        <v>0</v>
      </c>
      <c r="Q266" t="n">
        <v>0</v>
      </c>
      <c r="R266" s="2" t="inlineStr"/>
    </row>
    <row r="267" ht="15" customHeight="1">
      <c r="A267" t="inlineStr">
        <is>
          <t>A 43223-2023</t>
        </is>
      </c>
      <c r="B267" s="1" t="n">
        <v>45183.45642361111</v>
      </c>
      <c r="C267" s="1" t="n">
        <v>46036</v>
      </c>
      <c r="D267" t="inlineStr">
        <is>
          <t>GOTLANDS LÄN</t>
        </is>
      </c>
      <c r="E267" t="inlineStr">
        <is>
          <t>GOTLAND</t>
        </is>
      </c>
      <c r="G267" t="n">
        <v>1.8</v>
      </c>
      <c r="H267" t="n">
        <v>0</v>
      </c>
      <c r="I267" t="n">
        <v>0</v>
      </c>
      <c r="J267" t="n">
        <v>0</v>
      </c>
      <c r="K267" t="n">
        <v>0</v>
      </c>
      <c r="L267" t="n">
        <v>0</v>
      </c>
      <c r="M267" t="n">
        <v>0</v>
      </c>
      <c r="N267" t="n">
        <v>0</v>
      </c>
      <c r="O267" t="n">
        <v>0</v>
      </c>
      <c r="P267" t="n">
        <v>0</v>
      </c>
      <c r="Q267" t="n">
        <v>0</v>
      </c>
      <c r="R267" s="2" t="inlineStr"/>
    </row>
    <row r="268" ht="15" customHeight="1">
      <c r="A268" t="inlineStr">
        <is>
          <t>A 4990-2025</t>
        </is>
      </c>
      <c r="B268" s="1" t="n">
        <v>45691</v>
      </c>
      <c r="C268" s="1" t="n">
        <v>46036</v>
      </c>
      <c r="D268" t="inlineStr">
        <is>
          <t>GOTLANDS LÄN</t>
        </is>
      </c>
      <c r="E268" t="inlineStr">
        <is>
          <t>GOTLAND</t>
        </is>
      </c>
      <c r="G268" t="n">
        <v>7.7</v>
      </c>
      <c r="H268" t="n">
        <v>0</v>
      </c>
      <c r="I268" t="n">
        <v>0</v>
      </c>
      <c r="J268" t="n">
        <v>0</v>
      </c>
      <c r="K268" t="n">
        <v>0</v>
      </c>
      <c r="L268" t="n">
        <v>0</v>
      </c>
      <c r="M268" t="n">
        <v>0</v>
      </c>
      <c r="N268" t="n">
        <v>0</v>
      </c>
      <c r="O268" t="n">
        <v>0</v>
      </c>
      <c r="P268" t="n">
        <v>0</v>
      </c>
      <c r="Q268" t="n">
        <v>0</v>
      </c>
      <c r="R268" s="2" t="inlineStr"/>
    </row>
    <row r="269" ht="15" customHeight="1">
      <c r="A269" t="inlineStr">
        <is>
          <t>A 27930-2021</t>
        </is>
      </c>
      <c r="B269" s="1" t="n">
        <v>44354</v>
      </c>
      <c r="C269" s="1" t="n">
        <v>46036</v>
      </c>
      <c r="D269" t="inlineStr">
        <is>
          <t>GOTLANDS LÄN</t>
        </is>
      </c>
      <c r="E269" t="inlineStr">
        <is>
          <t>GOTLAND</t>
        </is>
      </c>
      <c r="G269" t="n">
        <v>2.5</v>
      </c>
      <c r="H269" t="n">
        <v>0</v>
      </c>
      <c r="I269" t="n">
        <v>0</v>
      </c>
      <c r="J269" t="n">
        <v>0</v>
      </c>
      <c r="K269" t="n">
        <v>0</v>
      </c>
      <c r="L269" t="n">
        <v>0</v>
      </c>
      <c r="M269" t="n">
        <v>0</v>
      </c>
      <c r="N269" t="n">
        <v>0</v>
      </c>
      <c r="O269" t="n">
        <v>0</v>
      </c>
      <c r="P269" t="n">
        <v>0</v>
      </c>
      <c r="Q269" t="n">
        <v>0</v>
      </c>
      <c r="R269" s="2" t="inlineStr"/>
    </row>
    <row r="270" ht="15" customHeight="1">
      <c r="A270" t="inlineStr">
        <is>
          <t>A 59469-2024</t>
        </is>
      </c>
      <c r="B270" s="1" t="n">
        <v>45638</v>
      </c>
      <c r="C270" s="1" t="n">
        <v>46036</v>
      </c>
      <c r="D270" t="inlineStr">
        <is>
          <t>GOTLANDS LÄN</t>
        </is>
      </c>
      <c r="E270" t="inlineStr">
        <is>
          <t>GOTLAND</t>
        </is>
      </c>
      <c r="G270" t="n">
        <v>0.4</v>
      </c>
      <c r="H270" t="n">
        <v>0</v>
      </c>
      <c r="I270" t="n">
        <v>0</v>
      </c>
      <c r="J270" t="n">
        <v>0</v>
      </c>
      <c r="K270" t="n">
        <v>0</v>
      </c>
      <c r="L270" t="n">
        <v>0</v>
      </c>
      <c r="M270" t="n">
        <v>0</v>
      </c>
      <c r="N270" t="n">
        <v>0</v>
      </c>
      <c r="O270" t="n">
        <v>0</v>
      </c>
      <c r="P270" t="n">
        <v>0</v>
      </c>
      <c r="Q270" t="n">
        <v>0</v>
      </c>
      <c r="R270" s="2" t="inlineStr"/>
    </row>
    <row r="271" ht="15" customHeight="1">
      <c r="A271" t="inlineStr">
        <is>
          <t>A 5751-2024</t>
        </is>
      </c>
      <c r="B271" s="1" t="n">
        <v>45335.32702546296</v>
      </c>
      <c r="C271" s="1" t="n">
        <v>46036</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6696-2023</t>
        </is>
      </c>
      <c r="B272" s="1" t="n">
        <v>44966.66425925926</v>
      </c>
      <c r="C272" s="1" t="n">
        <v>46036</v>
      </c>
      <c r="D272" t="inlineStr">
        <is>
          <t>GOTLANDS LÄN</t>
        </is>
      </c>
      <c r="E272" t="inlineStr">
        <is>
          <t>GOTLAND</t>
        </is>
      </c>
      <c r="G272" t="n">
        <v>1.5</v>
      </c>
      <c r="H272" t="n">
        <v>0</v>
      </c>
      <c r="I272" t="n">
        <v>0</v>
      </c>
      <c r="J272" t="n">
        <v>0</v>
      </c>
      <c r="K272" t="n">
        <v>0</v>
      </c>
      <c r="L272" t="n">
        <v>0</v>
      </c>
      <c r="M272" t="n">
        <v>0</v>
      </c>
      <c r="N272" t="n">
        <v>0</v>
      </c>
      <c r="O272" t="n">
        <v>0</v>
      </c>
      <c r="P272" t="n">
        <v>0</v>
      </c>
      <c r="Q272" t="n">
        <v>0</v>
      </c>
      <c r="R272" s="2" t="inlineStr"/>
    </row>
    <row r="273" ht="15" customHeight="1">
      <c r="A273" t="inlineStr">
        <is>
          <t>A 28480-2023</t>
        </is>
      </c>
      <c r="B273" s="1" t="n">
        <v>45103</v>
      </c>
      <c r="C273" s="1" t="n">
        <v>46036</v>
      </c>
      <c r="D273" t="inlineStr">
        <is>
          <t>GOTLANDS LÄN</t>
        </is>
      </c>
      <c r="E273" t="inlineStr">
        <is>
          <t>GOTLAND</t>
        </is>
      </c>
      <c r="G273" t="n">
        <v>5.7</v>
      </c>
      <c r="H273" t="n">
        <v>0</v>
      </c>
      <c r="I273" t="n">
        <v>0</v>
      </c>
      <c r="J273" t="n">
        <v>0</v>
      </c>
      <c r="K273" t="n">
        <v>0</v>
      </c>
      <c r="L273" t="n">
        <v>0</v>
      </c>
      <c r="M273" t="n">
        <v>0</v>
      </c>
      <c r="N273" t="n">
        <v>0</v>
      </c>
      <c r="O273" t="n">
        <v>0</v>
      </c>
      <c r="P273" t="n">
        <v>0</v>
      </c>
      <c r="Q273" t="n">
        <v>0</v>
      </c>
      <c r="R273" s="2" t="inlineStr"/>
    </row>
    <row r="274" ht="15" customHeight="1">
      <c r="A274" t="inlineStr">
        <is>
          <t>A 28485-2023</t>
        </is>
      </c>
      <c r="B274" s="1" t="n">
        <v>45103.43731481482</v>
      </c>
      <c r="C274" s="1" t="n">
        <v>46036</v>
      </c>
      <c r="D274" t="inlineStr">
        <is>
          <t>GOTLANDS LÄN</t>
        </is>
      </c>
      <c r="E274" t="inlineStr">
        <is>
          <t>GOTLAND</t>
        </is>
      </c>
      <c r="G274" t="n">
        <v>2.3</v>
      </c>
      <c r="H274" t="n">
        <v>0</v>
      </c>
      <c r="I274" t="n">
        <v>0</v>
      </c>
      <c r="J274" t="n">
        <v>0</v>
      </c>
      <c r="K274" t="n">
        <v>0</v>
      </c>
      <c r="L274" t="n">
        <v>0</v>
      </c>
      <c r="M274" t="n">
        <v>0</v>
      </c>
      <c r="N274" t="n">
        <v>0</v>
      </c>
      <c r="O274" t="n">
        <v>0</v>
      </c>
      <c r="P274" t="n">
        <v>0</v>
      </c>
      <c r="Q274" t="n">
        <v>0</v>
      </c>
      <c r="R274" s="2" t="inlineStr"/>
    </row>
    <row r="275" ht="15" customHeight="1">
      <c r="A275" t="inlineStr">
        <is>
          <t>A 38165-2023</t>
        </is>
      </c>
      <c r="B275" s="1" t="n">
        <v>45161</v>
      </c>
      <c r="C275" s="1" t="n">
        <v>46036</v>
      </c>
      <c r="D275" t="inlineStr">
        <is>
          <t>GOTLANDS LÄN</t>
        </is>
      </c>
      <c r="E275" t="inlineStr">
        <is>
          <t>GOTLAND</t>
        </is>
      </c>
      <c r="G275" t="n">
        <v>2.6</v>
      </c>
      <c r="H275" t="n">
        <v>0</v>
      </c>
      <c r="I275" t="n">
        <v>0</v>
      </c>
      <c r="J275" t="n">
        <v>0</v>
      </c>
      <c r="K275" t="n">
        <v>0</v>
      </c>
      <c r="L275" t="n">
        <v>0</v>
      </c>
      <c r="M275" t="n">
        <v>0</v>
      </c>
      <c r="N275" t="n">
        <v>0</v>
      </c>
      <c r="O275" t="n">
        <v>0</v>
      </c>
      <c r="P275" t="n">
        <v>0</v>
      </c>
      <c r="Q275" t="n">
        <v>0</v>
      </c>
      <c r="R275" s="2" t="inlineStr"/>
    </row>
    <row r="276" ht="15" customHeight="1">
      <c r="A276" t="inlineStr">
        <is>
          <t>A 48503-2023</t>
        </is>
      </c>
      <c r="B276" s="1" t="n">
        <v>45207</v>
      </c>
      <c r="C276" s="1" t="n">
        <v>46036</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49693-2023</t>
        </is>
      </c>
      <c r="B277" s="1" t="n">
        <v>45212.38138888889</v>
      </c>
      <c r="C277" s="1" t="n">
        <v>46036</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49697-2023</t>
        </is>
      </c>
      <c r="B278" s="1" t="n">
        <v>45212.38909722222</v>
      </c>
      <c r="C278" s="1" t="n">
        <v>46036</v>
      </c>
      <c r="D278" t="inlineStr">
        <is>
          <t>GOTLANDS LÄN</t>
        </is>
      </c>
      <c r="E278" t="inlineStr">
        <is>
          <t>GOTLAND</t>
        </is>
      </c>
      <c r="G278" t="n">
        <v>4.4</v>
      </c>
      <c r="H278" t="n">
        <v>0</v>
      </c>
      <c r="I278" t="n">
        <v>0</v>
      </c>
      <c r="J278" t="n">
        <v>0</v>
      </c>
      <c r="K278" t="n">
        <v>0</v>
      </c>
      <c r="L278" t="n">
        <v>0</v>
      </c>
      <c r="M278" t="n">
        <v>0</v>
      </c>
      <c r="N278" t="n">
        <v>0</v>
      </c>
      <c r="O278" t="n">
        <v>0</v>
      </c>
      <c r="P278" t="n">
        <v>0</v>
      </c>
      <c r="Q278" t="n">
        <v>0</v>
      </c>
      <c r="R278" s="2" t="inlineStr"/>
    </row>
    <row r="279" ht="15" customHeight="1">
      <c r="A279" t="inlineStr">
        <is>
          <t>A 34312-2024</t>
        </is>
      </c>
      <c r="B279" s="1" t="n">
        <v>45524.69703703704</v>
      </c>
      <c r="C279" s="1" t="n">
        <v>46036</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24825-2024</t>
        </is>
      </c>
      <c r="B280" s="1" t="n">
        <v>45461</v>
      </c>
      <c r="C280" s="1" t="n">
        <v>46036</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22031-2024</t>
        </is>
      </c>
      <c r="B281" s="1" t="n">
        <v>45443.60075231481</v>
      </c>
      <c r="C281" s="1" t="n">
        <v>46036</v>
      </c>
      <c r="D281" t="inlineStr">
        <is>
          <t>GOTLANDS LÄN</t>
        </is>
      </c>
      <c r="E281" t="inlineStr">
        <is>
          <t>GOTLAND</t>
        </is>
      </c>
      <c r="G281" t="n">
        <v>2.3</v>
      </c>
      <c r="H281" t="n">
        <v>0</v>
      </c>
      <c r="I281" t="n">
        <v>0</v>
      </c>
      <c r="J281" t="n">
        <v>0</v>
      </c>
      <c r="K281" t="n">
        <v>0</v>
      </c>
      <c r="L281" t="n">
        <v>0</v>
      </c>
      <c r="M281" t="n">
        <v>0</v>
      </c>
      <c r="N281" t="n">
        <v>0</v>
      </c>
      <c r="O281" t="n">
        <v>0</v>
      </c>
      <c r="P281" t="n">
        <v>0</v>
      </c>
      <c r="Q281" t="n">
        <v>0</v>
      </c>
      <c r="R281" s="2" t="inlineStr"/>
    </row>
    <row r="282" ht="15" customHeight="1">
      <c r="A282" t="inlineStr">
        <is>
          <t>A 17688-2024</t>
        </is>
      </c>
      <c r="B282" s="1" t="n">
        <v>45418.43575231481</v>
      </c>
      <c r="C282" s="1" t="n">
        <v>46036</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27355-2025</t>
        </is>
      </c>
      <c r="B283" s="1" t="n">
        <v>45812</v>
      </c>
      <c r="C283" s="1" t="n">
        <v>46036</v>
      </c>
      <c r="D283" t="inlineStr">
        <is>
          <t>GOTLANDS LÄN</t>
        </is>
      </c>
      <c r="E283" t="inlineStr">
        <is>
          <t>GOTLAND</t>
        </is>
      </c>
      <c r="G283" t="n">
        <v>1.1</v>
      </c>
      <c r="H283" t="n">
        <v>0</v>
      </c>
      <c r="I283" t="n">
        <v>0</v>
      </c>
      <c r="J283" t="n">
        <v>0</v>
      </c>
      <c r="K283" t="n">
        <v>0</v>
      </c>
      <c r="L283" t="n">
        <v>0</v>
      </c>
      <c r="M283" t="n">
        <v>0</v>
      </c>
      <c r="N283" t="n">
        <v>0</v>
      </c>
      <c r="O283" t="n">
        <v>0</v>
      </c>
      <c r="P283" t="n">
        <v>0</v>
      </c>
      <c r="Q283" t="n">
        <v>0</v>
      </c>
      <c r="R283" s="2" t="inlineStr"/>
    </row>
    <row r="284" ht="15" customHeight="1">
      <c r="A284" t="inlineStr">
        <is>
          <t>A 27371-2025</t>
        </is>
      </c>
      <c r="B284" s="1" t="n">
        <v>45812</v>
      </c>
      <c r="C284" s="1" t="n">
        <v>46036</v>
      </c>
      <c r="D284" t="inlineStr">
        <is>
          <t>GOTLANDS LÄN</t>
        </is>
      </c>
      <c r="E284" t="inlineStr">
        <is>
          <t>GOTLAND</t>
        </is>
      </c>
      <c r="G284" t="n">
        <v>8</v>
      </c>
      <c r="H284" t="n">
        <v>0</v>
      </c>
      <c r="I284" t="n">
        <v>0</v>
      </c>
      <c r="J284" t="n">
        <v>0</v>
      </c>
      <c r="K284" t="n">
        <v>0</v>
      </c>
      <c r="L284" t="n">
        <v>0</v>
      </c>
      <c r="M284" t="n">
        <v>0</v>
      </c>
      <c r="N284" t="n">
        <v>0</v>
      </c>
      <c r="O284" t="n">
        <v>0</v>
      </c>
      <c r="P284" t="n">
        <v>0</v>
      </c>
      <c r="Q284" t="n">
        <v>0</v>
      </c>
      <c r="R284" s="2" t="inlineStr"/>
    </row>
    <row r="285" ht="15" customHeight="1">
      <c r="A285" t="inlineStr">
        <is>
          <t>A 20356-2022</t>
        </is>
      </c>
      <c r="B285" s="1" t="n">
        <v>44699</v>
      </c>
      <c r="C285" s="1" t="n">
        <v>46036</v>
      </c>
      <c r="D285" t="inlineStr">
        <is>
          <t>GOTLANDS LÄN</t>
        </is>
      </c>
      <c r="E285" t="inlineStr">
        <is>
          <t>GOTLAND</t>
        </is>
      </c>
      <c r="F285" t="inlineStr">
        <is>
          <t>Övriga Aktiebolag</t>
        </is>
      </c>
      <c r="G285" t="n">
        <v>4.4</v>
      </c>
      <c r="H285" t="n">
        <v>0</v>
      </c>
      <c r="I285" t="n">
        <v>0</v>
      </c>
      <c r="J285" t="n">
        <v>0</v>
      </c>
      <c r="K285" t="n">
        <v>0</v>
      </c>
      <c r="L285" t="n">
        <v>0</v>
      </c>
      <c r="M285" t="n">
        <v>0</v>
      </c>
      <c r="N285" t="n">
        <v>0</v>
      </c>
      <c r="O285" t="n">
        <v>0</v>
      </c>
      <c r="P285" t="n">
        <v>0</v>
      </c>
      <c r="Q285" t="n">
        <v>0</v>
      </c>
      <c r="R285" s="2" t="inlineStr"/>
    </row>
    <row r="286" ht="15" customHeight="1">
      <c r="A286" t="inlineStr">
        <is>
          <t>A 27694-2024</t>
        </is>
      </c>
      <c r="B286" s="1" t="n">
        <v>45475</v>
      </c>
      <c r="C286" s="1" t="n">
        <v>46036</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39764-2022</t>
        </is>
      </c>
      <c r="B287" s="1" t="n">
        <v>44819</v>
      </c>
      <c r="C287" s="1" t="n">
        <v>46036</v>
      </c>
      <c r="D287" t="inlineStr">
        <is>
          <t>GOTLANDS LÄN</t>
        </is>
      </c>
      <c r="E287" t="inlineStr">
        <is>
          <t>GOTLAND</t>
        </is>
      </c>
      <c r="F287" t="inlineStr">
        <is>
          <t>Kyrkan</t>
        </is>
      </c>
      <c r="G287" t="n">
        <v>3.7</v>
      </c>
      <c r="H287" t="n">
        <v>0</v>
      </c>
      <c r="I287" t="n">
        <v>0</v>
      </c>
      <c r="J287" t="n">
        <v>0</v>
      </c>
      <c r="K287" t="n">
        <v>0</v>
      </c>
      <c r="L287" t="n">
        <v>0</v>
      </c>
      <c r="M287" t="n">
        <v>0</v>
      </c>
      <c r="N287" t="n">
        <v>0</v>
      </c>
      <c r="O287" t="n">
        <v>0</v>
      </c>
      <c r="P287" t="n">
        <v>0</v>
      </c>
      <c r="Q287" t="n">
        <v>0</v>
      </c>
      <c r="R287" s="2" t="inlineStr"/>
    </row>
    <row r="288" ht="15" customHeight="1">
      <c r="A288" t="inlineStr">
        <is>
          <t>A 7850-2025</t>
        </is>
      </c>
      <c r="B288" s="1" t="n">
        <v>45706</v>
      </c>
      <c r="C288" s="1" t="n">
        <v>46036</v>
      </c>
      <c r="D288" t="inlineStr">
        <is>
          <t>GOTLANDS LÄN</t>
        </is>
      </c>
      <c r="E288" t="inlineStr">
        <is>
          <t>GOTLAND</t>
        </is>
      </c>
      <c r="G288" t="n">
        <v>0.5</v>
      </c>
      <c r="H288" t="n">
        <v>0</v>
      </c>
      <c r="I288" t="n">
        <v>0</v>
      </c>
      <c r="J288" t="n">
        <v>0</v>
      </c>
      <c r="K288" t="n">
        <v>0</v>
      </c>
      <c r="L288" t="n">
        <v>0</v>
      </c>
      <c r="M288" t="n">
        <v>0</v>
      </c>
      <c r="N288" t="n">
        <v>0</v>
      </c>
      <c r="O288" t="n">
        <v>0</v>
      </c>
      <c r="P288" t="n">
        <v>0</v>
      </c>
      <c r="Q288" t="n">
        <v>0</v>
      </c>
      <c r="R288" s="2" t="inlineStr"/>
    </row>
    <row r="289" ht="15" customHeight="1">
      <c r="A289" t="inlineStr">
        <is>
          <t>A 6099-2024</t>
        </is>
      </c>
      <c r="B289" s="1" t="n">
        <v>45337</v>
      </c>
      <c r="C289" s="1" t="n">
        <v>46036</v>
      </c>
      <c r="D289" t="inlineStr">
        <is>
          <t>GOTLANDS LÄN</t>
        </is>
      </c>
      <c r="E289" t="inlineStr">
        <is>
          <t>GOTLAND</t>
        </is>
      </c>
      <c r="G289" t="n">
        <v>12.6</v>
      </c>
      <c r="H289" t="n">
        <v>0</v>
      </c>
      <c r="I289" t="n">
        <v>0</v>
      </c>
      <c r="J289" t="n">
        <v>0</v>
      </c>
      <c r="K289" t="n">
        <v>0</v>
      </c>
      <c r="L289" t="n">
        <v>0</v>
      </c>
      <c r="M289" t="n">
        <v>0</v>
      </c>
      <c r="N289" t="n">
        <v>0</v>
      </c>
      <c r="O289" t="n">
        <v>0</v>
      </c>
      <c r="P289" t="n">
        <v>0</v>
      </c>
      <c r="Q289" t="n">
        <v>0</v>
      </c>
      <c r="R289" s="2" t="inlineStr"/>
    </row>
    <row r="290" ht="15" customHeight="1">
      <c r="A290" t="inlineStr">
        <is>
          <t>A 6739-2025</t>
        </is>
      </c>
      <c r="B290" s="1" t="n">
        <v>45700</v>
      </c>
      <c r="C290" s="1" t="n">
        <v>46036</v>
      </c>
      <c r="D290" t="inlineStr">
        <is>
          <t>GOTLANDS LÄN</t>
        </is>
      </c>
      <c r="E290" t="inlineStr">
        <is>
          <t>GOTLAND</t>
        </is>
      </c>
      <c r="G290" t="n">
        <v>4.5</v>
      </c>
      <c r="H290" t="n">
        <v>0</v>
      </c>
      <c r="I290" t="n">
        <v>0</v>
      </c>
      <c r="J290" t="n">
        <v>0</v>
      </c>
      <c r="K290" t="n">
        <v>0</v>
      </c>
      <c r="L290" t="n">
        <v>0</v>
      </c>
      <c r="M290" t="n">
        <v>0</v>
      </c>
      <c r="N290" t="n">
        <v>0</v>
      </c>
      <c r="O290" t="n">
        <v>0</v>
      </c>
      <c r="P290" t="n">
        <v>0</v>
      </c>
      <c r="Q290" t="n">
        <v>0</v>
      </c>
      <c r="R290" s="2" t="inlineStr"/>
    </row>
    <row r="291" ht="15" customHeight="1">
      <c r="A291" t="inlineStr">
        <is>
          <t>A 8260-2023</t>
        </is>
      </c>
      <c r="B291" s="1" t="n">
        <v>44974.61608796296</v>
      </c>
      <c r="C291" s="1" t="n">
        <v>46036</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2292-2021</t>
        </is>
      </c>
      <c r="B292" s="1" t="n">
        <v>44212</v>
      </c>
      <c r="C292" s="1" t="n">
        <v>46036</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35142-2025</t>
        </is>
      </c>
      <c r="B293" s="1" t="n">
        <v>45852.65532407408</v>
      </c>
      <c r="C293" s="1" t="n">
        <v>46036</v>
      </c>
      <c r="D293" t="inlineStr">
        <is>
          <t>GOTLANDS LÄN</t>
        </is>
      </c>
      <c r="E293" t="inlineStr">
        <is>
          <t>GOTLAND</t>
        </is>
      </c>
      <c r="G293" t="n">
        <v>2.4</v>
      </c>
      <c r="H293" t="n">
        <v>0</v>
      </c>
      <c r="I293" t="n">
        <v>0</v>
      </c>
      <c r="J293" t="n">
        <v>0</v>
      </c>
      <c r="K293" t="n">
        <v>0</v>
      </c>
      <c r="L293" t="n">
        <v>0</v>
      </c>
      <c r="M293" t="n">
        <v>0</v>
      </c>
      <c r="N293" t="n">
        <v>0</v>
      </c>
      <c r="O293" t="n">
        <v>0</v>
      </c>
      <c r="P293" t="n">
        <v>0</v>
      </c>
      <c r="Q293" t="n">
        <v>0</v>
      </c>
      <c r="R293" s="2" t="inlineStr"/>
    </row>
    <row r="294" ht="15" customHeight="1">
      <c r="A294" t="inlineStr">
        <is>
          <t>A 35141-2025</t>
        </is>
      </c>
      <c r="B294" s="1" t="n">
        <v>45852.65206018519</v>
      </c>
      <c r="C294" s="1" t="n">
        <v>46036</v>
      </c>
      <c r="D294" t="inlineStr">
        <is>
          <t>GOTLANDS LÄN</t>
        </is>
      </c>
      <c r="E294" t="inlineStr">
        <is>
          <t>GOTLAND</t>
        </is>
      </c>
      <c r="G294" t="n">
        <v>1</v>
      </c>
      <c r="H294" t="n">
        <v>0</v>
      </c>
      <c r="I294" t="n">
        <v>0</v>
      </c>
      <c r="J294" t="n">
        <v>0</v>
      </c>
      <c r="K294" t="n">
        <v>0</v>
      </c>
      <c r="L294" t="n">
        <v>0</v>
      </c>
      <c r="M294" t="n">
        <v>0</v>
      </c>
      <c r="N294" t="n">
        <v>0</v>
      </c>
      <c r="O294" t="n">
        <v>0</v>
      </c>
      <c r="P294" t="n">
        <v>0</v>
      </c>
      <c r="Q294" t="n">
        <v>0</v>
      </c>
      <c r="R294" s="2" t="inlineStr"/>
    </row>
    <row r="295" ht="15" customHeight="1">
      <c r="A295" t="inlineStr">
        <is>
          <t>A 8444-2025</t>
        </is>
      </c>
      <c r="B295" s="1" t="n">
        <v>45709</v>
      </c>
      <c r="C295" s="1" t="n">
        <v>46036</v>
      </c>
      <c r="D295" t="inlineStr">
        <is>
          <t>GOTLANDS LÄN</t>
        </is>
      </c>
      <c r="E295" t="inlineStr">
        <is>
          <t>GOTLAND</t>
        </is>
      </c>
      <c r="G295" t="n">
        <v>5.2</v>
      </c>
      <c r="H295" t="n">
        <v>0</v>
      </c>
      <c r="I295" t="n">
        <v>0</v>
      </c>
      <c r="J295" t="n">
        <v>0</v>
      </c>
      <c r="K295" t="n">
        <v>0</v>
      </c>
      <c r="L295" t="n">
        <v>0</v>
      </c>
      <c r="M295" t="n">
        <v>0</v>
      </c>
      <c r="N295" t="n">
        <v>0</v>
      </c>
      <c r="O295" t="n">
        <v>0</v>
      </c>
      <c r="P295" t="n">
        <v>0</v>
      </c>
      <c r="Q295" t="n">
        <v>0</v>
      </c>
      <c r="R295" s="2" t="inlineStr"/>
    </row>
    <row r="296" ht="15" customHeight="1">
      <c r="A296" t="inlineStr">
        <is>
          <t>A 19905-2025</t>
        </is>
      </c>
      <c r="B296" s="1" t="n">
        <v>45771</v>
      </c>
      <c r="C296" s="1" t="n">
        <v>46036</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22287-2022</t>
        </is>
      </c>
      <c r="B297" s="1" t="n">
        <v>44712</v>
      </c>
      <c r="C297" s="1" t="n">
        <v>46036</v>
      </c>
      <c r="D297" t="inlineStr">
        <is>
          <t>GOTLANDS LÄN</t>
        </is>
      </c>
      <c r="E297" t="inlineStr">
        <is>
          <t>GOTLAND</t>
        </is>
      </c>
      <c r="G297" t="n">
        <v>6.1</v>
      </c>
      <c r="H297" t="n">
        <v>0</v>
      </c>
      <c r="I297" t="n">
        <v>0</v>
      </c>
      <c r="J297" t="n">
        <v>0</v>
      </c>
      <c r="K297" t="n">
        <v>0</v>
      </c>
      <c r="L297" t="n">
        <v>0</v>
      </c>
      <c r="M297" t="n">
        <v>0</v>
      </c>
      <c r="N297" t="n">
        <v>0</v>
      </c>
      <c r="O297" t="n">
        <v>0</v>
      </c>
      <c r="P297" t="n">
        <v>0</v>
      </c>
      <c r="Q297" t="n">
        <v>0</v>
      </c>
      <c r="R297" s="2" t="inlineStr"/>
    </row>
    <row r="298" ht="15" customHeight="1">
      <c r="A298" t="inlineStr">
        <is>
          <t>A 57534-2022</t>
        </is>
      </c>
      <c r="B298" s="1" t="n">
        <v>44896</v>
      </c>
      <c r="C298" s="1" t="n">
        <v>46036</v>
      </c>
      <c r="D298" t="inlineStr">
        <is>
          <t>GOTLANDS LÄN</t>
        </is>
      </c>
      <c r="E298" t="inlineStr">
        <is>
          <t>GOTLAND</t>
        </is>
      </c>
      <c r="G298" t="n">
        <v>0.6</v>
      </c>
      <c r="H298" t="n">
        <v>0</v>
      </c>
      <c r="I298" t="n">
        <v>0</v>
      </c>
      <c r="J298" t="n">
        <v>0</v>
      </c>
      <c r="K298" t="n">
        <v>0</v>
      </c>
      <c r="L298" t="n">
        <v>0</v>
      </c>
      <c r="M298" t="n">
        <v>0</v>
      </c>
      <c r="N298" t="n">
        <v>0</v>
      </c>
      <c r="O298" t="n">
        <v>0</v>
      </c>
      <c r="P298" t="n">
        <v>0</v>
      </c>
      <c r="Q298" t="n">
        <v>0</v>
      </c>
      <c r="R298" s="2" t="inlineStr"/>
    </row>
    <row r="299" ht="15" customHeight="1">
      <c r="A299" t="inlineStr">
        <is>
          <t>A 29207-2025</t>
        </is>
      </c>
      <c r="B299" s="1" t="n">
        <v>45823</v>
      </c>
      <c r="C299" s="1" t="n">
        <v>46036</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29196-2025</t>
        </is>
      </c>
      <c r="B300" s="1" t="n">
        <v>45822</v>
      </c>
      <c r="C300" s="1" t="n">
        <v>46036</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39849-2025</t>
        </is>
      </c>
      <c r="B301" s="1" t="n">
        <v>45891.58502314815</v>
      </c>
      <c r="C301" s="1" t="n">
        <v>46036</v>
      </c>
      <c r="D301" t="inlineStr">
        <is>
          <t>GOTLANDS LÄN</t>
        </is>
      </c>
      <c r="E301" t="inlineStr">
        <is>
          <t>GOTLAND</t>
        </is>
      </c>
      <c r="G301" t="n">
        <v>6.1</v>
      </c>
      <c r="H301" t="n">
        <v>0</v>
      </c>
      <c r="I301" t="n">
        <v>0</v>
      </c>
      <c r="J301" t="n">
        <v>0</v>
      </c>
      <c r="K301" t="n">
        <v>0</v>
      </c>
      <c r="L301" t="n">
        <v>0</v>
      </c>
      <c r="M301" t="n">
        <v>0</v>
      </c>
      <c r="N301" t="n">
        <v>0</v>
      </c>
      <c r="O301" t="n">
        <v>0</v>
      </c>
      <c r="P301" t="n">
        <v>0</v>
      </c>
      <c r="Q301" t="n">
        <v>0</v>
      </c>
      <c r="R301" s="2" t="inlineStr"/>
    </row>
    <row r="302" ht="15" customHeight="1">
      <c r="A302" t="inlineStr">
        <is>
          <t>A 64660-2023</t>
        </is>
      </c>
      <c r="B302" s="1" t="n">
        <v>45281.60122685185</v>
      </c>
      <c r="C302" s="1" t="n">
        <v>46036</v>
      </c>
      <c r="D302" t="inlineStr">
        <is>
          <t>GOTLANDS LÄN</t>
        </is>
      </c>
      <c r="E302" t="inlineStr">
        <is>
          <t>GOTLAND</t>
        </is>
      </c>
      <c r="G302" t="n">
        <v>6.3</v>
      </c>
      <c r="H302" t="n">
        <v>0</v>
      </c>
      <c r="I302" t="n">
        <v>0</v>
      </c>
      <c r="J302" t="n">
        <v>0</v>
      </c>
      <c r="K302" t="n">
        <v>0</v>
      </c>
      <c r="L302" t="n">
        <v>0</v>
      </c>
      <c r="M302" t="n">
        <v>0</v>
      </c>
      <c r="N302" t="n">
        <v>0</v>
      </c>
      <c r="O302" t="n">
        <v>0</v>
      </c>
      <c r="P302" t="n">
        <v>0</v>
      </c>
      <c r="Q302" t="n">
        <v>0</v>
      </c>
      <c r="R302" s="2" t="inlineStr"/>
    </row>
    <row r="303" ht="15" customHeight="1">
      <c r="A303" t="inlineStr">
        <is>
          <t>A 39814-2025</t>
        </is>
      </c>
      <c r="B303" s="1" t="n">
        <v>45891.52694444444</v>
      </c>
      <c r="C303" s="1" t="n">
        <v>46036</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39819-2025</t>
        </is>
      </c>
      <c r="B304" s="1" t="n">
        <v>45891.53418981482</v>
      </c>
      <c r="C304" s="1" t="n">
        <v>46036</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30061-2025</t>
        </is>
      </c>
      <c r="B305" s="1" t="n">
        <v>45826.61488425926</v>
      </c>
      <c r="C305" s="1" t="n">
        <v>46036</v>
      </c>
      <c r="D305" t="inlineStr">
        <is>
          <t>GOTLANDS LÄN</t>
        </is>
      </c>
      <c r="E305" t="inlineStr">
        <is>
          <t>GOTLAND</t>
        </is>
      </c>
      <c r="G305" t="n">
        <v>4.1</v>
      </c>
      <c r="H305" t="n">
        <v>0</v>
      </c>
      <c r="I305" t="n">
        <v>0</v>
      </c>
      <c r="J305" t="n">
        <v>0</v>
      </c>
      <c r="K305" t="n">
        <v>0</v>
      </c>
      <c r="L305" t="n">
        <v>0</v>
      </c>
      <c r="M305" t="n">
        <v>0</v>
      </c>
      <c r="N305" t="n">
        <v>0</v>
      </c>
      <c r="O305" t="n">
        <v>0</v>
      </c>
      <c r="P305" t="n">
        <v>0</v>
      </c>
      <c r="Q305" t="n">
        <v>0</v>
      </c>
      <c r="R305" s="2" t="inlineStr"/>
    </row>
    <row r="306" ht="15" customHeight="1">
      <c r="A306" t="inlineStr">
        <is>
          <t>A 39752-2025</t>
        </is>
      </c>
      <c r="B306" s="1" t="n">
        <v>45891</v>
      </c>
      <c r="C306" s="1" t="n">
        <v>46036</v>
      </c>
      <c r="D306" t="inlineStr">
        <is>
          <t>GOTLANDS LÄN</t>
        </is>
      </c>
      <c r="E306" t="inlineStr">
        <is>
          <t>GOTLAND</t>
        </is>
      </c>
      <c r="G306" t="n">
        <v>5.3</v>
      </c>
      <c r="H306" t="n">
        <v>0</v>
      </c>
      <c r="I306" t="n">
        <v>0</v>
      </c>
      <c r="J306" t="n">
        <v>0</v>
      </c>
      <c r="K306" t="n">
        <v>0</v>
      </c>
      <c r="L306" t="n">
        <v>0</v>
      </c>
      <c r="M306" t="n">
        <v>0</v>
      </c>
      <c r="N306" t="n">
        <v>0</v>
      </c>
      <c r="O306" t="n">
        <v>0</v>
      </c>
      <c r="P306" t="n">
        <v>0</v>
      </c>
      <c r="Q306" t="n">
        <v>0</v>
      </c>
      <c r="R306" s="2" t="inlineStr"/>
    </row>
    <row r="307" ht="15" customHeight="1">
      <c r="A307" t="inlineStr">
        <is>
          <t>A 39816-2025</t>
        </is>
      </c>
      <c r="B307" s="1" t="n">
        <v>45891</v>
      </c>
      <c r="C307" s="1" t="n">
        <v>46036</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40372-2025</t>
        </is>
      </c>
      <c r="B308" s="1" t="n">
        <v>45895.5162037037</v>
      </c>
      <c r="C308" s="1" t="n">
        <v>46036</v>
      </c>
      <c r="D308" t="inlineStr">
        <is>
          <t>GOTLANDS LÄN</t>
        </is>
      </c>
      <c r="E308" t="inlineStr">
        <is>
          <t>GOTLAND</t>
        </is>
      </c>
      <c r="G308" t="n">
        <v>3.3</v>
      </c>
      <c r="H308" t="n">
        <v>0</v>
      </c>
      <c r="I308" t="n">
        <v>0</v>
      </c>
      <c r="J308" t="n">
        <v>0</v>
      </c>
      <c r="K308" t="n">
        <v>0</v>
      </c>
      <c r="L308" t="n">
        <v>0</v>
      </c>
      <c r="M308" t="n">
        <v>0</v>
      </c>
      <c r="N308" t="n">
        <v>0</v>
      </c>
      <c r="O308" t="n">
        <v>0</v>
      </c>
      <c r="P308" t="n">
        <v>0</v>
      </c>
      <c r="Q308" t="n">
        <v>0</v>
      </c>
      <c r="R308" s="2" t="inlineStr"/>
    </row>
    <row r="309" ht="15" customHeight="1">
      <c r="A309" t="inlineStr">
        <is>
          <t>A 40373-2025</t>
        </is>
      </c>
      <c r="B309" s="1" t="n">
        <v>45895.51821759259</v>
      </c>
      <c r="C309" s="1" t="n">
        <v>46036</v>
      </c>
      <c r="D309" t="inlineStr">
        <is>
          <t>GOTLANDS LÄN</t>
        </is>
      </c>
      <c r="E309" t="inlineStr">
        <is>
          <t>GOTLAND</t>
        </is>
      </c>
      <c r="G309" t="n">
        <v>0.6</v>
      </c>
      <c r="H309" t="n">
        <v>0</v>
      </c>
      <c r="I309" t="n">
        <v>0</v>
      </c>
      <c r="J309" t="n">
        <v>0</v>
      </c>
      <c r="K309" t="n">
        <v>0</v>
      </c>
      <c r="L309" t="n">
        <v>0</v>
      </c>
      <c r="M309" t="n">
        <v>0</v>
      </c>
      <c r="N309" t="n">
        <v>0</v>
      </c>
      <c r="O309" t="n">
        <v>0</v>
      </c>
      <c r="P309" t="n">
        <v>0</v>
      </c>
      <c r="Q309" t="n">
        <v>0</v>
      </c>
      <c r="R309" s="2" t="inlineStr"/>
    </row>
    <row r="310" ht="15" customHeight="1">
      <c r="A310" t="inlineStr">
        <is>
          <t>A 58160-2024</t>
        </is>
      </c>
      <c r="B310" s="1" t="n">
        <v>45632.44927083333</v>
      </c>
      <c r="C310" s="1" t="n">
        <v>46036</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40103-2025</t>
        </is>
      </c>
      <c r="B311" s="1" t="n">
        <v>45894.4880324074</v>
      </c>
      <c r="C311" s="1" t="n">
        <v>46036</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40499-2025</t>
        </is>
      </c>
      <c r="B312" s="1" t="n">
        <v>45896.32517361111</v>
      </c>
      <c r="C312" s="1" t="n">
        <v>46036</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20855-2023</t>
        </is>
      </c>
      <c r="B313" s="1" t="n">
        <v>45058.82172453704</v>
      </c>
      <c r="C313" s="1" t="n">
        <v>46036</v>
      </c>
      <c r="D313" t="inlineStr">
        <is>
          <t>GOTLANDS LÄN</t>
        </is>
      </c>
      <c r="E313" t="inlineStr">
        <is>
          <t>GOTLAND</t>
        </is>
      </c>
      <c r="G313" t="n">
        <v>1.7</v>
      </c>
      <c r="H313" t="n">
        <v>0</v>
      </c>
      <c r="I313" t="n">
        <v>0</v>
      </c>
      <c r="J313" t="n">
        <v>0</v>
      </c>
      <c r="K313" t="n">
        <v>0</v>
      </c>
      <c r="L313" t="n">
        <v>0</v>
      </c>
      <c r="M313" t="n">
        <v>0</v>
      </c>
      <c r="N313" t="n">
        <v>0</v>
      </c>
      <c r="O313" t="n">
        <v>0</v>
      </c>
      <c r="P313" t="n">
        <v>0</v>
      </c>
      <c r="Q313" t="n">
        <v>0</v>
      </c>
      <c r="R313" s="2" t="inlineStr"/>
    </row>
    <row r="314" ht="15" customHeight="1">
      <c r="A314" t="inlineStr">
        <is>
          <t>A 41551-2025</t>
        </is>
      </c>
      <c r="B314" s="1" t="n">
        <v>45901.58854166666</v>
      </c>
      <c r="C314" s="1" t="n">
        <v>46036</v>
      </c>
      <c r="D314" t="inlineStr">
        <is>
          <t>GOTLANDS LÄN</t>
        </is>
      </c>
      <c r="E314" t="inlineStr">
        <is>
          <t>GOTLAND</t>
        </is>
      </c>
      <c r="G314" t="n">
        <v>5.6</v>
      </c>
      <c r="H314" t="n">
        <v>0</v>
      </c>
      <c r="I314" t="n">
        <v>0</v>
      </c>
      <c r="J314" t="n">
        <v>0</v>
      </c>
      <c r="K314" t="n">
        <v>0</v>
      </c>
      <c r="L314" t="n">
        <v>0</v>
      </c>
      <c r="M314" t="n">
        <v>0</v>
      </c>
      <c r="N314" t="n">
        <v>0</v>
      </c>
      <c r="O314" t="n">
        <v>0</v>
      </c>
      <c r="P314" t="n">
        <v>0</v>
      </c>
      <c r="Q314" t="n">
        <v>0</v>
      </c>
      <c r="R314" s="2" t="inlineStr"/>
    </row>
    <row r="315" ht="15" customHeight="1">
      <c r="A315" t="inlineStr">
        <is>
          <t>A 60709-2023</t>
        </is>
      </c>
      <c r="B315" s="1" t="n">
        <v>45260</v>
      </c>
      <c r="C315" s="1" t="n">
        <v>46036</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1000-2024</t>
        </is>
      </c>
      <c r="B316" s="1" t="n">
        <v>45301.63371527778</v>
      </c>
      <c r="C316" s="1" t="n">
        <v>46036</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1010-2024</t>
        </is>
      </c>
      <c r="B317" s="1" t="n">
        <v>45301</v>
      </c>
      <c r="C317" s="1" t="n">
        <v>46036</v>
      </c>
      <c r="D317" t="inlineStr">
        <is>
          <t>GOTLANDS LÄN</t>
        </is>
      </c>
      <c r="E317" t="inlineStr">
        <is>
          <t>GOTLAND</t>
        </is>
      </c>
      <c r="G317" t="n">
        <v>2.4</v>
      </c>
      <c r="H317" t="n">
        <v>0</v>
      </c>
      <c r="I317" t="n">
        <v>0</v>
      </c>
      <c r="J317" t="n">
        <v>0</v>
      </c>
      <c r="K317" t="n">
        <v>0</v>
      </c>
      <c r="L317" t="n">
        <v>0</v>
      </c>
      <c r="M317" t="n">
        <v>0</v>
      </c>
      <c r="N317" t="n">
        <v>0</v>
      </c>
      <c r="O317" t="n">
        <v>0</v>
      </c>
      <c r="P317" t="n">
        <v>0</v>
      </c>
      <c r="Q317" t="n">
        <v>0</v>
      </c>
      <c r="R317" s="2" t="inlineStr"/>
    </row>
    <row r="318" ht="15" customHeight="1">
      <c r="A318" t="inlineStr">
        <is>
          <t>A 65249-2023</t>
        </is>
      </c>
      <c r="B318" s="1" t="n">
        <v>45290</v>
      </c>
      <c r="C318" s="1" t="n">
        <v>46036</v>
      </c>
      <c r="D318" t="inlineStr">
        <is>
          <t>GOTLANDS LÄN</t>
        </is>
      </c>
      <c r="E318" t="inlineStr">
        <is>
          <t>GOTLAND</t>
        </is>
      </c>
      <c r="G318" t="n">
        <v>2.4</v>
      </c>
      <c r="H318" t="n">
        <v>0</v>
      </c>
      <c r="I318" t="n">
        <v>0</v>
      </c>
      <c r="J318" t="n">
        <v>0</v>
      </c>
      <c r="K318" t="n">
        <v>0</v>
      </c>
      <c r="L318" t="n">
        <v>0</v>
      </c>
      <c r="M318" t="n">
        <v>0</v>
      </c>
      <c r="N318" t="n">
        <v>0</v>
      </c>
      <c r="O318" t="n">
        <v>0</v>
      </c>
      <c r="P318" t="n">
        <v>0</v>
      </c>
      <c r="Q318" t="n">
        <v>0</v>
      </c>
      <c r="R318" s="2" t="inlineStr"/>
    </row>
    <row r="319" ht="15" customHeight="1">
      <c r="A319" t="inlineStr">
        <is>
          <t>A 39278-2025</t>
        </is>
      </c>
      <c r="B319" s="1" t="n">
        <v>45889</v>
      </c>
      <c r="C319" s="1" t="n">
        <v>46036</v>
      </c>
      <c r="D319" t="inlineStr">
        <is>
          <t>GOTLANDS LÄN</t>
        </is>
      </c>
      <c r="E319" t="inlineStr">
        <is>
          <t>GOTLAND</t>
        </is>
      </c>
      <c r="G319" t="n">
        <v>3.7</v>
      </c>
      <c r="H319" t="n">
        <v>0</v>
      </c>
      <c r="I319" t="n">
        <v>0</v>
      </c>
      <c r="J319" t="n">
        <v>0</v>
      </c>
      <c r="K319" t="n">
        <v>0</v>
      </c>
      <c r="L319" t="n">
        <v>0</v>
      </c>
      <c r="M319" t="n">
        <v>0</v>
      </c>
      <c r="N319" t="n">
        <v>0</v>
      </c>
      <c r="O319" t="n">
        <v>0</v>
      </c>
      <c r="P319" t="n">
        <v>0</v>
      </c>
      <c r="Q319" t="n">
        <v>0</v>
      </c>
      <c r="R319" s="2" t="inlineStr"/>
    </row>
    <row r="320" ht="15" customHeight="1">
      <c r="A320" t="inlineStr">
        <is>
          <t>A 30956-2024</t>
        </is>
      </c>
      <c r="B320" s="1" t="n">
        <v>45499.42527777778</v>
      </c>
      <c r="C320" s="1" t="n">
        <v>46036</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16109-2025</t>
        </is>
      </c>
      <c r="B321" s="1" t="n">
        <v>45750</v>
      </c>
      <c r="C321" s="1" t="n">
        <v>46036</v>
      </c>
      <c r="D321" t="inlineStr">
        <is>
          <t>GOTLANDS LÄN</t>
        </is>
      </c>
      <c r="E321" t="inlineStr">
        <is>
          <t>GOTLAND</t>
        </is>
      </c>
      <c r="G321" t="n">
        <v>4.9</v>
      </c>
      <c r="H321" t="n">
        <v>0</v>
      </c>
      <c r="I321" t="n">
        <v>0</v>
      </c>
      <c r="J321" t="n">
        <v>0</v>
      </c>
      <c r="K321" t="n">
        <v>0</v>
      </c>
      <c r="L321" t="n">
        <v>0</v>
      </c>
      <c r="M321" t="n">
        <v>0</v>
      </c>
      <c r="N321" t="n">
        <v>0</v>
      </c>
      <c r="O321" t="n">
        <v>0</v>
      </c>
      <c r="P321" t="n">
        <v>0</v>
      </c>
      <c r="Q321" t="n">
        <v>0</v>
      </c>
      <c r="R321" s="2" t="inlineStr"/>
    </row>
    <row r="322" ht="15" customHeight="1">
      <c r="A322" t="inlineStr">
        <is>
          <t>A 32467-2025</t>
        </is>
      </c>
      <c r="B322" s="1" t="n">
        <v>45838.42111111111</v>
      </c>
      <c r="C322" s="1" t="n">
        <v>46036</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41435-2025</t>
        </is>
      </c>
      <c r="B323" s="1" t="n">
        <v>45901.39974537037</v>
      </c>
      <c r="C323" s="1" t="n">
        <v>46036</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12596-2023</t>
        </is>
      </c>
      <c r="B324" s="1" t="n">
        <v>45000.43310185185</v>
      </c>
      <c r="C324" s="1" t="n">
        <v>46036</v>
      </c>
      <c r="D324" t="inlineStr">
        <is>
          <t>GOTLANDS LÄN</t>
        </is>
      </c>
      <c r="E324" t="inlineStr">
        <is>
          <t>GOTLAND</t>
        </is>
      </c>
      <c r="G324" t="n">
        <v>4.1</v>
      </c>
      <c r="H324" t="n">
        <v>0</v>
      </c>
      <c r="I324" t="n">
        <v>0</v>
      </c>
      <c r="J324" t="n">
        <v>0</v>
      </c>
      <c r="K324" t="n">
        <v>0</v>
      </c>
      <c r="L324" t="n">
        <v>0</v>
      </c>
      <c r="M324" t="n">
        <v>0</v>
      </c>
      <c r="N324" t="n">
        <v>0</v>
      </c>
      <c r="O324" t="n">
        <v>0</v>
      </c>
      <c r="P324" t="n">
        <v>0</v>
      </c>
      <c r="Q324" t="n">
        <v>0</v>
      </c>
      <c r="R324" s="2" t="inlineStr"/>
    </row>
    <row r="325" ht="15" customHeight="1">
      <c r="A325" t="inlineStr">
        <is>
          <t>A 8045-2022</t>
        </is>
      </c>
      <c r="B325" s="1" t="n">
        <v>44609</v>
      </c>
      <c r="C325" s="1" t="n">
        <v>46036</v>
      </c>
      <c r="D325" t="inlineStr">
        <is>
          <t>GOTLANDS LÄN</t>
        </is>
      </c>
      <c r="E325" t="inlineStr">
        <is>
          <t>GOTLAND</t>
        </is>
      </c>
      <c r="G325" t="n">
        <v>7</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46036</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42608-2025</t>
        </is>
      </c>
      <c r="B327" s="1" t="n">
        <v>45905</v>
      </c>
      <c r="C327" s="1" t="n">
        <v>46036</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33007-2025</t>
        </is>
      </c>
      <c r="B328" s="1" t="n">
        <v>45840</v>
      </c>
      <c r="C328" s="1" t="n">
        <v>46036</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999-2024</t>
        </is>
      </c>
      <c r="B329" s="1" t="n">
        <v>45301</v>
      </c>
      <c r="C329" s="1" t="n">
        <v>46036</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65901-2021</t>
        </is>
      </c>
      <c r="B330" s="1" t="n">
        <v>44516</v>
      </c>
      <c r="C330" s="1" t="n">
        <v>46036</v>
      </c>
      <c r="D330" t="inlineStr">
        <is>
          <t>GOTLANDS LÄN</t>
        </is>
      </c>
      <c r="E330" t="inlineStr">
        <is>
          <t>GOTLAND</t>
        </is>
      </c>
      <c r="G330" t="n">
        <v>4.9</v>
      </c>
      <c r="H330" t="n">
        <v>0</v>
      </c>
      <c r="I330" t="n">
        <v>0</v>
      </c>
      <c r="J330" t="n">
        <v>0</v>
      </c>
      <c r="K330" t="n">
        <v>0</v>
      </c>
      <c r="L330" t="n">
        <v>0</v>
      </c>
      <c r="M330" t="n">
        <v>0</v>
      </c>
      <c r="N330" t="n">
        <v>0</v>
      </c>
      <c r="O330" t="n">
        <v>0</v>
      </c>
      <c r="P330" t="n">
        <v>0</v>
      </c>
      <c r="Q330" t="n">
        <v>0</v>
      </c>
      <c r="R330" s="2" t="inlineStr"/>
    </row>
    <row r="331" ht="15" customHeight="1">
      <c r="A331" t="inlineStr">
        <is>
          <t>A 47762-2023</t>
        </is>
      </c>
      <c r="B331" s="1" t="n">
        <v>45203.86256944444</v>
      </c>
      <c r="C331" s="1" t="n">
        <v>46036</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16373-2025</t>
        </is>
      </c>
      <c r="B332" s="1" t="n">
        <v>45751</v>
      </c>
      <c r="C332" s="1" t="n">
        <v>46036</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40294-2022</t>
        </is>
      </c>
      <c r="B333" s="1" t="n">
        <v>44821</v>
      </c>
      <c r="C333" s="1" t="n">
        <v>46036</v>
      </c>
      <c r="D333" t="inlineStr">
        <is>
          <t>GOTLANDS LÄN</t>
        </is>
      </c>
      <c r="E333" t="inlineStr">
        <is>
          <t>GOTLAND</t>
        </is>
      </c>
      <c r="G333" t="n">
        <v>1.6</v>
      </c>
      <c r="H333" t="n">
        <v>0</v>
      </c>
      <c r="I333" t="n">
        <v>0</v>
      </c>
      <c r="J333" t="n">
        <v>0</v>
      </c>
      <c r="K333" t="n">
        <v>0</v>
      </c>
      <c r="L333" t="n">
        <v>0</v>
      </c>
      <c r="M333" t="n">
        <v>0</v>
      </c>
      <c r="N333" t="n">
        <v>0</v>
      </c>
      <c r="O333" t="n">
        <v>0</v>
      </c>
      <c r="P333" t="n">
        <v>0</v>
      </c>
      <c r="Q333" t="n">
        <v>0</v>
      </c>
      <c r="R333" s="2" t="inlineStr"/>
    </row>
    <row r="334" ht="15" customHeight="1">
      <c r="A334" t="inlineStr">
        <is>
          <t>A 27602-2023</t>
        </is>
      </c>
      <c r="B334" s="1" t="n">
        <v>45097</v>
      </c>
      <c r="C334" s="1" t="n">
        <v>46036</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58780-2024</t>
        </is>
      </c>
      <c r="B335" s="1" t="n">
        <v>45635.84113425926</v>
      </c>
      <c r="C335" s="1" t="n">
        <v>46036</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12322-2025</t>
        </is>
      </c>
      <c r="B336" s="1" t="n">
        <v>45730</v>
      </c>
      <c r="C336" s="1" t="n">
        <v>46036</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24192-2023</t>
        </is>
      </c>
      <c r="B337" s="1" t="n">
        <v>45079</v>
      </c>
      <c r="C337" s="1" t="n">
        <v>46036</v>
      </c>
      <c r="D337" t="inlineStr">
        <is>
          <t>GOTLANDS LÄN</t>
        </is>
      </c>
      <c r="E337" t="inlineStr">
        <is>
          <t>GOTLAND</t>
        </is>
      </c>
      <c r="G337" t="n">
        <v>2.1</v>
      </c>
      <c r="H337" t="n">
        <v>0</v>
      </c>
      <c r="I337" t="n">
        <v>0</v>
      </c>
      <c r="J337" t="n">
        <v>0</v>
      </c>
      <c r="K337" t="n">
        <v>0</v>
      </c>
      <c r="L337" t="n">
        <v>0</v>
      </c>
      <c r="M337" t="n">
        <v>0</v>
      </c>
      <c r="N337" t="n">
        <v>0</v>
      </c>
      <c r="O337" t="n">
        <v>0</v>
      </c>
      <c r="P337" t="n">
        <v>0</v>
      </c>
      <c r="Q337" t="n">
        <v>0</v>
      </c>
      <c r="R337" s="2" t="inlineStr"/>
    </row>
    <row r="338" ht="15" customHeight="1">
      <c r="A338" t="inlineStr">
        <is>
          <t>A 30282-2022</t>
        </is>
      </c>
      <c r="B338" s="1" t="n">
        <v>44760</v>
      </c>
      <c r="C338" s="1" t="n">
        <v>46036</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10158-2025</t>
        </is>
      </c>
      <c r="B339" s="1" t="n">
        <v>45719</v>
      </c>
      <c r="C339" s="1" t="n">
        <v>46036</v>
      </c>
      <c r="D339" t="inlineStr">
        <is>
          <t>GOTLANDS LÄN</t>
        </is>
      </c>
      <c r="E339" t="inlineStr">
        <is>
          <t>GOTLAND</t>
        </is>
      </c>
      <c r="G339" t="n">
        <v>3.5</v>
      </c>
      <c r="H339" t="n">
        <v>0</v>
      </c>
      <c r="I339" t="n">
        <v>0</v>
      </c>
      <c r="J339" t="n">
        <v>0</v>
      </c>
      <c r="K339" t="n">
        <v>0</v>
      </c>
      <c r="L339" t="n">
        <v>0</v>
      </c>
      <c r="M339" t="n">
        <v>0</v>
      </c>
      <c r="N339" t="n">
        <v>0</v>
      </c>
      <c r="O339" t="n">
        <v>0</v>
      </c>
      <c r="P339" t="n">
        <v>0</v>
      </c>
      <c r="Q339" t="n">
        <v>0</v>
      </c>
      <c r="R339" s="2" t="inlineStr"/>
    </row>
    <row r="340" ht="15" customHeight="1">
      <c r="A340" t="inlineStr">
        <is>
          <t>A 7835-2024</t>
        </is>
      </c>
      <c r="B340" s="1" t="n">
        <v>45349.83138888889</v>
      </c>
      <c r="C340" s="1" t="n">
        <v>46036</v>
      </c>
      <c r="D340" t="inlineStr">
        <is>
          <t>GOTLANDS LÄN</t>
        </is>
      </c>
      <c r="E340" t="inlineStr">
        <is>
          <t>GOTLAND</t>
        </is>
      </c>
      <c r="G340" t="n">
        <v>3.8</v>
      </c>
      <c r="H340" t="n">
        <v>0</v>
      </c>
      <c r="I340" t="n">
        <v>0</v>
      </c>
      <c r="J340" t="n">
        <v>0</v>
      </c>
      <c r="K340" t="n">
        <v>0</v>
      </c>
      <c r="L340" t="n">
        <v>0</v>
      </c>
      <c r="M340" t="n">
        <v>0</v>
      </c>
      <c r="N340" t="n">
        <v>0</v>
      </c>
      <c r="O340" t="n">
        <v>0</v>
      </c>
      <c r="P340" t="n">
        <v>0</v>
      </c>
      <c r="Q340" t="n">
        <v>0</v>
      </c>
      <c r="R340" s="2" t="inlineStr"/>
    </row>
    <row r="341" ht="15" customHeight="1">
      <c r="A341" t="inlineStr">
        <is>
          <t>A 15413-2025</t>
        </is>
      </c>
      <c r="B341" s="1" t="n">
        <v>45747.451875</v>
      </c>
      <c r="C341" s="1" t="n">
        <v>46036</v>
      </c>
      <c r="D341" t="inlineStr">
        <is>
          <t>GOTLANDS LÄN</t>
        </is>
      </c>
      <c r="E341" t="inlineStr">
        <is>
          <t>GOTLAND</t>
        </is>
      </c>
      <c r="G341" t="n">
        <v>0.6</v>
      </c>
      <c r="H341" t="n">
        <v>0</v>
      </c>
      <c r="I341" t="n">
        <v>0</v>
      </c>
      <c r="J341" t="n">
        <v>0</v>
      </c>
      <c r="K341" t="n">
        <v>0</v>
      </c>
      <c r="L341" t="n">
        <v>0</v>
      </c>
      <c r="M341" t="n">
        <v>0</v>
      </c>
      <c r="N341" t="n">
        <v>0</v>
      </c>
      <c r="O341" t="n">
        <v>0</v>
      </c>
      <c r="P341" t="n">
        <v>0</v>
      </c>
      <c r="Q341" t="n">
        <v>0</v>
      </c>
      <c r="R341" s="2" t="inlineStr"/>
    </row>
    <row r="342" ht="15" customHeight="1">
      <c r="A342" t="inlineStr">
        <is>
          <t>A 10650-2022</t>
        </is>
      </c>
      <c r="B342" s="1" t="n">
        <v>44624.57945601852</v>
      </c>
      <c r="C342" s="1" t="n">
        <v>46036</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35096-2025</t>
        </is>
      </c>
      <c r="B343" s="1" t="n">
        <v>45852.54356481481</v>
      </c>
      <c r="C343" s="1" t="n">
        <v>46036</v>
      </c>
      <c r="D343" t="inlineStr">
        <is>
          <t>GOTLANDS LÄN</t>
        </is>
      </c>
      <c r="E343" t="inlineStr">
        <is>
          <t>GOTLAND</t>
        </is>
      </c>
      <c r="F343" t="inlineStr">
        <is>
          <t>Kyrkan</t>
        </is>
      </c>
      <c r="G343" t="n">
        <v>1</v>
      </c>
      <c r="H343" t="n">
        <v>0</v>
      </c>
      <c r="I343" t="n">
        <v>0</v>
      </c>
      <c r="J343" t="n">
        <v>0</v>
      </c>
      <c r="K343" t="n">
        <v>0</v>
      </c>
      <c r="L343" t="n">
        <v>0</v>
      </c>
      <c r="M343" t="n">
        <v>0</v>
      </c>
      <c r="N343" t="n">
        <v>0</v>
      </c>
      <c r="O343" t="n">
        <v>0</v>
      </c>
      <c r="P343" t="n">
        <v>0</v>
      </c>
      <c r="Q343" t="n">
        <v>0</v>
      </c>
      <c r="R343" s="2" t="inlineStr"/>
    </row>
    <row r="344" ht="15" customHeight="1">
      <c r="A344" t="inlineStr">
        <is>
          <t>A 35123-2025</t>
        </is>
      </c>
      <c r="B344" s="1" t="n">
        <v>45852.614375</v>
      </c>
      <c r="C344" s="1" t="n">
        <v>46036</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46036</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26810-2021</t>
        </is>
      </c>
      <c r="B346" s="1" t="n">
        <v>44349.55087962963</v>
      </c>
      <c r="C346" s="1" t="n">
        <v>46036</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35290-2025</t>
        </is>
      </c>
      <c r="B347" s="1" t="n">
        <v>45854.38502314815</v>
      </c>
      <c r="C347" s="1" t="n">
        <v>46036</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30104-2025</t>
        </is>
      </c>
      <c r="B348" s="1" t="n">
        <v>45826.68806712963</v>
      </c>
      <c r="C348" s="1" t="n">
        <v>46036</v>
      </c>
      <c r="D348" t="inlineStr">
        <is>
          <t>GOTLANDS LÄN</t>
        </is>
      </c>
      <c r="E348" t="inlineStr">
        <is>
          <t>GOTLAND</t>
        </is>
      </c>
      <c r="G348" t="n">
        <v>15.4</v>
      </c>
      <c r="H348" t="n">
        <v>0</v>
      </c>
      <c r="I348" t="n">
        <v>0</v>
      </c>
      <c r="J348" t="n">
        <v>0</v>
      </c>
      <c r="K348" t="n">
        <v>0</v>
      </c>
      <c r="L348" t="n">
        <v>0</v>
      </c>
      <c r="M348" t="n">
        <v>0</v>
      </c>
      <c r="N348" t="n">
        <v>0</v>
      </c>
      <c r="O348" t="n">
        <v>0</v>
      </c>
      <c r="P348" t="n">
        <v>0</v>
      </c>
      <c r="Q348" t="n">
        <v>0</v>
      </c>
      <c r="R348" s="2" t="inlineStr"/>
    </row>
    <row r="349" ht="15" customHeight="1">
      <c r="A349" t="inlineStr">
        <is>
          <t>A 32669-2024</t>
        </is>
      </c>
      <c r="B349" s="1" t="n">
        <v>45514</v>
      </c>
      <c r="C349" s="1" t="n">
        <v>46036</v>
      </c>
      <c r="D349" t="inlineStr">
        <is>
          <t>GOTLANDS LÄN</t>
        </is>
      </c>
      <c r="E349" t="inlineStr">
        <is>
          <t>GOTLAND</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43951-2025</t>
        </is>
      </c>
      <c r="B350" s="1" t="n">
        <v>45915.38119212963</v>
      </c>
      <c r="C350" s="1" t="n">
        <v>46036</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44410-2025</t>
        </is>
      </c>
      <c r="B351" s="1" t="n">
        <v>45916.53699074074</v>
      </c>
      <c r="C351" s="1" t="n">
        <v>46036</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28425-2023</t>
        </is>
      </c>
      <c r="B352" s="1" t="n">
        <v>45102</v>
      </c>
      <c r="C352" s="1" t="n">
        <v>46036</v>
      </c>
      <c r="D352" t="inlineStr">
        <is>
          <t>GOTLANDS LÄN</t>
        </is>
      </c>
      <c r="E352" t="inlineStr">
        <is>
          <t>GOTLAND</t>
        </is>
      </c>
      <c r="G352" t="n">
        <v>0.5</v>
      </c>
      <c r="H352" t="n">
        <v>0</v>
      </c>
      <c r="I352" t="n">
        <v>0</v>
      </c>
      <c r="J352" t="n">
        <v>0</v>
      </c>
      <c r="K352" t="n">
        <v>0</v>
      </c>
      <c r="L352" t="n">
        <v>0</v>
      </c>
      <c r="M352" t="n">
        <v>0</v>
      </c>
      <c r="N352" t="n">
        <v>0</v>
      </c>
      <c r="O352" t="n">
        <v>0</v>
      </c>
      <c r="P352" t="n">
        <v>0</v>
      </c>
      <c r="Q352" t="n">
        <v>0</v>
      </c>
      <c r="R352" s="2" t="inlineStr"/>
    </row>
    <row r="353" ht="15" customHeight="1">
      <c r="A353" t="inlineStr">
        <is>
          <t>A 35537-2025</t>
        </is>
      </c>
      <c r="B353" s="1" t="n">
        <v>45856</v>
      </c>
      <c r="C353" s="1" t="n">
        <v>46036</v>
      </c>
      <c r="D353" t="inlineStr">
        <is>
          <t>GOTLANDS LÄN</t>
        </is>
      </c>
      <c r="E353" t="inlineStr">
        <is>
          <t>GOTLAND</t>
        </is>
      </c>
      <c r="G353" t="n">
        <v>16.8</v>
      </c>
      <c r="H353" t="n">
        <v>0</v>
      </c>
      <c r="I353" t="n">
        <v>0</v>
      </c>
      <c r="J353" t="n">
        <v>0</v>
      </c>
      <c r="K353" t="n">
        <v>0</v>
      </c>
      <c r="L353" t="n">
        <v>0</v>
      </c>
      <c r="M353" t="n">
        <v>0</v>
      </c>
      <c r="N353" t="n">
        <v>0</v>
      </c>
      <c r="O353" t="n">
        <v>0</v>
      </c>
      <c r="P353" t="n">
        <v>0</v>
      </c>
      <c r="Q353" t="n">
        <v>0</v>
      </c>
      <c r="R353" s="2" t="inlineStr"/>
    </row>
    <row r="354" ht="15" customHeight="1">
      <c r="A354" t="inlineStr">
        <is>
          <t>A 44405-2025</t>
        </is>
      </c>
      <c r="B354" s="1" t="n">
        <v>45916.52405092592</v>
      </c>
      <c r="C354" s="1" t="n">
        <v>46036</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13037-2025</t>
        </is>
      </c>
      <c r="B355" s="1" t="n">
        <v>45734</v>
      </c>
      <c r="C355" s="1" t="n">
        <v>46036</v>
      </c>
      <c r="D355" t="inlineStr">
        <is>
          <t>GOTLANDS LÄN</t>
        </is>
      </c>
      <c r="E355" t="inlineStr">
        <is>
          <t>GOTLAND</t>
        </is>
      </c>
      <c r="G355" t="n">
        <v>9.5</v>
      </c>
      <c r="H355" t="n">
        <v>0</v>
      </c>
      <c r="I355" t="n">
        <v>0</v>
      </c>
      <c r="J355" t="n">
        <v>0</v>
      </c>
      <c r="K355" t="n">
        <v>0</v>
      </c>
      <c r="L355" t="n">
        <v>0</v>
      </c>
      <c r="M355" t="n">
        <v>0</v>
      </c>
      <c r="N355" t="n">
        <v>0</v>
      </c>
      <c r="O355" t="n">
        <v>0</v>
      </c>
      <c r="P355" t="n">
        <v>0</v>
      </c>
      <c r="Q355" t="n">
        <v>0</v>
      </c>
      <c r="R355" s="2" t="inlineStr"/>
    </row>
    <row r="356" ht="15" customHeight="1">
      <c r="A356" t="inlineStr">
        <is>
          <t>A 30488-2025</t>
        </is>
      </c>
      <c r="B356" s="1" t="n">
        <v>45830</v>
      </c>
      <c r="C356" s="1" t="n">
        <v>46036</v>
      </c>
      <c r="D356" t="inlineStr">
        <is>
          <t>GOTLANDS LÄN</t>
        </is>
      </c>
      <c r="E356" t="inlineStr">
        <is>
          <t>GOTLAND</t>
        </is>
      </c>
      <c r="F356" t="inlineStr">
        <is>
          <t>Kyrkan</t>
        </is>
      </c>
      <c r="G356" t="n">
        <v>3.9</v>
      </c>
      <c r="H356" t="n">
        <v>0</v>
      </c>
      <c r="I356" t="n">
        <v>0</v>
      </c>
      <c r="J356" t="n">
        <v>0</v>
      </c>
      <c r="K356" t="n">
        <v>0</v>
      </c>
      <c r="L356" t="n">
        <v>0</v>
      </c>
      <c r="M356" t="n">
        <v>0</v>
      </c>
      <c r="N356" t="n">
        <v>0</v>
      </c>
      <c r="O356" t="n">
        <v>0</v>
      </c>
      <c r="P356" t="n">
        <v>0</v>
      </c>
      <c r="Q356" t="n">
        <v>0</v>
      </c>
      <c r="R356" s="2" t="inlineStr"/>
    </row>
    <row r="357" ht="15" customHeight="1">
      <c r="A357" t="inlineStr">
        <is>
          <t>A 15216-2025</t>
        </is>
      </c>
      <c r="B357" s="1" t="n">
        <v>45744</v>
      </c>
      <c r="C357" s="1" t="n">
        <v>46036</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15001-2025</t>
        </is>
      </c>
      <c r="B358" s="1" t="n">
        <v>45743</v>
      </c>
      <c r="C358" s="1" t="n">
        <v>46036</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43790-2024</t>
        </is>
      </c>
      <c r="B359" s="1" t="n">
        <v>45571</v>
      </c>
      <c r="C359" s="1" t="n">
        <v>46036</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17847-2025</t>
        </is>
      </c>
      <c r="B360" s="1" t="n">
        <v>45758</v>
      </c>
      <c r="C360" s="1" t="n">
        <v>46036</v>
      </c>
      <c r="D360" t="inlineStr">
        <is>
          <t>GOTLANDS LÄN</t>
        </is>
      </c>
      <c r="E360" t="inlineStr">
        <is>
          <t>GOTLAND</t>
        </is>
      </c>
      <c r="G360" t="n">
        <v>1.9</v>
      </c>
      <c r="H360" t="n">
        <v>0</v>
      </c>
      <c r="I360" t="n">
        <v>0</v>
      </c>
      <c r="J360" t="n">
        <v>0</v>
      </c>
      <c r="K360" t="n">
        <v>0</v>
      </c>
      <c r="L360" t="n">
        <v>0</v>
      </c>
      <c r="M360" t="n">
        <v>0</v>
      </c>
      <c r="N360" t="n">
        <v>0</v>
      </c>
      <c r="O360" t="n">
        <v>0</v>
      </c>
      <c r="P360" t="n">
        <v>0</v>
      </c>
      <c r="Q360" t="n">
        <v>0</v>
      </c>
      <c r="R360" s="2" t="inlineStr"/>
    </row>
    <row r="361" ht="15" customHeight="1">
      <c r="A361" t="inlineStr">
        <is>
          <t>A 18742-2025</t>
        </is>
      </c>
      <c r="B361" s="1" t="n">
        <v>45763</v>
      </c>
      <c r="C361" s="1" t="n">
        <v>46036</v>
      </c>
      <c r="D361" t="inlineStr">
        <is>
          <t>GOTLANDS LÄN</t>
        </is>
      </c>
      <c r="E361" t="inlineStr">
        <is>
          <t>GOTLAND</t>
        </is>
      </c>
      <c r="G361" t="n">
        <v>3.4</v>
      </c>
      <c r="H361" t="n">
        <v>0</v>
      </c>
      <c r="I361" t="n">
        <v>0</v>
      </c>
      <c r="J361" t="n">
        <v>0</v>
      </c>
      <c r="K361" t="n">
        <v>0</v>
      </c>
      <c r="L361" t="n">
        <v>0</v>
      </c>
      <c r="M361" t="n">
        <v>0</v>
      </c>
      <c r="N361" t="n">
        <v>0</v>
      </c>
      <c r="O361" t="n">
        <v>0</v>
      </c>
      <c r="P361" t="n">
        <v>0</v>
      </c>
      <c r="Q361" t="n">
        <v>0</v>
      </c>
      <c r="R361" s="2" t="inlineStr"/>
    </row>
    <row r="362" ht="15" customHeight="1">
      <c r="A362" t="inlineStr">
        <is>
          <t>A 35129-2025</t>
        </is>
      </c>
      <c r="B362" s="1" t="n">
        <v>45852.63224537037</v>
      </c>
      <c r="C362" s="1" t="n">
        <v>46036</v>
      </c>
      <c r="D362" t="inlineStr">
        <is>
          <t>GOTLANDS LÄN</t>
        </is>
      </c>
      <c r="E362" t="inlineStr">
        <is>
          <t>GOTLAND</t>
        </is>
      </c>
      <c r="G362" t="n">
        <v>3.2</v>
      </c>
      <c r="H362" t="n">
        <v>0</v>
      </c>
      <c r="I362" t="n">
        <v>0</v>
      </c>
      <c r="J362" t="n">
        <v>0</v>
      </c>
      <c r="K362" t="n">
        <v>0</v>
      </c>
      <c r="L362" t="n">
        <v>0</v>
      </c>
      <c r="M362" t="n">
        <v>0</v>
      </c>
      <c r="N362" t="n">
        <v>0</v>
      </c>
      <c r="O362" t="n">
        <v>0</v>
      </c>
      <c r="P362" t="n">
        <v>0</v>
      </c>
      <c r="Q362" t="n">
        <v>0</v>
      </c>
      <c r="R362" s="2" t="inlineStr"/>
    </row>
    <row r="363" ht="15" customHeight="1">
      <c r="A363" t="inlineStr">
        <is>
          <t>A 10746-2025</t>
        </is>
      </c>
      <c r="B363" s="1" t="n">
        <v>45722.42766203704</v>
      </c>
      <c r="C363" s="1" t="n">
        <v>46036</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43229-2023</t>
        </is>
      </c>
      <c r="B364" s="1" t="n">
        <v>45183.46704861111</v>
      </c>
      <c r="C364" s="1" t="n">
        <v>46036</v>
      </c>
      <c r="D364" t="inlineStr">
        <is>
          <t>GOTLANDS LÄN</t>
        </is>
      </c>
      <c r="E364" t="inlineStr">
        <is>
          <t>GOTLAND</t>
        </is>
      </c>
      <c r="G364" t="n">
        <v>7.1</v>
      </c>
      <c r="H364" t="n">
        <v>0</v>
      </c>
      <c r="I364" t="n">
        <v>0</v>
      </c>
      <c r="J364" t="n">
        <v>0</v>
      </c>
      <c r="K364" t="n">
        <v>0</v>
      </c>
      <c r="L364" t="n">
        <v>0</v>
      </c>
      <c r="M364" t="n">
        <v>0</v>
      </c>
      <c r="N364" t="n">
        <v>0</v>
      </c>
      <c r="O364" t="n">
        <v>0</v>
      </c>
      <c r="P364" t="n">
        <v>0</v>
      </c>
      <c r="Q364" t="n">
        <v>0</v>
      </c>
      <c r="R364" s="2" t="inlineStr"/>
    </row>
    <row r="365" ht="15" customHeight="1">
      <c r="A365" t="inlineStr">
        <is>
          <t>A 26391-2025</t>
        </is>
      </c>
      <c r="B365" s="1" t="n">
        <v>45806</v>
      </c>
      <c r="C365" s="1" t="n">
        <v>46036</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41038-2023</t>
        </is>
      </c>
      <c r="B366" s="1" t="n">
        <v>45173.60959490741</v>
      </c>
      <c r="C366" s="1" t="n">
        <v>46036</v>
      </c>
      <c r="D366" t="inlineStr">
        <is>
          <t>GOTLANDS LÄN</t>
        </is>
      </c>
      <c r="E366" t="inlineStr">
        <is>
          <t>GOTLAND</t>
        </is>
      </c>
      <c r="G366" t="n">
        <v>2.7</v>
      </c>
      <c r="H366" t="n">
        <v>0</v>
      </c>
      <c r="I366" t="n">
        <v>0</v>
      </c>
      <c r="J366" t="n">
        <v>0</v>
      </c>
      <c r="K366" t="n">
        <v>0</v>
      </c>
      <c r="L366" t="n">
        <v>0</v>
      </c>
      <c r="M366" t="n">
        <v>0</v>
      </c>
      <c r="N366" t="n">
        <v>0</v>
      </c>
      <c r="O366" t="n">
        <v>0</v>
      </c>
      <c r="P366" t="n">
        <v>0</v>
      </c>
      <c r="Q366" t="n">
        <v>0</v>
      </c>
      <c r="R366" s="2" t="inlineStr"/>
    </row>
    <row r="367" ht="15" customHeight="1">
      <c r="A367" t="inlineStr">
        <is>
          <t>A 30489-2025</t>
        </is>
      </c>
      <c r="B367" s="1" t="n">
        <v>45830</v>
      </c>
      <c r="C367" s="1" t="n">
        <v>46036</v>
      </c>
      <c r="D367" t="inlineStr">
        <is>
          <t>GOTLANDS LÄN</t>
        </is>
      </c>
      <c r="E367" t="inlineStr">
        <is>
          <t>GOTLAND</t>
        </is>
      </c>
      <c r="G367" t="n">
        <v>4.6</v>
      </c>
      <c r="H367" t="n">
        <v>0</v>
      </c>
      <c r="I367" t="n">
        <v>0</v>
      </c>
      <c r="J367" t="n">
        <v>0</v>
      </c>
      <c r="K367" t="n">
        <v>0</v>
      </c>
      <c r="L367" t="n">
        <v>0</v>
      </c>
      <c r="M367" t="n">
        <v>0</v>
      </c>
      <c r="N367" t="n">
        <v>0</v>
      </c>
      <c r="O367" t="n">
        <v>0</v>
      </c>
      <c r="P367" t="n">
        <v>0</v>
      </c>
      <c r="Q367" t="n">
        <v>0</v>
      </c>
      <c r="R367" s="2" t="inlineStr"/>
    </row>
    <row r="368" ht="15" customHeight="1">
      <c r="A368" t="inlineStr">
        <is>
          <t>A 46836-2025</t>
        </is>
      </c>
      <c r="B368" s="1" t="n">
        <v>45928.31511574074</v>
      </c>
      <c r="C368" s="1" t="n">
        <v>46036</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21142-2025</t>
        </is>
      </c>
      <c r="B369" s="1" t="n">
        <v>45779</v>
      </c>
      <c r="C369" s="1" t="n">
        <v>46036</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6108-2025</t>
        </is>
      </c>
      <c r="B370" s="1" t="n">
        <v>45698.29880787037</v>
      </c>
      <c r="C370" s="1" t="n">
        <v>46036</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17343-2025</t>
        </is>
      </c>
      <c r="B371" s="1" t="n">
        <v>45756.6687037037</v>
      </c>
      <c r="C371" s="1" t="n">
        <v>46036</v>
      </c>
      <c r="D371" t="inlineStr">
        <is>
          <t>GOTLANDS LÄN</t>
        </is>
      </c>
      <c r="E371" t="inlineStr">
        <is>
          <t>GOTLAND</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47637-2025</t>
        </is>
      </c>
      <c r="B372" s="1" t="n">
        <v>45931.49753472222</v>
      </c>
      <c r="C372" s="1" t="n">
        <v>46036</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18938-2025</t>
        </is>
      </c>
      <c r="B373" s="1" t="n">
        <v>45764.49172453704</v>
      </c>
      <c r="C373" s="1" t="n">
        <v>46036</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20307-2025</t>
        </is>
      </c>
      <c r="B374" s="1" t="n">
        <v>45774.95546296296</v>
      </c>
      <c r="C374" s="1" t="n">
        <v>46036</v>
      </c>
      <c r="D374" t="inlineStr">
        <is>
          <t>GOTLANDS LÄN</t>
        </is>
      </c>
      <c r="E374" t="inlineStr">
        <is>
          <t>GOTLAND</t>
        </is>
      </c>
      <c r="G374" t="n">
        <v>6.8</v>
      </c>
      <c r="H374" t="n">
        <v>0</v>
      </c>
      <c r="I374" t="n">
        <v>0</v>
      </c>
      <c r="J374" t="n">
        <v>0</v>
      </c>
      <c r="K374" t="n">
        <v>0</v>
      </c>
      <c r="L374" t="n">
        <v>0</v>
      </c>
      <c r="M374" t="n">
        <v>0</v>
      </c>
      <c r="N374" t="n">
        <v>0</v>
      </c>
      <c r="O374" t="n">
        <v>0</v>
      </c>
      <c r="P374" t="n">
        <v>0</v>
      </c>
      <c r="Q374" t="n">
        <v>0</v>
      </c>
      <c r="R374" s="2" t="inlineStr"/>
    </row>
    <row r="375" ht="15" customHeight="1">
      <c r="A375" t="inlineStr">
        <is>
          <t>A 32378-2025</t>
        </is>
      </c>
      <c r="B375" s="1" t="n">
        <v>45837</v>
      </c>
      <c r="C375" s="1" t="n">
        <v>46036</v>
      </c>
      <c r="D375" t="inlineStr">
        <is>
          <t>GOTLANDS LÄN</t>
        </is>
      </c>
      <c r="E375" t="inlineStr">
        <is>
          <t>GOTLAND</t>
        </is>
      </c>
      <c r="G375" t="n">
        <v>4.1</v>
      </c>
      <c r="H375" t="n">
        <v>0</v>
      </c>
      <c r="I375" t="n">
        <v>0</v>
      </c>
      <c r="J375" t="n">
        <v>0</v>
      </c>
      <c r="K375" t="n">
        <v>0</v>
      </c>
      <c r="L375" t="n">
        <v>0</v>
      </c>
      <c r="M375" t="n">
        <v>0</v>
      </c>
      <c r="N375" t="n">
        <v>0</v>
      </c>
      <c r="O375" t="n">
        <v>0</v>
      </c>
      <c r="P375" t="n">
        <v>0</v>
      </c>
      <c r="Q375" t="n">
        <v>0</v>
      </c>
      <c r="R375" s="2" t="inlineStr"/>
    </row>
    <row r="376" ht="15" customHeight="1">
      <c r="A376" t="inlineStr">
        <is>
          <t>A 24966-2023</t>
        </is>
      </c>
      <c r="B376" s="1" t="n">
        <v>45085</v>
      </c>
      <c r="C376" s="1" t="n">
        <v>46036</v>
      </c>
      <c r="D376" t="inlineStr">
        <is>
          <t>GOTLANDS LÄN</t>
        </is>
      </c>
      <c r="E376" t="inlineStr">
        <is>
          <t>GOTLAND</t>
        </is>
      </c>
      <c r="G376" t="n">
        <v>7</v>
      </c>
      <c r="H376" t="n">
        <v>0</v>
      </c>
      <c r="I376" t="n">
        <v>0</v>
      </c>
      <c r="J376" t="n">
        <v>0</v>
      </c>
      <c r="K376" t="n">
        <v>0</v>
      </c>
      <c r="L376" t="n">
        <v>0</v>
      </c>
      <c r="M376" t="n">
        <v>0</v>
      </c>
      <c r="N376" t="n">
        <v>0</v>
      </c>
      <c r="O376" t="n">
        <v>0</v>
      </c>
      <c r="P376" t="n">
        <v>0</v>
      </c>
      <c r="Q376" t="n">
        <v>0</v>
      </c>
      <c r="R376" s="2" t="inlineStr"/>
    </row>
    <row r="377" ht="15" customHeight="1">
      <c r="A377" t="inlineStr">
        <is>
          <t>A 18993-2025</t>
        </is>
      </c>
      <c r="B377" s="1" t="n">
        <v>45764</v>
      </c>
      <c r="C377" s="1" t="n">
        <v>46036</v>
      </c>
      <c r="D377" t="inlineStr">
        <is>
          <t>GOTLANDS LÄN</t>
        </is>
      </c>
      <c r="E377" t="inlineStr">
        <is>
          <t>GOTLAND</t>
        </is>
      </c>
      <c r="G377" t="n">
        <v>3</v>
      </c>
      <c r="H377" t="n">
        <v>0</v>
      </c>
      <c r="I377" t="n">
        <v>0</v>
      </c>
      <c r="J377" t="n">
        <v>0</v>
      </c>
      <c r="K377" t="n">
        <v>0</v>
      </c>
      <c r="L377" t="n">
        <v>0</v>
      </c>
      <c r="M377" t="n">
        <v>0</v>
      </c>
      <c r="N377" t="n">
        <v>0</v>
      </c>
      <c r="O377" t="n">
        <v>0</v>
      </c>
      <c r="P377" t="n">
        <v>0</v>
      </c>
      <c r="Q377" t="n">
        <v>0</v>
      </c>
      <c r="R377" s="2" t="inlineStr"/>
    </row>
    <row r="378" ht="15" customHeight="1">
      <c r="A378" t="inlineStr">
        <is>
          <t>A 57652-2023</t>
        </is>
      </c>
      <c r="B378" s="1" t="n">
        <v>45246</v>
      </c>
      <c r="C378" s="1" t="n">
        <v>46036</v>
      </c>
      <c r="D378" t="inlineStr">
        <is>
          <t>GOTLANDS LÄN</t>
        </is>
      </c>
      <c r="E378" t="inlineStr">
        <is>
          <t>GOTLAND</t>
        </is>
      </c>
      <c r="G378" t="n">
        <v>7.2</v>
      </c>
      <c r="H378" t="n">
        <v>0</v>
      </c>
      <c r="I378" t="n">
        <v>0</v>
      </c>
      <c r="J378" t="n">
        <v>0</v>
      </c>
      <c r="K378" t="n">
        <v>0</v>
      </c>
      <c r="L378" t="n">
        <v>0</v>
      </c>
      <c r="M378" t="n">
        <v>0</v>
      </c>
      <c r="N378" t="n">
        <v>0</v>
      </c>
      <c r="O378" t="n">
        <v>0</v>
      </c>
      <c r="P378" t="n">
        <v>0</v>
      </c>
      <c r="Q378" t="n">
        <v>0</v>
      </c>
      <c r="R378" s="2" t="inlineStr"/>
    </row>
    <row r="379" ht="15" customHeight="1">
      <c r="A379" t="inlineStr">
        <is>
          <t>A 30135-2025</t>
        </is>
      </c>
      <c r="B379" s="1" t="n">
        <v>45826</v>
      </c>
      <c r="C379" s="1" t="n">
        <v>46036</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46189-2022</t>
        </is>
      </c>
      <c r="B380" s="1" t="n">
        <v>44847</v>
      </c>
      <c r="C380" s="1" t="n">
        <v>46036</v>
      </c>
      <c r="D380" t="inlineStr">
        <is>
          <t>GOTLANDS LÄN</t>
        </is>
      </c>
      <c r="E380" t="inlineStr">
        <is>
          <t>GOTLAND</t>
        </is>
      </c>
      <c r="G380" t="n">
        <v>0.4</v>
      </c>
      <c r="H380" t="n">
        <v>0</v>
      </c>
      <c r="I380" t="n">
        <v>0</v>
      </c>
      <c r="J380" t="n">
        <v>0</v>
      </c>
      <c r="K380" t="n">
        <v>0</v>
      </c>
      <c r="L380" t="n">
        <v>0</v>
      </c>
      <c r="M380" t="n">
        <v>0</v>
      </c>
      <c r="N380" t="n">
        <v>0</v>
      </c>
      <c r="O380" t="n">
        <v>0</v>
      </c>
      <c r="P380" t="n">
        <v>0</v>
      </c>
      <c r="Q380" t="n">
        <v>0</v>
      </c>
      <c r="R380" s="2" t="inlineStr"/>
    </row>
    <row r="381" ht="15" customHeight="1">
      <c r="A381" t="inlineStr">
        <is>
          <t>A 35550-2025</t>
        </is>
      </c>
      <c r="B381" s="1" t="n">
        <v>45856.49324074074</v>
      </c>
      <c r="C381" s="1" t="n">
        <v>46036</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57522-2022</t>
        </is>
      </c>
      <c r="B382" s="1" t="n">
        <v>44896</v>
      </c>
      <c r="C382" s="1" t="n">
        <v>46036</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14797-2024</t>
        </is>
      </c>
      <c r="B383" s="1" t="n">
        <v>45397.87030092593</v>
      </c>
      <c r="C383" s="1" t="n">
        <v>46036</v>
      </c>
      <c r="D383" t="inlineStr">
        <is>
          <t>GOTLANDS LÄN</t>
        </is>
      </c>
      <c r="E383" t="inlineStr">
        <is>
          <t>GOTLAND</t>
        </is>
      </c>
      <c r="G383" t="n">
        <v>8.1</v>
      </c>
      <c r="H383" t="n">
        <v>0</v>
      </c>
      <c r="I383" t="n">
        <v>0</v>
      </c>
      <c r="J383" t="n">
        <v>0</v>
      </c>
      <c r="K383" t="n">
        <v>0</v>
      </c>
      <c r="L383" t="n">
        <v>0</v>
      </c>
      <c r="M383" t="n">
        <v>0</v>
      </c>
      <c r="N383" t="n">
        <v>0</v>
      </c>
      <c r="O383" t="n">
        <v>0</v>
      </c>
      <c r="P383" t="n">
        <v>0</v>
      </c>
      <c r="Q383" t="n">
        <v>0</v>
      </c>
      <c r="R383" s="2" t="inlineStr"/>
    </row>
    <row r="384" ht="15" customHeight="1">
      <c r="A384" t="inlineStr">
        <is>
          <t>A 47578-2025</t>
        </is>
      </c>
      <c r="B384" s="1" t="n">
        <v>45931</v>
      </c>
      <c r="C384" s="1" t="n">
        <v>46036</v>
      </c>
      <c r="D384" t="inlineStr">
        <is>
          <t>GOTLANDS LÄN</t>
        </is>
      </c>
      <c r="E384" t="inlineStr">
        <is>
          <t>GOTLAND</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7837-2024</t>
        </is>
      </c>
      <c r="B385" s="1" t="n">
        <v>45349.83787037037</v>
      </c>
      <c r="C385" s="1" t="n">
        <v>46036</v>
      </c>
      <c r="D385" t="inlineStr">
        <is>
          <t>GOTLANDS LÄN</t>
        </is>
      </c>
      <c r="E385" t="inlineStr">
        <is>
          <t>GOTLAND</t>
        </is>
      </c>
      <c r="G385" t="n">
        <v>5</v>
      </c>
      <c r="H385" t="n">
        <v>0</v>
      </c>
      <c r="I385" t="n">
        <v>0</v>
      </c>
      <c r="J385" t="n">
        <v>0</v>
      </c>
      <c r="K385" t="n">
        <v>0</v>
      </c>
      <c r="L385" t="n">
        <v>0</v>
      </c>
      <c r="M385" t="n">
        <v>0</v>
      </c>
      <c r="N385" t="n">
        <v>0</v>
      </c>
      <c r="O385" t="n">
        <v>0</v>
      </c>
      <c r="P385" t="n">
        <v>0</v>
      </c>
      <c r="Q385" t="n">
        <v>0</v>
      </c>
      <c r="R385" s="2" t="inlineStr"/>
    </row>
    <row r="386" ht="15" customHeight="1">
      <c r="A386" t="inlineStr">
        <is>
          <t>A 33011-2025</t>
        </is>
      </c>
      <c r="B386" s="1" t="n">
        <v>45840</v>
      </c>
      <c r="C386" s="1" t="n">
        <v>46036</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49690-2025</t>
        </is>
      </c>
      <c r="B387" s="1" t="n">
        <v>45939.66730324074</v>
      </c>
      <c r="C387" s="1" t="n">
        <v>46036</v>
      </c>
      <c r="D387" t="inlineStr">
        <is>
          <t>GOTLANDS LÄN</t>
        </is>
      </c>
      <c r="E387" t="inlineStr">
        <is>
          <t>GOTLAND</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12599-2025</t>
        </is>
      </c>
      <c r="B388" s="1" t="n">
        <v>45733.29546296296</v>
      </c>
      <c r="C388" s="1" t="n">
        <v>46036</v>
      </c>
      <c r="D388" t="inlineStr">
        <is>
          <t>GOTLANDS LÄN</t>
        </is>
      </c>
      <c r="E388" t="inlineStr">
        <is>
          <t>GOTLAND</t>
        </is>
      </c>
      <c r="G388" t="n">
        <v>4.7</v>
      </c>
      <c r="H388" t="n">
        <v>0</v>
      </c>
      <c r="I388" t="n">
        <v>0</v>
      </c>
      <c r="J388" t="n">
        <v>0</v>
      </c>
      <c r="K388" t="n">
        <v>0</v>
      </c>
      <c r="L388" t="n">
        <v>0</v>
      </c>
      <c r="M388" t="n">
        <v>0</v>
      </c>
      <c r="N388" t="n">
        <v>0</v>
      </c>
      <c r="O388" t="n">
        <v>0</v>
      </c>
      <c r="P388" t="n">
        <v>0</v>
      </c>
      <c r="Q388" t="n">
        <v>0</v>
      </c>
      <c r="R388" s="2" t="inlineStr"/>
    </row>
    <row r="389" ht="15" customHeight="1">
      <c r="A389" t="inlineStr">
        <is>
          <t>A 1394-2023</t>
        </is>
      </c>
      <c r="B389" s="1" t="n">
        <v>44936.72997685185</v>
      </c>
      <c r="C389" s="1" t="n">
        <v>46036</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2676-2023</t>
        </is>
      </c>
      <c r="B390" s="1" t="n">
        <v>44944</v>
      </c>
      <c r="C390" s="1" t="n">
        <v>46036</v>
      </c>
      <c r="D390" t="inlineStr">
        <is>
          <t>GOTLANDS LÄN</t>
        </is>
      </c>
      <c r="E390" t="inlineStr">
        <is>
          <t>GOTLAND</t>
        </is>
      </c>
      <c r="G390" t="n">
        <v>0.7</v>
      </c>
      <c r="H390" t="n">
        <v>0</v>
      </c>
      <c r="I390" t="n">
        <v>0</v>
      </c>
      <c r="J390" t="n">
        <v>0</v>
      </c>
      <c r="K390" t="n">
        <v>0</v>
      </c>
      <c r="L390" t="n">
        <v>0</v>
      </c>
      <c r="M390" t="n">
        <v>0</v>
      </c>
      <c r="N390" t="n">
        <v>0</v>
      </c>
      <c r="O390" t="n">
        <v>0</v>
      </c>
      <c r="P390" t="n">
        <v>0</v>
      </c>
      <c r="Q390" t="n">
        <v>0</v>
      </c>
      <c r="R390" s="2" t="inlineStr"/>
    </row>
    <row r="391" ht="15" customHeight="1">
      <c r="A391" t="inlineStr">
        <is>
          <t>A 4387-2023</t>
        </is>
      </c>
      <c r="B391" s="1" t="n">
        <v>44955.73359953704</v>
      </c>
      <c r="C391" s="1" t="n">
        <v>46036</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49411-2023</t>
        </is>
      </c>
      <c r="B392" s="1" t="n">
        <v>45205</v>
      </c>
      <c r="C392" s="1" t="n">
        <v>46036</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37728-2024</t>
        </is>
      </c>
      <c r="B393" s="1" t="n">
        <v>45541</v>
      </c>
      <c r="C393" s="1" t="n">
        <v>46036</v>
      </c>
      <c r="D393" t="inlineStr">
        <is>
          <t>GOTLANDS LÄN</t>
        </is>
      </c>
      <c r="E393" t="inlineStr">
        <is>
          <t>GOTLAND</t>
        </is>
      </c>
      <c r="G393" t="n">
        <v>0.4</v>
      </c>
      <c r="H393" t="n">
        <v>0</v>
      </c>
      <c r="I393" t="n">
        <v>0</v>
      </c>
      <c r="J393" t="n">
        <v>0</v>
      </c>
      <c r="K393" t="n">
        <v>0</v>
      </c>
      <c r="L393" t="n">
        <v>0</v>
      </c>
      <c r="M393" t="n">
        <v>0</v>
      </c>
      <c r="N393" t="n">
        <v>0</v>
      </c>
      <c r="O393" t="n">
        <v>0</v>
      </c>
      <c r="P393" t="n">
        <v>0</v>
      </c>
      <c r="Q393" t="n">
        <v>0</v>
      </c>
      <c r="R393" s="2" t="inlineStr"/>
    </row>
    <row r="394" ht="15" customHeight="1">
      <c r="A394" t="inlineStr">
        <is>
          <t>A 49724-2025</t>
        </is>
      </c>
      <c r="B394" s="1" t="n">
        <v>45939.83730324074</v>
      </c>
      <c r="C394" s="1" t="n">
        <v>46036</v>
      </c>
      <c r="D394" t="inlineStr">
        <is>
          <t>GOTLANDS LÄN</t>
        </is>
      </c>
      <c r="E394" t="inlineStr">
        <is>
          <t>GOTLAND</t>
        </is>
      </c>
      <c r="F394" t="inlineStr">
        <is>
          <t>Kyrkan</t>
        </is>
      </c>
      <c r="G394" t="n">
        <v>3.1</v>
      </c>
      <c r="H394" t="n">
        <v>0</v>
      </c>
      <c r="I394" t="n">
        <v>0</v>
      </c>
      <c r="J394" t="n">
        <v>0</v>
      </c>
      <c r="K394" t="n">
        <v>0</v>
      </c>
      <c r="L394" t="n">
        <v>0</v>
      </c>
      <c r="M394" t="n">
        <v>0</v>
      </c>
      <c r="N394" t="n">
        <v>0</v>
      </c>
      <c r="O394" t="n">
        <v>0</v>
      </c>
      <c r="P394" t="n">
        <v>0</v>
      </c>
      <c r="Q394" t="n">
        <v>0</v>
      </c>
      <c r="R394" s="2" t="inlineStr"/>
    </row>
    <row r="395" ht="15" customHeight="1">
      <c r="A395" t="inlineStr">
        <is>
          <t>A 49730-2025</t>
        </is>
      </c>
      <c r="B395" s="1" t="n">
        <v>45939.87613425926</v>
      </c>
      <c r="C395" s="1" t="n">
        <v>46036</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2241-2025</t>
        </is>
      </c>
      <c r="B396" s="1" t="n">
        <v>45673.48710648148</v>
      </c>
      <c r="C396" s="1" t="n">
        <v>46036</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50421-2025</t>
        </is>
      </c>
      <c r="B397" s="1" t="n">
        <v>45944.66049768519</v>
      </c>
      <c r="C397" s="1" t="n">
        <v>46036</v>
      </c>
      <c r="D397" t="inlineStr">
        <is>
          <t>GOTLANDS LÄN</t>
        </is>
      </c>
      <c r="E397" t="inlineStr">
        <is>
          <t>GOTLAND</t>
        </is>
      </c>
      <c r="G397" t="n">
        <v>3.9</v>
      </c>
      <c r="H397" t="n">
        <v>0</v>
      </c>
      <c r="I397" t="n">
        <v>0</v>
      </c>
      <c r="J397" t="n">
        <v>0</v>
      </c>
      <c r="K397" t="n">
        <v>0</v>
      </c>
      <c r="L397" t="n">
        <v>0</v>
      </c>
      <c r="M397" t="n">
        <v>0</v>
      </c>
      <c r="N397" t="n">
        <v>0</v>
      </c>
      <c r="O397" t="n">
        <v>0</v>
      </c>
      <c r="P397" t="n">
        <v>0</v>
      </c>
      <c r="Q397" t="n">
        <v>0</v>
      </c>
      <c r="R397" s="2" t="inlineStr"/>
    </row>
    <row r="398" ht="15" customHeight="1">
      <c r="A398" t="inlineStr">
        <is>
          <t>A 50431-2025</t>
        </is>
      </c>
      <c r="B398" s="1" t="n">
        <v>45944.68453703704</v>
      </c>
      <c r="C398" s="1" t="n">
        <v>46036</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22275-2023</t>
        </is>
      </c>
      <c r="B399" s="1" t="n">
        <v>45070.39875</v>
      </c>
      <c r="C399" s="1" t="n">
        <v>46036</v>
      </c>
      <c r="D399" t="inlineStr">
        <is>
          <t>GOTLANDS LÄN</t>
        </is>
      </c>
      <c r="E399" t="inlineStr">
        <is>
          <t>GOTLAND</t>
        </is>
      </c>
      <c r="G399" t="n">
        <v>7.2</v>
      </c>
      <c r="H399" t="n">
        <v>0</v>
      </c>
      <c r="I399" t="n">
        <v>0</v>
      </c>
      <c r="J399" t="n">
        <v>0</v>
      </c>
      <c r="K399" t="n">
        <v>0</v>
      </c>
      <c r="L399" t="n">
        <v>0</v>
      </c>
      <c r="M399" t="n">
        <v>0</v>
      </c>
      <c r="N399" t="n">
        <v>0</v>
      </c>
      <c r="O399" t="n">
        <v>0</v>
      </c>
      <c r="P399" t="n">
        <v>0</v>
      </c>
      <c r="Q399" t="n">
        <v>0</v>
      </c>
      <c r="R399" s="2" t="inlineStr"/>
    </row>
    <row r="400" ht="15" customHeight="1">
      <c r="A400" t="inlineStr">
        <is>
          <t>A 14635-2023</t>
        </is>
      </c>
      <c r="B400" s="1" t="n">
        <v>45013.69365740741</v>
      </c>
      <c r="C400" s="1" t="n">
        <v>46036</v>
      </c>
      <c r="D400" t="inlineStr">
        <is>
          <t>GOTLANDS LÄN</t>
        </is>
      </c>
      <c r="E400" t="inlineStr">
        <is>
          <t>GOTLAND</t>
        </is>
      </c>
      <c r="G400" t="n">
        <v>3.1</v>
      </c>
      <c r="H400" t="n">
        <v>0</v>
      </c>
      <c r="I400" t="n">
        <v>0</v>
      </c>
      <c r="J400" t="n">
        <v>0</v>
      </c>
      <c r="K400" t="n">
        <v>0</v>
      </c>
      <c r="L400" t="n">
        <v>0</v>
      </c>
      <c r="M400" t="n">
        <v>0</v>
      </c>
      <c r="N400" t="n">
        <v>0</v>
      </c>
      <c r="O400" t="n">
        <v>0</v>
      </c>
      <c r="P400" t="n">
        <v>0</v>
      </c>
      <c r="Q400" t="n">
        <v>0</v>
      </c>
      <c r="R400" s="2" t="inlineStr"/>
    </row>
    <row r="401" ht="15" customHeight="1">
      <c r="A401" t="inlineStr">
        <is>
          <t>A 63763-2023</t>
        </is>
      </c>
      <c r="B401" s="1" t="n">
        <v>45278.33944444444</v>
      </c>
      <c r="C401" s="1" t="n">
        <v>46036</v>
      </c>
      <c r="D401" t="inlineStr">
        <is>
          <t>GOTLANDS LÄN</t>
        </is>
      </c>
      <c r="E401" t="inlineStr">
        <is>
          <t>GOTLAND</t>
        </is>
      </c>
      <c r="G401" t="n">
        <v>0.5</v>
      </c>
      <c r="H401" t="n">
        <v>0</v>
      </c>
      <c r="I401" t="n">
        <v>0</v>
      </c>
      <c r="J401" t="n">
        <v>0</v>
      </c>
      <c r="K401" t="n">
        <v>0</v>
      </c>
      <c r="L401" t="n">
        <v>0</v>
      </c>
      <c r="M401" t="n">
        <v>0</v>
      </c>
      <c r="N401" t="n">
        <v>0</v>
      </c>
      <c r="O401" t="n">
        <v>0</v>
      </c>
      <c r="P401" t="n">
        <v>0</v>
      </c>
      <c r="Q401" t="n">
        <v>0</v>
      </c>
      <c r="R401" s="2" t="inlineStr"/>
    </row>
    <row r="402" ht="15" customHeight="1">
      <c r="A402" t="inlineStr">
        <is>
          <t>A 7635-2025</t>
        </is>
      </c>
      <c r="B402" s="1" t="n">
        <v>45705</v>
      </c>
      <c r="C402" s="1" t="n">
        <v>46036</v>
      </c>
      <c r="D402" t="inlineStr">
        <is>
          <t>GOTLANDS LÄN</t>
        </is>
      </c>
      <c r="E402" t="inlineStr">
        <is>
          <t>GOTLAND</t>
        </is>
      </c>
      <c r="G402" t="n">
        <v>0.9</v>
      </c>
      <c r="H402" t="n">
        <v>0</v>
      </c>
      <c r="I402" t="n">
        <v>0</v>
      </c>
      <c r="J402" t="n">
        <v>0</v>
      </c>
      <c r="K402" t="n">
        <v>0</v>
      </c>
      <c r="L402" t="n">
        <v>0</v>
      </c>
      <c r="M402" t="n">
        <v>0</v>
      </c>
      <c r="N402" t="n">
        <v>0</v>
      </c>
      <c r="O402" t="n">
        <v>0</v>
      </c>
      <c r="P402" t="n">
        <v>0</v>
      </c>
      <c r="Q402" t="n">
        <v>0</v>
      </c>
      <c r="R402" s="2" t="inlineStr"/>
    </row>
    <row r="403" ht="15" customHeight="1">
      <c r="A403" t="inlineStr">
        <is>
          <t>A 7636-2025</t>
        </is>
      </c>
      <c r="B403" s="1" t="n">
        <v>45705.7687962963</v>
      </c>
      <c r="C403" s="1" t="n">
        <v>46036</v>
      </c>
      <c r="D403" t="inlineStr">
        <is>
          <t>GOTLANDS LÄN</t>
        </is>
      </c>
      <c r="E403" t="inlineStr">
        <is>
          <t>GOTLAND</t>
        </is>
      </c>
      <c r="G403" t="n">
        <v>0.6</v>
      </c>
      <c r="H403" t="n">
        <v>0</v>
      </c>
      <c r="I403" t="n">
        <v>0</v>
      </c>
      <c r="J403" t="n">
        <v>0</v>
      </c>
      <c r="K403" t="n">
        <v>0</v>
      </c>
      <c r="L403" t="n">
        <v>0</v>
      </c>
      <c r="M403" t="n">
        <v>0</v>
      </c>
      <c r="N403" t="n">
        <v>0</v>
      </c>
      <c r="O403" t="n">
        <v>0</v>
      </c>
      <c r="P403" t="n">
        <v>0</v>
      </c>
      <c r="Q403" t="n">
        <v>0</v>
      </c>
      <c r="R403" s="2" t="inlineStr"/>
    </row>
    <row r="404" ht="15" customHeight="1">
      <c r="A404" t="inlineStr">
        <is>
          <t>A 7639-2025</t>
        </is>
      </c>
      <c r="B404" s="1" t="n">
        <v>45705.77465277778</v>
      </c>
      <c r="C404" s="1" t="n">
        <v>46036</v>
      </c>
      <c r="D404" t="inlineStr">
        <is>
          <t>GOTLANDS LÄN</t>
        </is>
      </c>
      <c r="E404" t="inlineStr">
        <is>
          <t>GOTLAND</t>
        </is>
      </c>
      <c r="G404" t="n">
        <v>1</v>
      </c>
      <c r="H404" t="n">
        <v>0</v>
      </c>
      <c r="I404" t="n">
        <v>0</v>
      </c>
      <c r="J404" t="n">
        <v>0</v>
      </c>
      <c r="K404" t="n">
        <v>0</v>
      </c>
      <c r="L404" t="n">
        <v>0</v>
      </c>
      <c r="M404" t="n">
        <v>0</v>
      </c>
      <c r="N404" t="n">
        <v>0</v>
      </c>
      <c r="O404" t="n">
        <v>0</v>
      </c>
      <c r="P404" t="n">
        <v>0</v>
      </c>
      <c r="Q404" t="n">
        <v>0</v>
      </c>
      <c r="R404" s="2" t="inlineStr"/>
    </row>
    <row r="405" ht="15" customHeight="1">
      <c r="A405" t="inlineStr">
        <is>
          <t>A 61682-2024</t>
        </is>
      </c>
      <c r="B405" s="1" t="n">
        <v>45647.48824074074</v>
      </c>
      <c r="C405" s="1" t="n">
        <v>46036</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15434-2024</t>
        </is>
      </c>
      <c r="B406" s="1" t="n">
        <v>45401.38836805556</v>
      </c>
      <c r="C406" s="1" t="n">
        <v>46036</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50928-2025</t>
        </is>
      </c>
      <c r="B407" s="1" t="n">
        <v>45946.67896990741</v>
      </c>
      <c r="C407" s="1" t="n">
        <v>46036</v>
      </c>
      <c r="D407" t="inlineStr">
        <is>
          <t>GOTLANDS LÄN</t>
        </is>
      </c>
      <c r="E407" t="inlineStr">
        <is>
          <t>GOTLAND</t>
        </is>
      </c>
      <c r="G407" t="n">
        <v>1.3</v>
      </c>
      <c r="H407" t="n">
        <v>0</v>
      </c>
      <c r="I407" t="n">
        <v>0</v>
      </c>
      <c r="J407" t="n">
        <v>0</v>
      </c>
      <c r="K407" t="n">
        <v>0</v>
      </c>
      <c r="L407" t="n">
        <v>0</v>
      </c>
      <c r="M407" t="n">
        <v>0</v>
      </c>
      <c r="N407" t="n">
        <v>0</v>
      </c>
      <c r="O407" t="n">
        <v>0</v>
      </c>
      <c r="P407" t="n">
        <v>0</v>
      </c>
      <c r="Q407" t="n">
        <v>0</v>
      </c>
      <c r="R407" s="2" t="inlineStr"/>
    </row>
    <row r="408" ht="15" customHeight="1">
      <c r="A408" t="inlineStr">
        <is>
          <t>A 51262-2025</t>
        </is>
      </c>
      <c r="B408" s="1" t="n">
        <v>45949.49872685185</v>
      </c>
      <c r="C408" s="1" t="n">
        <v>46036</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7034-2023</t>
        </is>
      </c>
      <c r="B409" s="1" t="n">
        <v>44968.32108796296</v>
      </c>
      <c r="C409" s="1" t="n">
        <v>46036</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7042-2023</t>
        </is>
      </c>
      <c r="B410" s="1" t="n">
        <v>44968</v>
      </c>
      <c r="C410" s="1" t="n">
        <v>46036</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2180-2025</t>
        </is>
      </c>
      <c r="B411" s="1" t="n">
        <v>45673</v>
      </c>
      <c r="C411" s="1" t="n">
        <v>46036</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54074-2022</t>
        </is>
      </c>
      <c r="B412" s="1" t="n">
        <v>44881</v>
      </c>
      <c r="C412" s="1" t="n">
        <v>46036</v>
      </c>
      <c r="D412" t="inlineStr">
        <is>
          <t>GOTLANDS LÄN</t>
        </is>
      </c>
      <c r="E412" t="inlineStr">
        <is>
          <t>GOTLAND</t>
        </is>
      </c>
      <c r="G412" t="n">
        <v>0.9</v>
      </c>
      <c r="H412" t="n">
        <v>0</v>
      </c>
      <c r="I412" t="n">
        <v>0</v>
      </c>
      <c r="J412" t="n">
        <v>0</v>
      </c>
      <c r="K412" t="n">
        <v>0</v>
      </c>
      <c r="L412" t="n">
        <v>0</v>
      </c>
      <c r="M412" t="n">
        <v>0</v>
      </c>
      <c r="N412" t="n">
        <v>0</v>
      </c>
      <c r="O412" t="n">
        <v>0</v>
      </c>
      <c r="P412" t="n">
        <v>0</v>
      </c>
      <c r="Q412" t="n">
        <v>0</v>
      </c>
      <c r="R412" s="2" t="inlineStr"/>
    </row>
    <row r="413" ht="15" customHeight="1">
      <c r="A413" t="inlineStr">
        <is>
          <t>A 61694-2023</t>
        </is>
      </c>
      <c r="B413" s="1" t="n">
        <v>45264</v>
      </c>
      <c r="C413" s="1" t="n">
        <v>46036</v>
      </c>
      <c r="D413" t="inlineStr">
        <is>
          <t>GOTLANDS LÄN</t>
        </is>
      </c>
      <c r="E413" t="inlineStr">
        <is>
          <t>GOTLAND</t>
        </is>
      </c>
      <c r="G413" t="n">
        <v>4.6</v>
      </c>
      <c r="H413" t="n">
        <v>0</v>
      </c>
      <c r="I413" t="n">
        <v>0</v>
      </c>
      <c r="J413" t="n">
        <v>0</v>
      </c>
      <c r="K413" t="n">
        <v>0</v>
      </c>
      <c r="L413" t="n">
        <v>0</v>
      </c>
      <c r="M413" t="n">
        <v>0</v>
      </c>
      <c r="N413" t="n">
        <v>0</v>
      </c>
      <c r="O413" t="n">
        <v>0</v>
      </c>
      <c r="P413" t="n">
        <v>0</v>
      </c>
      <c r="Q413" t="n">
        <v>0</v>
      </c>
      <c r="R413" s="2" t="inlineStr"/>
    </row>
    <row r="414" ht="15" customHeight="1">
      <c r="A414" t="inlineStr">
        <is>
          <t>A 64208-2021</t>
        </is>
      </c>
      <c r="B414" s="1" t="n">
        <v>44510</v>
      </c>
      <c r="C414" s="1" t="n">
        <v>46036</v>
      </c>
      <c r="D414" t="inlineStr">
        <is>
          <t>GOTLANDS LÄN</t>
        </is>
      </c>
      <c r="E414" t="inlineStr">
        <is>
          <t>GOTLAND</t>
        </is>
      </c>
      <c r="G414" t="n">
        <v>4.7</v>
      </c>
      <c r="H414" t="n">
        <v>0</v>
      </c>
      <c r="I414" t="n">
        <v>0</v>
      </c>
      <c r="J414" t="n">
        <v>0</v>
      </c>
      <c r="K414" t="n">
        <v>0</v>
      </c>
      <c r="L414" t="n">
        <v>0</v>
      </c>
      <c r="M414" t="n">
        <v>0</v>
      </c>
      <c r="N414" t="n">
        <v>0</v>
      </c>
      <c r="O414" t="n">
        <v>0</v>
      </c>
      <c r="P414" t="n">
        <v>0</v>
      </c>
      <c r="Q414" t="n">
        <v>0</v>
      </c>
      <c r="R414" s="2" t="inlineStr"/>
    </row>
    <row r="415" ht="15" customHeight="1">
      <c r="A415" t="inlineStr">
        <is>
          <t>A 54268-2022</t>
        </is>
      </c>
      <c r="B415" s="1" t="n">
        <v>44882</v>
      </c>
      <c r="C415" s="1" t="n">
        <v>46036</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1446-2025</t>
        </is>
      </c>
      <c r="B416" s="1" t="n">
        <v>45669.86035879629</v>
      </c>
      <c r="C416" s="1" t="n">
        <v>46036</v>
      </c>
      <c r="D416" t="inlineStr">
        <is>
          <t>GOTLANDS LÄN</t>
        </is>
      </c>
      <c r="E416" t="inlineStr">
        <is>
          <t>GOTLAND</t>
        </is>
      </c>
      <c r="G416" t="n">
        <v>3.1</v>
      </c>
      <c r="H416" t="n">
        <v>0</v>
      </c>
      <c r="I416" t="n">
        <v>0</v>
      </c>
      <c r="J416" t="n">
        <v>0</v>
      </c>
      <c r="K416" t="n">
        <v>0</v>
      </c>
      <c r="L416" t="n">
        <v>0</v>
      </c>
      <c r="M416" t="n">
        <v>0</v>
      </c>
      <c r="N416" t="n">
        <v>0</v>
      </c>
      <c r="O416" t="n">
        <v>0</v>
      </c>
      <c r="P416" t="n">
        <v>0</v>
      </c>
      <c r="Q416" t="n">
        <v>0</v>
      </c>
      <c r="R416" s="2" t="inlineStr"/>
    </row>
    <row r="417" ht="15" customHeight="1">
      <c r="A417" t="inlineStr">
        <is>
          <t>A 1462-2025</t>
        </is>
      </c>
      <c r="B417" s="1" t="n">
        <v>45670.36319444444</v>
      </c>
      <c r="C417" s="1" t="n">
        <v>46036</v>
      </c>
      <c r="D417" t="inlineStr">
        <is>
          <t>GOTLANDS LÄN</t>
        </is>
      </c>
      <c r="E417" t="inlineStr">
        <is>
          <t>GOTLAND</t>
        </is>
      </c>
      <c r="G417" t="n">
        <v>2.8</v>
      </c>
      <c r="H417" t="n">
        <v>0</v>
      </c>
      <c r="I417" t="n">
        <v>0</v>
      </c>
      <c r="J417" t="n">
        <v>0</v>
      </c>
      <c r="K417" t="n">
        <v>0</v>
      </c>
      <c r="L417" t="n">
        <v>0</v>
      </c>
      <c r="M417" t="n">
        <v>0</v>
      </c>
      <c r="N417" t="n">
        <v>0</v>
      </c>
      <c r="O417" t="n">
        <v>0</v>
      </c>
      <c r="P417" t="n">
        <v>0</v>
      </c>
      <c r="Q417" t="n">
        <v>0</v>
      </c>
      <c r="R417" s="2" t="inlineStr"/>
    </row>
    <row r="418" ht="15" customHeight="1">
      <c r="A418" t="inlineStr">
        <is>
          <t>A 57685-2022</t>
        </is>
      </c>
      <c r="B418" s="1" t="n">
        <v>44897.4777662037</v>
      </c>
      <c r="C418" s="1" t="n">
        <v>46036</v>
      </c>
      <c r="D418" t="inlineStr">
        <is>
          <t>GOTLANDS LÄN</t>
        </is>
      </c>
      <c r="E418" t="inlineStr">
        <is>
          <t>GOTLAND</t>
        </is>
      </c>
      <c r="G418" t="n">
        <v>3.7</v>
      </c>
      <c r="H418" t="n">
        <v>0</v>
      </c>
      <c r="I418" t="n">
        <v>0</v>
      </c>
      <c r="J418" t="n">
        <v>0</v>
      </c>
      <c r="K418" t="n">
        <v>0</v>
      </c>
      <c r="L418" t="n">
        <v>0</v>
      </c>
      <c r="M418" t="n">
        <v>0</v>
      </c>
      <c r="N418" t="n">
        <v>0</v>
      </c>
      <c r="O418" t="n">
        <v>0</v>
      </c>
      <c r="P418" t="n">
        <v>0</v>
      </c>
      <c r="Q418" t="n">
        <v>0</v>
      </c>
      <c r="R418" s="2" t="inlineStr"/>
    </row>
    <row r="419" ht="15" customHeight="1">
      <c r="A419" t="inlineStr">
        <is>
          <t>A 52249-2025</t>
        </is>
      </c>
      <c r="B419" s="1" t="n">
        <v>45953.48637731482</v>
      </c>
      <c r="C419" s="1" t="n">
        <v>46036</v>
      </c>
      <c r="D419" t="inlineStr">
        <is>
          <t>GOTLANDS LÄN</t>
        </is>
      </c>
      <c r="E419" t="inlineStr">
        <is>
          <t>GOTLAND</t>
        </is>
      </c>
      <c r="F419" t="inlineStr">
        <is>
          <t>Övriga Aktiebolag</t>
        </is>
      </c>
      <c r="G419" t="n">
        <v>1</v>
      </c>
      <c r="H419" t="n">
        <v>0</v>
      </c>
      <c r="I419" t="n">
        <v>0</v>
      </c>
      <c r="J419" t="n">
        <v>0</v>
      </c>
      <c r="K419" t="n">
        <v>0</v>
      </c>
      <c r="L419" t="n">
        <v>0</v>
      </c>
      <c r="M419" t="n">
        <v>0</v>
      </c>
      <c r="N419" t="n">
        <v>0</v>
      </c>
      <c r="O419" t="n">
        <v>0</v>
      </c>
      <c r="P419" t="n">
        <v>0</v>
      </c>
      <c r="Q419" t="n">
        <v>0</v>
      </c>
      <c r="R419" s="2" t="inlineStr"/>
    </row>
    <row r="420" ht="15" customHeight="1">
      <c r="A420" t="inlineStr">
        <is>
          <t>A 811-2023</t>
        </is>
      </c>
      <c r="B420" s="1" t="n">
        <v>44931</v>
      </c>
      <c r="C420" s="1" t="n">
        <v>46036</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52637-2025</t>
        </is>
      </c>
      <c r="B421" s="1" t="n">
        <v>45954.75099537037</v>
      </c>
      <c r="C421" s="1" t="n">
        <v>46036</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5905-2024</t>
        </is>
      </c>
      <c r="B422" s="1" t="n">
        <v>45335.88993055555</v>
      </c>
      <c r="C422" s="1" t="n">
        <v>46036</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3431-2025</t>
        </is>
      </c>
      <c r="B423" s="1" t="n">
        <v>45680.42935185185</v>
      </c>
      <c r="C423" s="1" t="n">
        <v>46036</v>
      </c>
      <c r="D423" t="inlineStr">
        <is>
          <t>GOTLANDS LÄN</t>
        </is>
      </c>
      <c r="E423" t="inlineStr">
        <is>
          <t>GOTLAND</t>
        </is>
      </c>
      <c r="G423" t="n">
        <v>4.8</v>
      </c>
      <c r="H423" t="n">
        <v>0</v>
      </c>
      <c r="I423" t="n">
        <v>0</v>
      </c>
      <c r="J423" t="n">
        <v>0</v>
      </c>
      <c r="K423" t="n">
        <v>0</v>
      </c>
      <c r="L423" t="n">
        <v>0</v>
      </c>
      <c r="M423" t="n">
        <v>0</v>
      </c>
      <c r="N423" t="n">
        <v>0</v>
      </c>
      <c r="O423" t="n">
        <v>0</v>
      </c>
      <c r="P423" t="n">
        <v>0</v>
      </c>
      <c r="Q423" t="n">
        <v>0</v>
      </c>
      <c r="R423" s="2" t="inlineStr"/>
    </row>
    <row r="424" ht="15" customHeight="1">
      <c r="A424" t="inlineStr">
        <is>
          <t>A 34407-2023</t>
        </is>
      </c>
      <c r="B424" s="1" t="n">
        <v>45132</v>
      </c>
      <c r="C424" s="1" t="n">
        <v>46036</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30892-2024</t>
        </is>
      </c>
      <c r="B425" s="1" t="n">
        <v>45491</v>
      </c>
      <c r="C425" s="1" t="n">
        <v>46036</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32958-2021</t>
        </is>
      </c>
      <c r="B426" s="1" t="n">
        <v>44376</v>
      </c>
      <c r="C426" s="1" t="n">
        <v>46036</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7858-2025</t>
        </is>
      </c>
      <c r="B427" s="1" t="n">
        <v>45706.68633101852</v>
      </c>
      <c r="C427" s="1" t="n">
        <v>46036</v>
      </c>
      <c r="D427" t="inlineStr">
        <is>
          <t>GOTLANDS LÄN</t>
        </is>
      </c>
      <c r="E427" t="inlineStr">
        <is>
          <t>GOTLAND</t>
        </is>
      </c>
      <c r="G427" t="n">
        <v>3</v>
      </c>
      <c r="H427" t="n">
        <v>0</v>
      </c>
      <c r="I427" t="n">
        <v>0</v>
      </c>
      <c r="J427" t="n">
        <v>0</v>
      </c>
      <c r="K427" t="n">
        <v>0</v>
      </c>
      <c r="L427" t="n">
        <v>0</v>
      </c>
      <c r="M427" t="n">
        <v>0</v>
      </c>
      <c r="N427" t="n">
        <v>0</v>
      </c>
      <c r="O427" t="n">
        <v>0</v>
      </c>
      <c r="P427" t="n">
        <v>0</v>
      </c>
      <c r="Q427" t="n">
        <v>0</v>
      </c>
      <c r="R427" s="2" t="inlineStr"/>
    </row>
    <row r="428" ht="15" customHeight="1">
      <c r="A428" t="inlineStr">
        <is>
          <t>A 46545-2024</t>
        </is>
      </c>
      <c r="B428" s="1" t="n">
        <v>45582.65831018519</v>
      </c>
      <c r="C428" s="1" t="n">
        <v>46036</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999-2023</t>
        </is>
      </c>
      <c r="B429" s="1" t="n">
        <v>44935</v>
      </c>
      <c r="C429" s="1" t="n">
        <v>46036</v>
      </c>
      <c r="D429" t="inlineStr">
        <is>
          <t>GOTLANDS LÄN</t>
        </is>
      </c>
      <c r="E429" t="inlineStr">
        <is>
          <t>GOTLAND</t>
        </is>
      </c>
      <c r="G429" t="n">
        <v>4.7</v>
      </c>
      <c r="H429" t="n">
        <v>0</v>
      </c>
      <c r="I429" t="n">
        <v>0</v>
      </c>
      <c r="J429" t="n">
        <v>0</v>
      </c>
      <c r="K429" t="n">
        <v>0</v>
      </c>
      <c r="L429" t="n">
        <v>0</v>
      </c>
      <c r="M429" t="n">
        <v>0</v>
      </c>
      <c r="N429" t="n">
        <v>0</v>
      </c>
      <c r="O429" t="n">
        <v>0</v>
      </c>
      <c r="P429" t="n">
        <v>0</v>
      </c>
      <c r="Q429" t="n">
        <v>0</v>
      </c>
      <c r="R429" s="2" t="inlineStr"/>
    </row>
    <row r="430" ht="15" customHeight="1">
      <c r="A430" t="inlineStr">
        <is>
          <t>A 1364-2025</t>
        </is>
      </c>
      <c r="B430" s="1" t="n">
        <v>45667.63929398148</v>
      </c>
      <c r="C430" s="1" t="n">
        <v>46036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2125-2025</t>
        </is>
      </c>
      <c r="B431" s="1" t="n">
        <v>45672.64940972222</v>
      </c>
      <c r="C431" s="1" t="n">
        <v>46036</v>
      </c>
      <c r="D431" t="inlineStr">
        <is>
          <t>GOTLANDS LÄN</t>
        </is>
      </c>
      <c r="E431" t="inlineStr">
        <is>
          <t>GOTLAND</t>
        </is>
      </c>
      <c r="G431" t="n">
        <v>2.3</v>
      </c>
      <c r="H431" t="n">
        <v>0</v>
      </c>
      <c r="I431" t="n">
        <v>0</v>
      </c>
      <c r="J431" t="n">
        <v>0</v>
      </c>
      <c r="K431" t="n">
        <v>0</v>
      </c>
      <c r="L431" t="n">
        <v>0</v>
      </c>
      <c r="M431" t="n">
        <v>0</v>
      </c>
      <c r="N431" t="n">
        <v>0</v>
      </c>
      <c r="O431" t="n">
        <v>0</v>
      </c>
      <c r="P431" t="n">
        <v>0</v>
      </c>
      <c r="Q431" t="n">
        <v>0</v>
      </c>
      <c r="R431" s="2" t="inlineStr"/>
    </row>
    <row r="432" ht="15" customHeight="1">
      <c r="A432" t="inlineStr">
        <is>
          <t>A 14141-2024</t>
        </is>
      </c>
      <c r="B432" s="1" t="n">
        <v>45392.85193287037</v>
      </c>
      <c r="C432" s="1" t="n">
        <v>46036</v>
      </c>
      <c r="D432" t="inlineStr">
        <is>
          <t>GOTLANDS LÄN</t>
        </is>
      </c>
      <c r="E432" t="inlineStr">
        <is>
          <t>GOTLAND</t>
        </is>
      </c>
      <c r="G432" t="n">
        <v>5.3</v>
      </c>
      <c r="H432" t="n">
        <v>0</v>
      </c>
      <c r="I432" t="n">
        <v>0</v>
      </c>
      <c r="J432" t="n">
        <v>0</v>
      </c>
      <c r="K432" t="n">
        <v>0</v>
      </c>
      <c r="L432" t="n">
        <v>0</v>
      </c>
      <c r="M432" t="n">
        <v>0</v>
      </c>
      <c r="N432" t="n">
        <v>0</v>
      </c>
      <c r="O432" t="n">
        <v>0</v>
      </c>
      <c r="P432" t="n">
        <v>0</v>
      </c>
      <c r="Q432" t="n">
        <v>0</v>
      </c>
      <c r="R432" s="2" t="inlineStr"/>
    </row>
    <row r="433" ht="15" customHeight="1">
      <c r="A433" t="inlineStr">
        <is>
          <t>A 53577-2025</t>
        </is>
      </c>
      <c r="B433" s="1" t="n">
        <v>45960.42224537037</v>
      </c>
      <c r="C433" s="1" t="n">
        <v>46036</v>
      </c>
      <c r="D433" t="inlineStr">
        <is>
          <t>GOTLANDS LÄN</t>
        </is>
      </c>
      <c r="E433" t="inlineStr">
        <is>
          <t>GOTLAND</t>
        </is>
      </c>
      <c r="F433" t="inlineStr">
        <is>
          <t>Övriga Aktiebolag</t>
        </is>
      </c>
      <c r="G433" t="n">
        <v>3.3</v>
      </c>
      <c r="H433" t="n">
        <v>0</v>
      </c>
      <c r="I433" t="n">
        <v>0</v>
      </c>
      <c r="J433" t="n">
        <v>0</v>
      </c>
      <c r="K433" t="n">
        <v>0</v>
      </c>
      <c r="L433" t="n">
        <v>0</v>
      </c>
      <c r="M433" t="n">
        <v>0</v>
      </c>
      <c r="N433" t="n">
        <v>0</v>
      </c>
      <c r="O433" t="n">
        <v>0</v>
      </c>
      <c r="P433" t="n">
        <v>0</v>
      </c>
      <c r="Q433" t="n">
        <v>0</v>
      </c>
      <c r="R433" s="2" t="inlineStr"/>
    </row>
    <row r="434" ht="15" customHeight="1">
      <c r="A434" t="inlineStr">
        <is>
          <t>A 12155-2023</t>
        </is>
      </c>
      <c r="B434" s="1" t="n">
        <v>44998.49106481481</v>
      </c>
      <c r="C434" s="1" t="n">
        <v>46036</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53569-2025</t>
        </is>
      </c>
      <c r="B435" s="1" t="n">
        <v>45960.41155092593</v>
      </c>
      <c r="C435" s="1" t="n">
        <v>46036</v>
      </c>
      <c r="D435" t="inlineStr">
        <is>
          <t>GOTLANDS LÄN</t>
        </is>
      </c>
      <c r="E435" t="inlineStr">
        <is>
          <t>GOTLAND</t>
        </is>
      </c>
      <c r="F435" t="inlineStr">
        <is>
          <t>Övriga Aktiebolag</t>
        </is>
      </c>
      <c r="G435" t="n">
        <v>11.3</v>
      </c>
      <c r="H435" t="n">
        <v>0</v>
      </c>
      <c r="I435" t="n">
        <v>0</v>
      </c>
      <c r="J435" t="n">
        <v>0</v>
      </c>
      <c r="K435" t="n">
        <v>0</v>
      </c>
      <c r="L435" t="n">
        <v>0</v>
      </c>
      <c r="M435" t="n">
        <v>0</v>
      </c>
      <c r="N435" t="n">
        <v>0</v>
      </c>
      <c r="O435" t="n">
        <v>0</v>
      </c>
      <c r="P435" t="n">
        <v>0</v>
      </c>
      <c r="Q435" t="n">
        <v>0</v>
      </c>
      <c r="R435" s="2" t="inlineStr"/>
    </row>
    <row r="436" ht="15" customHeight="1">
      <c r="A436" t="inlineStr">
        <is>
          <t>A 53587-2025</t>
        </is>
      </c>
      <c r="B436" s="1" t="n">
        <v>45960.43681712963</v>
      </c>
      <c r="C436" s="1" t="n">
        <v>46036</v>
      </c>
      <c r="D436" t="inlineStr">
        <is>
          <t>GOTLANDS LÄN</t>
        </is>
      </c>
      <c r="E436" t="inlineStr">
        <is>
          <t>GOTLAND</t>
        </is>
      </c>
      <c r="F436" t="inlineStr">
        <is>
          <t>Övriga Aktiebolag</t>
        </is>
      </c>
      <c r="G436" t="n">
        <v>1.7</v>
      </c>
      <c r="H436" t="n">
        <v>0</v>
      </c>
      <c r="I436" t="n">
        <v>0</v>
      </c>
      <c r="J436" t="n">
        <v>0</v>
      </c>
      <c r="K436" t="n">
        <v>0</v>
      </c>
      <c r="L436" t="n">
        <v>0</v>
      </c>
      <c r="M436" t="n">
        <v>0</v>
      </c>
      <c r="N436" t="n">
        <v>0</v>
      </c>
      <c r="O436" t="n">
        <v>0</v>
      </c>
      <c r="P436" t="n">
        <v>0</v>
      </c>
      <c r="Q436" t="n">
        <v>0</v>
      </c>
      <c r="R436" s="2" t="inlineStr"/>
    </row>
    <row r="437" ht="15" customHeight="1">
      <c r="A437" t="inlineStr">
        <is>
          <t>A 2774-2024</t>
        </is>
      </c>
      <c r="B437" s="1" t="n">
        <v>45314.62375</v>
      </c>
      <c r="C437" s="1" t="n">
        <v>46036</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9947-2024</t>
        </is>
      </c>
      <c r="B438" s="1" t="n">
        <v>45363</v>
      </c>
      <c r="C438" s="1" t="n">
        <v>46036</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42007-2023</t>
        </is>
      </c>
      <c r="B439" s="1" t="n">
        <v>45177</v>
      </c>
      <c r="C439" s="1" t="n">
        <v>46036</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54584-2025</t>
        </is>
      </c>
      <c r="B440" s="1" t="n">
        <v>45965.71788194445</v>
      </c>
      <c r="C440" s="1" t="n">
        <v>46036</v>
      </c>
      <c r="D440" t="inlineStr">
        <is>
          <t>GOTLANDS LÄN</t>
        </is>
      </c>
      <c r="E440" t="inlineStr">
        <is>
          <t>GOTLAND</t>
        </is>
      </c>
      <c r="G440" t="n">
        <v>3.5</v>
      </c>
      <c r="H440" t="n">
        <v>0</v>
      </c>
      <c r="I440" t="n">
        <v>0</v>
      </c>
      <c r="J440" t="n">
        <v>0</v>
      </c>
      <c r="K440" t="n">
        <v>0</v>
      </c>
      <c r="L440" t="n">
        <v>0</v>
      </c>
      <c r="M440" t="n">
        <v>0</v>
      </c>
      <c r="N440" t="n">
        <v>0</v>
      </c>
      <c r="O440" t="n">
        <v>0</v>
      </c>
      <c r="P440" t="n">
        <v>0</v>
      </c>
      <c r="Q440" t="n">
        <v>0</v>
      </c>
      <c r="R440" s="2" t="inlineStr"/>
    </row>
    <row r="441" ht="15" customHeight="1">
      <c r="A441" t="inlineStr">
        <is>
          <t>A 53561-2025</t>
        </is>
      </c>
      <c r="B441" s="1" t="n">
        <v>45960.4059375</v>
      </c>
      <c r="C441" s="1" t="n">
        <v>46036</v>
      </c>
      <c r="D441" t="inlineStr">
        <is>
          <t>GOTLANDS LÄN</t>
        </is>
      </c>
      <c r="E441" t="inlineStr">
        <is>
          <t>GOTLAND</t>
        </is>
      </c>
      <c r="F441" t="inlineStr">
        <is>
          <t>Övriga Aktiebolag</t>
        </is>
      </c>
      <c r="G441" t="n">
        <v>2.4</v>
      </c>
      <c r="H441" t="n">
        <v>0</v>
      </c>
      <c r="I441" t="n">
        <v>0</v>
      </c>
      <c r="J441" t="n">
        <v>0</v>
      </c>
      <c r="K441" t="n">
        <v>0</v>
      </c>
      <c r="L441" t="n">
        <v>0</v>
      </c>
      <c r="M441" t="n">
        <v>0</v>
      </c>
      <c r="N441" t="n">
        <v>0</v>
      </c>
      <c r="O441" t="n">
        <v>0</v>
      </c>
      <c r="P441" t="n">
        <v>0</v>
      </c>
      <c r="Q441" t="n">
        <v>0</v>
      </c>
      <c r="R441" s="2" t="inlineStr"/>
    </row>
    <row r="442" ht="15" customHeight="1">
      <c r="A442" t="inlineStr">
        <is>
          <t>A 62103-2025</t>
        </is>
      </c>
      <c r="B442" s="1" t="n">
        <v>46006.41638888889</v>
      </c>
      <c r="C442" s="1" t="n">
        <v>46036</v>
      </c>
      <c r="D442" t="inlineStr">
        <is>
          <t>GOTLANDS LÄN</t>
        </is>
      </c>
      <c r="E442" t="inlineStr">
        <is>
          <t>GOTLAND</t>
        </is>
      </c>
      <c r="F442" t="inlineStr">
        <is>
          <t>Övriga Aktiebolag</t>
        </is>
      </c>
      <c r="G442" t="n">
        <v>1.7</v>
      </c>
      <c r="H442" t="n">
        <v>0</v>
      </c>
      <c r="I442" t="n">
        <v>0</v>
      </c>
      <c r="J442" t="n">
        <v>0</v>
      </c>
      <c r="K442" t="n">
        <v>0</v>
      </c>
      <c r="L442" t="n">
        <v>0</v>
      </c>
      <c r="M442" t="n">
        <v>0</v>
      </c>
      <c r="N442" t="n">
        <v>0</v>
      </c>
      <c r="O442" t="n">
        <v>0</v>
      </c>
      <c r="P442" t="n">
        <v>0</v>
      </c>
      <c r="Q442" t="n">
        <v>0</v>
      </c>
      <c r="R442" s="2" t="inlineStr"/>
    </row>
    <row r="443" ht="15" customHeight="1">
      <c r="A443" t="inlineStr">
        <is>
          <t>A 62066-2025</t>
        </is>
      </c>
      <c r="B443" s="1" t="n">
        <v>46006.34738425926</v>
      </c>
      <c r="C443" s="1" t="n">
        <v>46036</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15083-2025</t>
        </is>
      </c>
      <c r="B444" s="1" t="n">
        <v>45743</v>
      </c>
      <c r="C444" s="1" t="n">
        <v>46036</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63002-2025</t>
        </is>
      </c>
      <c r="B445" s="1" t="n">
        <v>46009.56564814815</v>
      </c>
      <c r="C445" s="1" t="n">
        <v>46036</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1066-2024</t>
        </is>
      </c>
      <c r="B446" s="1" t="n">
        <v>45302.285</v>
      </c>
      <c r="C446" s="1" t="n">
        <v>46036</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37202-2024</t>
        </is>
      </c>
      <c r="B447" s="1" t="n">
        <v>45539.67310185185</v>
      </c>
      <c r="C447" s="1" t="n">
        <v>46036</v>
      </c>
      <c r="D447" t="inlineStr">
        <is>
          <t>GOTLANDS LÄN</t>
        </is>
      </c>
      <c r="E447" t="inlineStr">
        <is>
          <t>GOTLAND</t>
        </is>
      </c>
      <c r="G447" t="n">
        <v>0.3</v>
      </c>
      <c r="H447" t="n">
        <v>0</v>
      </c>
      <c r="I447" t="n">
        <v>0</v>
      </c>
      <c r="J447" t="n">
        <v>0</v>
      </c>
      <c r="K447" t="n">
        <v>0</v>
      </c>
      <c r="L447" t="n">
        <v>0</v>
      </c>
      <c r="M447" t="n">
        <v>0</v>
      </c>
      <c r="N447" t="n">
        <v>0</v>
      </c>
      <c r="O447" t="n">
        <v>0</v>
      </c>
      <c r="P447" t="n">
        <v>0</v>
      </c>
      <c r="Q447" t="n">
        <v>0</v>
      </c>
      <c r="R447" s="2" t="inlineStr"/>
    </row>
    <row r="448" ht="15" customHeight="1">
      <c r="A448" t="inlineStr">
        <is>
          <t>A 61080-2025</t>
        </is>
      </c>
      <c r="B448" s="1" t="n">
        <v>46000</v>
      </c>
      <c r="C448" s="1" t="n">
        <v>46036</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30815-2023</t>
        </is>
      </c>
      <c r="B449" s="1" t="n">
        <v>45112</v>
      </c>
      <c r="C449" s="1" t="n">
        <v>46036</v>
      </c>
      <c r="D449" t="inlineStr">
        <is>
          <t>GOTLANDS LÄN</t>
        </is>
      </c>
      <c r="E449" t="inlineStr">
        <is>
          <t>GOTLAND</t>
        </is>
      </c>
      <c r="G449" t="n">
        <v>6</v>
      </c>
      <c r="H449" t="n">
        <v>0</v>
      </c>
      <c r="I449" t="n">
        <v>0</v>
      </c>
      <c r="J449" t="n">
        <v>0</v>
      </c>
      <c r="K449" t="n">
        <v>0</v>
      </c>
      <c r="L449" t="n">
        <v>0</v>
      </c>
      <c r="M449" t="n">
        <v>0</v>
      </c>
      <c r="N449" t="n">
        <v>0</v>
      </c>
      <c r="O449" t="n">
        <v>0</v>
      </c>
      <c r="P449" t="n">
        <v>0</v>
      </c>
      <c r="Q449" t="n">
        <v>0</v>
      </c>
      <c r="R449" s="2" t="inlineStr"/>
    </row>
    <row r="450" ht="15" customHeight="1">
      <c r="A450" t="inlineStr">
        <is>
          <t>A 61078-2025</t>
        </is>
      </c>
      <c r="B450" s="1" t="n">
        <v>46000</v>
      </c>
      <c r="C450" s="1" t="n">
        <v>46036</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46400-2023</t>
        </is>
      </c>
      <c r="B451" s="1" t="n">
        <v>45197.49290509259</v>
      </c>
      <c r="C451" s="1" t="n">
        <v>46036</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10492-2023</t>
        </is>
      </c>
      <c r="B452" s="1" t="n">
        <v>44987</v>
      </c>
      <c r="C452" s="1" t="n">
        <v>46036</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56688-2025</t>
        </is>
      </c>
      <c r="B453" s="1" t="n">
        <v>45975.84331018518</v>
      </c>
      <c r="C453" s="1" t="n">
        <v>46036</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62751-2025</t>
        </is>
      </c>
      <c r="B454" s="1" t="n">
        <v>46008.58076388889</v>
      </c>
      <c r="C454" s="1" t="n">
        <v>46036</v>
      </c>
      <c r="D454" t="inlineStr">
        <is>
          <t>GOTLANDS LÄN</t>
        </is>
      </c>
      <c r="E454" t="inlineStr">
        <is>
          <t>GOTLAND</t>
        </is>
      </c>
      <c r="F454" t="inlineStr">
        <is>
          <t>Övriga Aktiebolag</t>
        </is>
      </c>
      <c r="G454" t="n">
        <v>7.8</v>
      </c>
      <c r="H454" t="n">
        <v>0</v>
      </c>
      <c r="I454" t="n">
        <v>0</v>
      </c>
      <c r="J454" t="n">
        <v>0</v>
      </c>
      <c r="K454" t="n">
        <v>0</v>
      </c>
      <c r="L454" t="n">
        <v>0</v>
      </c>
      <c r="M454" t="n">
        <v>0</v>
      </c>
      <c r="N454" t="n">
        <v>0</v>
      </c>
      <c r="O454" t="n">
        <v>0</v>
      </c>
      <c r="P454" t="n">
        <v>0</v>
      </c>
      <c r="Q454" t="n">
        <v>0</v>
      </c>
      <c r="R454" s="2" t="inlineStr"/>
    </row>
    <row r="455" ht="15" customHeight="1">
      <c r="A455" t="inlineStr">
        <is>
          <t>A 44919-2022</t>
        </is>
      </c>
      <c r="B455" s="1" t="n">
        <v>44841</v>
      </c>
      <c r="C455" s="1" t="n">
        <v>46036</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62754-2025</t>
        </is>
      </c>
      <c r="B456" s="1" t="n">
        <v>46008.58765046296</v>
      </c>
      <c r="C456" s="1" t="n">
        <v>46036</v>
      </c>
      <c r="D456" t="inlineStr">
        <is>
          <t>GOTLANDS LÄN</t>
        </is>
      </c>
      <c r="E456" t="inlineStr">
        <is>
          <t>GOTLAND</t>
        </is>
      </c>
      <c r="F456" t="inlineStr">
        <is>
          <t>Övriga Aktiebolag</t>
        </is>
      </c>
      <c r="G456" t="n">
        <v>2.9</v>
      </c>
      <c r="H456" t="n">
        <v>0</v>
      </c>
      <c r="I456" t="n">
        <v>0</v>
      </c>
      <c r="J456" t="n">
        <v>0</v>
      </c>
      <c r="K456" t="n">
        <v>0</v>
      </c>
      <c r="L456" t="n">
        <v>0</v>
      </c>
      <c r="M456" t="n">
        <v>0</v>
      </c>
      <c r="N456" t="n">
        <v>0</v>
      </c>
      <c r="O456" t="n">
        <v>0</v>
      </c>
      <c r="P456" t="n">
        <v>0</v>
      </c>
      <c r="Q456" t="n">
        <v>0</v>
      </c>
      <c r="R456" s="2" t="inlineStr"/>
    </row>
    <row r="457" ht="15" customHeight="1">
      <c r="A457" t="inlineStr">
        <is>
          <t>A 16501-2023</t>
        </is>
      </c>
      <c r="B457" s="1" t="n">
        <v>45029</v>
      </c>
      <c r="C457" s="1" t="n">
        <v>46036</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56799-2025</t>
        </is>
      </c>
      <c r="B458" s="1" t="n">
        <v>45978.43392361111</v>
      </c>
      <c r="C458" s="1" t="n">
        <v>46036</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63000-2025</t>
        </is>
      </c>
      <c r="B459" s="1" t="n">
        <v>46009.56434027778</v>
      </c>
      <c r="C459" s="1" t="n">
        <v>46036</v>
      </c>
      <c r="D459" t="inlineStr">
        <is>
          <t>GOTLANDS LÄN</t>
        </is>
      </c>
      <c r="E459" t="inlineStr">
        <is>
          <t>GOTLAND</t>
        </is>
      </c>
      <c r="F459" t="inlineStr">
        <is>
          <t>Övriga Aktiebolag</t>
        </is>
      </c>
      <c r="G459" t="n">
        <v>1.7</v>
      </c>
      <c r="H459" t="n">
        <v>0</v>
      </c>
      <c r="I459" t="n">
        <v>0</v>
      </c>
      <c r="J459" t="n">
        <v>0</v>
      </c>
      <c r="K459" t="n">
        <v>0</v>
      </c>
      <c r="L459" t="n">
        <v>0</v>
      </c>
      <c r="M459" t="n">
        <v>0</v>
      </c>
      <c r="N459" t="n">
        <v>0</v>
      </c>
      <c r="O459" t="n">
        <v>0</v>
      </c>
      <c r="P459" t="n">
        <v>0</v>
      </c>
      <c r="Q459" t="n">
        <v>0</v>
      </c>
      <c r="R459" s="2" t="inlineStr"/>
    </row>
    <row r="460" ht="15" customHeight="1">
      <c r="A460" t="inlineStr">
        <is>
          <t>A 27095-2022</t>
        </is>
      </c>
      <c r="B460" s="1" t="n">
        <v>44741</v>
      </c>
      <c r="C460" s="1" t="n">
        <v>46036</v>
      </c>
      <c r="D460" t="inlineStr">
        <is>
          <t>GOTLANDS LÄN</t>
        </is>
      </c>
      <c r="E460" t="inlineStr">
        <is>
          <t>GOTLAND</t>
        </is>
      </c>
      <c r="F460" t="inlineStr">
        <is>
          <t>Övriga Aktiebolag</t>
        </is>
      </c>
      <c r="G460" t="n">
        <v>2.9</v>
      </c>
      <c r="H460" t="n">
        <v>0</v>
      </c>
      <c r="I460" t="n">
        <v>0</v>
      </c>
      <c r="J460" t="n">
        <v>0</v>
      </c>
      <c r="K460" t="n">
        <v>0</v>
      </c>
      <c r="L460" t="n">
        <v>0</v>
      </c>
      <c r="M460" t="n">
        <v>0</v>
      </c>
      <c r="N460" t="n">
        <v>0</v>
      </c>
      <c r="O460" t="n">
        <v>0</v>
      </c>
      <c r="P460" t="n">
        <v>0</v>
      </c>
      <c r="Q460" t="n">
        <v>0</v>
      </c>
      <c r="R460" s="2" t="inlineStr"/>
    </row>
    <row r="461" ht="15" customHeight="1">
      <c r="A461" t="inlineStr">
        <is>
          <t>A 458-2023</t>
        </is>
      </c>
      <c r="B461" s="1" t="n">
        <v>44929</v>
      </c>
      <c r="C461" s="1" t="n">
        <v>46036</v>
      </c>
      <c r="D461" t="inlineStr">
        <is>
          <t>GOTLANDS LÄN</t>
        </is>
      </c>
      <c r="E461" t="inlineStr">
        <is>
          <t>GOTLAND</t>
        </is>
      </c>
      <c r="G461" t="n">
        <v>3.6</v>
      </c>
      <c r="H461" t="n">
        <v>0</v>
      </c>
      <c r="I461" t="n">
        <v>0</v>
      </c>
      <c r="J461" t="n">
        <v>0</v>
      </c>
      <c r="K461" t="n">
        <v>0</v>
      </c>
      <c r="L461" t="n">
        <v>0</v>
      </c>
      <c r="M461" t="n">
        <v>0</v>
      </c>
      <c r="N461" t="n">
        <v>0</v>
      </c>
      <c r="O461" t="n">
        <v>0</v>
      </c>
      <c r="P461" t="n">
        <v>0</v>
      </c>
      <c r="Q461" t="n">
        <v>0</v>
      </c>
      <c r="R461" s="2" t="inlineStr"/>
    </row>
    <row r="462" ht="15" customHeight="1">
      <c r="A462" t="inlineStr">
        <is>
          <t>A 1291-2023</t>
        </is>
      </c>
      <c r="B462" s="1" t="n">
        <v>44936.47561342592</v>
      </c>
      <c r="C462" s="1" t="n">
        <v>46036</v>
      </c>
      <c r="D462" t="inlineStr">
        <is>
          <t>GOTLANDS LÄN</t>
        </is>
      </c>
      <c r="E462" t="inlineStr">
        <is>
          <t>GOTLAND</t>
        </is>
      </c>
      <c r="G462" t="n">
        <v>7.4</v>
      </c>
      <c r="H462" t="n">
        <v>0</v>
      </c>
      <c r="I462" t="n">
        <v>0</v>
      </c>
      <c r="J462" t="n">
        <v>0</v>
      </c>
      <c r="K462" t="n">
        <v>0</v>
      </c>
      <c r="L462" t="n">
        <v>0</v>
      </c>
      <c r="M462" t="n">
        <v>0</v>
      </c>
      <c r="N462" t="n">
        <v>0</v>
      </c>
      <c r="O462" t="n">
        <v>0</v>
      </c>
      <c r="P462" t="n">
        <v>0</v>
      </c>
      <c r="Q462" t="n">
        <v>0</v>
      </c>
      <c r="R462" s="2" t="inlineStr"/>
    </row>
    <row r="463" ht="15" customHeight="1">
      <c r="A463" t="inlineStr">
        <is>
          <t>A 32330-2024</t>
        </is>
      </c>
      <c r="B463" s="1" t="n">
        <v>45512</v>
      </c>
      <c r="C463" s="1" t="n">
        <v>46036</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5891-2025</t>
        </is>
      </c>
      <c r="B464" s="1" t="n">
        <v>45695.38327546296</v>
      </c>
      <c r="C464" s="1" t="n">
        <v>46036</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14804-2021</t>
        </is>
      </c>
      <c r="B465" s="1" t="n">
        <v>44280</v>
      </c>
      <c r="C465" s="1" t="n">
        <v>46036</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2719-2023</t>
        </is>
      </c>
      <c r="B466" s="1" t="n">
        <v>44944.55361111111</v>
      </c>
      <c r="C466" s="1" t="n">
        <v>46036</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17144-2025</t>
        </is>
      </c>
      <c r="B467" s="1" t="n">
        <v>45755.9499537037</v>
      </c>
      <c r="C467" s="1" t="n">
        <v>46036</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49314-2024</t>
        </is>
      </c>
      <c r="B468" s="1" t="n">
        <v>45595.55893518519</v>
      </c>
      <c r="C468" s="1" t="n">
        <v>46036</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9875-2025</t>
        </is>
      </c>
      <c r="B469" s="1" t="n">
        <v>45716</v>
      </c>
      <c r="C469" s="1" t="n">
        <v>46036</v>
      </c>
      <c r="D469" t="inlineStr">
        <is>
          <t>GOTLANDS LÄN</t>
        </is>
      </c>
      <c r="E469" t="inlineStr">
        <is>
          <t>GOTLAND</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36-2026</t>
        </is>
      </c>
      <c r="B470" s="1" t="n">
        <v>46024.38886574074</v>
      </c>
      <c r="C470" s="1" t="n">
        <v>46036</v>
      </c>
      <c r="D470" t="inlineStr">
        <is>
          <t>GOTLANDS LÄN</t>
        </is>
      </c>
      <c r="E470" t="inlineStr">
        <is>
          <t>GOTLAND</t>
        </is>
      </c>
      <c r="G470" t="n">
        <v>1</v>
      </c>
      <c r="H470" t="n">
        <v>0</v>
      </c>
      <c r="I470" t="n">
        <v>0</v>
      </c>
      <c r="J470" t="n">
        <v>0</v>
      </c>
      <c r="K470" t="n">
        <v>0</v>
      </c>
      <c r="L470" t="n">
        <v>0</v>
      </c>
      <c r="M470" t="n">
        <v>0</v>
      </c>
      <c r="N470" t="n">
        <v>0</v>
      </c>
      <c r="O470" t="n">
        <v>0</v>
      </c>
      <c r="P470" t="n">
        <v>0</v>
      </c>
      <c r="Q470" t="n">
        <v>0</v>
      </c>
      <c r="R470" s="2" t="inlineStr"/>
    </row>
    <row r="471" ht="15" customHeight="1">
      <c r="A471" t="inlineStr">
        <is>
          <t>A 29809-2022</t>
        </is>
      </c>
      <c r="B471" s="1" t="n">
        <v>44755.8713425926</v>
      </c>
      <c r="C471" s="1" t="n">
        <v>46036</v>
      </c>
      <c r="D471" t="inlineStr">
        <is>
          <t>GOTLANDS LÄN</t>
        </is>
      </c>
      <c r="E471" t="inlineStr">
        <is>
          <t>GOTLAND</t>
        </is>
      </c>
      <c r="G471" t="n">
        <v>11.5</v>
      </c>
      <c r="H471" t="n">
        <v>0</v>
      </c>
      <c r="I471" t="n">
        <v>0</v>
      </c>
      <c r="J471" t="n">
        <v>0</v>
      </c>
      <c r="K471" t="n">
        <v>0</v>
      </c>
      <c r="L471" t="n">
        <v>0</v>
      </c>
      <c r="M471" t="n">
        <v>0</v>
      </c>
      <c r="N471" t="n">
        <v>0</v>
      </c>
      <c r="O471" t="n">
        <v>0</v>
      </c>
      <c r="P471" t="n">
        <v>0</v>
      </c>
      <c r="Q471" t="n">
        <v>0</v>
      </c>
      <c r="R471" s="2" t="inlineStr"/>
    </row>
    <row r="472" ht="15" customHeight="1">
      <c r="A472" t="inlineStr">
        <is>
          <t>A 16361-2024</t>
        </is>
      </c>
      <c r="B472" s="1" t="n">
        <v>45407</v>
      </c>
      <c r="C472" s="1" t="n">
        <v>46036</v>
      </c>
      <c r="D472" t="inlineStr">
        <is>
          <t>GOTLANDS LÄN</t>
        </is>
      </c>
      <c r="E472" t="inlineStr">
        <is>
          <t>GOTLAND</t>
        </is>
      </c>
      <c r="G472" t="n">
        <v>6</v>
      </c>
      <c r="H472" t="n">
        <v>0</v>
      </c>
      <c r="I472" t="n">
        <v>0</v>
      </c>
      <c r="J472" t="n">
        <v>0</v>
      </c>
      <c r="K472" t="n">
        <v>0</v>
      </c>
      <c r="L472" t="n">
        <v>0</v>
      </c>
      <c r="M472" t="n">
        <v>0</v>
      </c>
      <c r="N472" t="n">
        <v>0</v>
      </c>
      <c r="O472" t="n">
        <v>0</v>
      </c>
      <c r="P472" t="n">
        <v>0</v>
      </c>
      <c r="Q472" t="n">
        <v>0</v>
      </c>
      <c r="R472" s="2" t="inlineStr"/>
    </row>
    <row r="473" ht="15" customHeight="1">
      <c r="A473" t="inlineStr">
        <is>
          <t>A 43081-2022</t>
        </is>
      </c>
      <c r="B473" s="1" t="n">
        <v>44833</v>
      </c>
      <c r="C473" s="1" t="n">
        <v>46036</v>
      </c>
      <c r="D473" t="inlineStr">
        <is>
          <t>GOTLANDS LÄN</t>
        </is>
      </c>
      <c r="E473" t="inlineStr">
        <is>
          <t>GOTLAND</t>
        </is>
      </c>
      <c r="G473" t="n">
        <v>6.8</v>
      </c>
      <c r="H473" t="n">
        <v>0</v>
      </c>
      <c r="I473" t="n">
        <v>0</v>
      </c>
      <c r="J473" t="n">
        <v>0</v>
      </c>
      <c r="K473" t="n">
        <v>0</v>
      </c>
      <c r="L473" t="n">
        <v>0</v>
      </c>
      <c r="M473" t="n">
        <v>0</v>
      </c>
      <c r="N473" t="n">
        <v>0</v>
      </c>
      <c r="O473" t="n">
        <v>0</v>
      </c>
      <c r="P473" t="n">
        <v>0</v>
      </c>
      <c r="Q473" t="n">
        <v>0</v>
      </c>
      <c r="R473" s="2" t="inlineStr"/>
    </row>
    <row r="474" ht="15" customHeight="1">
      <c r="A474" t="inlineStr">
        <is>
          <t>A 1175-2025</t>
        </is>
      </c>
      <c r="B474" s="1" t="n">
        <v>45667.34449074074</v>
      </c>
      <c r="C474" s="1" t="n">
        <v>46036</v>
      </c>
      <c r="D474" t="inlineStr">
        <is>
          <t>GOTLANDS LÄN</t>
        </is>
      </c>
      <c r="E474" t="inlineStr">
        <is>
          <t>GOTLAND</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42201-2023</t>
        </is>
      </c>
      <c r="B475" s="1" t="n">
        <v>45179</v>
      </c>
      <c r="C475" s="1" t="n">
        <v>46036</v>
      </c>
      <c r="D475" t="inlineStr">
        <is>
          <t>GOTLANDS LÄN</t>
        </is>
      </c>
      <c r="E475" t="inlineStr">
        <is>
          <t>GOTLAND</t>
        </is>
      </c>
      <c r="G475" t="n">
        <v>11.9</v>
      </c>
      <c r="H475" t="n">
        <v>0</v>
      </c>
      <c r="I475" t="n">
        <v>0</v>
      </c>
      <c r="J475" t="n">
        <v>0</v>
      </c>
      <c r="K475" t="n">
        <v>0</v>
      </c>
      <c r="L475" t="n">
        <v>0</v>
      </c>
      <c r="M475" t="n">
        <v>0</v>
      </c>
      <c r="N475" t="n">
        <v>0</v>
      </c>
      <c r="O475" t="n">
        <v>0</v>
      </c>
      <c r="P475" t="n">
        <v>0</v>
      </c>
      <c r="Q475" t="n">
        <v>0</v>
      </c>
      <c r="R475" s="2" t="inlineStr"/>
    </row>
    <row r="476" ht="15" customHeight="1">
      <c r="A476" t="inlineStr">
        <is>
          <t>A 3150-2025</t>
        </is>
      </c>
      <c r="B476" s="1" t="n">
        <v>45679.28974537037</v>
      </c>
      <c r="C476" s="1" t="n">
        <v>46036</v>
      </c>
      <c r="D476" t="inlineStr">
        <is>
          <t>GOTLANDS LÄN</t>
        </is>
      </c>
      <c r="E476" t="inlineStr">
        <is>
          <t>GOTLAND</t>
        </is>
      </c>
      <c r="G476" t="n">
        <v>2.5</v>
      </c>
      <c r="H476" t="n">
        <v>0</v>
      </c>
      <c r="I476" t="n">
        <v>0</v>
      </c>
      <c r="J476" t="n">
        <v>0</v>
      </c>
      <c r="K476" t="n">
        <v>0</v>
      </c>
      <c r="L476" t="n">
        <v>0</v>
      </c>
      <c r="M476" t="n">
        <v>0</v>
      </c>
      <c r="N476" t="n">
        <v>0</v>
      </c>
      <c r="O476" t="n">
        <v>0</v>
      </c>
      <c r="P476" t="n">
        <v>0</v>
      </c>
      <c r="Q476" t="n">
        <v>0</v>
      </c>
      <c r="R476" s="2" t="inlineStr"/>
    </row>
    <row r="477" ht="15" customHeight="1">
      <c r="A477" t="inlineStr">
        <is>
          <t>A 59197-2025</t>
        </is>
      </c>
      <c r="B477" s="1" t="n">
        <v>45988.59846064815</v>
      </c>
      <c r="C477" s="1" t="n">
        <v>46036</v>
      </c>
      <c r="D477" t="inlineStr">
        <is>
          <t>GOTLANDS LÄN</t>
        </is>
      </c>
      <c r="E477" t="inlineStr">
        <is>
          <t>GOTLAND</t>
        </is>
      </c>
      <c r="G477" t="n">
        <v>2.3</v>
      </c>
      <c r="H477" t="n">
        <v>0</v>
      </c>
      <c r="I477" t="n">
        <v>0</v>
      </c>
      <c r="J477" t="n">
        <v>0</v>
      </c>
      <c r="K477" t="n">
        <v>0</v>
      </c>
      <c r="L477" t="n">
        <v>0</v>
      </c>
      <c r="M477" t="n">
        <v>0</v>
      </c>
      <c r="N477" t="n">
        <v>0</v>
      </c>
      <c r="O477" t="n">
        <v>0</v>
      </c>
      <c r="P477" t="n">
        <v>0</v>
      </c>
      <c r="Q477" t="n">
        <v>0</v>
      </c>
      <c r="R477" s="2" t="inlineStr"/>
    </row>
    <row r="478" ht="15" customHeight="1">
      <c r="A478" t="inlineStr">
        <is>
          <t>A 42041-2024</t>
        </is>
      </c>
      <c r="B478" s="1" t="n">
        <v>45561</v>
      </c>
      <c r="C478" s="1" t="n">
        <v>46036</v>
      </c>
      <c r="D478" t="inlineStr">
        <is>
          <t>GOTLANDS LÄN</t>
        </is>
      </c>
      <c r="E478" t="inlineStr">
        <is>
          <t>GOTLAND</t>
        </is>
      </c>
      <c r="G478" t="n">
        <v>3.2</v>
      </c>
      <c r="H478" t="n">
        <v>0</v>
      </c>
      <c r="I478" t="n">
        <v>0</v>
      </c>
      <c r="J478" t="n">
        <v>0</v>
      </c>
      <c r="K478" t="n">
        <v>0</v>
      </c>
      <c r="L478" t="n">
        <v>0</v>
      </c>
      <c r="M478" t="n">
        <v>0</v>
      </c>
      <c r="N478" t="n">
        <v>0</v>
      </c>
      <c r="O478" t="n">
        <v>0</v>
      </c>
      <c r="P478" t="n">
        <v>0</v>
      </c>
      <c r="Q478" t="n">
        <v>0</v>
      </c>
      <c r="R478" s="2" t="inlineStr"/>
    </row>
    <row r="479" ht="15" customHeight="1">
      <c r="A479" t="inlineStr">
        <is>
          <t>A 1355-2026</t>
        </is>
      </c>
      <c r="B479" s="1" t="n">
        <v>46031.59909722222</v>
      </c>
      <c r="C479" s="1" t="n">
        <v>46036</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36319-2025</t>
        </is>
      </c>
      <c r="B480" s="1" t="n">
        <v>45868</v>
      </c>
      <c r="C480" s="1" t="n">
        <v>46036</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63152-2025</t>
        </is>
      </c>
      <c r="B481" s="1" t="n">
        <v>46010</v>
      </c>
      <c r="C481" s="1" t="n">
        <v>46036</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63105-2025</t>
        </is>
      </c>
      <c r="B482" s="1" t="n">
        <v>46009</v>
      </c>
      <c r="C482" s="1" t="n">
        <v>46036</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47147-2025</t>
        </is>
      </c>
      <c r="B483" s="1" t="n">
        <v>45929</v>
      </c>
      <c r="C483" s="1" t="n">
        <v>46036</v>
      </c>
      <c r="D483" t="inlineStr">
        <is>
          <t>GOTLANDS LÄN</t>
        </is>
      </c>
      <c r="E483" t="inlineStr">
        <is>
          <t>GOTLAND</t>
        </is>
      </c>
      <c r="G483" t="n">
        <v>2.3</v>
      </c>
      <c r="H483" t="n">
        <v>0</v>
      </c>
      <c r="I483" t="n">
        <v>0</v>
      </c>
      <c r="J483" t="n">
        <v>0</v>
      </c>
      <c r="K483" t="n">
        <v>0</v>
      </c>
      <c r="L483" t="n">
        <v>0</v>
      </c>
      <c r="M483" t="n">
        <v>0</v>
      </c>
      <c r="N483" t="n">
        <v>0</v>
      </c>
      <c r="O483" t="n">
        <v>0</v>
      </c>
      <c r="P483" t="n">
        <v>0</v>
      </c>
      <c r="Q483" t="n">
        <v>0</v>
      </c>
      <c r="R483" s="2" t="inlineStr"/>
    </row>
    <row r="484" ht="15" customHeight="1">
      <c r="A484" t="inlineStr">
        <is>
          <t>A 62674-2025</t>
        </is>
      </c>
      <c r="B484" s="1" t="n">
        <v>46008</v>
      </c>
      <c r="C484" s="1" t="n">
        <v>46036</v>
      </c>
      <c r="D484" t="inlineStr">
        <is>
          <t>GOTLANDS LÄN</t>
        </is>
      </c>
      <c r="E484" t="inlineStr">
        <is>
          <t>GOTLAND</t>
        </is>
      </c>
      <c r="G484" t="n">
        <v>5</v>
      </c>
      <c r="H484" t="n">
        <v>0</v>
      </c>
      <c r="I484" t="n">
        <v>0</v>
      </c>
      <c r="J484" t="n">
        <v>0</v>
      </c>
      <c r="K484" t="n">
        <v>0</v>
      </c>
      <c r="L484" t="n">
        <v>0</v>
      </c>
      <c r="M484" t="n">
        <v>0</v>
      </c>
      <c r="N484" t="n">
        <v>0</v>
      </c>
      <c r="O484" t="n">
        <v>0</v>
      </c>
      <c r="P484" t="n">
        <v>0</v>
      </c>
      <c r="Q484" t="n">
        <v>0</v>
      </c>
      <c r="R484" s="2" t="inlineStr"/>
    </row>
    <row r="485" ht="15" customHeight="1">
      <c r="A485" t="inlineStr">
        <is>
          <t>A 15436-2025</t>
        </is>
      </c>
      <c r="B485" s="1" t="n">
        <v>45747.47462962963</v>
      </c>
      <c r="C485" s="1" t="n">
        <v>46036</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38649-2025</t>
        </is>
      </c>
      <c r="B486" s="1" t="n">
        <v>45884</v>
      </c>
      <c r="C486" s="1" t="n">
        <v>46036</v>
      </c>
      <c r="D486" t="inlineStr">
        <is>
          <t>GOTLANDS LÄN</t>
        </is>
      </c>
      <c r="E486" t="inlineStr">
        <is>
          <t>GOTLAND</t>
        </is>
      </c>
      <c r="G486" t="n">
        <v>1.5</v>
      </c>
      <c r="H486" t="n">
        <v>0</v>
      </c>
      <c r="I486" t="n">
        <v>0</v>
      </c>
      <c r="J486" t="n">
        <v>0</v>
      </c>
      <c r="K486" t="n">
        <v>0</v>
      </c>
      <c r="L486" t="n">
        <v>0</v>
      </c>
      <c r="M486" t="n">
        <v>0</v>
      </c>
      <c r="N486" t="n">
        <v>0</v>
      </c>
      <c r="O486" t="n">
        <v>0</v>
      </c>
      <c r="P486" t="n">
        <v>0</v>
      </c>
      <c r="Q486" t="n">
        <v>0</v>
      </c>
      <c r="R486" s="2" t="inlineStr"/>
    </row>
    <row r="487" ht="15" customHeight="1">
      <c r="A487" t="inlineStr">
        <is>
          <t>A 62836-2025</t>
        </is>
      </c>
      <c r="B487" s="1" t="n">
        <v>46008</v>
      </c>
      <c r="C487" s="1" t="n">
        <v>46036</v>
      </c>
      <c r="D487" t="inlineStr">
        <is>
          <t>GOTLANDS LÄN</t>
        </is>
      </c>
      <c r="E487" t="inlineStr">
        <is>
          <t>GOTLAND</t>
        </is>
      </c>
      <c r="G487" t="n">
        <v>6.5</v>
      </c>
      <c r="H487" t="n">
        <v>0</v>
      </c>
      <c r="I487" t="n">
        <v>0</v>
      </c>
      <c r="J487" t="n">
        <v>0</v>
      </c>
      <c r="K487" t="n">
        <v>0</v>
      </c>
      <c r="L487" t="n">
        <v>0</v>
      </c>
      <c r="M487" t="n">
        <v>0</v>
      </c>
      <c r="N487" t="n">
        <v>0</v>
      </c>
      <c r="O487" t="n">
        <v>0</v>
      </c>
      <c r="P487" t="n">
        <v>0</v>
      </c>
      <c r="Q487" t="n">
        <v>0</v>
      </c>
      <c r="R487" s="2" t="inlineStr"/>
    </row>
    <row r="488" ht="15" customHeight="1">
      <c r="A488" t="inlineStr">
        <is>
          <t>A 21247-2022</t>
        </is>
      </c>
      <c r="B488" s="1" t="n">
        <v>44705.38832175926</v>
      </c>
      <c r="C488" s="1" t="n">
        <v>46036</v>
      </c>
      <c r="D488" t="inlineStr">
        <is>
          <t>GOTLANDS LÄN</t>
        </is>
      </c>
      <c r="E488" t="inlineStr">
        <is>
          <t>GOTLAND</t>
        </is>
      </c>
      <c r="G488" t="n">
        <v>16.2</v>
      </c>
      <c r="H488" t="n">
        <v>0</v>
      </c>
      <c r="I488" t="n">
        <v>0</v>
      </c>
      <c r="J488" t="n">
        <v>0</v>
      </c>
      <c r="K488" t="n">
        <v>0</v>
      </c>
      <c r="L488" t="n">
        <v>0</v>
      </c>
      <c r="M488" t="n">
        <v>0</v>
      </c>
      <c r="N488" t="n">
        <v>0</v>
      </c>
      <c r="O488" t="n">
        <v>0</v>
      </c>
      <c r="P488" t="n">
        <v>0</v>
      </c>
      <c r="Q488" t="n">
        <v>0</v>
      </c>
      <c r="R488" s="2" t="inlineStr"/>
    </row>
    <row r="489" ht="15" customHeight="1">
      <c r="A489" t="inlineStr">
        <is>
          <t>A 1839-2026</t>
        </is>
      </c>
      <c r="B489" s="1" t="n">
        <v>46035.3942824074</v>
      </c>
      <c r="C489" s="1" t="n">
        <v>46036</v>
      </c>
      <c r="D489" t="inlineStr">
        <is>
          <t>GOTLANDS LÄN</t>
        </is>
      </c>
      <c r="E489" t="inlineStr">
        <is>
          <t>GOTLAND</t>
        </is>
      </c>
      <c r="G489" t="n">
        <v>3.5</v>
      </c>
      <c r="H489" t="n">
        <v>0</v>
      </c>
      <c r="I489" t="n">
        <v>0</v>
      </c>
      <c r="J489" t="n">
        <v>0</v>
      </c>
      <c r="K489" t="n">
        <v>0</v>
      </c>
      <c r="L489" t="n">
        <v>0</v>
      </c>
      <c r="M489" t="n">
        <v>0</v>
      </c>
      <c r="N489" t="n">
        <v>0</v>
      </c>
      <c r="O489" t="n">
        <v>0</v>
      </c>
      <c r="P489" t="n">
        <v>0</v>
      </c>
      <c r="Q489" t="n">
        <v>0</v>
      </c>
      <c r="R489" s="2" t="inlineStr"/>
    </row>
    <row r="490" ht="15" customHeight="1">
      <c r="A490" t="inlineStr">
        <is>
          <t>A 1898-2026</t>
        </is>
      </c>
      <c r="B490" s="1" t="n">
        <v>46035.52024305556</v>
      </c>
      <c r="C490" s="1" t="n">
        <v>46036</v>
      </c>
      <c r="D490" t="inlineStr">
        <is>
          <t>GOTLANDS LÄN</t>
        </is>
      </c>
      <c r="E490" t="inlineStr">
        <is>
          <t>GOTLAND</t>
        </is>
      </c>
      <c r="G490" t="n">
        <v>3.7</v>
      </c>
      <c r="H490" t="n">
        <v>0</v>
      </c>
      <c r="I490" t="n">
        <v>0</v>
      </c>
      <c r="J490" t="n">
        <v>0</v>
      </c>
      <c r="K490" t="n">
        <v>0</v>
      </c>
      <c r="L490" t="n">
        <v>0</v>
      </c>
      <c r="M490" t="n">
        <v>0</v>
      </c>
      <c r="N490" t="n">
        <v>0</v>
      </c>
      <c r="O490" t="n">
        <v>0</v>
      </c>
      <c r="P490" t="n">
        <v>0</v>
      </c>
      <c r="Q490" t="n">
        <v>0</v>
      </c>
      <c r="R490" s="2" t="inlineStr"/>
    </row>
    <row r="491" ht="15" customHeight="1">
      <c r="A491" t="inlineStr">
        <is>
          <t>A 1854-2026</t>
        </is>
      </c>
      <c r="B491" s="1" t="n">
        <v>46035.4171875</v>
      </c>
      <c r="C491" s="1" t="n">
        <v>46036</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60384-2025</t>
        </is>
      </c>
      <c r="B492" s="1" t="n">
        <v>45995</v>
      </c>
      <c r="C492" s="1" t="n">
        <v>46036</v>
      </c>
      <c r="D492" t="inlineStr">
        <is>
          <t>GOTLANDS LÄN</t>
        </is>
      </c>
      <c r="E492" t="inlineStr">
        <is>
          <t>GOTLAND</t>
        </is>
      </c>
      <c r="G492" t="n">
        <v>2.5</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44682.82622685185</v>
      </c>
      <c r="C493" s="1" t="n">
        <v>46036</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63516-2023</t>
        </is>
      </c>
      <c r="B494" s="1" t="n">
        <v>45274</v>
      </c>
      <c r="C494" s="1" t="n">
        <v>46036</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53935-2024</t>
        </is>
      </c>
      <c r="B495" s="1" t="n">
        <v>45615</v>
      </c>
      <c r="C495" s="1" t="n">
        <v>46036</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69112-2021</t>
        </is>
      </c>
      <c r="B496" s="1" t="n">
        <v>44530</v>
      </c>
      <c r="C496" s="1" t="n">
        <v>46036</v>
      </c>
      <c r="D496" t="inlineStr">
        <is>
          <t>GOTLANDS LÄN</t>
        </is>
      </c>
      <c r="E496" t="inlineStr">
        <is>
          <t>GOTLAND</t>
        </is>
      </c>
      <c r="G496" t="n">
        <v>4.2</v>
      </c>
      <c r="H496" t="n">
        <v>0</v>
      </c>
      <c r="I496" t="n">
        <v>0</v>
      </c>
      <c r="J496" t="n">
        <v>0</v>
      </c>
      <c r="K496" t="n">
        <v>0</v>
      </c>
      <c r="L496" t="n">
        <v>0</v>
      </c>
      <c r="M496" t="n">
        <v>0</v>
      </c>
      <c r="N496" t="n">
        <v>0</v>
      </c>
      <c r="O496" t="n">
        <v>0</v>
      </c>
      <c r="P496" t="n">
        <v>0</v>
      </c>
      <c r="Q496" t="n">
        <v>0</v>
      </c>
      <c r="R496" s="2" t="inlineStr"/>
    </row>
    <row r="497" ht="15" customHeight="1">
      <c r="A497" t="inlineStr">
        <is>
          <t>A 48734-2022</t>
        </is>
      </c>
      <c r="B497" s="1" t="n">
        <v>44855</v>
      </c>
      <c r="C497" s="1" t="n">
        <v>46036</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23516-2023</t>
        </is>
      </c>
      <c r="B498" s="1" t="n">
        <v>45076.93391203704</v>
      </c>
      <c r="C498" s="1" t="n">
        <v>46036</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43231-2023</t>
        </is>
      </c>
      <c r="B499" s="1" t="n">
        <v>45183.47025462963</v>
      </c>
      <c r="C499" s="1" t="n">
        <v>46036</v>
      </c>
      <c r="D499" t="inlineStr">
        <is>
          <t>GOTLANDS LÄN</t>
        </is>
      </c>
      <c r="E499" t="inlineStr">
        <is>
          <t>GOTLAND</t>
        </is>
      </c>
      <c r="G499" t="n">
        <v>3.6</v>
      </c>
      <c r="H499" t="n">
        <v>0</v>
      </c>
      <c r="I499" t="n">
        <v>0</v>
      </c>
      <c r="J499" t="n">
        <v>0</v>
      </c>
      <c r="K499" t="n">
        <v>0</v>
      </c>
      <c r="L499" t="n">
        <v>0</v>
      </c>
      <c r="M499" t="n">
        <v>0</v>
      </c>
      <c r="N499" t="n">
        <v>0</v>
      </c>
      <c r="O499" t="n">
        <v>0</v>
      </c>
      <c r="P499" t="n">
        <v>0</v>
      </c>
      <c r="Q499" t="n">
        <v>0</v>
      </c>
      <c r="R499" s="2" t="inlineStr"/>
    </row>
    <row r="500" ht="15" customHeight="1">
      <c r="A500" t="inlineStr">
        <is>
          <t>A 58230-2024</t>
        </is>
      </c>
      <c r="B500" s="1" t="n">
        <v>45632.51625</v>
      </c>
      <c r="C500" s="1" t="n">
        <v>46036</v>
      </c>
      <c r="D500" t="inlineStr">
        <is>
          <t>GOTLANDS LÄN</t>
        </is>
      </c>
      <c r="E500" t="inlineStr">
        <is>
          <t>GOTLAND</t>
        </is>
      </c>
      <c r="G500" t="n">
        <v>7.3</v>
      </c>
      <c r="H500" t="n">
        <v>0</v>
      </c>
      <c r="I500" t="n">
        <v>0</v>
      </c>
      <c r="J500" t="n">
        <v>0</v>
      </c>
      <c r="K500" t="n">
        <v>0</v>
      </c>
      <c r="L500" t="n">
        <v>0</v>
      </c>
      <c r="M500" t="n">
        <v>0</v>
      </c>
      <c r="N500" t="n">
        <v>0</v>
      </c>
      <c r="O500" t="n">
        <v>0</v>
      </c>
      <c r="P500" t="n">
        <v>0</v>
      </c>
      <c r="Q500" t="n">
        <v>0</v>
      </c>
      <c r="R500" s="2" t="inlineStr"/>
    </row>
    <row r="501" ht="15" customHeight="1">
      <c r="A501" t="inlineStr">
        <is>
          <t>A 64555-2023</t>
        </is>
      </c>
      <c r="B501" s="1" t="n">
        <v>45281</v>
      </c>
      <c r="C501" s="1" t="n">
        <v>46036</v>
      </c>
      <c r="D501" t="inlineStr">
        <is>
          <t>GOTLANDS LÄN</t>
        </is>
      </c>
      <c r="E501" t="inlineStr">
        <is>
          <t>GOTLAND</t>
        </is>
      </c>
      <c r="G501" t="n">
        <v>3.5</v>
      </c>
      <c r="H501" t="n">
        <v>0</v>
      </c>
      <c r="I501" t="n">
        <v>0</v>
      </c>
      <c r="J501" t="n">
        <v>0</v>
      </c>
      <c r="K501" t="n">
        <v>0</v>
      </c>
      <c r="L501" t="n">
        <v>0</v>
      </c>
      <c r="M501" t="n">
        <v>0</v>
      </c>
      <c r="N501" t="n">
        <v>0</v>
      </c>
      <c r="O501" t="n">
        <v>0</v>
      </c>
      <c r="P501" t="n">
        <v>0</v>
      </c>
      <c r="Q501" t="n">
        <v>0</v>
      </c>
      <c r="R501" s="2" t="inlineStr"/>
    </row>
    <row r="502" ht="15" customHeight="1">
      <c r="A502" t="inlineStr">
        <is>
          <t>A 457-2023</t>
        </is>
      </c>
      <c r="B502" s="1" t="n">
        <v>44929.87238425926</v>
      </c>
      <c r="C502" s="1" t="n">
        <v>46036</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44929.87423611111</v>
      </c>
      <c r="C503" s="1" t="n">
        <v>46036</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876-2024</t>
        </is>
      </c>
      <c r="B504" s="1" t="n">
        <v>45301</v>
      </c>
      <c r="C504" s="1" t="n">
        <v>46036</v>
      </c>
      <c r="D504" t="inlineStr">
        <is>
          <t>GOTLANDS LÄN</t>
        </is>
      </c>
      <c r="E504" t="inlineStr">
        <is>
          <t>GOTLAND</t>
        </is>
      </c>
      <c r="G504" t="n">
        <v>5.3</v>
      </c>
      <c r="H504" t="n">
        <v>0</v>
      </c>
      <c r="I504" t="n">
        <v>0</v>
      </c>
      <c r="J504" t="n">
        <v>0</v>
      </c>
      <c r="K504" t="n">
        <v>0</v>
      </c>
      <c r="L504" t="n">
        <v>0</v>
      </c>
      <c r="M504" t="n">
        <v>0</v>
      </c>
      <c r="N504" t="n">
        <v>0</v>
      </c>
      <c r="O504" t="n">
        <v>0</v>
      </c>
      <c r="P504" t="n">
        <v>0</v>
      </c>
      <c r="Q504" t="n">
        <v>0</v>
      </c>
      <c r="R504" s="2" t="inlineStr"/>
    </row>
    <row r="505" ht="15" customHeight="1">
      <c r="A505" t="inlineStr">
        <is>
          <t>A 26891-2024</t>
        </is>
      </c>
      <c r="B505" s="1" t="n">
        <v>45470.65540509259</v>
      </c>
      <c r="C505" s="1" t="n">
        <v>46036</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14536-2021</t>
        </is>
      </c>
      <c r="B506" s="1" t="n">
        <v>44279.66168981481</v>
      </c>
      <c r="C506" s="1" t="n">
        <v>46036</v>
      </c>
      <c r="D506" t="inlineStr">
        <is>
          <t>GOTLANDS LÄN</t>
        </is>
      </c>
      <c r="E506" t="inlineStr">
        <is>
          <t>GOTLAND</t>
        </is>
      </c>
      <c r="G506" t="n">
        <v>8.5</v>
      </c>
      <c r="H506" t="n">
        <v>0</v>
      </c>
      <c r="I506" t="n">
        <v>0</v>
      </c>
      <c r="J506" t="n">
        <v>0</v>
      </c>
      <c r="K506" t="n">
        <v>0</v>
      </c>
      <c r="L506" t="n">
        <v>0</v>
      </c>
      <c r="M506" t="n">
        <v>0</v>
      </c>
      <c r="N506" t="n">
        <v>0</v>
      </c>
      <c r="O506" t="n">
        <v>0</v>
      </c>
      <c r="P506" t="n">
        <v>0</v>
      </c>
      <c r="Q506" t="n">
        <v>0</v>
      </c>
      <c r="R506" s="2" t="inlineStr"/>
    </row>
    <row r="507" ht="15" customHeight="1">
      <c r="A507" t="inlineStr">
        <is>
          <t>A 5923-2023</t>
        </is>
      </c>
      <c r="B507" s="1" t="n">
        <v>44963.69503472222</v>
      </c>
      <c r="C507" s="1" t="n">
        <v>46036</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50482-2024</t>
        </is>
      </c>
      <c r="B508" s="1" t="n">
        <v>45601.48114583334</v>
      </c>
      <c r="C508" s="1" t="n">
        <v>46036</v>
      </c>
      <c r="D508" t="inlineStr">
        <is>
          <t>GOTLANDS LÄN</t>
        </is>
      </c>
      <c r="E508" t="inlineStr">
        <is>
          <t>GOTLAND</t>
        </is>
      </c>
      <c r="G508" t="n">
        <v>2.3</v>
      </c>
      <c r="H508" t="n">
        <v>0</v>
      </c>
      <c r="I508" t="n">
        <v>0</v>
      </c>
      <c r="J508" t="n">
        <v>0</v>
      </c>
      <c r="K508" t="n">
        <v>0</v>
      </c>
      <c r="L508" t="n">
        <v>0</v>
      </c>
      <c r="M508" t="n">
        <v>0</v>
      </c>
      <c r="N508" t="n">
        <v>0</v>
      </c>
      <c r="O508" t="n">
        <v>0</v>
      </c>
      <c r="P508" t="n">
        <v>0</v>
      </c>
      <c r="Q508" t="n">
        <v>0</v>
      </c>
      <c r="R508" s="2" t="inlineStr"/>
    </row>
    <row r="509" ht="15" customHeight="1">
      <c r="A509" t="inlineStr">
        <is>
          <t>A 5943-2024</t>
        </is>
      </c>
      <c r="B509" s="1" t="n">
        <v>45336</v>
      </c>
      <c r="C509" s="1" t="n">
        <v>46036</v>
      </c>
      <c r="D509" t="inlineStr">
        <is>
          <t>GOTLANDS LÄN</t>
        </is>
      </c>
      <c r="E509" t="inlineStr">
        <is>
          <t>GOTLAND</t>
        </is>
      </c>
      <c r="G509" t="n">
        <v>4.3</v>
      </c>
      <c r="H509" t="n">
        <v>0</v>
      </c>
      <c r="I509" t="n">
        <v>0</v>
      </c>
      <c r="J509" t="n">
        <v>0</v>
      </c>
      <c r="K509" t="n">
        <v>0</v>
      </c>
      <c r="L509" t="n">
        <v>0</v>
      </c>
      <c r="M509" t="n">
        <v>0</v>
      </c>
      <c r="N509" t="n">
        <v>0</v>
      </c>
      <c r="O509" t="n">
        <v>0</v>
      </c>
      <c r="P509" t="n">
        <v>0</v>
      </c>
      <c r="Q509" t="n">
        <v>0</v>
      </c>
      <c r="R509" s="2" t="inlineStr"/>
    </row>
    <row r="510" ht="15" customHeight="1">
      <c r="A510" t="inlineStr">
        <is>
          <t>A 38234-2023</t>
        </is>
      </c>
      <c r="B510" s="1" t="n">
        <v>45161.56663194444</v>
      </c>
      <c r="C510" s="1" t="n">
        <v>46036</v>
      </c>
      <c r="D510" t="inlineStr">
        <is>
          <t>GOTLANDS LÄN</t>
        </is>
      </c>
      <c r="E510" t="inlineStr">
        <is>
          <t>GOTLAND</t>
        </is>
      </c>
      <c r="G510" t="n">
        <v>1.3</v>
      </c>
      <c r="H510" t="n">
        <v>0</v>
      </c>
      <c r="I510" t="n">
        <v>0</v>
      </c>
      <c r="J510" t="n">
        <v>0</v>
      </c>
      <c r="K510" t="n">
        <v>0</v>
      </c>
      <c r="L510" t="n">
        <v>0</v>
      </c>
      <c r="M510" t="n">
        <v>0</v>
      </c>
      <c r="N510" t="n">
        <v>0</v>
      </c>
      <c r="O510" t="n">
        <v>0</v>
      </c>
      <c r="P510" t="n">
        <v>0</v>
      </c>
      <c r="Q510" t="n">
        <v>0</v>
      </c>
      <c r="R510" s="2" t="inlineStr"/>
    </row>
    <row r="511" ht="15" customHeight="1">
      <c r="A511" t="inlineStr">
        <is>
          <t>A 1273-2023</t>
        </is>
      </c>
      <c r="B511" s="1" t="n">
        <v>44936</v>
      </c>
      <c r="C511" s="1" t="n">
        <v>46036</v>
      </c>
      <c r="D511" t="inlineStr">
        <is>
          <t>GOTLANDS LÄN</t>
        </is>
      </c>
      <c r="E511" t="inlineStr">
        <is>
          <t>GOTLAND</t>
        </is>
      </c>
      <c r="G511" t="n">
        <v>4.5</v>
      </c>
      <c r="H511" t="n">
        <v>0</v>
      </c>
      <c r="I511" t="n">
        <v>0</v>
      </c>
      <c r="J511" t="n">
        <v>0</v>
      </c>
      <c r="K511" t="n">
        <v>0</v>
      </c>
      <c r="L511" t="n">
        <v>0</v>
      </c>
      <c r="M511" t="n">
        <v>0</v>
      </c>
      <c r="N511" t="n">
        <v>0</v>
      </c>
      <c r="O511" t="n">
        <v>0</v>
      </c>
      <c r="P511" t="n">
        <v>0</v>
      </c>
      <c r="Q511" t="n">
        <v>0</v>
      </c>
      <c r="R511" s="2" t="inlineStr"/>
    </row>
    <row r="512" ht="15" customHeight="1">
      <c r="A512" t="inlineStr">
        <is>
          <t>A 17724-2024</t>
        </is>
      </c>
      <c r="B512" s="1" t="n">
        <v>45418.55096064815</v>
      </c>
      <c r="C512" s="1" t="n">
        <v>46036</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23978-2023</t>
        </is>
      </c>
      <c r="B513" s="1" t="n">
        <v>45078</v>
      </c>
      <c r="C513" s="1" t="n">
        <v>46036</v>
      </c>
      <c r="D513" t="inlineStr">
        <is>
          <t>GOTLANDS LÄN</t>
        </is>
      </c>
      <c r="E513" t="inlineStr">
        <is>
          <t>GOTLAND</t>
        </is>
      </c>
      <c r="F513" t="inlineStr">
        <is>
          <t>Naturvårdsverket</t>
        </is>
      </c>
      <c r="G513" t="n">
        <v>1.7</v>
      </c>
      <c r="H513" t="n">
        <v>0</v>
      </c>
      <c r="I513" t="n">
        <v>0</v>
      </c>
      <c r="J513" t="n">
        <v>0</v>
      </c>
      <c r="K513" t="n">
        <v>0</v>
      </c>
      <c r="L513" t="n">
        <v>0</v>
      </c>
      <c r="M513" t="n">
        <v>0</v>
      </c>
      <c r="N513" t="n">
        <v>0</v>
      </c>
      <c r="O513" t="n">
        <v>0</v>
      </c>
      <c r="P513" t="n">
        <v>0</v>
      </c>
      <c r="Q513" t="n">
        <v>0</v>
      </c>
      <c r="R513" s="2" t="inlineStr"/>
    </row>
    <row r="514" ht="15" customHeight="1">
      <c r="A514" t="inlineStr">
        <is>
          <t>A 49884-2023</t>
        </is>
      </c>
      <c r="B514" s="1" t="n">
        <v>45213</v>
      </c>
      <c r="C514" s="1" t="n">
        <v>46036</v>
      </c>
      <c r="D514" t="inlineStr">
        <is>
          <t>GOTLANDS LÄN</t>
        </is>
      </c>
      <c r="E514" t="inlineStr">
        <is>
          <t>GOTLAND</t>
        </is>
      </c>
      <c r="G514" t="n">
        <v>8.9</v>
      </c>
      <c r="H514" t="n">
        <v>0</v>
      </c>
      <c r="I514" t="n">
        <v>0</v>
      </c>
      <c r="J514" t="n">
        <v>0</v>
      </c>
      <c r="K514" t="n">
        <v>0</v>
      </c>
      <c r="L514" t="n">
        <v>0</v>
      </c>
      <c r="M514" t="n">
        <v>0</v>
      </c>
      <c r="N514" t="n">
        <v>0</v>
      </c>
      <c r="O514" t="n">
        <v>0</v>
      </c>
      <c r="P514" t="n">
        <v>0</v>
      </c>
      <c r="Q514" t="n">
        <v>0</v>
      </c>
      <c r="R514" s="2" t="inlineStr"/>
    </row>
    <row r="515" ht="15" customHeight="1">
      <c r="A515" t="inlineStr">
        <is>
          <t>A 12846-2025</t>
        </is>
      </c>
      <c r="B515" s="1" t="n">
        <v>45733.65049768519</v>
      </c>
      <c r="C515" s="1" t="n">
        <v>46036</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43200-2023</t>
        </is>
      </c>
      <c r="B516" s="1" t="n">
        <v>45183</v>
      </c>
      <c r="C516" s="1" t="n">
        <v>46036</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3935-2025</t>
        </is>
      </c>
      <c r="B517" s="1" t="n">
        <v>45684.46070601852</v>
      </c>
      <c r="C517" s="1" t="n">
        <v>46036</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21792-2024</t>
        </is>
      </c>
      <c r="B518" s="1" t="n">
        <v>45442.64326388889</v>
      </c>
      <c r="C518" s="1" t="n">
        <v>46036</v>
      </c>
      <c r="D518" t="inlineStr">
        <is>
          <t>GOTLANDS LÄN</t>
        </is>
      </c>
      <c r="E518" t="inlineStr">
        <is>
          <t>GOTLAND</t>
        </is>
      </c>
      <c r="G518" t="n">
        <v>1</v>
      </c>
      <c r="H518" t="n">
        <v>0</v>
      </c>
      <c r="I518" t="n">
        <v>0</v>
      </c>
      <c r="J518" t="n">
        <v>0</v>
      </c>
      <c r="K518" t="n">
        <v>0</v>
      </c>
      <c r="L518" t="n">
        <v>0</v>
      </c>
      <c r="M518" t="n">
        <v>0</v>
      </c>
      <c r="N518" t="n">
        <v>0</v>
      </c>
      <c r="O518" t="n">
        <v>0</v>
      </c>
      <c r="P518" t="n">
        <v>0</v>
      </c>
      <c r="Q518" t="n">
        <v>0</v>
      </c>
      <c r="R518" s="2" t="inlineStr"/>
    </row>
    <row r="519" ht="15" customHeight="1">
      <c r="A519" t="inlineStr">
        <is>
          <t>A 48843-2024</t>
        </is>
      </c>
      <c r="B519" s="1" t="n">
        <v>45593</v>
      </c>
      <c r="C519" s="1" t="n">
        <v>46036</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10653-2023</t>
        </is>
      </c>
      <c r="B520" s="1" t="n">
        <v>44988.48859953704</v>
      </c>
      <c r="C520" s="1" t="n">
        <v>46036</v>
      </c>
      <c r="D520" t="inlineStr">
        <is>
          <t>GOTLANDS LÄN</t>
        </is>
      </c>
      <c r="E520" t="inlineStr">
        <is>
          <t>GOTLAND</t>
        </is>
      </c>
      <c r="F520" t="inlineStr">
        <is>
          <t>Kyrkan</t>
        </is>
      </c>
      <c r="G520" t="n">
        <v>3</v>
      </c>
      <c r="H520" t="n">
        <v>0</v>
      </c>
      <c r="I520" t="n">
        <v>0</v>
      </c>
      <c r="J520" t="n">
        <v>0</v>
      </c>
      <c r="K520" t="n">
        <v>0</v>
      </c>
      <c r="L520" t="n">
        <v>0</v>
      </c>
      <c r="M520" t="n">
        <v>0</v>
      </c>
      <c r="N520" t="n">
        <v>0</v>
      </c>
      <c r="O520" t="n">
        <v>0</v>
      </c>
      <c r="P520" t="n">
        <v>0</v>
      </c>
      <c r="Q520" t="n">
        <v>0</v>
      </c>
      <c r="R520" s="2" t="inlineStr"/>
    </row>
    <row r="521" ht="15" customHeight="1">
      <c r="A521" t="inlineStr">
        <is>
          <t>A 35512-2023</t>
        </is>
      </c>
      <c r="B521" s="1" t="n">
        <v>45147.25623842593</v>
      </c>
      <c r="C521" s="1" t="n">
        <v>46036</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11874-2024</t>
        </is>
      </c>
      <c r="B522" s="1" t="n">
        <v>45376.46956018519</v>
      </c>
      <c r="C522" s="1" t="n">
        <v>46036</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20225-2025</t>
        </is>
      </c>
      <c r="B523" s="1" t="n">
        <v>45772.65802083333</v>
      </c>
      <c r="C523" s="1" t="n">
        <v>46036</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46036</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64831-2023</t>
        </is>
      </c>
      <c r="B525" s="1" t="n">
        <v>45282.44924768519</v>
      </c>
      <c r="C525" s="1" t="n">
        <v>46036</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8036-2022</t>
        </is>
      </c>
      <c r="B526" s="1" t="n">
        <v>44609.44362268518</v>
      </c>
      <c r="C526" s="1" t="n">
        <v>46036</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46375-2024</t>
        </is>
      </c>
      <c r="B527" s="1" t="n">
        <v>45582</v>
      </c>
      <c r="C527" s="1" t="n">
        <v>46036</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62915-2021</t>
        </is>
      </c>
      <c r="B528" s="1" t="n">
        <v>44504</v>
      </c>
      <c r="C528" s="1" t="n">
        <v>46036</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7638-2025</t>
        </is>
      </c>
      <c r="B529" s="1" t="n">
        <v>45705.77306712963</v>
      </c>
      <c r="C529" s="1" t="n">
        <v>46036</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4377-2023</t>
        </is>
      </c>
      <c r="B530" s="1" t="n">
        <v>44955.5502662037</v>
      </c>
      <c r="C530" s="1" t="n">
        <v>46036</v>
      </c>
      <c r="D530" t="inlineStr">
        <is>
          <t>GOTLANDS LÄN</t>
        </is>
      </c>
      <c r="E530" t="inlineStr">
        <is>
          <t>GOTLAND</t>
        </is>
      </c>
      <c r="F530" t="inlineStr">
        <is>
          <t>Kyrkan</t>
        </is>
      </c>
      <c r="G530" t="n">
        <v>0.6</v>
      </c>
      <c r="H530" t="n">
        <v>0</v>
      </c>
      <c r="I530" t="n">
        <v>0</v>
      </c>
      <c r="J530" t="n">
        <v>0</v>
      </c>
      <c r="K530" t="n">
        <v>0</v>
      </c>
      <c r="L530" t="n">
        <v>0</v>
      </c>
      <c r="M530" t="n">
        <v>0</v>
      </c>
      <c r="N530" t="n">
        <v>0</v>
      </c>
      <c r="O530" t="n">
        <v>0</v>
      </c>
      <c r="P530" t="n">
        <v>0</v>
      </c>
      <c r="Q530" t="n">
        <v>0</v>
      </c>
      <c r="R530" s="2" t="inlineStr"/>
    </row>
    <row r="531" ht="15" customHeight="1">
      <c r="A531" t="inlineStr">
        <is>
          <t>A 43901-2023</t>
        </is>
      </c>
      <c r="B531" s="1" t="n">
        <v>45187</v>
      </c>
      <c r="C531" s="1" t="n">
        <v>46036</v>
      </c>
      <c r="D531" t="inlineStr">
        <is>
          <t>GOTLANDS LÄN</t>
        </is>
      </c>
      <c r="E531" t="inlineStr">
        <is>
          <t>GOTLAND</t>
        </is>
      </c>
      <c r="G531" t="n">
        <v>5.4</v>
      </c>
      <c r="H531" t="n">
        <v>0</v>
      </c>
      <c r="I531" t="n">
        <v>0</v>
      </c>
      <c r="J531" t="n">
        <v>0</v>
      </c>
      <c r="K531" t="n">
        <v>0</v>
      </c>
      <c r="L531" t="n">
        <v>0</v>
      </c>
      <c r="M531" t="n">
        <v>0</v>
      </c>
      <c r="N531" t="n">
        <v>0</v>
      </c>
      <c r="O531" t="n">
        <v>0</v>
      </c>
      <c r="P531" t="n">
        <v>0</v>
      </c>
      <c r="Q531" t="n">
        <v>0</v>
      </c>
      <c r="R531" s="2" t="inlineStr"/>
    </row>
    <row r="532" ht="15" customHeight="1">
      <c r="A532" t="inlineStr">
        <is>
          <t>A 17532-2024</t>
        </is>
      </c>
      <c r="B532" s="1" t="n">
        <v>45415</v>
      </c>
      <c r="C532" s="1" t="n">
        <v>46036</v>
      </c>
      <c r="D532" t="inlineStr">
        <is>
          <t>GOTLANDS LÄN</t>
        </is>
      </c>
      <c r="E532" t="inlineStr">
        <is>
          <t>GOTLAND</t>
        </is>
      </c>
      <c r="G532" t="n">
        <v>4.3</v>
      </c>
      <c r="H532" t="n">
        <v>0</v>
      </c>
      <c r="I532" t="n">
        <v>0</v>
      </c>
      <c r="J532" t="n">
        <v>0</v>
      </c>
      <c r="K532" t="n">
        <v>0</v>
      </c>
      <c r="L532" t="n">
        <v>0</v>
      </c>
      <c r="M532" t="n">
        <v>0</v>
      </c>
      <c r="N532" t="n">
        <v>0</v>
      </c>
      <c r="O532" t="n">
        <v>0</v>
      </c>
      <c r="P532" t="n">
        <v>0</v>
      </c>
      <c r="Q532" t="n">
        <v>0</v>
      </c>
      <c r="R532" s="2" t="inlineStr"/>
    </row>
    <row r="533" ht="15" customHeight="1">
      <c r="A533" t="inlineStr">
        <is>
          <t>A 45692-2023</t>
        </is>
      </c>
      <c r="B533" s="1" t="n">
        <v>45195</v>
      </c>
      <c r="C533" s="1" t="n">
        <v>46036</v>
      </c>
      <c r="D533" t="inlineStr">
        <is>
          <t>GOTLANDS LÄN</t>
        </is>
      </c>
      <c r="E533" t="inlineStr">
        <is>
          <t>GOTLAND</t>
        </is>
      </c>
      <c r="G533" t="n">
        <v>5.3</v>
      </c>
      <c r="H533" t="n">
        <v>0</v>
      </c>
      <c r="I533" t="n">
        <v>0</v>
      </c>
      <c r="J533" t="n">
        <v>0</v>
      </c>
      <c r="K533" t="n">
        <v>0</v>
      </c>
      <c r="L533" t="n">
        <v>0</v>
      </c>
      <c r="M533" t="n">
        <v>0</v>
      </c>
      <c r="N533" t="n">
        <v>0</v>
      </c>
      <c r="O533" t="n">
        <v>0</v>
      </c>
      <c r="P533" t="n">
        <v>0</v>
      </c>
      <c r="Q533" t="n">
        <v>0</v>
      </c>
      <c r="R533" s="2" t="inlineStr"/>
    </row>
    <row r="534" ht="15" customHeight="1">
      <c r="A534" t="inlineStr">
        <is>
          <t>A 37222-2021</t>
        </is>
      </c>
      <c r="B534" s="1" t="n">
        <v>44396</v>
      </c>
      <c r="C534" s="1" t="n">
        <v>46036</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46396-2023</t>
        </is>
      </c>
      <c r="B535" s="1" t="n">
        <v>45197</v>
      </c>
      <c r="C535" s="1" t="n">
        <v>46036</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58388-2022</t>
        </is>
      </c>
      <c r="B536" s="1" t="n">
        <v>44894</v>
      </c>
      <c r="C536" s="1" t="n">
        <v>46036</v>
      </c>
      <c r="D536" t="inlineStr">
        <is>
          <t>GOTLANDS LÄN</t>
        </is>
      </c>
      <c r="E536" t="inlineStr">
        <is>
          <t>GOTLAND</t>
        </is>
      </c>
      <c r="F536" t="inlineStr">
        <is>
          <t>Övriga statliga verk och myndigheter</t>
        </is>
      </c>
      <c r="G536" t="n">
        <v>3.1</v>
      </c>
      <c r="H536" t="n">
        <v>0</v>
      </c>
      <c r="I536" t="n">
        <v>0</v>
      </c>
      <c r="J536" t="n">
        <v>0</v>
      </c>
      <c r="K536" t="n">
        <v>0</v>
      </c>
      <c r="L536" t="n">
        <v>0</v>
      </c>
      <c r="M536" t="n">
        <v>0</v>
      </c>
      <c r="N536" t="n">
        <v>0</v>
      </c>
      <c r="O536" t="n">
        <v>0</v>
      </c>
      <c r="P536" t="n">
        <v>0</v>
      </c>
      <c r="Q536" t="n">
        <v>0</v>
      </c>
      <c r="R536" s="2" t="inlineStr"/>
    </row>
    <row r="537" ht="15" customHeight="1">
      <c r="A537" t="inlineStr">
        <is>
          <t>A 53934-2024</t>
        </is>
      </c>
      <c r="B537" s="1" t="n">
        <v>45615</v>
      </c>
      <c r="C537" s="1" t="n">
        <v>46036</v>
      </c>
      <c r="D537" t="inlineStr">
        <is>
          <t>GOTLANDS LÄN</t>
        </is>
      </c>
      <c r="E537" t="inlineStr">
        <is>
          <t>GOTLAND</t>
        </is>
      </c>
      <c r="G537" t="n">
        <v>5</v>
      </c>
      <c r="H537" t="n">
        <v>0</v>
      </c>
      <c r="I537" t="n">
        <v>0</v>
      </c>
      <c r="J537" t="n">
        <v>0</v>
      </c>
      <c r="K537" t="n">
        <v>0</v>
      </c>
      <c r="L537" t="n">
        <v>0</v>
      </c>
      <c r="M537" t="n">
        <v>0</v>
      </c>
      <c r="N537" t="n">
        <v>0</v>
      </c>
      <c r="O537" t="n">
        <v>0</v>
      </c>
      <c r="P537" t="n">
        <v>0</v>
      </c>
      <c r="Q537" t="n">
        <v>0</v>
      </c>
      <c r="R537" s="2" t="inlineStr"/>
    </row>
    <row r="538" ht="15" customHeight="1">
      <c r="A538" t="inlineStr">
        <is>
          <t>A 58132-2023</t>
        </is>
      </c>
      <c r="B538" s="1" t="n">
        <v>45250</v>
      </c>
      <c r="C538" s="1" t="n">
        <v>46036</v>
      </c>
      <c r="D538" t="inlineStr">
        <is>
          <t>GOTLANDS LÄN</t>
        </is>
      </c>
      <c r="E538" t="inlineStr">
        <is>
          <t>GOTLAND</t>
        </is>
      </c>
      <c r="G538" t="n">
        <v>3.1</v>
      </c>
      <c r="H538" t="n">
        <v>0</v>
      </c>
      <c r="I538" t="n">
        <v>0</v>
      </c>
      <c r="J538" t="n">
        <v>0</v>
      </c>
      <c r="K538" t="n">
        <v>0</v>
      </c>
      <c r="L538" t="n">
        <v>0</v>
      </c>
      <c r="M538" t="n">
        <v>0</v>
      </c>
      <c r="N538" t="n">
        <v>0</v>
      </c>
      <c r="O538" t="n">
        <v>0</v>
      </c>
      <c r="P538" t="n">
        <v>0</v>
      </c>
      <c r="Q538" t="n">
        <v>0</v>
      </c>
      <c r="R538" s="2" t="inlineStr"/>
    </row>
    <row r="539" ht="15" customHeight="1">
      <c r="A539" t="inlineStr">
        <is>
          <t>A 22899-2023</t>
        </is>
      </c>
      <c r="B539" s="1" t="n">
        <v>45072</v>
      </c>
      <c r="C539" s="1" t="n">
        <v>46036</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28285-2024</t>
        </is>
      </c>
      <c r="B540" s="1" t="n">
        <v>45477</v>
      </c>
      <c r="C540" s="1" t="n">
        <v>46036</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51963-2024</t>
        </is>
      </c>
      <c r="B541" s="1" t="n">
        <v>45607.64833333333</v>
      </c>
      <c r="C541" s="1" t="n">
        <v>46036</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1734-2025</t>
        </is>
      </c>
      <c r="B542" s="1" t="n">
        <v>45671.3840625</v>
      </c>
      <c r="C542" s="1" t="n">
        <v>46036</v>
      </c>
      <c r="D542" t="inlineStr">
        <is>
          <t>GOTLANDS LÄN</t>
        </is>
      </c>
      <c r="E542" t="inlineStr">
        <is>
          <t>GOTLAND</t>
        </is>
      </c>
      <c r="G542" t="n">
        <v>1.9</v>
      </c>
      <c r="H542" t="n">
        <v>0</v>
      </c>
      <c r="I542" t="n">
        <v>0</v>
      </c>
      <c r="J542" t="n">
        <v>0</v>
      </c>
      <c r="K542" t="n">
        <v>0</v>
      </c>
      <c r="L542" t="n">
        <v>0</v>
      </c>
      <c r="M542" t="n">
        <v>0</v>
      </c>
      <c r="N542" t="n">
        <v>0</v>
      </c>
      <c r="O542" t="n">
        <v>0</v>
      </c>
      <c r="P542" t="n">
        <v>0</v>
      </c>
      <c r="Q542" t="n">
        <v>0</v>
      </c>
      <c r="R542" s="2" t="inlineStr"/>
    </row>
    <row r="543" ht="15" customHeight="1">
      <c r="A543" t="inlineStr">
        <is>
          <t>A 30365-2024</t>
        </is>
      </c>
      <c r="B543" s="1" t="n">
        <v>45491.3716087963</v>
      </c>
      <c r="C543" s="1" t="n">
        <v>46036</v>
      </c>
      <c r="D543" t="inlineStr">
        <is>
          <t>GOTLANDS LÄN</t>
        </is>
      </c>
      <c r="E543" t="inlineStr">
        <is>
          <t>GOTLAND</t>
        </is>
      </c>
      <c r="G543" t="n">
        <v>0.5</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46036</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61100-2022</t>
        </is>
      </c>
      <c r="B545" s="1" t="n">
        <v>44915</v>
      </c>
      <c r="C545" s="1" t="n">
        <v>46036</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581-2023</t>
        </is>
      </c>
      <c r="B546" s="1" t="n">
        <v>44930</v>
      </c>
      <c r="C546" s="1" t="n">
        <v>46036</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10655-2023</t>
        </is>
      </c>
      <c r="B547" s="1" t="n">
        <v>44988.49543981482</v>
      </c>
      <c r="C547" s="1" t="n">
        <v>46036</v>
      </c>
      <c r="D547" t="inlineStr">
        <is>
          <t>GOTLANDS LÄN</t>
        </is>
      </c>
      <c r="E547" t="inlineStr">
        <is>
          <t>GOTLAND</t>
        </is>
      </c>
      <c r="F547" t="inlineStr">
        <is>
          <t>Kyrkan</t>
        </is>
      </c>
      <c r="G547" t="n">
        <v>2</v>
      </c>
      <c r="H547" t="n">
        <v>0</v>
      </c>
      <c r="I547" t="n">
        <v>0</v>
      </c>
      <c r="J547" t="n">
        <v>0</v>
      </c>
      <c r="K547" t="n">
        <v>0</v>
      </c>
      <c r="L547" t="n">
        <v>0</v>
      </c>
      <c r="M547" t="n">
        <v>0</v>
      </c>
      <c r="N547" t="n">
        <v>0</v>
      </c>
      <c r="O547" t="n">
        <v>0</v>
      </c>
      <c r="P547" t="n">
        <v>0</v>
      </c>
      <c r="Q547" t="n">
        <v>0</v>
      </c>
      <c r="R547" s="2" t="inlineStr"/>
    </row>
    <row r="548" ht="15" customHeight="1">
      <c r="A548" t="inlineStr">
        <is>
          <t>A 44649-2021</t>
        </is>
      </c>
      <c r="B548" s="1" t="n">
        <v>44437</v>
      </c>
      <c r="C548" s="1" t="n">
        <v>46036</v>
      </c>
      <c r="D548" t="inlineStr">
        <is>
          <t>GOTLANDS LÄN</t>
        </is>
      </c>
      <c r="E548" t="inlineStr">
        <is>
          <t>GOTLAND</t>
        </is>
      </c>
      <c r="G548" t="n">
        <v>8.1</v>
      </c>
      <c r="H548" t="n">
        <v>0</v>
      </c>
      <c r="I548" t="n">
        <v>0</v>
      </c>
      <c r="J548" t="n">
        <v>0</v>
      </c>
      <c r="K548" t="n">
        <v>0</v>
      </c>
      <c r="L548" t="n">
        <v>0</v>
      </c>
      <c r="M548" t="n">
        <v>0</v>
      </c>
      <c r="N548" t="n">
        <v>0</v>
      </c>
      <c r="O548" t="n">
        <v>0</v>
      </c>
      <c r="P548" t="n">
        <v>0</v>
      </c>
      <c r="Q548" t="n">
        <v>0</v>
      </c>
      <c r="R548" s="2" t="inlineStr"/>
    </row>
    <row r="549" ht="15" customHeight="1">
      <c r="A549" t="inlineStr">
        <is>
          <t>A 8484-2025</t>
        </is>
      </c>
      <c r="B549" s="1" t="n">
        <v>45709</v>
      </c>
      <c r="C549" s="1" t="n">
        <v>46036</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49962-2023</t>
        </is>
      </c>
      <c r="B550" s="1" t="n">
        <v>45215.38775462963</v>
      </c>
      <c r="C550" s="1" t="n">
        <v>46036</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50744-2024</t>
        </is>
      </c>
      <c r="B551" s="1" t="n">
        <v>45602.4187037037</v>
      </c>
      <c r="C551" s="1" t="n">
        <v>46036</v>
      </c>
      <c r="D551" t="inlineStr">
        <is>
          <t>GOTLANDS LÄN</t>
        </is>
      </c>
      <c r="E551" t="inlineStr">
        <is>
          <t>GOTLAND</t>
        </is>
      </c>
      <c r="G551" t="n">
        <v>3.2</v>
      </c>
      <c r="H551" t="n">
        <v>0</v>
      </c>
      <c r="I551" t="n">
        <v>0</v>
      </c>
      <c r="J551" t="n">
        <v>0</v>
      </c>
      <c r="K551" t="n">
        <v>0</v>
      </c>
      <c r="L551" t="n">
        <v>0</v>
      </c>
      <c r="M551" t="n">
        <v>0</v>
      </c>
      <c r="N551" t="n">
        <v>0</v>
      </c>
      <c r="O551" t="n">
        <v>0</v>
      </c>
      <c r="P551" t="n">
        <v>0</v>
      </c>
      <c r="Q551" t="n">
        <v>0</v>
      </c>
      <c r="R551" s="2" t="inlineStr"/>
    </row>
    <row r="552" ht="15" customHeight="1">
      <c r="A552" t="inlineStr">
        <is>
          <t>A 45244-2024</t>
        </is>
      </c>
      <c r="B552" s="1" t="n">
        <v>45576</v>
      </c>
      <c r="C552" s="1" t="n">
        <v>46036</v>
      </c>
      <c r="D552" t="inlineStr">
        <is>
          <t>GOTLANDS LÄN</t>
        </is>
      </c>
      <c r="E552" t="inlineStr">
        <is>
          <t>GOTLAND</t>
        </is>
      </c>
      <c r="G552" t="n">
        <v>2.4</v>
      </c>
      <c r="H552" t="n">
        <v>0</v>
      </c>
      <c r="I552" t="n">
        <v>0</v>
      </c>
      <c r="J552" t="n">
        <v>0</v>
      </c>
      <c r="K552" t="n">
        <v>0</v>
      </c>
      <c r="L552" t="n">
        <v>0</v>
      </c>
      <c r="M552" t="n">
        <v>0</v>
      </c>
      <c r="N552" t="n">
        <v>0</v>
      </c>
      <c r="O552" t="n">
        <v>0</v>
      </c>
      <c r="P552" t="n">
        <v>0</v>
      </c>
      <c r="Q552" t="n">
        <v>0</v>
      </c>
      <c r="R552" s="2" t="inlineStr"/>
    </row>
    <row r="553" ht="15" customHeight="1">
      <c r="A553" t="inlineStr">
        <is>
          <t>A 38787-2023</t>
        </is>
      </c>
      <c r="B553" s="1" t="n">
        <v>45163</v>
      </c>
      <c r="C553" s="1" t="n">
        <v>46036</v>
      </c>
      <c r="D553" t="inlineStr">
        <is>
          <t>GOTLANDS LÄN</t>
        </is>
      </c>
      <c r="E553" t="inlineStr">
        <is>
          <t>GOTLAND</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2714-2023</t>
        </is>
      </c>
      <c r="B554" s="1" t="n">
        <v>44944.54896990741</v>
      </c>
      <c r="C554" s="1" t="n">
        <v>46036</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22897-2023</t>
        </is>
      </c>
      <c r="B555" s="1" t="n">
        <v>45072.55239583334</v>
      </c>
      <c r="C555" s="1" t="n">
        <v>46036</v>
      </c>
      <c r="D555" t="inlineStr">
        <is>
          <t>GOTLANDS LÄN</t>
        </is>
      </c>
      <c r="E555" t="inlineStr">
        <is>
          <t>GOTLAND</t>
        </is>
      </c>
      <c r="G555" t="n">
        <v>1.1</v>
      </c>
      <c r="H555" t="n">
        <v>0</v>
      </c>
      <c r="I555" t="n">
        <v>0</v>
      </c>
      <c r="J555" t="n">
        <v>0</v>
      </c>
      <c r="K555" t="n">
        <v>0</v>
      </c>
      <c r="L555" t="n">
        <v>0</v>
      </c>
      <c r="M555" t="n">
        <v>0</v>
      </c>
      <c r="N555" t="n">
        <v>0</v>
      </c>
      <c r="O555" t="n">
        <v>0</v>
      </c>
      <c r="P555" t="n">
        <v>0</v>
      </c>
      <c r="Q555" t="n">
        <v>0</v>
      </c>
      <c r="R555" s="2" t="inlineStr"/>
    </row>
    <row r="556" ht="15" customHeight="1">
      <c r="A556" t="inlineStr">
        <is>
          <t>A 4568-2025</t>
        </is>
      </c>
      <c r="B556" s="1" t="n">
        <v>45687</v>
      </c>
      <c r="C556" s="1" t="n">
        <v>46036</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1681-2023</t>
        </is>
      </c>
      <c r="B557" s="1" t="n">
        <v>44938.39715277778</v>
      </c>
      <c r="C557" s="1" t="n">
        <v>46036</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42338-2023</t>
        </is>
      </c>
      <c r="B558" s="1" t="n">
        <v>45180</v>
      </c>
      <c r="C558" s="1" t="n">
        <v>46036</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18918-2025</t>
        </is>
      </c>
      <c r="B559" s="1" t="n">
        <v>45764</v>
      </c>
      <c r="C559" s="1" t="n">
        <v>46036</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11013-2024</t>
        </is>
      </c>
      <c r="B560" s="1" t="n">
        <v>45370</v>
      </c>
      <c r="C560" s="1" t="n">
        <v>46036</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45084-2024</t>
        </is>
      </c>
      <c r="B561" s="1" t="n">
        <v>45575</v>
      </c>
      <c r="C561" s="1" t="n">
        <v>46036</v>
      </c>
      <c r="D561" t="inlineStr">
        <is>
          <t>GOTLANDS LÄN</t>
        </is>
      </c>
      <c r="E561" t="inlineStr">
        <is>
          <t>GOTLAND</t>
        </is>
      </c>
      <c r="G561" t="n">
        <v>6.8</v>
      </c>
      <c r="H561" t="n">
        <v>0</v>
      </c>
      <c r="I561" t="n">
        <v>0</v>
      </c>
      <c r="J561" t="n">
        <v>0</v>
      </c>
      <c r="K561" t="n">
        <v>0</v>
      </c>
      <c r="L561" t="n">
        <v>0</v>
      </c>
      <c r="M561" t="n">
        <v>0</v>
      </c>
      <c r="N561" t="n">
        <v>0</v>
      </c>
      <c r="O561" t="n">
        <v>0</v>
      </c>
      <c r="P561" t="n">
        <v>0</v>
      </c>
      <c r="Q561" t="n">
        <v>0</v>
      </c>
      <c r="R561" s="2" t="inlineStr"/>
    </row>
    <row r="562" ht="15" customHeight="1">
      <c r="A562" t="inlineStr">
        <is>
          <t>A 20356-2022</t>
        </is>
      </c>
      <c r="B562" s="1" t="n">
        <v>44699</v>
      </c>
      <c r="C562" s="1" t="n">
        <v>46036</v>
      </c>
      <c r="D562" t="inlineStr">
        <is>
          <t>GOTLANDS LÄN</t>
        </is>
      </c>
      <c r="E562" t="inlineStr">
        <is>
          <t>GOTLAND</t>
        </is>
      </c>
      <c r="F562" t="inlineStr">
        <is>
          <t>Övriga Aktiebolag</t>
        </is>
      </c>
      <c r="G562" t="n">
        <v>4.4</v>
      </c>
      <c r="H562" t="n">
        <v>0</v>
      </c>
      <c r="I562" t="n">
        <v>0</v>
      </c>
      <c r="J562" t="n">
        <v>0</v>
      </c>
      <c r="K562" t="n">
        <v>0</v>
      </c>
      <c r="L562" t="n">
        <v>0</v>
      </c>
      <c r="M562" t="n">
        <v>0</v>
      </c>
      <c r="N562" t="n">
        <v>0</v>
      </c>
      <c r="O562" t="n">
        <v>0</v>
      </c>
      <c r="P562" t="n">
        <v>0</v>
      </c>
      <c r="Q562" t="n">
        <v>0</v>
      </c>
      <c r="R562" s="2" t="inlineStr"/>
    </row>
    <row r="563" ht="15" customHeight="1">
      <c r="A563" t="inlineStr">
        <is>
          <t>A 4868-2024</t>
        </is>
      </c>
      <c r="B563" s="1" t="n">
        <v>45329</v>
      </c>
      <c r="C563" s="1" t="n">
        <v>46036</v>
      </c>
      <c r="D563" t="inlineStr">
        <is>
          <t>GOTLANDS LÄN</t>
        </is>
      </c>
      <c r="E563" t="inlineStr">
        <is>
          <t>GOTLAND</t>
        </is>
      </c>
      <c r="G563" t="n">
        <v>7.1</v>
      </c>
      <c r="H563" t="n">
        <v>0</v>
      </c>
      <c r="I563" t="n">
        <v>0</v>
      </c>
      <c r="J563" t="n">
        <v>0</v>
      </c>
      <c r="K563" t="n">
        <v>0</v>
      </c>
      <c r="L563" t="n">
        <v>0</v>
      </c>
      <c r="M563" t="n">
        <v>0</v>
      </c>
      <c r="N563" t="n">
        <v>0</v>
      </c>
      <c r="O563" t="n">
        <v>0</v>
      </c>
      <c r="P563" t="n">
        <v>0</v>
      </c>
      <c r="Q563" t="n">
        <v>0</v>
      </c>
      <c r="R563" s="2" t="inlineStr"/>
    </row>
    <row r="564" ht="15" customHeight="1">
      <c r="A564" t="inlineStr">
        <is>
          <t>A 9613-2025</t>
        </is>
      </c>
      <c r="B564" s="1" t="n">
        <v>45715</v>
      </c>
      <c r="C564" s="1" t="n">
        <v>46036</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5386-2023</t>
        </is>
      </c>
      <c r="B565" s="1" t="n">
        <v>44959</v>
      </c>
      <c r="C565" s="1" t="n">
        <v>46036</v>
      </c>
      <c r="D565" t="inlineStr">
        <is>
          <t>GOTLANDS LÄN</t>
        </is>
      </c>
      <c r="E565" t="inlineStr">
        <is>
          <t>GOTLAND</t>
        </is>
      </c>
      <c r="G565" t="n">
        <v>5.4</v>
      </c>
      <c r="H565" t="n">
        <v>0</v>
      </c>
      <c r="I565" t="n">
        <v>0</v>
      </c>
      <c r="J565" t="n">
        <v>0</v>
      </c>
      <c r="K565" t="n">
        <v>0</v>
      </c>
      <c r="L565" t="n">
        <v>0</v>
      </c>
      <c r="M565" t="n">
        <v>0</v>
      </c>
      <c r="N565" t="n">
        <v>0</v>
      </c>
      <c r="O565" t="n">
        <v>0</v>
      </c>
      <c r="P565" t="n">
        <v>0</v>
      </c>
      <c r="Q565" t="n">
        <v>0</v>
      </c>
      <c r="R565" s="2" t="inlineStr"/>
    </row>
    <row r="566" ht="15" customHeight="1">
      <c r="A566" t="inlineStr">
        <is>
          <t>A 58211-2024</t>
        </is>
      </c>
      <c r="B566" s="1" t="n">
        <v>45632.49292824074</v>
      </c>
      <c r="C566" s="1" t="n">
        <v>46036</v>
      </c>
      <c r="D566" t="inlineStr">
        <is>
          <t>GOTLANDS LÄN</t>
        </is>
      </c>
      <c r="E566" t="inlineStr">
        <is>
          <t>GOTLAND</t>
        </is>
      </c>
      <c r="G566" t="n">
        <v>5.4</v>
      </c>
      <c r="H566" t="n">
        <v>0</v>
      </c>
      <c r="I566" t="n">
        <v>0</v>
      </c>
      <c r="J566" t="n">
        <v>0</v>
      </c>
      <c r="K566" t="n">
        <v>0</v>
      </c>
      <c r="L566" t="n">
        <v>0</v>
      </c>
      <c r="M566" t="n">
        <v>0</v>
      </c>
      <c r="N566" t="n">
        <v>0</v>
      </c>
      <c r="O566" t="n">
        <v>0</v>
      </c>
      <c r="P566" t="n">
        <v>0</v>
      </c>
      <c r="Q566" t="n">
        <v>0</v>
      </c>
      <c r="R566" s="2" t="inlineStr"/>
    </row>
    <row r="567" ht="15" customHeight="1">
      <c r="A567" t="inlineStr">
        <is>
          <t>A 11634-2024</t>
        </is>
      </c>
      <c r="B567" s="1" t="n">
        <v>45373</v>
      </c>
      <c r="C567" s="1" t="n">
        <v>46036</v>
      </c>
      <c r="D567" t="inlineStr">
        <is>
          <t>GOTLANDS LÄN</t>
        </is>
      </c>
      <c r="E567" t="inlineStr">
        <is>
          <t>GOTLAND</t>
        </is>
      </c>
      <c r="G567" t="n">
        <v>3</v>
      </c>
      <c r="H567" t="n">
        <v>0</v>
      </c>
      <c r="I567" t="n">
        <v>0</v>
      </c>
      <c r="J567" t="n">
        <v>0</v>
      </c>
      <c r="K567" t="n">
        <v>0</v>
      </c>
      <c r="L567" t="n">
        <v>0</v>
      </c>
      <c r="M567" t="n">
        <v>0</v>
      </c>
      <c r="N567" t="n">
        <v>0</v>
      </c>
      <c r="O567" t="n">
        <v>0</v>
      </c>
      <c r="P567" t="n">
        <v>0</v>
      </c>
      <c r="Q567" t="n">
        <v>0</v>
      </c>
      <c r="R567" s="2" t="inlineStr"/>
    </row>
    <row r="568" ht="15" customHeight="1">
      <c r="A568" t="inlineStr">
        <is>
          <t>A 5884-2025</t>
        </is>
      </c>
      <c r="B568" s="1" t="n">
        <v>45695.37482638889</v>
      </c>
      <c r="C568" s="1" t="n">
        <v>46036</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5897-2025</t>
        </is>
      </c>
      <c r="B569" s="1" t="n">
        <v>45695.39273148148</v>
      </c>
      <c r="C569" s="1" t="n">
        <v>46036</v>
      </c>
      <c r="D569" t="inlineStr">
        <is>
          <t>GOTLANDS LÄN</t>
        </is>
      </c>
      <c r="E569" t="inlineStr">
        <is>
          <t>GOTLAND</t>
        </is>
      </c>
      <c r="G569" t="n">
        <v>3.7</v>
      </c>
      <c r="H569" t="n">
        <v>0</v>
      </c>
      <c r="I569" t="n">
        <v>0</v>
      </c>
      <c r="J569" t="n">
        <v>0</v>
      </c>
      <c r="K569" t="n">
        <v>0</v>
      </c>
      <c r="L569" t="n">
        <v>0</v>
      </c>
      <c r="M569" t="n">
        <v>0</v>
      </c>
      <c r="N569" t="n">
        <v>0</v>
      </c>
      <c r="O569" t="n">
        <v>0</v>
      </c>
      <c r="P569" t="n">
        <v>0</v>
      </c>
      <c r="Q569" t="n">
        <v>0</v>
      </c>
      <c r="R569" s="2" t="inlineStr"/>
    </row>
    <row r="570" ht="15" customHeight="1">
      <c r="A570" t="inlineStr">
        <is>
          <t>A 5909-2025</t>
        </is>
      </c>
      <c r="B570" s="1" t="n">
        <v>45695.40634259259</v>
      </c>
      <c r="C570" s="1" t="n">
        <v>46036</v>
      </c>
      <c r="D570" t="inlineStr">
        <is>
          <t>GOTLANDS LÄN</t>
        </is>
      </c>
      <c r="E570" t="inlineStr">
        <is>
          <t>GOTLAND</t>
        </is>
      </c>
      <c r="G570" t="n">
        <v>2.9</v>
      </c>
      <c r="H570" t="n">
        <v>0</v>
      </c>
      <c r="I570" t="n">
        <v>0</v>
      </c>
      <c r="J570" t="n">
        <v>0</v>
      </c>
      <c r="K570" t="n">
        <v>0</v>
      </c>
      <c r="L570" t="n">
        <v>0</v>
      </c>
      <c r="M570" t="n">
        <v>0</v>
      </c>
      <c r="N570" t="n">
        <v>0</v>
      </c>
      <c r="O570" t="n">
        <v>0</v>
      </c>
      <c r="P570" t="n">
        <v>0</v>
      </c>
      <c r="Q570" t="n">
        <v>0</v>
      </c>
      <c r="R570" s="2" t="inlineStr"/>
    </row>
    <row r="571" ht="15" customHeight="1">
      <c r="A571" t="inlineStr">
        <is>
          <t>A 60086-2022</t>
        </is>
      </c>
      <c r="B571" s="1" t="n">
        <v>44909</v>
      </c>
      <c r="C571" s="1" t="n">
        <v>46036</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22704-2023</t>
        </is>
      </c>
      <c r="B572" s="1" t="n">
        <v>45071</v>
      </c>
      <c r="C572" s="1" t="n">
        <v>46036</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25866-2022</t>
        </is>
      </c>
      <c r="B573" s="1" t="n">
        <v>44733</v>
      </c>
      <c r="C573" s="1" t="n">
        <v>46036</v>
      </c>
      <c r="D573" t="inlineStr">
        <is>
          <t>GOTLANDS LÄN</t>
        </is>
      </c>
      <c r="E573" t="inlineStr">
        <is>
          <t>GOTLAND</t>
        </is>
      </c>
      <c r="G573" t="n">
        <v>2.9</v>
      </c>
      <c r="H573" t="n">
        <v>0</v>
      </c>
      <c r="I573" t="n">
        <v>0</v>
      </c>
      <c r="J573" t="n">
        <v>0</v>
      </c>
      <c r="K573" t="n">
        <v>0</v>
      </c>
      <c r="L573" t="n">
        <v>0</v>
      </c>
      <c r="M573" t="n">
        <v>0</v>
      </c>
      <c r="N573" t="n">
        <v>0</v>
      </c>
      <c r="O573" t="n">
        <v>0</v>
      </c>
      <c r="P573" t="n">
        <v>0</v>
      </c>
      <c r="Q573" t="n">
        <v>0</v>
      </c>
      <c r="R573" s="2" t="inlineStr"/>
    </row>
    <row r="574" ht="15" customHeight="1">
      <c r="A574" t="inlineStr">
        <is>
          <t>A 9887-2025</t>
        </is>
      </c>
      <c r="B574" s="1" t="n">
        <v>45716</v>
      </c>
      <c r="C574" s="1" t="n">
        <v>46036</v>
      </c>
      <c r="D574" t="inlineStr">
        <is>
          <t>GOTLANDS LÄN</t>
        </is>
      </c>
      <c r="E574" t="inlineStr">
        <is>
          <t>GOTLAND</t>
        </is>
      </c>
      <c r="G574" t="n">
        <v>7.5</v>
      </c>
      <c r="H574" t="n">
        <v>0</v>
      </c>
      <c r="I574" t="n">
        <v>0</v>
      </c>
      <c r="J574" t="n">
        <v>0</v>
      </c>
      <c r="K574" t="n">
        <v>0</v>
      </c>
      <c r="L574" t="n">
        <v>0</v>
      </c>
      <c r="M574" t="n">
        <v>0</v>
      </c>
      <c r="N574" t="n">
        <v>0</v>
      </c>
      <c r="O574" t="n">
        <v>0</v>
      </c>
      <c r="P574" t="n">
        <v>0</v>
      </c>
      <c r="Q574" t="n">
        <v>0</v>
      </c>
      <c r="R574" s="2" t="inlineStr"/>
    </row>
    <row r="575" ht="15" customHeight="1">
      <c r="A575" t="inlineStr">
        <is>
          <t>A 12209-2024</t>
        </is>
      </c>
      <c r="B575" s="1" t="n">
        <v>45378</v>
      </c>
      <c r="C575" s="1" t="n">
        <v>46036</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12210-2024</t>
        </is>
      </c>
      <c r="B576" s="1" t="n">
        <v>45378</v>
      </c>
      <c r="C576" s="1" t="n">
        <v>46036</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59986-2022</t>
        </is>
      </c>
      <c r="B577" s="1" t="n">
        <v>44909</v>
      </c>
      <c r="C577" s="1" t="n">
        <v>46036</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31802-2024</t>
        </is>
      </c>
      <c r="B578" s="1" t="n">
        <v>45509</v>
      </c>
      <c r="C578" s="1" t="n">
        <v>46036</v>
      </c>
      <c r="D578" t="inlineStr">
        <is>
          <t>GOTLANDS LÄN</t>
        </is>
      </c>
      <c r="E578" t="inlineStr">
        <is>
          <t>GOTLAND</t>
        </is>
      </c>
      <c r="G578" t="n">
        <v>2.8</v>
      </c>
      <c r="H578" t="n">
        <v>0</v>
      </c>
      <c r="I578" t="n">
        <v>0</v>
      </c>
      <c r="J578" t="n">
        <v>0</v>
      </c>
      <c r="K578" t="n">
        <v>0</v>
      </c>
      <c r="L578" t="n">
        <v>0</v>
      </c>
      <c r="M578" t="n">
        <v>0</v>
      </c>
      <c r="N578" t="n">
        <v>0</v>
      </c>
      <c r="O578" t="n">
        <v>0</v>
      </c>
      <c r="P578" t="n">
        <v>0</v>
      </c>
      <c r="Q578" t="n">
        <v>0</v>
      </c>
      <c r="R578" s="2" t="inlineStr"/>
    </row>
    <row r="579" ht="15" customHeight="1">
      <c r="A579" t="inlineStr">
        <is>
          <t>A 20993-2023</t>
        </is>
      </c>
      <c r="B579" s="1" t="n">
        <v>45056</v>
      </c>
      <c r="C579" s="1" t="n">
        <v>46036</v>
      </c>
      <c r="D579" t="inlineStr">
        <is>
          <t>GOTLANDS LÄN</t>
        </is>
      </c>
      <c r="E579" t="inlineStr">
        <is>
          <t>GOTLAND</t>
        </is>
      </c>
      <c r="G579" t="n">
        <v>7.1</v>
      </c>
      <c r="H579" t="n">
        <v>0</v>
      </c>
      <c r="I579" t="n">
        <v>0</v>
      </c>
      <c r="J579" t="n">
        <v>0</v>
      </c>
      <c r="K579" t="n">
        <v>0</v>
      </c>
      <c r="L579" t="n">
        <v>0</v>
      </c>
      <c r="M579" t="n">
        <v>0</v>
      </c>
      <c r="N579" t="n">
        <v>0</v>
      </c>
      <c r="O579" t="n">
        <v>0</v>
      </c>
      <c r="P579" t="n">
        <v>0</v>
      </c>
      <c r="Q579" t="n">
        <v>0</v>
      </c>
      <c r="R579" s="2" t="inlineStr"/>
    </row>
    <row r="580" ht="15" customHeight="1">
      <c r="A580" t="inlineStr">
        <is>
          <t>A 15042-2025</t>
        </is>
      </c>
      <c r="B580" s="1" t="n">
        <v>45743</v>
      </c>
      <c r="C580" s="1" t="n">
        <v>46036</v>
      </c>
      <c r="D580" t="inlineStr">
        <is>
          <t>GOTLANDS LÄN</t>
        </is>
      </c>
      <c r="E580" t="inlineStr">
        <is>
          <t>GOTLAND</t>
        </is>
      </c>
      <c r="G580" t="n">
        <v>8.5</v>
      </c>
      <c r="H580" t="n">
        <v>0</v>
      </c>
      <c r="I580" t="n">
        <v>0</v>
      </c>
      <c r="J580" t="n">
        <v>0</v>
      </c>
      <c r="K580" t="n">
        <v>0</v>
      </c>
      <c r="L580" t="n">
        <v>0</v>
      </c>
      <c r="M580" t="n">
        <v>0</v>
      </c>
      <c r="N580" t="n">
        <v>0</v>
      </c>
      <c r="O580" t="n">
        <v>0</v>
      </c>
      <c r="P580" t="n">
        <v>0</v>
      </c>
      <c r="Q580" t="n">
        <v>0</v>
      </c>
      <c r="R580" s="2" t="inlineStr"/>
    </row>
    <row r="581" ht="15" customHeight="1">
      <c r="A581" t="inlineStr">
        <is>
          <t>A 12327-2025</t>
        </is>
      </c>
      <c r="B581" s="1" t="n">
        <v>45730</v>
      </c>
      <c r="C581" s="1" t="n">
        <v>46036</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4420-2025</t>
        </is>
      </c>
      <c r="B582" s="1" t="n">
        <v>45686.47157407407</v>
      </c>
      <c r="C582" s="1" t="n">
        <v>46036</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14427-2024</t>
        </is>
      </c>
      <c r="B583" s="1" t="n">
        <v>45394</v>
      </c>
      <c r="C583" s="1" t="n">
        <v>46036</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49257-2024</t>
        </is>
      </c>
      <c r="B584" s="1" t="n">
        <v>45595.47627314815</v>
      </c>
      <c r="C584" s="1" t="n">
        <v>46036</v>
      </c>
      <c r="D584" t="inlineStr">
        <is>
          <t>GOTLANDS LÄN</t>
        </is>
      </c>
      <c r="E584" t="inlineStr">
        <is>
          <t>GOTLAND</t>
        </is>
      </c>
      <c r="G584" t="n">
        <v>6.3</v>
      </c>
      <c r="H584" t="n">
        <v>0</v>
      </c>
      <c r="I584" t="n">
        <v>0</v>
      </c>
      <c r="J584" t="n">
        <v>0</v>
      </c>
      <c r="K584" t="n">
        <v>0</v>
      </c>
      <c r="L584" t="n">
        <v>0</v>
      </c>
      <c r="M584" t="n">
        <v>0</v>
      </c>
      <c r="N584" t="n">
        <v>0</v>
      </c>
      <c r="O584" t="n">
        <v>0</v>
      </c>
      <c r="P584" t="n">
        <v>0</v>
      </c>
      <c r="Q584" t="n">
        <v>0</v>
      </c>
      <c r="R584" s="2" t="inlineStr"/>
    </row>
    <row r="585" ht="15" customHeight="1">
      <c r="A585" t="inlineStr">
        <is>
          <t>A 49315-2024</t>
        </is>
      </c>
      <c r="B585" s="1" t="n">
        <v>45595</v>
      </c>
      <c r="C585" s="1" t="n">
        <v>46036</v>
      </c>
      <c r="D585" t="inlineStr">
        <is>
          <t>GOTLANDS LÄN</t>
        </is>
      </c>
      <c r="E585" t="inlineStr">
        <is>
          <t>GOTLAND</t>
        </is>
      </c>
      <c r="G585" t="n">
        <v>1.5</v>
      </c>
      <c r="H585" t="n">
        <v>0</v>
      </c>
      <c r="I585" t="n">
        <v>0</v>
      </c>
      <c r="J585" t="n">
        <v>0</v>
      </c>
      <c r="K585" t="n">
        <v>0</v>
      </c>
      <c r="L585" t="n">
        <v>0</v>
      </c>
      <c r="M585" t="n">
        <v>0</v>
      </c>
      <c r="N585" t="n">
        <v>0</v>
      </c>
      <c r="O585" t="n">
        <v>0</v>
      </c>
      <c r="P585" t="n">
        <v>0</v>
      </c>
      <c r="Q585" t="n">
        <v>0</v>
      </c>
      <c r="R585" s="2" t="inlineStr"/>
    </row>
    <row r="586" ht="15" customHeight="1">
      <c r="A586" t="inlineStr">
        <is>
          <t>A 27596-2023</t>
        </is>
      </c>
      <c r="B586" s="1" t="n">
        <v>45097</v>
      </c>
      <c r="C586" s="1" t="n">
        <v>46036</v>
      </c>
      <c r="D586" t="inlineStr">
        <is>
          <t>GOTLANDS LÄN</t>
        </is>
      </c>
      <c r="E586" t="inlineStr">
        <is>
          <t>GOTLAND</t>
        </is>
      </c>
      <c r="G586" t="n">
        <v>3.6</v>
      </c>
      <c r="H586" t="n">
        <v>0</v>
      </c>
      <c r="I586" t="n">
        <v>0</v>
      </c>
      <c r="J586" t="n">
        <v>0</v>
      </c>
      <c r="K586" t="n">
        <v>0</v>
      </c>
      <c r="L586" t="n">
        <v>0</v>
      </c>
      <c r="M586" t="n">
        <v>0</v>
      </c>
      <c r="N586" t="n">
        <v>0</v>
      </c>
      <c r="O586" t="n">
        <v>0</v>
      </c>
      <c r="P586" t="n">
        <v>0</v>
      </c>
      <c r="Q586" t="n">
        <v>0</v>
      </c>
      <c r="R586" s="2" t="inlineStr"/>
    </row>
    <row r="587" ht="15" customHeight="1">
      <c r="A587" t="inlineStr">
        <is>
          <t>A 56115-2023</t>
        </is>
      </c>
      <c r="B587" s="1" t="n">
        <v>45236</v>
      </c>
      <c r="C587" s="1" t="n">
        <v>46036</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64969-2023</t>
        </is>
      </c>
      <c r="B588" s="1" t="n">
        <v>45284.54009259259</v>
      </c>
      <c r="C588" s="1" t="n">
        <v>46036</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33853-2024</t>
        </is>
      </c>
      <c r="B589" s="1" t="n">
        <v>45520.64298611111</v>
      </c>
      <c r="C589" s="1" t="n">
        <v>46036</v>
      </c>
      <c r="D589" t="inlineStr">
        <is>
          <t>GOTLANDS LÄN</t>
        </is>
      </c>
      <c r="E589" t="inlineStr">
        <is>
          <t>GOTLAND</t>
        </is>
      </c>
      <c r="G589" t="n">
        <v>3.9</v>
      </c>
      <c r="H589" t="n">
        <v>0</v>
      </c>
      <c r="I589" t="n">
        <v>0</v>
      </c>
      <c r="J589" t="n">
        <v>0</v>
      </c>
      <c r="K589" t="n">
        <v>0</v>
      </c>
      <c r="L589" t="n">
        <v>0</v>
      </c>
      <c r="M589" t="n">
        <v>0</v>
      </c>
      <c r="N589" t="n">
        <v>0</v>
      </c>
      <c r="O589" t="n">
        <v>0</v>
      </c>
      <c r="P589" t="n">
        <v>0</v>
      </c>
      <c r="Q589" t="n">
        <v>0</v>
      </c>
      <c r="R589" s="2" t="inlineStr"/>
    </row>
    <row r="590" ht="15" customHeight="1">
      <c r="A590" t="inlineStr">
        <is>
          <t>A 18223-2025</t>
        </is>
      </c>
      <c r="B590" s="1" t="n">
        <v>45761</v>
      </c>
      <c r="C590" s="1" t="n">
        <v>46036</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46949-2024</t>
        </is>
      </c>
      <c r="B591" s="1" t="n">
        <v>45585</v>
      </c>
      <c r="C591" s="1" t="n">
        <v>46036</v>
      </c>
      <c r="D591" t="inlineStr">
        <is>
          <t>GOTLANDS LÄN</t>
        </is>
      </c>
      <c r="E591" t="inlineStr">
        <is>
          <t>GOTLAND</t>
        </is>
      </c>
      <c r="G591" t="n">
        <v>0.6</v>
      </c>
      <c r="H591" t="n">
        <v>0</v>
      </c>
      <c r="I591" t="n">
        <v>0</v>
      </c>
      <c r="J591" t="n">
        <v>0</v>
      </c>
      <c r="K591" t="n">
        <v>0</v>
      </c>
      <c r="L591" t="n">
        <v>0</v>
      </c>
      <c r="M591" t="n">
        <v>0</v>
      </c>
      <c r="N591" t="n">
        <v>0</v>
      </c>
      <c r="O591" t="n">
        <v>0</v>
      </c>
      <c r="P591" t="n">
        <v>0</v>
      </c>
      <c r="Q591" t="n">
        <v>0</v>
      </c>
      <c r="R591" s="2" t="inlineStr"/>
    </row>
    <row r="592" ht="15" customHeight="1">
      <c r="A592" t="inlineStr">
        <is>
          <t>A 24001-2021</t>
        </is>
      </c>
      <c r="B592" s="1" t="n">
        <v>44335</v>
      </c>
      <c r="C592" s="1" t="n">
        <v>46036</v>
      </c>
      <c r="D592" t="inlineStr">
        <is>
          <t>GOTLANDS LÄN</t>
        </is>
      </c>
      <c r="E592" t="inlineStr">
        <is>
          <t>GOTLAND</t>
        </is>
      </c>
      <c r="G592" t="n">
        <v>3.4</v>
      </c>
      <c r="H592" t="n">
        <v>0</v>
      </c>
      <c r="I592" t="n">
        <v>0</v>
      </c>
      <c r="J592" t="n">
        <v>0</v>
      </c>
      <c r="K592" t="n">
        <v>0</v>
      </c>
      <c r="L592" t="n">
        <v>0</v>
      </c>
      <c r="M592" t="n">
        <v>0</v>
      </c>
      <c r="N592" t="n">
        <v>0</v>
      </c>
      <c r="O592" t="n">
        <v>0</v>
      </c>
      <c r="P592" t="n">
        <v>0</v>
      </c>
      <c r="Q592" t="n">
        <v>0</v>
      </c>
      <c r="R592" s="2" t="inlineStr"/>
    </row>
    <row r="593" ht="15" customHeight="1">
      <c r="A593" t="inlineStr">
        <is>
          <t>A 39479-2022</t>
        </is>
      </c>
      <c r="B593" s="1" t="n">
        <v>44818</v>
      </c>
      <c r="C593" s="1" t="n">
        <v>46036</v>
      </c>
      <c r="D593" t="inlineStr">
        <is>
          <t>GOTLANDS LÄN</t>
        </is>
      </c>
      <c r="E593" t="inlineStr">
        <is>
          <t>GOTLAND</t>
        </is>
      </c>
      <c r="G593" t="n">
        <v>1.1</v>
      </c>
      <c r="H593" t="n">
        <v>0</v>
      </c>
      <c r="I593" t="n">
        <v>0</v>
      </c>
      <c r="J593" t="n">
        <v>0</v>
      </c>
      <c r="K593" t="n">
        <v>0</v>
      </c>
      <c r="L593" t="n">
        <v>0</v>
      </c>
      <c r="M593" t="n">
        <v>0</v>
      </c>
      <c r="N593" t="n">
        <v>0</v>
      </c>
      <c r="O593" t="n">
        <v>0</v>
      </c>
      <c r="P593" t="n">
        <v>0</v>
      </c>
      <c r="Q593" t="n">
        <v>0</v>
      </c>
      <c r="R593" s="2" t="inlineStr"/>
    </row>
    <row r="594" ht="15" customHeight="1">
      <c r="A594" t="inlineStr">
        <is>
          <t>A 39496-2022</t>
        </is>
      </c>
      <c r="B594" s="1" t="n">
        <v>44818</v>
      </c>
      <c r="C594" s="1" t="n">
        <v>46036</v>
      </c>
      <c r="D594" t="inlineStr">
        <is>
          <t>GOTLANDS LÄN</t>
        </is>
      </c>
      <c r="E594" t="inlineStr">
        <is>
          <t>GOTLAND</t>
        </is>
      </c>
      <c r="G594" t="n">
        <v>2.4</v>
      </c>
      <c r="H594" t="n">
        <v>0</v>
      </c>
      <c r="I594" t="n">
        <v>0</v>
      </c>
      <c r="J594" t="n">
        <v>0</v>
      </c>
      <c r="K594" t="n">
        <v>0</v>
      </c>
      <c r="L594" t="n">
        <v>0</v>
      </c>
      <c r="M594" t="n">
        <v>0</v>
      </c>
      <c r="N594" t="n">
        <v>0</v>
      </c>
      <c r="O594" t="n">
        <v>0</v>
      </c>
      <c r="P594" t="n">
        <v>0</v>
      </c>
      <c r="Q594" t="n">
        <v>0</v>
      </c>
      <c r="R594" s="2" t="inlineStr"/>
    </row>
    <row r="595" ht="15" customHeight="1">
      <c r="A595" t="inlineStr">
        <is>
          <t>A 46389-2021</t>
        </is>
      </c>
      <c r="B595" s="1" t="n">
        <v>44443</v>
      </c>
      <c r="C595" s="1" t="n">
        <v>46036</v>
      </c>
      <c r="D595" t="inlineStr">
        <is>
          <t>GOTLANDS LÄN</t>
        </is>
      </c>
      <c r="E595" t="inlineStr">
        <is>
          <t>GOTLAND</t>
        </is>
      </c>
      <c r="F595" t="inlineStr">
        <is>
          <t>Kyrkan</t>
        </is>
      </c>
      <c r="G595" t="n">
        <v>2.1</v>
      </c>
      <c r="H595" t="n">
        <v>0</v>
      </c>
      <c r="I595" t="n">
        <v>0</v>
      </c>
      <c r="J595" t="n">
        <v>0</v>
      </c>
      <c r="K595" t="n">
        <v>0</v>
      </c>
      <c r="L595" t="n">
        <v>0</v>
      </c>
      <c r="M595" t="n">
        <v>0</v>
      </c>
      <c r="N595" t="n">
        <v>0</v>
      </c>
      <c r="O595" t="n">
        <v>0</v>
      </c>
      <c r="P595" t="n">
        <v>0</v>
      </c>
      <c r="Q595" t="n">
        <v>0</v>
      </c>
      <c r="R595" s="2" t="inlineStr"/>
    </row>
    <row r="596" ht="15" customHeight="1">
      <c r="A596" t="inlineStr">
        <is>
          <t>A 44949-2023</t>
        </is>
      </c>
      <c r="B596" s="1" t="n">
        <v>45190.69520833333</v>
      </c>
      <c r="C596" s="1" t="n">
        <v>46036</v>
      </c>
      <c r="D596" t="inlineStr">
        <is>
          <t>GOTLANDS LÄN</t>
        </is>
      </c>
      <c r="E596" t="inlineStr">
        <is>
          <t>GOTLAND</t>
        </is>
      </c>
      <c r="G596" t="n">
        <v>1.4</v>
      </c>
      <c r="H596" t="n">
        <v>0</v>
      </c>
      <c r="I596" t="n">
        <v>0</v>
      </c>
      <c r="J596" t="n">
        <v>0</v>
      </c>
      <c r="K596" t="n">
        <v>0</v>
      </c>
      <c r="L596" t="n">
        <v>0</v>
      </c>
      <c r="M596" t="n">
        <v>0</v>
      </c>
      <c r="N596" t="n">
        <v>0</v>
      </c>
      <c r="O596" t="n">
        <v>0</v>
      </c>
      <c r="P596" t="n">
        <v>0</v>
      </c>
      <c r="Q596" t="n">
        <v>0</v>
      </c>
      <c r="R596" s="2" t="inlineStr"/>
    </row>
    <row r="597" ht="15" customHeight="1">
      <c r="A597" t="inlineStr">
        <is>
          <t>A 17682-2024</t>
        </is>
      </c>
      <c r="B597" s="1" t="n">
        <v>45418.42966435185</v>
      </c>
      <c r="C597" s="1" t="n">
        <v>46036</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61897-2024</t>
        </is>
      </c>
      <c r="B598" s="1" t="n">
        <v>45652.75685185185</v>
      </c>
      <c r="C598" s="1" t="n">
        <v>46036</v>
      </c>
      <c r="D598" t="inlineStr">
        <is>
          <t>GOTLANDS LÄN</t>
        </is>
      </c>
      <c r="E598" t="inlineStr">
        <is>
          <t>GOTLAND</t>
        </is>
      </c>
      <c r="G598" t="n">
        <v>6.4</v>
      </c>
      <c r="H598" t="n">
        <v>0</v>
      </c>
      <c r="I598" t="n">
        <v>0</v>
      </c>
      <c r="J598" t="n">
        <v>0</v>
      </c>
      <c r="K598" t="n">
        <v>0</v>
      </c>
      <c r="L598" t="n">
        <v>0</v>
      </c>
      <c r="M598" t="n">
        <v>0</v>
      </c>
      <c r="N598" t="n">
        <v>0</v>
      </c>
      <c r="O598" t="n">
        <v>0</v>
      </c>
      <c r="P598" t="n">
        <v>0</v>
      </c>
      <c r="Q598" t="n">
        <v>0</v>
      </c>
      <c r="R598" s="2" t="inlineStr"/>
    </row>
    <row r="599" ht="15" customHeight="1">
      <c r="A599" t="inlineStr">
        <is>
          <t>A 12032-2025</t>
        </is>
      </c>
      <c r="B599" s="1" t="n">
        <v>45728.64472222222</v>
      </c>
      <c r="C599" s="1" t="n">
        <v>46036</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15595-2024</t>
        </is>
      </c>
      <c r="B600" s="1" t="n">
        <v>45401.81480324074</v>
      </c>
      <c r="C600" s="1" t="n">
        <v>46036</v>
      </c>
      <c r="D600" t="inlineStr">
        <is>
          <t>GOTLANDS LÄN</t>
        </is>
      </c>
      <c r="E600" t="inlineStr">
        <is>
          <t>GOTLAND</t>
        </is>
      </c>
      <c r="G600" t="n">
        <v>6.4</v>
      </c>
      <c r="H600" t="n">
        <v>0</v>
      </c>
      <c r="I600" t="n">
        <v>0</v>
      </c>
      <c r="J600" t="n">
        <v>0</v>
      </c>
      <c r="K600" t="n">
        <v>0</v>
      </c>
      <c r="L600" t="n">
        <v>0</v>
      </c>
      <c r="M600" t="n">
        <v>0</v>
      </c>
      <c r="N600" t="n">
        <v>0</v>
      </c>
      <c r="O600" t="n">
        <v>0</v>
      </c>
      <c r="P600" t="n">
        <v>0</v>
      </c>
      <c r="Q600" t="n">
        <v>0</v>
      </c>
      <c r="R600" s="2" t="inlineStr"/>
    </row>
    <row r="601" ht="15" customHeight="1">
      <c r="A601" t="inlineStr">
        <is>
          <t>A 21164-2024</t>
        </is>
      </c>
      <c r="B601" s="1" t="n">
        <v>45440</v>
      </c>
      <c r="C601" s="1" t="n">
        <v>46036</v>
      </c>
      <c r="D601" t="inlineStr">
        <is>
          <t>GOTLANDS LÄN</t>
        </is>
      </c>
      <c r="E601" t="inlineStr">
        <is>
          <t>GOTLAND</t>
        </is>
      </c>
      <c r="G601" t="n">
        <v>6.3</v>
      </c>
      <c r="H601" t="n">
        <v>0</v>
      </c>
      <c r="I601" t="n">
        <v>0</v>
      </c>
      <c r="J601" t="n">
        <v>0</v>
      </c>
      <c r="K601" t="n">
        <v>0</v>
      </c>
      <c r="L601" t="n">
        <v>0</v>
      </c>
      <c r="M601" t="n">
        <v>0</v>
      </c>
      <c r="N601" t="n">
        <v>0</v>
      </c>
      <c r="O601" t="n">
        <v>0</v>
      </c>
      <c r="P601" t="n">
        <v>0</v>
      </c>
      <c r="Q601" t="n">
        <v>0</v>
      </c>
      <c r="R601" s="2" t="inlineStr"/>
    </row>
    <row r="602" ht="15" customHeight="1">
      <c r="A602" t="inlineStr">
        <is>
          <t>A 17541-2024</t>
        </is>
      </c>
      <c r="B602" s="1" t="n">
        <v>45415</v>
      </c>
      <c r="C602" s="1" t="n">
        <v>46036</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883-2025</t>
        </is>
      </c>
      <c r="B603" s="1" t="n">
        <v>45665</v>
      </c>
      <c r="C603" s="1" t="n">
        <v>46036</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13910-2025</t>
        </is>
      </c>
      <c r="B604" s="1" t="n">
        <v>45737</v>
      </c>
      <c r="C604" s="1" t="n">
        <v>46036</v>
      </c>
      <c r="D604" t="inlineStr">
        <is>
          <t>GOTLANDS LÄN</t>
        </is>
      </c>
      <c r="E604" t="inlineStr">
        <is>
          <t>GOTLAND</t>
        </is>
      </c>
      <c r="F604" t="inlineStr">
        <is>
          <t>Kommuner</t>
        </is>
      </c>
      <c r="G604" t="n">
        <v>3.2</v>
      </c>
      <c r="H604" t="n">
        <v>0</v>
      </c>
      <c r="I604" t="n">
        <v>0</v>
      </c>
      <c r="J604" t="n">
        <v>0</v>
      </c>
      <c r="K604" t="n">
        <v>0</v>
      </c>
      <c r="L604" t="n">
        <v>0</v>
      </c>
      <c r="M604" t="n">
        <v>0</v>
      </c>
      <c r="N604" t="n">
        <v>0</v>
      </c>
      <c r="O604" t="n">
        <v>0</v>
      </c>
      <c r="P604" t="n">
        <v>0</v>
      </c>
      <c r="Q604" t="n">
        <v>0</v>
      </c>
      <c r="R604" s="2" t="inlineStr"/>
    </row>
    <row r="605" ht="15" customHeight="1">
      <c r="A605" t="inlineStr">
        <is>
          <t>A 20794-2025</t>
        </is>
      </c>
      <c r="B605" s="1" t="n">
        <v>45776</v>
      </c>
      <c r="C605" s="1" t="n">
        <v>46036</v>
      </c>
      <c r="D605" t="inlineStr">
        <is>
          <t>GOTLANDS LÄN</t>
        </is>
      </c>
      <c r="E605" t="inlineStr">
        <is>
          <t>GOTLAND</t>
        </is>
      </c>
      <c r="G605" t="n">
        <v>6</v>
      </c>
      <c r="H605" t="n">
        <v>0</v>
      </c>
      <c r="I605" t="n">
        <v>0</v>
      </c>
      <c r="J605" t="n">
        <v>0</v>
      </c>
      <c r="K605" t="n">
        <v>0</v>
      </c>
      <c r="L605" t="n">
        <v>0</v>
      </c>
      <c r="M605" t="n">
        <v>0</v>
      </c>
      <c r="N605" t="n">
        <v>0</v>
      </c>
      <c r="O605" t="n">
        <v>0</v>
      </c>
      <c r="P605" t="n">
        <v>0</v>
      </c>
      <c r="Q605" t="n">
        <v>0</v>
      </c>
      <c r="R605" s="2" t="inlineStr"/>
    </row>
    <row r="606" ht="15" customHeight="1">
      <c r="A606" t="inlineStr">
        <is>
          <t>A 20805-2025</t>
        </is>
      </c>
      <c r="B606" s="1" t="n">
        <v>45776</v>
      </c>
      <c r="C606" s="1" t="n">
        <v>46036</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21389-2025</t>
        </is>
      </c>
      <c r="B607" s="1" t="n">
        <v>45782</v>
      </c>
      <c r="C607" s="1" t="n">
        <v>46036</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21651-2025</t>
        </is>
      </c>
      <c r="B608" s="1" t="n">
        <v>45783</v>
      </c>
      <c r="C608" s="1" t="n">
        <v>46036</v>
      </c>
      <c r="D608" t="inlineStr">
        <is>
          <t>GOTLANDS LÄN</t>
        </is>
      </c>
      <c r="E608" t="inlineStr">
        <is>
          <t>GOTLAND</t>
        </is>
      </c>
      <c r="G608" t="n">
        <v>4.2</v>
      </c>
      <c r="H608" t="n">
        <v>0</v>
      </c>
      <c r="I608" t="n">
        <v>0</v>
      </c>
      <c r="J608" t="n">
        <v>0</v>
      </c>
      <c r="K608" t="n">
        <v>0</v>
      </c>
      <c r="L608" t="n">
        <v>0</v>
      </c>
      <c r="M608" t="n">
        <v>0</v>
      </c>
      <c r="N608" t="n">
        <v>0</v>
      </c>
      <c r="O608" t="n">
        <v>0</v>
      </c>
      <c r="P608" t="n">
        <v>0</v>
      </c>
      <c r="Q608" t="n">
        <v>0</v>
      </c>
      <c r="R608" s="2" t="inlineStr"/>
    </row>
    <row r="609" ht="15" customHeight="1">
      <c r="A609" t="inlineStr">
        <is>
          <t>A 21420-2024</t>
        </is>
      </c>
      <c r="B609" s="1" t="n">
        <v>45441.38293981482</v>
      </c>
      <c r="C609" s="1" t="n">
        <v>46036</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10656-2024</t>
        </is>
      </c>
      <c r="B610" s="1" t="n">
        <v>45368</v>
      </c>
      <c r="C610" s="1" t="n">
        <v>46036</v>
      </c>
      <c r="D610" t="inlineStr">
        <is>
          <t>GOTLANDS LÄN</t>
        </is>
      </c>
      <c r="E610" t="inlineStr">
        <is>
          <t>GOTLAND</t>
        </is>
      </c>
      <c r="G610" t="n">
        <v>1.5</v>
      </c>
      <c r="H610" t="n">
        <v>0</v>
      </c>
      <c r="I610" t="n">
        <v>0</v>
      </c>
      <c r="J610" t="n">
        <v>0</v>
      </c>
      <c r="K610" t="n">
        <v>0</v>
      </c>
      <c r="L610" t="n">
        <v>0</v>
      </c>
      <c r="M610" t="n">
        <v>0</v>
      </c>
      <c r="N610" t="n">
        <v>0</v>
      </c>
      <c r="O610" t="n">
        <v>0</v>
      </c>
      <c r="P610" t="n">
        <v>0</v>
      </c>
      <c r="Q610" t="n">
        <v>0</v>
      </c>
      <c r="R610" s="2" t="inlineStr"/>
    </row>
    <row r="611" ht="15" customHeight="1">
      <c r="A611" t="inlineStr">
        <is>
          <t>A 57356-2023</t>
        </is>
      </c>
      <c r="B611" s="1" t="n">
        <v>45240</v>
      </c>
      <c r="C611" s="1" t="n">
        <v>46036</v>
      </c>
      <c r="D611" t="inlineStr">
        <is>
          <t>GOTLANDS LÄN</t>
        </is>
      </c>
      <c r="E611" t="inlineStr">
        <is>
          <t>GOTLAND</t>
        </is>
      </c>
      <c r="G611" t="n">
        <v>6.4</v>
      </c>
      <c r="H611" t="n">
        <v>0</v>
      </c>
      <c r="I611" t="n">
        <v>0</v>
      </c>
      <c r="J611" t="n">
        <v>0</v>
      </c>
      <c r="K611" t="n">
        <v>0</v>
      </c>
      <c r="L611" t="n">
        <v>0</v>
      </c>
      <c r="M611" t="n">
        <v>0</v>
      </c>
      <c r="N611" t="n">
        <v>0</v>
      </c>
      <c r="O611" t="n">
        <v>0</v>
      </c>
      <c r="P611" t="n">
        <v>0</v>
      </c>
      <c r="Q611" t="n">
        <v>0</v>
      </c>
      <c r="R611" s="2" t="inlineStr"/>
    </row>
    <row r="612" ht="15" customHeight="1">
      <c r="A612" t="inlineStr">
        <is>
          <t>A 28506-2023</t>
        </is>
      </c>
      <c r="B612" s="1" t="n">
        <v>45103</v>
      </c>
      <c r="C612" s="1" t="n">
        <v>46036</v>
      </c>
      <c r="D612" t="inlineStr">
        <is>
          <t>GOTLANDS LÄN</t>
        </is>
      </c>
      <c r="E612" t="inlineStr">
        <is>
          <t>GOTLAND</t>
        </is>
      </c>
      <c r="G612" t="n">
        <v>3.2</v>
      </c>
      <c r="H612" t="n">
        <v>0</v>
      </c>
      <c r="I612" t="n">
        <v>0</v>
      </c>
      <c r="J612" t="n">
        <v>0</v>
      </c>
      <c r="K612" t="n">
        <v>0</v>
      </c>
      <c r="L612" t="n">
        <v>0</v>
      </c>
      <c r="M612" t="n">
        <v>0</v>
      </c>
      <c r="N612" t="n">
        <v>0</v>
      </c>
      <c r="O612" t="n">
        <v>0</v>
      </c>
      <c r="P612" t="n">
        <v>0</v>
      </c>
      <c r="Q612" t="n">
        <v>0</v>
      </c>
      <c r="R612" s="2" t="inlineStr"/>
    </row>
    <row r="613" ht="15" customHeight="1">
      <c r="A613" t="inlineStr">
        <is>
          <t>A 23188-2025</t>
        </is>
      </c>
      <c r="B613" s="1" t="n">
        <v>45791</v>
      </c>
      <c r="C613" s="1" t="n">
        <v>46036</v>
      </c>
      <c r="D613" t="inlineStr">
        <is>
          <t>GOTLANDS LÄN</t>
        </is>
      </c>
      <c r="E613" t="inlineStr">
        <is>
          <t>GOTLAND</t>
        </is>
      </c>
      <c r="G613" t="n">
        <v>6.2</v>
      </c>
      <c r="H613" t="n">
        <v>0</v>
      </c>
      <c r="I613" t="n">
        <v>0</v>
      </c>
      <c r="J613" t="n">
        <v>0</v>
      </c>
      <c r="K613" t="n">
        <v>0</v>
      </c>
      <c r="L613" t="n">
        <v>0</v>
      </c>
      <c r="M613" t="n">
        <v>0</v>
      </c>
      <c r="N613" t="n">
        <v>0</v>
      </c>
      <c r="O613" t="n">
        <v>0</v>
      </c>
      <c r="P613" t="n">
        <v>0</v>
      </c>
      <c r="Q613" t="n">
        <v>0</v>
      </c>
      <c r="R613" s="2" t="inlineStr"/>
    </row>
    <row r="614" ht="15" customHeight="1">
      <c r="A614" t="inlineStr">
        <is>
          <t>A 23856-2025</t>
        </is>
      </c>
      <c r="B614" s="1" t="n">
        <v>45793</v>
      </c>
      <c r="C614" s="1" t="n">
        <v>46036</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23473-2025</t>
        </is>
      </c>
      <c r="B615" s="1" t="n">
        <v>45792</v>
      </c>
      <c r="C615" s="1" t="n">
        <v>46036</v>
      </c>
      <c r="D615" t="inlineStr">
        <is>
          <t>GOTLANDS LÄN</t>
        </is>
      </c>
      <c r="E615" t="inlineStr">
        <is>
          <t>GOTLAND</t>
        </is>
      </c>
      <c r="G615" t="n">
        <v>3.6</v>
      </c>
      <c r="H615" t="n">
        <v>0</v>
      </c>
      <c r="I615" t="n">
        <v>0</v>
      </c>
      <c r="J615" t="n">
        <v>0</v>
      </c>
      <c r="K615" t="n">
        <v>0</v>
      </c>
      <c r="L615" t="n">
        <v>0</v>
      </c>
      <c r="M615" t="n">
        <v>0</v>
      </c>
      <c r="N615" t="n">
        <v>0</v>
      </c>
      <c r="O615" t="n">
        <v>0</v>
      </c>
      <c r="P615" t="n">
        <v>0</v>
      </c>
      <c r="Q615" t="n">
        <v>0</v>
      </c>
      <c r="R615" s="2" t="inlineStr"/>
    </row>
    <row r="616" ht="15" customHeight="1">
      <c r="A616" t="inlineStr">
        <is>
          <t>A 23698-2025</t>
        </is>
      </c>
      <c r="B616" s="1" t="n">
        <v>45793</v>
      </c>
      <c r="C616" s="1" t="n">
        <v>46036</v>
      </c>
      <c r="D616" t="inlineStr">
        <is>
          <t>GOTLANDS LÄN</t>
        </is>
      </c>
      <c r="E616" t="inlineStr">
        <is>
          <t>GOTLAND</t>
        </is>
      </c>
      <c r="G616" t="n">
        <v>0.8</v>
      </c>
      <c r="H616" t="n">
        <v>0</v>
      </c>
      <c r="I616" t="n">
        <v>0</v>
      </c>
      <c r="J616" t="n">
        <v>0</v>
      </c>
      <c r="K616" t="n">
        <v>0</v>
      </c>
      <c r="L616" t="n">
        <v>0</v>
      </c>
      <c r="M616" t="n">
        <v>0</v>
      </c>
      <c r="N616" t="n">
        <v>0</v>
      </c>
      <c r="O616" t="n">
        <v>0</v>
      </c>
      <c r="P616" t="n">
        <v>0</v>
      </c>
      <c r="Q616" t="n">
        <v>0</v>
      </c>
      <c r="R616" s="2" t="inlineStr"/>
    </row>
    <row r="617" ht="15" customHeight="1">
      <c r="A617" t="inlineStr">
        <is>
          <t>A 15073-2025</t>
        </is>
      </c>
      <c r="B617" s="1" t="n">
        <v>45743</v>
      </c>
      <c r="C617" s="1" t="n">
        <v>46036</v>
      </c>
      <c r="D617" t="inlineStr">
        <is>
          <t>GOTLANDS LÄN</t>
        </is>
      </c>
      <c r="E617" t="inlineStr">
        <is>
          <t>GOTLAND</t>
        </is>
      </c>
      <c r="G617" t="n">
        <v>12.1</v>
      </c>
      <c r="H617" t="n">
        <v>0</v>
      </c>
      <c r="I617" t="n">
        <v>0</v>
      </c>
      <c r="J617" t="n">
        <v>0</v>
      </c>
      <c r="K617" t="n">
        <v>0</v>
      </c>
      <c r="L617" t="n">
        <v>0</v>
      </c>
      <c r="M617" t="n">
        <v>0</v>
      </c>
      <c r="N617" t="n">
        <v>0</v>
      </c>
      <c r="O617" t="n">
        <v>0</v>
      </c>
      <c r="P617" t="n">
        <v>0</v>
      </c>
      <c r="Q617" t="n">
        <v>0</v>
      </c>
      <c r="R617" s="2" t="inlineStr"/>
    </row>
    <row r="618" ht="15" customHeight="1">
      <c r="A618" t="inlineStr">
        <is>
          <t>A 6749-2025</t>
        </is>
      </c>
      <c r="B618" s="1" t="n">
        <v>45700</v>
      </c>
      <c r="C618" s="1" t="n">
        <v>46036</v>
      </c>
      <c r="D618" t="inlineStr">
        <is>
          <t>GOTLANDS LÄN</t>
        </is>
      </c>
      <c r="E618" t="inlineStr">
        <is>
          <t>GOTLAND</t>
        </is>
      </c>
      <c r="G618" t="n">
        <v>4.5</v>
      </c>
      <c r="H618" t="n">
        <v>0</v>
      </c>
      <c r="I618" t="n">
        <v>0</v>
      </c>
      <c r="J618" t="n">
        <v>0</v>
      </c>
      <c r="K618" t="n">
        <v>0</v>
      </c>
      <c r="L618" t="n">
        <v>0</v>
      </c>
      <c r="M618" t="n">
        <v>0</v>
      </c>
      <c r="N618" t="n">
        <v>0</v>
      </c>
      <c r="O618" t="n">
        <v>0</v>
      </c>
      <c r="P618" t="n">
        <v>0</v>
      </c>
      <c r="Q618" t="n">
        <v>0</v>
      </c>
      <c r="R618" s="2" t="inlineStr"/>
    </row>
    <row r="619" ht="15" customHeight="1">
      <c r="A619" t="inlineStr">
        <is>
          <t>A 5462-2025</t>
        </is>
      </c>
      <c r="B619" s="1" t="n">
        <v>45693.29331018519</v>
      </c>
      <c r="C619" s="1" t="n">
        <v>46036</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25796-2025</t>
        </is>
      </c>
      <c r="B620" s="1" t="n">
        <v>45804.39543981481</v>
      </c>
      <c r="C620" s="1" t="n">
        <v>46036</v>
      </c>
      <c r="D620" t="inlineStr">
        <is>
          <t>GOTLANDS LÄN</t>
        </is>
      </c>
      <c r="E620" t="inlineStr">
        <is>
          <t>GOTLAND</t>
        </is>
      </c>
      <c r="G620" t="n">
        <v>2</v>
      </c>
      <c r="H620" t="n">
        <v>0</v>
      </c>
      <c r="I620" t="n">
        <v>0</v>
      </c>
      <c r="J620" t="n">
        <v>0</v>
      </c>
      <c r="K620" t="n">
        <v>0</v>
      </c>
      <c r="L620" t="n">
        <v>0</v>
      </c>
      <c r="M620" t="n">
        <v>0</v>
      </c>
      <c r="N620" t="n">
        <v>0</v>
      </c>
      <c r="O620" t="n">
        <v>0</v>
      </c>
      <c r="P620" t="n">
        <v>0</v>
      </c>
      <c r="Q620" t="n">
        <v>0</v>
      </c>
      <c r="R620" s="2" t="inlineStr"/>
    </row>
    <row r="621" ht="15" customHeight="1">
      <c r="A621" t="inlineStr">
        <is>
          <t>A 26465-2025</t>
        </is>
      </c>
      <c r="B621" s="1" t="n">
        <v>45807.44377314814</v>
      </c>
      <c r="C621" s="1" t="n">
        <v>46036</v>
      </c>
      <c r="D621" t="inlineStr">
        <is>
          <t>GOTLANDS LÄN</t>
        </is>
      </c>
      <c r="E621" t="inlineStr">
        <is>
          <t>GOTLAND</t>
        </is>
      </c>
      <c r="G621" t="n">
        <v>4.5</v>
      </c>
      <c r="H621" t="n">
        <v>0</v>
      </c>
      <c r="I621" t="n">
        <v>0</v>
      </c>
      <c r="J621" t="n">
        <v>0</v>
      </c>
      <c r="K621" t="n">
        <v>0</v>
      </c>
      <c r="L621" t="n">
        <v>0</v>
      </c>
      <c r="M621" t="n">
        <v>0</v>
      </c>
      <c r="N621" t="n">
        <v>0</v>
      </c>
      <c r="O621" t="n">
        <v>0</v>
      </c>
      <c r="P621" t="n">
        <v>0</v>
      </c>
      <c r="Q621" t="n">
        <v>0</v>
      </c>
      <c r="R621" s="2" t="inlineStr"/>
    </row>
    <row r="622" ht="15" customHeight="1">
      <c r="A622" t="inlineStr">
        <is>
          <t>A 26457-2025</t>
        </is>
      </c>
      <c r="B622" s="1" t="n">
        <v>45807.42773148148</v>
      </c>
      <c r="C622" s="1" t="n">
        <v>46036</v>
      </c>
      <c r="D622" t="inlineStr">
        <is>
          <t>GOTLANDS LÄN</t>
        </is>
      </c>
      <c r="E622" t="inlineStr">
        <is>
          <t>GOTLAND</t>
        </is>
      </c>
      <c r="G622" t="n">
        <v>5.7</v>
      </c>
      <c r="H622" t="n">
        <v>0</v>
      </c>
      <c r="I622" t="n">
        <v>0</v>
      </c>
      <c r="J622" t="n">
        <v>0</v>
      </c>
      <c r="K622" t="n">
        <v>0</v>
      </c>
      <c r="L622" t="n">
        <v>0</v>
      </c>
      <c r="M622" t="n">
        <v>0</v>
      </c>
      <c r="N622" t="n">
        <v>0</v>
      </c>
      <c r="O622" t="n">
        <v>0</v>
      </c>
      <c r="P622" t="n">
        <v>0</v>
      </c>
      <c r="Q622" t="n">
        <v>0</v>
      </c>
      <c r="R622" s="2" t="inlineStr"/>
    </row>
    <row r="623" ht="15" customHeight="1">
      <c r="A623" t="inlineStr">
        <is>
          <t>A 26467-2025</t>
        </is>
      </c>
      <c r="B623" s="1" t="n">
        <v>45807.44640046296</v>
      </c>
      <c r="C623" s="1" t="n">
        <v>46036</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c r="A624" t="inlineStr">
        <is>
          <t>A 26660-2025</t>
        </is>
      </c>
      <c r="B624" s="1" t="n">
        <v>45810.39737268518</v>
      </c>
      <c r="C624" s="1" t="n">
        <v>46036</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2026-01-14T10:54:42Z</dcterms:created>
  <dcterms:modified xmlns:dcterms="http://purl.org/dc/terms/" xmlns:xsi="http://www.w3.org/2001/XMLSchema-instance" xsi:type="dcterms:W3CDTF">2026-01-14T10:54:43Z</dcterms:modified>
</cp:coreProperties>
</file>