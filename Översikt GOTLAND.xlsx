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46114</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46114</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46114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46114</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46114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46114</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46114</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46114</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46114</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46114</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46114</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46114</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46114</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46114</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46114</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46114</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46114</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46114</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46114</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46114</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46114</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46114</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46114</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46114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46114</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46114</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46114</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46114</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46114</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46114</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3324-2023</t>
        </is>
      </c>
      <c r="B36" s="1" t="n">
        <v>44949</v>
      </c>
      <c r="C36" s="1" t="n">
        <v>46114</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46114</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46114</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46114</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46114</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46114</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11176-2024</t>
        </is>
      </c>
      <c r="B42" s="1" t="n">
        <v>45371</v>
      </c>
      <c r="C42" s="1" t="n">
        <v>46114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46114</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43201-2023</t>
        </is>
      </c>
      <c r="B44" s="1" t="n">
        <v>45183</v>
      </c>
      <c r="C44" s="1" t="n">
        <v>46114</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52223-2025</t>
        </is>
      </c>
      <c r="B45" s="1" t="n">
        <v>45953.44509259259</v>
      </c>
      <c r="C45" s="1" t="n">
        <v>46114</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584-2023</t>
        </is>
      </c>
      <c r="B46" s="1" t="n">
        <v>44930</v>
      </c>
      <c r="C46" s="1" t="n">
        <v>46114</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46114</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46114</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46114</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46114</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33153-2024</t>
        </is>
      </c>
      <c r="B51" s="1" t="n">
        <v>45518</v>
      </c>
      <c r="C51" s="1" t="n">
        <v>46114</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45248-2024</t>
        </is>
      </c>
      <c r="B52" s="1" t="n">
        <v>45576</v>
      </c>
      <c r="C52" s="1" t="n">
        <v>46114</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22404-2024</t>
        </is>
      </c>
      <c r="B53" s="1" t="n">
        <v>45446</v>
      </c>
      <c r="C53" s="1" t="n">
        <v>46114</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46114</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46114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46114</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46114</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46114</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46114</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46114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46114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46114</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46114</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46114</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46114</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46114</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46114</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46114</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46114</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46114</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46114</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46114</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53584-2025</t>
        </is>
      </c>
      <c r="B73" s="1" t="n">
        <v>45960.43130787037</v>
      </c>
      <c r="C73" s="1" t="n">
        <v>46114</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46114</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54527-2023</t>
        </is>
      </c>
      <c r="B75" s="1" t="n">
        <v>45233</v>
      </c>
      <c r="C75" s="1" t="n">
        <v>46114</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46114</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46114</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35293-2025</t>
        </is>
      </c>
      <c r="B78" s="1" t="n">
        <v>45854.39438657407</v>
      </c>
      <c r="C78" s="1" t="n">
        <v>46114</v>
      </c>
      <c r="D78" t="inlineStr">
        <is>
          <t>GOTLANDS LÄN</t>
        </is>
      </c>
      <c r="E78" t="inlineStr">
        <is>
          <t>GOTLAND</t>
        </is>
      </c>
      <c r="G78" t="n">
        <v>9.199999999999999</v>
      </c>
      <c r="H78" t="n">
        <v>1</v>
      </c>
      <c r="I78" t="n">
        <v>1</v>
      </c>
      <c r="J78" t="n">
        <v>4</v>
      </c>
      <c r="K78" t="n">
        <v>0</v>
      </c>
      <c r="L78" t="n">
        <v>0</v>
      </c>
      <c r="M78" t="n">
        <v>0</v>
      </c>
      <c r="N78" t="n">
        <v>0</v>
      </c>
      <c r="O78" t="n">
        <v>4</v>
      </c>
      <c r="P78" t="n">
        <v>0</v>
      </c>
      <c r="Q78" t="n">
        <v>5</v>
      </c>
      <c r="R78" s="2" t="inlineStr">
        <is>
          <t>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32326-2024</t>
        </is>
      </c>
      <c r="B79" s="1" t="n">
        <v>45512</v>
      </c>
      <c r="C79" s="1" t="n">
        <v>46114</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39425-2023</t>
        </is>
      </c>
      <c r="B80" s="1" t="n">
        <v>45166</v>
      </c>
      <c r="C80" s="1" t="n">
        <v>46114</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46114</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10274-2026</t>
        </is>
      </c>
      <c r="B82" s="1" t="n">
        <v>46076.58261574074</v>
      </c>
      <c r="C82" s="1" t="n">
        <v>46114</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46114</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42936-2024</t>
        </is>
      </c>
      <c r="B84" s="1" t="n">
        <v>45567</v>
      </c>
      <c r="C84" s="1" t="n">
        <v>46114</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46114</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6839-2026</t>
        </is>
      </c>
      <c r="B86" s="1" t="n">
        <v>46057.41193287037</v>
      </c>
      <c r="C86" s="1" t="n">
        <v>46114</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16375-2025</t>
        </is>
      </c>
      <c r="B87" s="1" t="n">
        <v>45751.41064814815</v>
      </c>
      <c r="C87" s="1" t="n">
        <v>46114</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46114</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46114</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40099-2025</t>
        </is>
      </c>
      <c r="B90" s="1" t="n">
        <v>45894.48462962963</v>
      </c>
      <c r="C90" s="1" t="n">
        <v>46114</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20833-2024</t>
        </is>
      </c>
      <c r="B91" s="1" t="n">
        <v>45439</v>
      </c>
      <c r="C91" s="1" t="n">
        <v>46114</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2485-2025</t>
        </is>
      </c>
      <c r="B92" s="1" t="n">
        <v>45673</v>
      </c>
      <c r="C92" s="1" t="n">
        <v>46114</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5904-2024</t>
        </is>
      </c>
      <c r="B93" s="1" t="n">
        <v>45335</v>
      </c>
      <c r="C93" s="1" t="n">
        <v>46114</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6159-2023</t>
        </is>
      </c>
      <c r="B94" s="1" t="n">
        <v>44964</v>
      </c>
      <c r="C94" s="1" t="n">
        <v>46114</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46114</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1971-2023</t>
        </is>
      </c>
      <c r="B96" s="1" t="n">
        <v>44939</v>
      </c>
      <c r="C96" s="1" t="n">
        <v>46114</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46114</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54523-2023</t>
        </is>
      </c>
      <c r="B98" s="1" t="n">
        <v>45233</v>
      </c>
      <c r="C98" s="1" t="n">
        <v>46114</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57463-2025</t>
        </is>
      </c>
      <c r="B99" s="1" t="n">
        <v>45980.54174768519</v>
      </c>
      <c r="C99" s="1" t="n">
        <v>46114</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52250-2025</t>
        </is>
      </c>
      <c r="B100" s="1" t="n">
        <v>45953.48998842593</v>
      </c>
      <c r="C100" s="1" t="n">
        <v>46114</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46114</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6836-2026</t>
        </is>
      </c>
      <c r="B102" s="1" t="n">
        <v>46057.40902777778</v>
      </c>
      <c r="C102" s="1" t="n">
        <v>46114</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46114</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46114</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46114</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46114</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46114</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46114</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46114</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46114</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46114</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46114</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20831-2024</t>
        </is>
      </c>
      <c r="B113" s="1" t="n">
        <v>45439</v>
      </c>
      <c r="C113" s="1" t="n">
        <v>46114</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46114</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46114</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46114</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46114</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46114</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46114</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46114</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30490-2025</t>
        </is>
      </c>
      <c r="B121" s="1" t="n">
        <v>45830</v>
      </c>
      <c r="C121" s="1" t="n">
        <v>46114</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29870-2021</t>
        </is>
      </c>
      <c r="B122" s="1" t="n">
        <v>44362</v>
      </c>
      <c r="C122" s="1" t="n">
        <v>46114</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46114</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46114</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46114</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46114</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46114</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46114</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46114</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46114</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46114</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20429-2025</t>
        </is>
      </c>
      <c r="B132" s="1" t="n">
        <v>45775.47728009259</v>
      </c>
      <c r="C132" s="1" t="n">
        <v>46114</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20838-2024</t>
        </is>
      </c>
      <c r="B133" s="1" t="n">
        <v>45439</v>
      </c>
      <c r="C133" s="1" t="n">
        <v>46114</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46114</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46114</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63162-2025</t>
        </is>
      </c>
      <c r="B136" s="1" t="n">
        <v>46010.37629629629</v>
      </c>
      <c r="C136" s="1" t="n">
        <v>46114</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62760-2025</t>
        </is>
      </c>
      <c r="B137" s="1" t="n">
        <v>46008</v>
      </c>
      <c r="C137" s="1" t="n">
        <v>46114</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28276-2024</t>
        </is>
      </c>
      <c r="B138" s="1" t="n">
        <v>45477</v>
      </c>
      <c r="C138" s="1" t="n">
        <v>46114</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46114</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46114</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46114</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46114</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44308-2021</t>
        </is>
      </c>
      <c r="B143" s="1" t="n">
        <v>44434</v>
      </c>
      <c r="C143" s="1" t="n">
        <v>46114</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46114</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17723-2021</t>
        </is>
      </c>
      <c r="B145" s="1" t="n">
        <v>44300</v>
      </c>
      <c r="C145" s="1" t="n">
        <v>46114</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6303-2024</t>
        </is>
      </c>
      <c r="B146" s="1" t="n">
        <v>45338.35376157407</v>
      </c>
      <c r="C146" s="1" t="n">
        <v>46114</v>
      </c>
      <c r="D146" t="inlineStr">
        <is>
          <t>GOTLANDS LÄN</t>
        </is>
      </c>
      <c r="E146" t="inlineStr">
        <is>
          <t>GOTLAND</t>
        </is>
      </c>
      <c r="G146" t="n">
        <v>0.6</v>
      </c>
      <c r="H146" t="n">
        <v>0</v>
      </c>
      <c r="I146" t="n">
        <v>1</v>
      </c>
      <c r="J146" t="n">
        <v>0</v>
      </c>
      <c r="K146" t="n">
        <v>0</v>
      </c>
      <c r="L146" t="n">
        <v>0</v>
      </c>
      <c r="M146" t="n">
        <v>0</v>
      </c>
      <c r="N146" t="n">
        <v>0</v>
      </c>
      <c r="O146" t="n">
        <v>0</v>
      </c>
      <c r="P146" t="n">
        <v>0</v>
      </c>
      <c r="Q146" t="n">
        <v>1</v>
      </c>
      <c r="R146" s="2" t="inlineStr">
        <is>
          <t>Strävlosta</t>
        </is>
      </c>
      <c r="S146">
        <f>HYPERLINK("https://klasma.github.io/Logging_0980/artfynd/A 6303-2024 artfynd.xlsx", "A 6303-2024")</f>
        <v/>
      </c>
      <c r="T146">
        <f>HYPERLINK("https://klasma.github.io/Logging_0980/kartor/A 6303-2024 karta.png", "A 6303-2024")</f>
        <v/>
      </c>
      <c r="V146">
        <f>HYPERLINK("https://klasma.github.io/Logging_0980/klagomål/A 6303-2024 FSC-klagomål.docx", "A 6303-2024")</f>
        <v/>
      </c>
      <c r="W146">
        <f>HYPERLINK("https://klasma.github.io/Logging_0980/klagomålsmail/A 6303-2024 FSC-klagomål mail.docx", "A 6303-2024")</f>
        <v/>
      </c>
      <c r="X146">
        <f>HYPERLINK("https://klasma.github.io/Logging_0980/tillsyn/A 6303-2024 tillsynsbegäran.docx", "A 6303-2024")</f>
        <v/>
      </c>
      <c r="Y146">
        <f>HYPERLINK("https://klasma.github.io/Logging_0980/tillsynsmail/A 6303-2024 tillsynsbegäran mail.docx", "A 6303-2024")</f>
        <v/>
      </c>
    </row>
    <row r="147" ht="15" customHeight="1">
      <c r="A147" t="inlineStr">
        <is>
          <t>A 25977-2024</t>
        </is>
      </c>
      <c r="B147" s="1" t="n">
        <v>45467.69356481481</v>
      </c>
      <c r="C147" s="1" t="n">
        <v>46114</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62552-2022</t>
        </is>
      </c>
      <c r="B148" s="1" t="n">
        <v>44924</v>
      </c>
      <c r="C148" s="1" t="n">
        <v>46114</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9862-2024</t>
        </is>
      </c>
      <c r="B149" s="1" t="n">
        <v>45363</v>
      </c>
      <c r="C149" s="1" t="n">
        <v>46114</v>
      </c>
      <c r="D149" t="inlineStr">
        <is>
          <t>GOTLANDS LÄN</t>
        </is>
      </c>
      <c r="E149" t="inlineStr">
        <is>
          <t>GOTLAND</t>
        </is>
      </c>
      <c r="G149" t="n">
        <v>3.5</v>
      </c>
      <c r="H149" t="n">
        <v>1</v>
      </c>
      <c r="I149" t="n">
        <v>0</v>
      </c>
      <c r="J149" t="n">
        <v>0</v>
      </c>
      <c r="K149" t="n">
        <v>0</v>
      </c>
      <c r="L149" t="n">
        <v>0</v>
      </c>
      <c r="M149" t="n">
        <v>0</v>
      </c>
      <c r="N149" t="n">
        <v>0</v>
      </c>
      <c r="O149" t="n">
        <v>0</v>
      </c>
      <c r="P149" t="n">
        <v>0</v>
      </c>
      <c r="Q149" t="n">
        <v>1</v>
      </c>
      <c r="R149" s="2" t="inlineStr">
        <is>
          <t>Nattviol</t>
        </is>
      </c>
      <c r="S149">
        <f>HYPERLINK("https://klasma.github.io/Logging_0980/artfynd/A 9862-2024 artfynd.xlsx", "A 9862-2024")</f>
        <v/>
      </c>
      <c r="T149">
        <f>HYPERLINK("https://klasma.github.io/Logging_0980/kartor/A 9862-2024 karta.png", "A 9862-2024")</f>
        <v/>
      </c>
      <c r="V149">
        <f>HYPERLINK("https://klasma.github.io/Logging_0980/klagomål/A 9862-2024 FSC-klagomål.docx", "A 9862-2024")</f>
        <v/>
      </c>
      <c r="W149">
        <f>HYPERLINK("https://klasma.github.io/Logging_0980/klagomålsmail/A 9862-2024 FSC-klagomål mail.docx", "A 9862-2024")</f>
        <v/>
      </c>
      <c r="X149">
        <f>HYPERLINK("https://klasma.github.io/Logging_0980/tillsyn/A 9862-2024 tillsynsbegäran.docx", "A 9862-2024")</f>
        <v/>
      </c>
      <c r="Y149">
        <f>HYPERLINK("https://klasma.github.io/Logging_0980/tillsynsmail/A 9862-2024 tillsynsbegäran mail.docx", "A 9862-2024")</f>
        <v/>
      </c>
    </row>
    <row r="150" ht="15" customHeight="1">
      <c r="A150" t="inlineStr">
        <is>
          <t>A 27589-2023</t>
        </is>
      </c>
      <c r="B150" s="1" t="n">
        <v>45097</v>
      </c>
      <c r="C150" s="1" t="n">
        <v>46114</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34141-2024</t>
        </is>
      </c>
      <c r="B151" s="1" t="n">
        <v>45524.36229166666</v>
      </c>
      <c r="C151" s="1" t="n">
        <v>46114</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39812-2025</t>
        </is>
      </c>
      <c r="B152" s="1" t="n">
        <v>45891</v>
      </c>
      <c r="C152" s="1" t="n">
        <v>46114</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65927-2021</t>
        </is>
      </c>
      <c r="B153" s="1" t="n">
        <v>44516</v>
      </c>
      <c r="C153" s="1" t="n">
        <v>46114</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947-2023</t>
        </is>
      </c>
      <c r="B154" s="1" t="n">
        <v>44934</v>
      </c>
      <c r="C154" s="1" t="n">
        <v>46114</v>
      </c>
      <c r="D154" t="inlineStr">
        <is>
          <t>GOTLANDS LÄN</t>
        </is>
      </c>
      <c r="E154" t="inlineStr">
        <is>
          <t>GOTLAND</t>
        </is>
      </c>
      <c r="G154" t="n">
        <v>0.7</v>
      </c>
      <c r="H154" t="n">
        <v>1</v>
      </c>
      <c r="I154" t="n">
        <v>0</v>
      </c>
      <c r="J154" t="n">
        <v>0</v>
      </c>
      <c r="K154" t="n">
        <v>1</v>
      </c>
      <c r="L154" t="n">
        <v>0</v>
      </c>
      <c r="M154" t="n">
        <v>0</v>
      </c>
      <c r="N154" t="n">
        <v>0</v>
      </c>
      <c r="O154" t="n">
        <v>1</v>
      </c>
      <c r="P154" t="n">
        <v>1</v>
      </c>
      <c r="Q154" t="n">
        <v>1</v>
      </c>
      <c r="R154" s="2" t="inlineStr">
        <is>
          <t>Garderönn</t>
        </is>
      </c>
      <c r="S154">
        <f>HYPERLINK("https://klasma.github.io/Logging_0980/artfynd/A 947-2023 artfynd.xlsx", "A 947-2023")</f>
        <v/>
      </c>
      <c r="T154">
        <f>HYPERLINK("https://klasma.github.io/Logging_0980/kartor/A 947-2023 karta.png", "A 947-2023")</f>
        <v/>
      </c>
      <c r="V154">
        <f>HYPERLINK("https://klasma.github.io/Logging_0980/klagomål/A 947-2023 FSC-klagomål.docx", "A 947-2023")</f>
        <v/>
      </c>
      <c r="W154">
        <f>HYPERLINK("https://klasma.github.io/Logging_0980/klagomålsmail/A 947-2023 FSC-klagomål mail.docx", "A 947-2023")</f>
        <v/>
      </c>
      <c r="X154">
        <f>HYPERLINK("https://klasma.github.io/Logging_0980/tillsyn/A 947-2023 tillsynsbegäran.docx", "A 947-2023")</f>
        <v/>
      </c>
      <c r="Y154">
        <f>HYPERLINK("https://klasma.github.io/Logging_0980/tillsynsmail/A 947-2023 tillsynsbegäran mail.docx", "A 947-2023")</f>
        <v/>
      </c>
    </row>
    <row r="155" ht="15" customHeight="1">
      <c r="A155" t="inlineStr">
        <is>
          <t>A 12924-2025</t>
        </is>
      </c>
      <c r="B155" s="1" t="n">
        <v>45734</v>
      </c>
      <c r="C155" s="1" t="n">
        <v>46114</v>
      </c>
      <c r="D155" t="inlineStr">
        <is>
          <t>GOTLANDS LÄN</t>
        </is>
      </c>
      <c r="E155" t="inlineStr">
        <is>
          <t>GOTLAND</t>
        </is>
      </c>
      <c r="G155" t="n">
        <v>11.7</v>
      </c>
      <c r="H155" t="n">
        <v>0</v>
      </c>
      <c r="I155" t="n">
        <v>0</v>
      </c>
      <c r="J155" t="n">
        <v>0</v>
      </c>
      <c r="K155" t="n">
        <v>1</v>
      </c>
      <c r="L155" t="n">
        <v>0</v>
      </c>
      <c r="M155" t="n">
        <v>0</v>
      </c>
      <c r="N155" t="n">
        <v>0</v>
      </c>
      <c r="O155" t="n">
        <v>1</v>
      </c>
      <c r="P155" t="n">
        <v>1</v>
      </c>
      <c r="Q155" t="n">
        <v>1</v>
      </c>
      <c r="R155" s="2" t="inlineStr">
        <is>
          <t>Gotlandsmåra</t>
        </is>
      </c>
      <c r="S155">
        <f>HYPERLINK("https://klasma.github.io/Logging_0980/artfynd/A 12924-2025 artfynd.xlsx", "A 12924-2025")</f>
        <v/>
      </c>
      <c r="T155">
        <f>HYPERLINK("https://klasma.github.io/Logging_0980/kartor/A 12924-2025 karta.png", "A 12924-2025")</f>
        <v/>
      </c>
      <c r="V155">
        <f>HYPERLINK("https://klasma.github.io/Logging_0980/klagomål/A 12924-2025 FSC-klagomål.docx", "A 12924-2025")</f>
        <v/>
      </c>
      <c r="W155">
        <f>HYPERLINK("https://klasma.github.io/Logging_0980/klagomålsmail/A 12924-2025 FSC-klagomål mail.docx", "A 12924-2025")</f>
        <v/>
      </c>
      <c r="X155">
        <f>HYPERLINK("https://klasma.github.io/Logging_0980/tillsyn/A 12924-2025 tillsynsbegäran.docx", "A 12924-2025")</f>
        <v/>
      </c>
      <c r="Y155">
        <f>HYPERLINK("https://klasma.github.io/Logging_0980/tillsynsmail/A 12924-2025 tillsynsbegäran mail.docx", "A 12924-2025")</f>
        <v/>
      </c>
    </row>
    <row r="156" ht="15" customHeight="1">
      <c r="A156" t="inlineStr">
        <is>
          <t>A 61561-2023</t>
        </is>
      </c>
      <c r="B156" s="1" t="n">
        <v>45265</v>
      </c>
      <c r="C156" s="1" t="n">
        <v>46114</v>
      </c>
      <c r="D156" t="inlineStr">
        <is>
          <t>GOTLANDS LÄN</t>
        </is>
      </c>
      <c r="E156" t="inlineStr">
        <is>
          <t>GOTLAND</t>
        </is>
      </c>
      <c r="G156" t="n">
        <v>7.4</v>
      </c>
      <c r="H156" t="n">
        <v>0</v>
      </c>
      <c r="I156" t="n">
        <v>0</v>
      </c>
      <c r="J156" t="n">
        <v>1</v>
      </c>
      <c r="K156" t="n">
        <v>0</v>
      </c>
      <c r="L156" t="n">
        <v>0</v>
      </c>
      <c r="M156" t="n">
        <v>0</v>
      </c>
      <c r="N156" t="n">
        <v>0</v>
      </c>
      <c r="O156" t="n">
        <v>1</v>
      </c>
      <c r="P156" t="n">
        <v>0</v>
      </c>
      <c r="Q156" t="n">
        <v>1</v>
      </c>
      <c r="R156" s="2" t="inlineStr">
        <is>
          <t>Loppstarr</t>
        </is>
      </c>
      <c r="S156">
        <f>HYPERLINK("https://klasma.github.io/Logging_0980/artfynd/A 61561-2023 artfynd.xlsx", "A 61561-2023")</f>
        <v/>
      </c>
      <c r="T156">
        <f>HYPERLINK("https://klasma.github.io/Logging_0980/kartor/A 61561-2023 karta.png", "A 61561-2023")</f>
        <v/>
      </c>
      <c r="V156">
        <f>HYPERLINK("https://klasma.github.io/Logging_0980/klagomål/A 61561-2023 FSC-klagomål.docx", "A 61561-2023")</f>
        <v/>
      </c>
      <c r="W156">
        <f>HYPERLINK("https://klasma.github.io/Logging_0980/klagomålsmail/A 61561-2023 FSC-klagomål mail.docx", "A 61561-2023")</f>
        <v/>
      </c>
      <c r="X156">
        <f>HYPERLINK("https://klasma.github.io/Logging_0980/tillsyn/A 61561-2023 tillsynsbegäran.docx", "A 61561-2023")</f>
        <v/>
      </c>
      <c r="Y156">
        <f>HYPERLINK("https://klasma.github.io/Logging_0980/tillsynsmail/A 61561-2023 tillsynsbegäran mail.docx", "A 61561-2023")</f>
        <v/>
      </c>
    </row>
    <row r="157" ht="15" customHeight="1">
      <c r="A157" t="inlineStr">
        <is>
          <t>A 35467-2021</t>
        </is>
      </c>
      <c r="B157" s="1" t="n">
        <v>44385</v>
      </c>
      <c r="C157" s="1" t="n">
        <v>46114</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44619-2025</t>
        </is>
      </c>
      <c r="B158" s="1" t="n">
        <v>45917</v>
      </c>
      <c r="C158" s="1" t="n">
        <v>46114</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12324-2025</t>
        </is>
      </c>
      <c r="B159" s="1" t="n">
        <v>45730</v>
      </c>
      <c r="C159" s="1" t="n">
        <v>46114</v>
      </c>
      <c r="D159" t="inlineStr">
        <is>
          <t>GOTLANDS LÄN</t>
        </is>
      </c>
      <c r="E159" t="inlineStr">
        <is>
          <t>GOTLAND</t>
        </is>
      </c>
      <c r="G159" t="n">
        <v>5</v>
      </c>
      <c r="H159" t="n">
        <v>0</v>
      </c>
      <c r="I159" t="n">
        <v>0</v>
      </c>
      <c r="J159" t="n">
        <v>0</v>
      </c>
      <c r="K159" t="n">
        <v>1</v>
      </c>
      <c r="L159" t="n">
        <v>0</v>
      </c>
      <c r="M159" t="n">
        <v>0</v>
      </c>
      <c r="N159" t="n">
        <v>0</v>
      </c>
      <c r="O159" t="n">
        <v>1</v>
      </c>
      <c r="P159" t="n">
        <v>1</v>
      </c>
      <c r="Q159" t="n">
        <v>1</v>
      </c>
      <c r="R159" s="2" t="inlineStr">
        <is>
          <t>Sommarklynne</t>
        </is>
      </c>
      <c r="S159">
        <f>HYPERLINK("https://klasma.github.io/Logging_0980/artfynd/A 12324-2025 artfynd.xlsx", "A 12324-2025")</f>
        <v/>
      </c>
      <c r="T159">
        <f>HYPERLINK("https://klasma.github.io/Logging_0980/kartor/A 12324-2025 karta.png", "A 12324-2025")</f>
        <v/>
      </c>
      <c r="V159">
        <f>HYPERLINK("https://klasma.github.io/Logging_0980/klagomål/A 12324-2025 FSC-klagomål.docx", "A 12324-2025")</f>
        <v/>
      </c>
      <c r="W159">
        <f>HYPERLINK("https://klasma.github.io/Logging_0980/klagomålsmail/A 12324-2025 FSC-klagomål mail.docx", "A 12324-2025")</f>
        <v/>
      </c>
      <c r="X159">
        <f>HYPERLINK("https://klasma.github.io/Logging_0980/tillsyn/A 12324-2025 tillsynsbegäran.docx", "A 12324-2025")</f>
        <v/>
      </c>
      <c r="Y159">
        <f>HYPERLINK("https://klasma.github.io/Logging_0980/tillsynsmail/A 12324-2025 tillsynsbegäran mail.docx", "A 12324-2025")</f>
        <v/>
      </c>
    </row>
    <row r="160" ht="15" customHeight="1">
      <c r="A160" t="inlineStr">
        <is>
          <t>A 49726-2025</t>
        </is>
      </c>
      <c r="B160" s="1" t="n">
        <v>45939.84466435185</v>
      </c>
      <c r="C160" s="1" t="n">
        <v>46114</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2476-2025</t>
        </is>
      </c>
      <c r="B161" s="1" t="n">
        <v>45673</v>
      </c>
      <c r="C161" s="1" t="n">
        <v>46114</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44304-2021</t>
        </is>
      </c>
      <c r="B162" s="1" t="n">
        <v>44434</v>
      </c>
      <c r="C162" s="1" t="n">
        <v>46114</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447-2023</t>
        </is>
      </c>
      <c r="B163" s="1" t="n">
        <v>44929</v>
      </c>
      <c r="C163" s="1" t="n">
        <v>46114</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34809-2024</t>
        </is>
      </c>
      <c r="B164" s="1" t="n">
        <v>45526</v>
      </c>
      <c r="C164" s="1" t="n">
        <v>46114</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49304-2024</t>
        </is>
      </c>
      <c r="B165" s="1" t="n">
        <v>45595.54996527778</v>
      </c>
      <c r="C165" s="1" t="n">
        <v>46114</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22782-2023</t>
        </is>
      </c>
      <c r="B166" s="1" t="n">
        <v>45072</v>
      </c>
      <c r="C166" s="1" t="n">
        <v>46114</v>
      </c>
      <c r="D166" t="inlineStr">
        <is>
          <t>GOTLANDS LÄN</t>
        </is>
      </c>
      <c r="E166" t="inlineStr">
        <is>
          <t>GOTLAND</t>
        </is>
      </c>
      <c r="F166" t="inlineStr">
        <is>
          <t>Kyrkan</t>
        </is>
      </c>
      <c r="G166" t="n">
        <v>3.1</v>
      </c>
      <c r="H166" t="n">
        <v>1</v>
      </c>
      <c r="I166" t="n">
        <v>0</v>
      </c>
      <c r="J166" t="n">
        <v>0</v>
      </c>
      <c r="K166" t="n">
        <v>0</v>
      </c>
      <c r="L166" t="n">
        <v>0</v>
      </c>
      <c r="M166" t="n">
        <v>0</v>
      </c>
      <c r="N166" t="n">
        <v>0</v>
      </c>
      <c r="O166" t="n">
        <v>0</v>
      </c>
      <c r="P166" t="n">
        <v>0</v>
      </c>
      <c r="Q166" t="n">
        <v>1</v>
      </c>
      <c r="R166" s="2" t="inlineStr">
        <is>
          <t>Ängsnycklar × skogsnycklar</t>
        </is>
      </c>
      <c r="S166">
        <f>HYPERLINK("https://klasma.github.io/Logging_0980/artfynd/A 22782-2023 artfynd.xlsx", "A 22782-2023")</f>
        <v/>
      </c>
      <c r="T166">
        <f>HYPERLINK("https://klasma.github.io/Logging_0980/kartor/A 22782-2023 karta.png", "A 22782-2023")</f>
        <v/>
      </c>
      <c r="V166">
        <f>HYPERLINK("https://klasma.github.io/Logging_0980/klagomål/A 22782-2023 FSC-klagomål.docx", "A 22782-2023")</f>
        <v/>
      </c>
      <c r="W166">
        <f>HYPERLINK("https://klasma.github.io/Logging_0980/klagomålsmail/A 22782-2023 FSC-klagomål mail.docx", "A 22782-2023")</f>
        <v/>
      </c>
      <c r="X166">
        <f>HYPERLINK("https://klasma.github.io/Logging_0980/tillsyn/A 22782-2023 tillsynsbegäran.docx", "A 22782-2023")</f>
        <v/>
      </c>
      <c r="Y166">
        <f>HYPERLINK("https://klasma.github.io/Logging_0980/tillsynsmail/A 22782-2023 tillsynsbegäran mail.docx", "A 22782-2023")</f>
        <v/>
      </c>
    </row>
    <row r="167" ht="15" customHeight="1">
      <c r="A167" t="inlineStr">
        <is>
          <t>A 44088-2022</t>
        </is>
      </c>
      <c r="B167" s="1" t="n">
        <v>44839</v>
      </c>
      <c r="C167" s="1" t="n">
        <v>46114</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1477-2024</t>
        </is>
      </c>
      <c r="B168" s="1" t="n">
        <v>45305.37987268518</v>
      </c>
      <c r="C168" s="1" t="n">
        <v>46114</v>
      </c>
      <c r="D168" t="inlineStr">
        <is>
          <t>GOTLANDS LÄN</t>
        </is>
      </c>
      <c r="E168" t="inlineStr">
        <is>
          <t>GOTLAND</t>
        </is>
      </c>
      <c r="G168" t="n">
        <v>6.9</v>
      </c>
      <c r="H168" t="n">
        <v>0</v>
      </c>
      <c r="I168" t="n">
        <v>0</v>
      </c>
      <c r="J168" t="n">
        <v>1</v>
      </c>
      <c r="K168" t="n">
        <v>0</v>
      </c>
      <c r="L168" t="n">
        <v>0</v>
      </c>
      <c r="M168" t="n">
        <v>0</v>
      </c>
      <c r="N168" t="n">
        <v>0</v>
      </c>
      <c r="O168" t="n">
        <v>1</v>
      </c>
      <c r="P168" t="n">
        <v>0</v>
      </c>
      <c r="Q168" t="n">
        <v>1</v>
      </c>
      <c r="R168" s="2" t="inlineStr">
        <is>
          <t>Igelkott</t>
        </is>
      </c>
      <c r="S168">
        <f>HYPERLINK("https://klasma.github.io/Logging_0980/artfynd/A 1477-2024 artfynd.xlsx", "A 1477-2024")</f>
        <v/>
      </c>
      <c r="T168">
        <f>HYPERLINK("https://klasma.github.io/Logging_0980/kartor/A 1477-2024 karta.png", "A 1477-2024")</f>
        <v/>
      </c>
      <c r="V168">
        <f>HYPERLINK("https://klasma.github.io/Logging_0980/klagomål/A 1477-2024 FSC-klagomål.docx", "A 1477-2024")</f>
        <v/>
      </c>
      <c r="W168">
        <f>HYPERLINK("https://klasma.github.io/Logging_0980/klagomålsmail/A 1477-2024 FSC-klagomål mail.docx", "A 1477-2024")</f>
        <v/>
      </c>
      <c r="X168">
        <f>HYPERLINK("https://klasma.github.io/Logging_0980/tillsyn/A 1477-2024 tillsynsbegäran.docx", "A 1477-2024")</f>
        <v/>
      </c>
      <c r="Y168">
        <f>HYPERLINK("https://klasma.github.io/Logging_0980/tillsynsmail/A 1477-2024 tillsynsbegäran mail.docx", "A 1477-2024")</f>
        <v/>
      </c>
    </row>
    <row r="169" ht="15" customHeight="1">
      <c r="A169" t="inlineStr">
        <is>
          <t>A 63149-2025</t>
        </is>
      </c>
      <c r="B169" s="1" t="n">
        <v>46010</v>
      </c>
      <c r="C169" s="1" t="n">
        <v>46114</v>
      </c>
      <c r="D169" t="inlineStr">
        <is>
          <t>GOTLANDS LÄN</t>
        </is>
      </c>
      <c r="E169" t="inlineStr">
        <is>
          <t>GOTLAND</t>
        </is>
      </c>
      <c r="G169" t="n">
        <v>4.3</v>
      </c>
      <c r="H169" t="n">
        <v>0</v>
      </c>
      <c r="I169" t="n">
        <v>1</v>
      </c>
      <c r="J169" t="n">
        <v>0</v>
      </c>
      <c r="K169" t="n">
        <v>0</v>
      </c>
      <c r="L169" t="n">
        <v>0</v>
      </c>
      <c r="M169" t="n">
        <v>0</v>
      </c>
      <c r="N169" t="n">
        <v>0</v>
      </c>
      <c r="O169" t="n">
        <v>0</v>
      </c>
      <c r="P169" t="n">
        <v>0</v>
      </c>
      <c r="Q169" t="n">
        <v>1</v>
      </c>
      <c r="R169" s="2" t="inlineStr">
        <is>
          <t>Anisspindling</t>
        </is>
      </c>
      <c r="S169">
        <f>HYPERLINK("https://klasma.github.io/Logging_0980/artfynd/A 63149-2025 artfynd.xlsx", "A 63149-2025")</f>
        <v/>
      </c>
      <c r="T169">
        <f>HYPERLINK("https://klasma.github.io/Logging_0980/kartor/A 63149-2025 karta.png", "A 63149-2025")</f>
        <v/>
      </c>
      <c r="V169">
        <f>HYPERLINK("https://klasma.github.io/Logging_0980/klagomål/A 63149-2025 FSC-klagomål.docx", "A 63149-2025")</f>
        <v/>
      </c>
      <c r="W169">
        <f>HYPERLINK("https://klasma.github.io/Logging_0980/klagomålsmail/A 63149-2025 FSC-klagomål mail.docx", "A 63149-2025")</f>
        <v/>
      </c>
      <c r="X169">
        <f>HYPERLINK("https://klasma.github.io/Logging_0980/tillsyn/A 63149-2025 tillsynsbegäran.docx", "A 63149-2025")</f>
        <v/>
      </c>
      <c r="Y169">
        <f>HYPERLINK("https://klasma.github.io/Logging_0980/tillsynsmail/A 63149-2025 tillsynsbegäran mail.docx", "A 63149-2025")</f>
        <v/>
      </c>
    </row>
    <row r="170" ht="15" customHeight="1">
      <c r="A170" t="inlineStr">
        <is>
          <t>A 11708-2026</t>
        </is>
      </c>
      <c r="B170" s="1" t="n">
        <v>46084</v>
      </c>
      <c r="C170" s="1" t="n">
        <v>46114</v>
      </c>
      <c r="D170" t="inlineStr">
        <is>
          <t>GOTLANDS LÄN</t>
        </is>
      </c>
      <c r="E170" t="inlineStr">
        <is>
          <t>GOTLAND</t>
        </is>
      </c>
      <c r="G170" t="n">
        <v>8.4</v>
      </c>
      <c r="H170" t="n">
        <v>1</v>
      </c>
      <c r="I170" t="n">
        <v>0</v>
      </c>
      <c r="J170" t="n">
        <v>1</v>
      </c>
      <c r="K170" t="n">
        <v>0</v>
      </c>
      <c r="L170" t="n">
        <v>0</v>
      </c>
      <c r="M170" t="n">
        <v>0</v>
      </c>
      <c r="N170" t="n">
        <v>0</v>
      </c>
      <c r="O170" t="n">
        <v>1</v>
      </c>
      <c r="P170" t="n">
        <v>0</v>
      </c>
      <c r="Q170" t="n">
        <v>1</v>
      </c>
      <c r="R170" s="2" t="inlineStr">
        <is>
          <t>Bredarun</t>
        </is>
      </c>
      <c r="S170">
        <f>HYPERLINK("https://klasma.github.io/Logging_0980/artfynd/A 11708-2026 artfynd.xlsx", "A 11708-2026")</f>
        <v/>
      </c>
      <c r="T170">
        <f>HYPERLINK("https://klasma.github.io/Logging_0980/kartor/A 11708-2026 karta.png", "A 11708-2026")</f>
        <v/>
      </c>
      <c r="V170">
        <f>HYPERLINK("https://klasma.github.io/Logging_0980/klagomål/A 11708-2026 FSC-klagomål.docx", "A 11708-2026")</f>
        <v/>
      </c>
      <c r="W170">
        <f>HYPERLINK("https://klasma.github.io/Logging_0980/klagomålsmail/A 11708-2026 FSC-klagomål mail.docx", "A 11708-2026")</f>
        <v/>
      </c>
      <c r="X170">
        <f>HYPERLINK("https://klasma.github.io/Logging_0980/tillsyn/A 11708-2026 tillsynsbegäran.docx", "A 11708-2026")</f>
        <v/>
      </c>
      <c r="Y170">
        <f>HYPERLINK("https://klasma.github.io/Logging_0980/tillsynsmail/A 11708-2026 tillsynsbegäran mail.docx", "A 11708-2026")</f>
        <v/>
      </c>
    </row>
    <row r="171" ht="15" customHeight="1">
      <c r="A171" t="inlineStr">
        <is>
          <t>A 7637-2025</t>
        </is>
      </c>
      <c r="B171" s="1" t="n">
        <v>45705.77181712963</v>
      </c>
      <c r="C171" s="1" t="n">
        <v>46114</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10013-2026</t>
        </is>
      </c>
      <c r="B172" s="1" t="n">
        <v>46073</v>
      </c>
      <c r="C172" s="1" t="n">
        <v>46114</v>
      </c>
      <c r="D172" t="inlineStr">
        <is>
          <t>GOTLANDS LÄN</t>
        </is>
      </c>
      <c r="E172" t="inlineStr">
        <is>
          <t>GOTLAND</t>
        </is>
      </c>
      <c r="G172" t="n">
        <v>10.5</v>
      </c>
      <c r="H172" t="n">
        <v>0</v>
      </c>
      <c r="I172" t="n">
        <v>0</v>
      </c>
      <c r="J172" t="n">
        <v>0</v>
      </c>
      <c r="K172" t="n">
        <v>1</v>
      </c>
      <c r="L172" t="n">
        <v>0</v>
      </c>
      <c r="M172" t="n">
        <v>0</v>
      </c>
      <c r="N172" t="n">
        <v>0</v>
      </c>
      <c r="O172" t="n">
        <v>1</v>
      </c>
      <c r="P172" t="n">
        <v>1</v>
      </c>
      <c r="Q172" t="n">
        <v>1</v>
      </c>
      <c r="R172" s="2" t="inlineStr">
        <is>
          <t>Skogskorn</t>
        </is>
      </c>
      <c r="S172">
        <f>HYPERLINK("https://klasma.github.io/Logging_0980/artfynd/A 10013-2026 artfynd.xlsx", "A 10013-2026")</f>
        <v/>
      </c>
      <c r="T172">
        <f>HYPERLINK("https://klasma.github.io/Logging_0980/kartor/A 10013-2026 karta.png", "A 10013-2026")</f>
        <v/>
      </c>
      <c r="V172">
        <f>HYPERLINK("https://klasma.github.io/Logging_0980/klagomål/A 10013-2026 FSC-klagomål.docx", "A 10013-2026")</f>
        <v/>
      </c>
      <c r="W172">
        <f>HYPERLINK("https://klasma.github.io/Logging_0980/klagomålsmail/A 10013-2026 FSC-klagomål mail.docx", "A 10013-2026")</f>
        <v/>
      </c>
      <c r="X172">
        <f>HYPERLINK("https://klasma.github.io/Logging_0980/tillsyn/A 10013-2026 tillsynsbegäran.docx", "A 10013-2026")</f>
        <v/>
      </c>
      <c r="Y172">
        <f>HYPERLINK("https://klasma.github.io/Logging_0980/tillsynsmail/A 10013-2026 tillsynsbegäran mail.docx", "A 10013-2026")</f>
        <v/>
      </c>
    </row>
    <row r="173" ht="15" customHeight="1">
      <c r="A173" t="inlineStr">
        <is>
          <t>A 61796-2022</t>
        </is>
      </c>
      <c r="B173" s="1" t="n">
        <v>44917</v>
      </c>
      <c r="C173" s="1" t="n">
        <v>46114</v>
      </c>
      <c r="D173" t="inlineStr">
        <is>
          <t>GOTLANDS LÄN</t>
        </is>
      </c>
      <c r="E173" t="inlineStr">
        <is>
          <t>GOTLAND</t>
        </is>
      </c>
      <c r="G173" t="n">
        <v>1.5</v>
      </c>
      <c r="H173" t="n">
        <v>1</v>
      </c>
      <c r="I173" t="n">
        <v>0</v>
      </c>
      <c r="J173" t="n">
        <v>0</v>
      </c>
      <c r="K173" t="n">
        <v>0</v>
      </c>
      <c r="L173" t="n">
        <v>0</v>
      </c>
      <c r="M173" t="n">
        <v>0</v>
      </c>
      <c r="N173" t="n">
        <v>0</v>
      </c>
      <c r="O173" t="n">
        <v>0</v>
      </c>
      <c r="P173" t="n">
        <v>0</v>
      </c>
      <c r="Q173" t="n">
        <v>1</v>
      </c>
      <c r="R173" s="2" t="inlineStr">
        <is>
          <t>Skogsduva</t>
        </is>
      </c>
      <c r="S173">
        <f>HYPERLINK("https://klasma.github.io/Logging_0980/artfynd/A 61796-2022 artfynd.xlsx", "A 61796-2022")</f>
        <v/>
      </c>
      <c r="T173">
        <f>HYPERLINK("https://klasma.github.io/Logging_0980/kartor/A 61796-2022 karta.png", "A 61796-2022")</f>
        <v/>
      </c>
      <c r="V173">
        <f>HYPERLINK("https://klasma.github.io/Logging_0980/klagomål/A 61796-2022 FSC-klagomål.docx", "A 61796-2022")</f>
        <v/>
      </c>
      <c r="W173">
        <f>HYPERLINK("https://klasma.github.io/Logging_0980/klagomålsmail/A 61796-2022 FSC-klagomål mail.docx", "A 61796-2022")</f>
        <v/>
      </c>
      <c r="X173">
        <f>HYPERLINK("https://klasma.github.io/Logging_0980/tillsyn/A 61796-2022 tillsynsbegäran.docx", "A 61796-2022")</f>
        <v/>
      </c>
      <c r="Y173">
        <f>HYPERLINK("https://klasma.github.io/Logging_0980/tillsynsmail/A 61796-2022 tillsynsbegäran mail.docx", "A 61796-2022")</f>
        <v/>
      </c>
      <c r="Z173">
        <f>HYPERLINK("https://klasma.github.io/Logging_0980/fåglar/A 61796-2022 prioriterade fågelarter.docx", "A 61796-2022")</f>
        <v/>
      </c>
    </row>
    <row r="174" ht="15" customHeight="1">
      <c r="A174" t="inlineStr">
        <is>
          <t>A 10218-2025</t>
        </is>
      </c>
      <c r="B174" s="1" t="n">
        <v>45720</v>
      </c>
      <c r="C174" s="1" t="n">
        <v>46114</v>
      </c>
      <c r="D174" t="inlineStr">
        <is>
          <t>GOTLANDS LÄN</t>
        </is>
      </c>
      <c r="E174" t="inlineStr">
        <is>
          <t>GOTLAND</t>
        </is>
      </c>
      <c r="G174" t="n">
        <v>8.1</v>
      </c>
      <c r="H174" t="n">
        <v>0</v>
      </c>
      <c r="I174" t="n">
        <v>1</v>
      </c>
      <c r="J174" t="n">
        <v>0</v>
      </c>
      <c r="K174" t="n">
        <v>0</v>
      </c>
      <c r="L174" t="n">
        <v>0</v>
      </c>
      <c r="M174" t="n">
        <v>0</v>
      </c>
      <c r="N174" t="n">
        <v>0</v>
      </c>
      <c r="O174" t="n">
        <v>0</v>
      </c>
      <c r="P174" t="n">
        <v>0</v>
      </c>
      <c r="Q174" t="n">
        <v>1</v>
      </c>
      <c r="R174" s="2" t="inlineStr">
        <is>
          <t>Kalktallört</t>
        </is>
      </c>
      <c r="S174">
        <f>HYPERLINK("https://klasma.github.io/Logging_0980/artfynd/A 10218-2025 artfynd.xlsx", "A 10218-2025")</f>
        <v/>
      </c>
      <c r="T174">
        <f>HYPERLINK("https://klasma.github.io/Logging_0980/kartor/A 10218-2025 karta.png", "A 10218-2025")</f>
        <v/>
      </c>
      <c r="V174">
        <f>HYPERLINK("https://klasma.github.io/Logging_0980/klagomål/A 10218-2025 FSC-klagomål.docx", "A 10218-2025")</f>
        <v/>
      </c>
      <c r="W174">
        <f>HYPERLINK("https://klasma.github.io/Logging_0980/klagomålsmail/A 10218-2025 FSC-klagomål mail.docx", "A 10218-2025")</f>
        <v/>
      </c>
      <c r="X174">
        <f>HYPERLINK("https://klasma.github.io/Logging_0980/tillsyn/A 10218-2025 tillsynsbegäran.docx", "A 10218-2025")</f>
        <v/>
      </c>
      <c r="Y174">
        <f>HYPERLINK("https://klasma.github.io/Logging_0980/tillsynsmail/A 10218-2025 tillsynsbegäran mail.docx", "A 10218-2025")</f>
        <v/>
      </c>
    </row>
    <row r="175" ht="15" customHeight="1">
      <c r="A175" t="inlineStr">
        <is>
          <t>A 12379-2024</t>
        </is>
      </c>
      <c r="B175" s="1" t="n">
        <v>45379.28155092592</v>
      </c>
      <c r="C175" s="1" t="n">
        <v>46114</v>
      </c>
      <c r="D175" t="inlineStr">
        <is>
          <t>GOTLANDS LÄN</t>
        </is>
      </c>
      <c r="E175" t="inlineStr">
        <is>
          <t>GOTLAND</t>
        </is>
      </c>
      <c r="G175" t="n">
        <v>4.4</v>
      </c>
      <c r="H175" t="n">
        <v>0</v>
      </c>
      <c r="I175" t="n">
        <v>0</v>
      </c>
      <c r="J175" t="n">
        <v>1</v>
      </c>
      <c r="K175" t="n">
        <v>0</v>
      </c>
      <c r="L175" t="n">
        <v>0</v>
      </c>
      <c r="M175" t="n">
        <v>0</v>
      </c>
      <c r="N175" t="n">
        <v>0</v>
      </c>
      <c r="O175" t="n">
        <v>1</v>
      </c>
      <c r="P175" t="n">
        <v>0</v>
      </c>
      <c r="Q175" t="n">
        <v>1</v>
      </c>
      <c r="R175" s="2" t="inlineStr">
        <is>
          <t>Svinrot</t>
        </is>
      </c>
      <c r="S175">
        <f>HYPERLINK("https://klasma.github.io/Logging_0980/artfynd/A 12379-2024 artfynd.xlsx", "A 12379-2024")</f>
        <v/>
      </c>
      <c r="T175">
        <f>HYPERLINK("https://klasma.github.io/Logging_0980/kartor/A 12379-2024 karta.png", "A 12379-2024")</f>
        <v/>
      </c>
      <c r="V175">
        <f>HYPERLINK("https://klasma.github.io/Logging_0980/klagomål/A 12379-2024 FSC-klagomål.docx", "A 12379-2024")</f>
        <v/>
      </c>
      <c r="W175">
        <f>HYPERLINK("https://klasma.github.io/Logging_0980/klagomålsmail/A 12379-2024 FSC-klagomål mail.docx", "A 12379-2024")</f>
        <v/>
      </c>
      <c r="X175">
        <f>HYPERLINK("https://klasma.github.io/Logging_0980/tillsyn/A 12379-2024 tillsynsbegäran.docx", "A 12379-2024")</f>
        <v/>
      </c>
      <c r="Y175">
        <f>HYPERLINK("https://klasma.github.io/Logging_0980/tillsynsmail/A 12379-2024 tillsynsbegäran mail.docx", "A 12379-2024")</f>
        <v/>
      </c>
    </row>
    <row r="176" ht="15" customHeight="1">
      <c r="A176" t="inlineStr">
        <is>
          <t>A 64700-2021</t>
        </is>
      </c>
      <c r="B176" s="1" t="n">
        <v>44511</v>
      </c>
      <c r="C176" s="1" t="n">
        <v>46114</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35574-2024</t>
        </is>
      </c>
      <c r="B177" s="1" t="n">
        <v>45531</v>
      </c>
      <c r="C177" s="1" t="n">
        <v>46114</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37591-2023</t>
        </is>
      </c>
      <c r="B178" s="1" t="n">
        <v>45159</v>
      </c>
      <c r="C178" s="1" t="n">
        <v>46114</v>
      </c>
      <c r="D178" t="inlineStr">
        <is>
          <t>GOTLANDS LÄN</t>
        </is>
      </c>
      <c r="E178" t="inlineStr">
        <is>
          <t>GOTLAND</t>
        </is>
      </c>
      <c r="G178" t="n">
        <v>8.300000000000001</v>
      </c>
      <c r="H178" t="n">
        <v>0</v>
      </c>
      <c r="I178" t="n">
        <v>0</v>
      </c>
      <c r="J178" t="n">
        <v>1</v>
      </c>
      <c r="K178" t="n">
        <v>0</v>
      </c>
      <c r="L178" t="n">
        <v>0</v>
      </c>
      <c r="M178" t="n">
        <v>0</v>
      </c>
      <c r="N178" t="n">
        <v>0</v>
      </c>
      <c r="O178" t="n">
        <v>1</v>
      </c>
      <c r="P178" t="n">
        <v>0</v>
      </c>
      <c r="Q178" t="n">
        <v>1</v>
      </c>
      <c r="R178" s="2" t="inlineStr">
        <is>
          <t>Ängsstarr</t>
        </is>
      </c>
      <c r="S178">
        <f>HYPERLINK("https://klasma.github.io/Logging_0980/artfynd/A 37591-2023 artfynd.xlsx", "A 37591-2023")</f>
        <v/>
      </c>
      <c r="T178">
        <f>HYPERLINK("https://klasma.github.io/Logging_0980/kartor/A 37591-2023 karta.png", "A 37591-2023")</f>
        <v/>
      </c>
      <c r="V178">
        <f>HYPERLINK("https://klasma.github.io/Logging_0980/klagomål/A 37591-2023 FSC-klagomål.docx", "A 37591-2023")</f>
        <v/>
      </c>
      <c r="W178">
        <f>HYPERLINK("https://klasma.github.io/Logging_0980/klagomålsmail/A 37591-2023 FSC-klagomål mail.docx", "A 37591-2023")</f>
        <v/>
      </c>
      <c r="X178">
        <f>HYPERLINK("https://klasma.github.io/Logging_0980/tillsyn/A 37591-2023 tillsynsbegäran.docx", "A 37591-2023")</f>
        <v/>
      </c>
      <c r="Y178">
        <f>HYPERLINK("https://klasma.github.io/Logging_0980/tillsynsmail/A 37591-2023 tillsynsbegäran mail.docx", "A 37591-2023")</f>
        <v/>
      </c>
    </row>
    <row r="179" ht="15" customHeight="1">
      <c r="A179" t="inlineStr">
        <is>
          <t>A 15637-2024</t>
        </is>
      </c>
      <c r="B179" s="1" t="n">
        <v>45403.6684837963</v>
      </c>
      <c r="C179" s="1" t="n">
        <v>46114</v>
      </c>
      <c r="D179" t="inlineStr">
        <is>
          <t>GOTLANDS LÄN</t>
        </is>
      </c>
      <c r="E179" t="inlineStr">
        <is>
          <t>GOTLAND</t>
        </is>
      </c>
      <c r="G179" t="n">
        <v>4.1</v>
      </c>
      <c r="H179" t="n">
        <v>1</v>
      </c>
      <c r="I179" t="n">
        <v>0</v>
      </c>
      <c r="J179" t="n">
        <v>0</v>
      </c>
      <c r="K179" t="n">
        <v>0</v>
      </c>
      <c r="L179" t="n">
        <v>0</v>
      </c>
      <c r="M179" t="n">
        <v>0</v>
      </c>
      <c r="N179" t="n">
        <v>0</v>
      </c>
      <c r="O179" t="n">
        <v>0</v>
      </c>
      <c r="P179" t="n">
        <v>0</v>
      </c>
      <c r="Q179" t="n">
        <v>1</v>
      </c>
      <c r="R179" s="2" t="inlineStr">
        <is>
          <t>Blåsippa</t>
        </is>
      </c>
      <c r="S179">
        <f>HYPERLINK("https://klasma.github.io/Logging_0980/artfynd/A 15637-2024 artfynd.xlsx", "A 15637-2024")</f>
        <v/>
      </c>
      <c r="T179">
        <f>HYPERLINK("https://klasma.github.io/Logging_0980/kartor/A 15637-2024 karta.png", "A 15637-2024")</f>
        <v/>
      </c>
      <c r="V179">
        <f>HYPERLINK("https://klasma.github.io/Logging_0980/klagomål/A 15637-2024 FSC-klagomål.docx", "A 15637-2024")</f>
        <v/>
      </c>
      <c r="W179">
        <f>HYPERLINK("https://klasma.github.io/Logging_0980/klagomålsmail/A 15637-2024 FSC-klagomål mail.docx", "A 15637-2024")</f>
        <v/>
      </c>
      <c r="X179">
        <f>HYPERLINK("https://klasma.github.io/Logging_0980/tillsyn/A 15637-2024 tillsynsbegäran.docx", "A 15637-2024")</f>
        <v/>
      </c>
      <c r="Y179">
        <f>HYPERLINK("https://klasma.github.io/Logging_0980/tillsynsmail/A 15637-2024 tillsynsbegäran mail.docx", "A 15637-2024")</f>
        <v/>
      </c>
    </row>
    <row r="180" ht="15" customHeight="1">
      <c r="A180" t="inlineStr">
        <is>
          <t>A 49847-2023</t>
        </is>
      </c>
      <c r="B180" s="1" t="n">
        <v>45212</v>
      </c>
      <c r="C180" s="1" t="n">
        <v>46114</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10995-2023</t>
        </is>
      </c>
      <c r="B181" s="1" t="n">
        <v>44986</v>
      </c>
      <c r="C181" s="1" t="n">
        <v>46114</v>
      </c>
      <c r="D181" t="inlineStr">
        <is>
          <t>GOTLANDS LÄN</t>
        </is>
      </c>
      <c r="E181" t="inlineStr">
        <is>
          <t>GOTLAND</t>
        </is>
      </c>
      <c r="G181" t="n">
        <v>2.8</v>
      </c>
      <c r="H181" t="n">
        <v>0</v>
      </c>
      <c r="I181" t="n">
        <v>0</v>
      </c>
      <c r="J181" t="n">
        <v>0</v>
      </c>
      <c r="K181" t="n">
        <v>1</v>
      </c>
      <c r="L181" t="n">
        <v>0</v>
      </c>
      <c r="M181" t="n">
        <v>0</v>
      </c>
      <c r="N181" t="n">
        <v>0</v>
      </c>
      <c r="O181" t="n">
        <v>1</v>
      </c>
      <c r="P181" t="n">
        <v>1</v>
      </c>
      <c r="Q181" t="n">
        <v>1</v>
      </c>
      <c r="R181" s="2" t="inlineStr">
        <is>
          <t>Violettfläckig spindling</t>
        </is>
      </c>
      <c r="S181">
        <f>HYPERLINK("https://klasma.github.io/Logging_0980/artfynd/A 10995-2023 artfynd.xlsx", "A 10995-2023")</f>
        <v/>
      </c>
      <c r="T181">
        <f>HYPERLINK("https://klasma.github.io/Logging_0980/kartor/A 10995-2023 karta.png", "A 10995-2023")</f>
        <v/>
      </c>
      <c r="V181">
        <f>HYPERLINK("https://klasma.github.io/Logging_0980/klagomål/A 10995-2023 FSC-klagomål.docx", "A 10995-2023")</f>
        <v/>
      </c>
      <c r="W181">
        <f>HYPERLINK("https://klasma.github.io/Logging_0980/klagomålsmail/A 10995-2023 FSC-klagomål mail.docx", "A 10995-2023")</f>
        <v/>
      </c>
      <c r="X181">
        <f>HYPERLINK("https://klasma.github.io/Logging_0980/tillsyn/A 10995-2023 tillsynsbegäran.docx", "A 10995-2023")</f>
        <v/>
      </c>
      <c r="Y181">
        <f>HYPERLINK("https://klasma.github.io/Logging_0980/tillsynsmail/A 10995-2023 tillsynsbegäran mail.docx", "A 10995-2023")</f>
        <v/>
      </c>
    </row>
    <row r="182" ht="15" customHeight="1">
      <c r="A182" t="inlineStr">
        <is>
          <t>A 63576-2021</t>
        </is>
      </c>
      <c r="B182" s="1" t="n">
        <v>44508</v>
      </c>
      <c r="C182" s="1" t="n">
        <v>46114</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21466-2025</t>
        </is>
      </c>
      <c r="B183" s="1" t="n">
        <v>45782</v>
      </c>
      <c r="C183" s="1" t="n">
        <v>46114</v>
      </c>
      <c r="D183" t="inlineStr">
        <is>
          <t>GOTLANDS LÄN</t>
        </is>
      </c>
      <c r="E183" t="inlineStr">
        <is>
          <t>GOTLAND</t>
        </is>
      </c>
      <c r="F183" t="inlineStr">
        <is>
          <t>Övriga statliga verk och myndigheter</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HYPERLINK("https://klasma.github.io/Logging_0980/artfynd/A 21466-2025 artfynd.xlsx", "A 21466-2025")</f>
        <v/>
      </c>
      <c r="T183">
        <f>HYPERLINK("https://klasma.github.io/Logging_0980/kartor/A 21466-2025 karta.png", "A 21466-2025")</f>
        <v/>
      </c>
      <c r="V183">
        <f>HYPERLINK("https://klasma.github.io/Logging_0980/klagomål/A 21466-2025 FSC-klagomål.docx", "A 21466-2025")</f>
        <v/>
      </c>
      <c r="W183">
        <f>HYPERLINK("https://klasma.github.io/Logging_0980/klagomålsmail/A 21466-2025 FSC-klagomål mail.docx", "A 21466-2025")</f>
        <v/>
      </c>
      <c r="X183">
        <f>HYPERLINK("https://klasma.github.io/Logging_0980/tillsyn/A 21466-2025 tillsynsbegäran.docx", "A 21466-2025")</f>
        <v/>
      </c>
      <c r="Y183">
        <f>HYPERLINK("https://klasma.github.io/Logging_0980/tillsynsmail/A 21466-2025 tillsynsbegäran mail.docx", "A 21466-2025")</f>
        <v/>
      </c>
    </row>
    <row r="184" ht="15" customHeight="1">
      <c r="A184" t="inlineStr">
        <is>
          <t>A 10440-2024</t>
        </is>
      </c>
      <c r="B184" s="1" t="n">
        <v>45366.32818287037</v>
      </c>
      <c r="C184" s="1" t="n">
        <v>46114</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26461-2025</t>
        </is>
      </c>
      <c r="B185" s="1" t="n">
        <v>45807.43337962963</v>
      </c>
      <c r="C185" s="1" t="n">
        <v>46114</v>
      </c>
      <c r="D185" t="inlineStr">
        <is>
          <t>GOTLANDS LÄN</t>
        </is>
      </c>
      <c r="E185" t="inlineStr">
        <is>
          <t>GOTLAND</t>
        </is>
      </c>
      <c r="G185" t="n">
        <v>4.1</v>
      </c>
      <c r="H185" t="n">
        <v>0</v>
      </c>
      <c r="I185" t="n">
        <v>0</v>
      </c>
      <c r="J185" t="n">
        <v>0</v>
      </c>
      <c r="K185" t="n">
        <v>1</v>
      </c>
      <c r="L185" t="n">
        <v>0</v>
      </c>
      <c r="M185" t="n">
        <v>0</v>
      </c>
      <c r="N185" t="n">
        <v>0</v>
      </c>
      <c r="O185" t="n">
        <v>1</v>
      </c>
      <c r="P185" t="n">
        <v>1</v>
      </c>
      <c r="Q185" t="n">
        <v>1</v>
      </c>
      <c r="R185" s="2" t="inlineStr">
        <is>
          <t>Gotlandsmåra</t>
        </is>
      </c>
      <c r="S185">
        <f>HYPERLINK("https://klasma.github.io/Logging_0980/artfynd/A 26461-2025 artfynd.xlsx", "A 26461-2025")</f>
        <v/>
      </c>
      <c r="T185">
        <f>HYPERLINK("https://klasma.github.io/Logging_0980/kartor/A 26461-2025 karta.png", "A 26461-2025")</f>
        <v/>
      </c>
      <c r="V185">
        <f>HYPERLINK("https://klasma.github.io/Logging_0980/klagomål/A 26461-2025 FSC-klagomål.docx", "A 26461-2025")</f>
        <v/>
      </c>
      <c r="W185">
        <f>HYPERLINK("https://klasma.github.io/Logging_0980/klagomålsmail/A 26461-2025 FSC-klagomål mail.docx", "A 26461-2025")</f>
        <v/>
      </c>
      <c r="X185">
        <f>HYPERLINK("https://klasma.github.io/Logging_0980/tillsyn/A 26461-2025 tillsynsbegäran.docx", "A 26461-2025")</f>
        <v/>
      </c>
      <c r="Y185">
        <f>HYPERLINK("https://klasma.github.io/Logging_0980/tillsynsmail/A 26461-2025 tillsynsbegäran mail.docx", "A 26461-2025")</f>
        <v/>
      </c>
    </row>
    <row r="186" ht="15" customHeight="1">
      <c r="A186" t="inlineStr">
        <is>
          <t>A 19901-2021</t>
        </is>
      </c>
      <c r="B186" s="1" t="n">
        <v>44312</v>
      </c>
      <c r="C186" s="1" t="n">
        <v>46114</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18038-2021</t>
        </is>
      </c>
      <c r="B187" s="1" t="n">
        <v>44302</v>
      </c>
      <c r="C187" s="1" t="n">
        <v>46114</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46114</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46114</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46114</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17585-2021</t>
        </is>
      </c>
      <c r="B191" s="1" t="n">
        <v>44299</v>
      </c>
      <c r="C191" s="1" t="n">
        <v>46114</v>
      </c>
      <c r="D191" t="inlineStr">
        <is>
          <t>GOTLANDS LÄN</t>
        </is>
      </c>
      <c r="E191" t="inlineStr">
        <is>
          <t>GOTLAND</t>
        </is>
      </c>
      <c r="G191" t="n">
        <v>5.4</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46114</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46114</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46114</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46114</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46114</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46114</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46114</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46114</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22498-2022</t>
        </is>
      </c>
      <c r="B200" s="1" t="n">
        <v>44713.64682870371</v>
      </c>
      <c r="C200" s="1" t="n">
        <v>46114</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17920-2021</t>
        </is>
      </c>
      <c r="B201" s="1" t="n">
        <v>44301</v>
      </c>
      <c r="C201" s="1" t="n">
        <v>46114</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24123-2022</t>
        </is>
      </c>
      <c r="B202" s="1" t="n">
        <v>44725.4384375</v>
      </c>
      <c r="C202" s="1" t="n">
        <v>46114</v>
      </c>
      <c r="D202" t="inlineStr">
        <is>
          <t>GOTLANDS LÄN</t>
        </is>
      </c>
      <c r="E202" t="inlineStr">
        <is>
          <t>GOTLAND</t>
        </is>
      </c>
      <c r="G202" t="n">
        <v>6</v>
      </c>
      <c r="H202" t="n">
        <v>0</v>
      </c>
      <c r="I202" t="n">
        <v>0</v>
      </c>
      <c r="J202" t="n">
        <v>0</v>
      </c>
      <c r="K202" t="n">
        <v>0</v>
      </c>
      <c r="L202" t="n">
        <v>0</v>
      </c>
      <c r="M202" t="n">
        <v>0</v>
      </c>
      <c r="N202" t="n">
        <v>0</v>
      </c>
      <c r="O202" t="n">
        <v>0</v>
      </c>
      <c r="P202" t="n">
        <v>0</v>
      </c>
      <c r="Q202" t="n">
        <v>0</v>
      </c>
      <c r="R202" s="2" t="inlineStr"/>
    </row>
    <row r="203" ht="15" customHeight="1">
      <c r="A203" t="inlineStr">
        <is>
          <t>A 44207-2022</t>
        </is>
      </c>
      <c r="B203" s="1" t="n">
        <v>44839</v>
      </c>
      <c r="C203" s="1" t="n">
        <v>46114</v>
      </c>
      <c r="D203" t="inlineStr">
        <is>
          <t>GOTLANDS LÄN</t>
        </is>
      </c>
      <c r="E203" t="inlineStr">
        <is>
          <t>GOTLAND</t>
        </is>
      </c>
      <c r="G203" t="n">
        <v>3.8</v>
      </c>
      <c r="H203" t="n">
        <v>0</v>
      </c>
      <c r="I203" t="n">
        <v>0</v>
      </c>
      <c r="J203" t="n">
        <v>0</v>
      </c>
      <c r="K203" t="n">
        <v>0</v>
      </c>
      <c r="L203" t="n">
        <v>0</v>
      </c>
      <c r="M203" t="n">
        <v>0</v>
      </c>
      <c r="N203" t="n">
        <v>0</v>
      </c>
      <c r="O203" t="n">
        <v>0</v>
      </c>
      <c r="P203" t="n">
        <v>0</v>
      </c>
      <c r="Q203" t="n">
        <v>0</v>
      </c>
      <c r="R203" s="2" t="inlineStr"/>
    </row>
    <row r="204" ht="15" customHeight="1">
      <c r="A204" t="inlineStr">
        <is>
          <t>A 19447-2021</t>
        </is>
      </c>
      <c r="B204" s="1" t="n">
        <v>44310.72780092592</v>
      </c>
      <c r="C204" s="1" t="n">
        <v>46114</v>
      </c>
      <c r="D204" t="inlineStr">
        <is>
          <t>GOTLANDS LÄN</t>
        </is>
      </c>
      <c r="E204" t="inlineStr">
        <is>
          <t>GOTLAND</t>
        </is>
      </c>
      <c r="G204" t="n">
        <v>0.4</v>
      </c>
      <c r="H204" t="n">
        <v>0</v>
      </c>
      <c r="I204" t="n">
        <v>0</v>
      </c>
      <c r="J204" t="n">
        <v>0</v>
      </c>
      <c r="K204" t="n">
        <v>0</v>
      </c>
      <c r="L204" t="n">
        <v>0</v>
      </c>
      <c r="M204" t="n">
        <v>0</v>
      </c>
      <c r="N204" t="n">
        <v>0</v>
      </c>
      <c r="O204" t="n">
        <v>0</v>
      </c>
      <c r="P204" t="n">
        <v>0</v>
      </c>
      <c r="Q204" t="n">
        <v>0</v>
      </c>
      <c r="R204" s="2" t="inlineStr"/>
    </row>
    <row r="205" ht="15" customHeight="1">
      <c r="A205" t="inlineStr">
        <is>
          <t>A 42688-2021</t>
        </is>
      </c>
      <c r="B205" s="1" t="n">
        <v>44428</v>
      </c>
      <c r="C205" s="1" t="n">
        <v>46114</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32691-2021</t>
        </is>
      </c>
      <c r="B206" s="1" t="n">
        <v>44375</v>
      </c>
      <c r="C206" s="1" t="n">
        <v>46114</v>
      </c>
      <c r="D206" t="inlineStr">
        <is>
          <t>GOTLANDS LÄN</t>
        </is>
      </c>
      <c r="E206" t="inlineStr">
        <is>
          <t>GOTLAND</t>
        </is>
      </c>
      <c r="G206" t="n">
        <v>0.8</v>
      </c>
      <c r="H206" t="n">
        <v>0</v>
      </c>
      <c r="I206" t="n">
        <v>0</v>
      </c>
      <c r="J206" t="n">
        <v>0</v>
      </c>
      <c r="K206" t="n">
        <v>0</v>
      </c>
      <c r="L206" t="n">
        <v>0</v>
      </c>
      <c r="M206" t="n">
        <v>0</v>
      </c>
      <c r="N206" t="n">
        <v>0</v>
      </c>
      <c r="O206" t="n">
        <v>0</v>
      </c>
      <c r="P206" t="n">
        <v>0</v>
      </c>
      <c r="Q206" t="n">
        <v>0</v>
      </c>
      <c r="R206" s="2" t="inlineStr"/>
    </row>
    <row r="207" ht="15" customHeight="1">
      <c r="A207" t="inlineStr">
        <is>
          <t>A 60607-2021</t>
        </is>
      </c>
      <c r="B207" s="1" t="n">
        <v>44496.58627314815</v>
      </c>
      <c r="C207" s="1" t="n">
        <v>46114</v>
      </c>
      <c r="D207" t="inlineStr">
        <is>
          <t>GOTLANDS LÄN</t>
        </is>
      </c>
      <c r="E207" t="inlineStr">
        <is>
          <t>GOTLAND</t>
        </is>
      </c>
      <c r="G207" t="n">
        <v>0.6</v>
      </c>
      <c r="H207" t="n">
        <v>0</v>
      </c>
      <c r="I207" t="n">
        <v>0</v>
      </c>
      <c r="J207" t="n">
        <v>0</v>
      </c>
      <c r="K207" t="n">
        <v>0</v>
      </c>
      <c r="L207" t="n">
        <v>0</v>
      </c>
      <c r="M207" t="n">
        <v>0</v>
      </c>
      <c r="N207" t="n">
        <v>0</v>
      </c>
      <c r="O207" t="n">
        <v>0</v>
      </c>
      <c r="P207" t="n">
        <v>0</v>
      </c>
      <c r="Q207" t="n">
        <v>0</v>
      </c>
      <c r="R207" s="2" t="inlineStr"/>
    </row>
    <row r="208" ht="15" customHeight="1">
      <c r="A208" t="inlineStr">
        <is>
          <t>A 47369-2021</t>
        </is>
      </c>
      <c r="B208" s="1" t="n">
        <v>44447</v>
      </c>
      <c r="C208" s="1" t="n">
        <v>46114</v>
      </c>
      <c r="D208" t="inlineStr">
        <is>
          <t>GOTLANDS LÄN</t>
        </is>
      </c>
      <c r="E208" t="inlineStr">
        <is>
          <t>GOTLAND</t>
        </is>
      </c>
      <c r="G208" t="n">
        <v>2.3</v>
      </c>
      <c r="H208" t="n">
        <v>0</v>
      </c>
      <c r="I208" t="n">
        <v>0</v>
      </c>
      <c r="J208" t="n">
        <v>0</v>
      </c>
      <c r="K208" t="n">
        <v>0</v>
      </c>
      <c r="L208" t="n">
        <v>0</v>
      </c>
      <c r="M208" t="n">
        <v>0</v>
      </c>
      <c r="N208" t="n">
        <v>0</v>
      </c>
      <c r="O208" t="n">
        <v>0</v>
      </c>
      <c r="P208" t="n">
        <v>0</v>
      </c>
      <c r="Q208" t="n">
        <v>0</v>
      </c>
      <c r="R208" s="2" t="inlineStr"/>
    </row>
    <row r="209" ht="15" customHeight="1">
      <c r="A209" t="inlineStr">
        <is>
          <t>A 11029-2022</t>
        </is>
      </c>
      <c r="B209" s="1" t="n">
        <v>44628</v>
      </c>
      <c r="C209" s="1" t="n">
        <v>46114</v>
      </c>
      <c r="D209" t="inlineStr">
        <is>
          <t>GOTLANDS LÄN</t>
        </is>
      </c>
      <c r="E209" t="inlineStr">
        <is>
          <t>GOTLAND</t>
        </is>
      </c>
      <c r="G209" t="n">
        <v>1.8</v>
      </c>
      <c r="H209" t="n">
        <v>0</v>
      </c>
      <c r="I209" t="n">
        <v>0</v>
      </c>
      <c r="J209" t="n">
        <v>0</v>
      </c>
      <c r="K209" t="n">
        <v>0</v>
      </c>
      <c r="L209" t="n">
        <v>0</v>
      </c>
      <c r="M209" t="n">
        <v>0</v>
      </c>
      <c r="N209" t="n">
        <v>0</v>
      </c>
      <c r="O209" t="n">
        <v>0</v>
      </c>
      <c r="P209" t="n">
        <v>0</v>
      </c>
      <c r="Q209" t="n">
        <v>0</v>
      </c>
      <c r="R209" s="2" t="inlineStr"/>
    </row>
    <row r="210" ht="15" customHeight="1">
      <c r="A210" t="inlineStr">
        <is>
          <t>A 31239-2022</t>
        </is>
      </c>
      <c r="B210" s="1" t="n">
        <v>44771.49383101852</v>
      </c>
      <c r="C210" s="1" t="n">
        <v>46114</v>
      </c>
      <c r="D210" t="inlineStr">
        <is>
          <t>GOTLANDS LÄN</t>
        </is>
      </c>
      <c r="E210" t="inlineStr">
        <is>
          <t>GOTLAND</t>
        </is>
      </c>
      <c r="G210" t="n">
        <v>1.9</v>
      </c>
      <c r="H210" t="n">
        <v>0</v>
      </c>
      <c r="I210" t="n">
        <v>0</v>
      </c>
      <c r="J210" t="n">
        <v>0</v>
      </c>
      <c r="K210" t="n">
        <v>0</v>
      </c>
      <c r="L210" t="n">
        <v>0</v>
      </c>
      <c r="M210" t="n">
        <v>0</v>
      </c>
      <c r="N210" t="n">
        <v>0</v>
      </c>
      <c r="O210" t="n">
        <v>0</v>
      </c>
      <c r="P210" t="n">
        <v>0</v>
      </c>
      <c r="Q210" t="n">
        <v>0</v>
      </c>
      <c r="R210" s="2" t="inlineStr"/>
    </row>
    <row r="211" ht="15" customHeight="1">
      <c r="A211" t="inlineStr">
        <is>
          <t>A 58224-2021</t>
        </is>
      </c>
      <c r="B211" s="1" t="n">
        <v>44487</v>
      </c>
      <c r="C211" s="1" t="n">
        <v>46114</v>
      </c>
      <c r="D211" t="inlineStr">
        <is>
          <t>GOTLANDS LÄN</t>
        </is>
      </c>
      <c r="E211" t="inlineStr">
        <is>
          <t>GOTLAND</t>
        </is>
      </c>
      <c r="G211" t="n">
        <v>1.4</v>
      </c>
      <c r="H211" t="n">
        <v>0</v>
      </c>
      <c r="I211" t="n">
        <v>0</v>
      </c>
      <c r="J211" t="n">
        <v>0</v>
      </c>
      <c r="K211" t="n">
        <v>0</v>
      </c>
      <c r="L211" t="n">
        <v>0</v>
      </c>
      <c r="M211" t="n">
        <v>0</v>
      </c>
      <c r="N211" t="n">
        <v>0</v>
      </c>
      <c r="O211" t="n">
        <v>0</v>
      </c>
      <c r="P211" t="n">
        <v>0</v>
      </c>
      <c r="Q211" t="n">
        <v>0</v>
      </c>
      <c r="R211" s="2" t="inlineStr"/>
    </row>
    <row r="212" ht="15" customHeight="1">
      <c r="A212" t="inlineStr">
        <is>
          <t>A 58815-2021</t>
        </is>
      </c>
      <c r="B212" s="1" t="n">
        <v>44489</v>
      </c>
      <c r="C212" s="1" t="n">
        <v>46114</v>
      </c>
      <c r="D212" t="inlineStr">
        <is>
          <t>GOTLANDS LÄN</t>
        </is>
      </c>
      <c r="E212" t="inlineStr">
        <is>
          <t>GOTLAND</t>
        </is>
      </c>
      <c r="G212" t="n">
        <v>4.1</v>
      </c>
      <c r="H212" t="n">
        <v>0</v>
      </c>
      <c r="I212" t="n">
        <v>0</v>
      </c>
      <c r="J212" t="n">
        <v>0</v>
      </c>
      <c r="K212" t="n">
        <v>0</v>
      </c>
      <c r="L212" t="n">
        <v>0</v>
      </c>
      <c r="M212" t="n">
        <v>0</v>
      </c>
      <c r="N212" t="n">
        <v>0</v>
      </c>
      <c r="O212" t="n">
        <v>0</v>
      </c>
      <c r="P212" t="n">
        <v>0</v>
      </c>
      <c r="Q212" t="n">
        <v>0</v>
      </c>
      <c r="R212" s="2" t="inlineStr"/>
    </row>
    <row r="213" ht="15" customHeight="1">
      <c r="A213" t="inlineStr">
        <is>
          <t>A 22155-2021</t>
        </is>
      </c>
      <c r="B213" s="1" t="n">
        <v>44325.49369212963</v>
      </c>
      <c r="C213" s="1" t="n">
        <v>46114</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46114</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22495-2022</t>
        </is>
      </c>
      <c r="B215" s="1" t="n">
        <v>44713.6452199074</v>
      </c>
      <c r="C215" s="1" t="n">
        <v>46114</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44942-2022</t>
        </is>
      </c>
      <c r="B216" s="1" t="n">
        <v>44841</v>
      </c>
      <c r="C216" s="1" t="n">
        <v>46114</v>
      </c>
      <c r="D216" t="inlineStr">
        <is>
          <t>GOTLANDS LÄN</t>
        </is>
      </c>
      <c r="E216" t="inlineStr">
        <is>
          <t>GOTLAND</t>
        </is>
      </c>
      <c r="G216" t="n">
        <v>2</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46114</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46114</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46114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46114</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17354-2022</t>
        </is>
      </c>
      <c r="B221" s="1" t="n">
        <v>44678</v>
      </c>
      <c r="C221" s="1" t="n">
        <v>46114</v>
      </c>
      <c r="D221" t="inlineStr">
        <is>
          <t>GOTLANDS LÄN</t>
        </is>
      </c>
      <c r="E221" t="inlineStr">
        <is>
          <t>GOTLAND</t>
        </is>
      </c>
      <c r="G221" t="n">
        <v>7.1</v>
      </c>
      <c r="H221" t="n">
        <v>0</v>
      </c>
      <c r="I221" t="n">
        <v>0</v>
      </c>
      <c r="J221" t="n">
        <v>0</v>
      </c>
      <c r="K221" t="n">
        <v>0</v>
      </c>
      <c r="L221" t="n">
        <v>0</v>
      </c>
      <c r="M221" t="n">
        <v>0</v>
      </c>
      <c r="N221" t="n">
        <v>0</v>
      </c>
      <c r="O221" t="n">
        <v>0</v>
      </c>
      <c r="P221" t="n">
        <v>0</v>
      </c>
      <c r="Q221" t="n">
        <v>0</v>
      </c>
      <c r="R221" s="2" t="inlineStr"/>
    </row>
    <row r="222" ht="15" customHeight="1">
      <c r="A222" t="inlineStr">
        <is>
          <t>A 14413-2022</t>
        </is>
      </c>
      <c r="B222" s="1" t="n">
        <v>44652</v>
      </c>
      <c r="C222" s="1" t="n">
        <v>46114</v>
      </c>
      <c r="D222" t="inlineStr">
        <is>
          <t>GOTLANDS LÄN</t>
        </is>
      </c>
      <c r="E222" t="inlineStr">
        <is>
          <t>GOTLAND</t>
        </is>
      </c>
      <c r="G222" t="n">
        <v>3.1</v>
      </c>
      <c r="H222" t="n">
        <v>0</v>
      </c>
      <c r="I222" t="n">
        <v>0</v>
      </c>
      <c r="J222" t="n">
        <v>0</v>
      </c>
      <c r="K222" t="n">
        <v>0</v>
      </c>
      <c r="L222" t="n">
        <v>0</v>
      </c>
      <c r="M222" t="n">
        <v>0</v>
      </c>
      <c r="N222" t="n">
        <v>0</v>
      </c>
      <c r="O222" t="n">
        <v>0</v>
      </c>
      <c r="P222" t="n">
        <v>0</v>
      </c>
      <c r="Q222" t="n">
        <v>0</v>
      </c>
      <c r="R222" s="2" t="inlineStr"/>
    </row>
    <row r="223" ht="15" customHeight="1">
      <c r="A223" t="inlineStr">
        <is>
          <t>A 56951-2021</t>
        </is>
      </c>
      <c r="B223" s="1" t="n">
        <v>44482.37388888889</v>
      </c>
      <c r="C223" s="1" t="n">
        <v>46114</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46114</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46114</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21507-2021</t>
        </is>
      </c>
      <c r="B226" s="1" t="n">
        <v>44321</v>
      </c>
      <c r="C226" s="1" t="n">
        <v>46114</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57219-2021</t>
        </is>
      </c>
      <c r="B227" s="1" t="n">
        <v>44483</v>
      </c>
      <c r="C227" s="1" t="n">
        <v>46114</v>
      </c>
      <c r="D227" t="inlineStr">
        <is>
          <t>GOTLANDS LÄN</t>
        </is>
      </c>
      <c r="E227" t="inlineStr">
        <is>
          <t>GOTLAND</t>
        </is>
      </c>
      <c r="F227" t="inlineStr">
        <is>
          <t>Kyrkan</t>
        </is>
      </c>
      <c r="G227" t="n">
        <v>4</v>
      </c>
      <c r="H227" t="n">
        <v>0</v>
      </c>
      <c r="I227" t="n">
        <v>0</v>
      </c>
      <c r="J227" t="n">
        <v>0</v>
      </c>
      <c r="K227" t="n">
        <v>0</v>
      </c>
      <c r="L227" t="n">
        <v>0</v>
      </c>
      <c r="M227" t="n">
        <v>0</v>
      </c>
      <c r="N227" t="n">
        <v>0</v>
      </c>
      <c r="O227" t="n">
        <v>0</v>
      </c>
      <c r="P227" t="n">
        <v>0</v>
      </c>
      <c r="Q227" t="n">
        <v>0</v>
      </c>
      <c r="R227" s="2" t="inlineStr"/>
    </row>
    <row r="228" ht="15" customHeight="1">
      <c r="A228" t="inlineStr">
        <is>
          <t>A 17901-2023</t>
        </is>
      </c>
      <c r="B228" s="1" t="n">
        <v>45039</v>
      </c>
      <c r="C228" s="1" t="n">
        <v>46114</v>
      </c>
      <c r="D228" t="inlineStr">
        <is>
          <t>GOTLANDS LÄN</t>
        </is>
      </c>
      <c r="E228" t="inlineStr">
        <is>
          <t>GOTLAND</t>
        </is>
      </c>
      <c r="F228" t="inlineStr">
        <is>
          <t>Kyrkan</t>
        </is>
      </c>
      <c r="G228" t="n">
        <v>0.6</v>
      </c>
      <c r="H228" t="n">
        <v>0</v>
      </c>
      <c r="I228" t="n">
        <v>0</v>
      </c>
      <c r="J228" t="n">
        <v>0</v>
      </c>
      <c r="K228" t="n">
        <v>0</v>
      </c>
      <c r="L228" t="n">
        <v>0</v>
      </c>
      <c r="M228" t="n">
        <v>0</v>
      </c>
      <c r="N228" t="n">
        <v>0</v>
      </c>
      <c r="O228" t="n">
        <v>0</v>
      </c>
      <c r="P228" t="n">
        <v>0</v>
      </c>
      <c r="Q228" t="n">
        <v>0</v>
      </c>
      <c r="R228" s="2" t="inlineStr"/>
    </row>
    <row r="229" ht="15" customHeight="1">
      <c r="A229" t="inlineStr">
        <is>
          <t>A 456-2023</t>
        </is>
      </c>
      <c r="B229" s="1" t="n">
        <v>44929.87122685185</v>
      </c>
      <c r="C229" s="1" t="n">
        <v>46114</v>
      </c>
      <c r="D229" t="inlineStr">
        <is>
          <t>GOTLANDS LÄN</t>
        </is>
      </c>
      <c r="E229" t="inlineStr">
        <is>
          <t>GOTLAND</t>
        </is>
      </c>
      <c r="G229" t="n">
        <v>3.2</v>
      </c>
      <c r="H229" t="n">
        <v>0</v>
      </c>
      <c r="I229" t="n">
        <v>0</v>
      </c>
      <c r="J229" t="n">
        <v>0</v>
      </c>
      <c r="K229" t="n">
        <v>0</v>
      </c>
      <c r="L229" t="n">
        <v>0</v>
      </c>
      <c r="M229" t="n">
        <v>0</v>
      </c>
      <c r="N229" t="n">
        <v>0</v>
      </c>
      <c r="O229" t="n">
        <v>0</v>
      </c>
      <c r="P229" t="n">
        <v>0</v>
      </c>
      <c r="Q229" t="n">
        <v>0</v>
      </c>
      <c r="R229" s="2" t="inlineStr"/>
    </row>
    <row r="230" ht="15" customHeight="1">
      <c r="A230" t="inlineStr">
        <is>
          <t>A 58476-2022</t>
        </is>
      </c>
      <c r="B230" s="1" t="n">
        <v>44902</v>
      </c>
      <c r="C230" s="1" t="n">
        <v>46114</v>
      </c>
      <c r="D230" t="inlineStr">
        <is>
          <t>GOTLANDS LÄN</t>
        </is>
      </c>
      <c r="E230" t="inlineStr">
        <is>
          <t>GOTLAND</t>
        </is>
      </c>
      <c r="G230" t="n">
        <v>0.9</v>
      </c>
      <c r="H230" t="n">
        <v>0</v>
      </c>
      <c r="I230" t="n">
        <v>0</v>
      </c>
      <c r="J230" t="n">
        <v>0</v>
      </c>
      <c r="K230" t="n">
        <v>0</v>
      </c>
      <c r="L230" t="n">
        <v>0</v>
      </c>
      <c r="M230" t="n">
        <v>0</v>
      </c>
      <c r="N230" t="n">
        <v>0</v>
      </c>
      <c r="O230" t="n">
        <v>0</v>
      </c>
      <c r="P230" t="n">
        <v>0</v>
      </c>
      <c r="Q230" t="n">
        <v>0</v>
      </c>
      <c r="R230" s="2" t="inlineStr"/>
    </row>
    <row r="231" ht="15" customHeight="1">
      <c r="A231" t="inlineStr">
        <is>
          <t>A 61596-2023</t>
        </is>
      </c>
      <c r="B231" s="1" t="n">
        <v>45265</v>
      </c>
      <c r="C231" s="1" t="n">
        <v>46114</v>
      </c>
      <c r="D231" t="inlineStr">
        <is>
          <t>GOTLANDS LÄN</t>
        </is>
      </c>
      <c r="E231" t="inlineStr">
        <is>
          <t>GOTLAND</t>
        </is>
      </c>
      <c r="G231" t="n">
        <v>1.7</v>
      </c>
      <c r="H231" t="n">
        <v>0</v>
      </c>
      <c r="I231" t="n">
        <v>0</v>
      </c>
      <c r="J231" t="n">
        <v>0</v>
      </c>
      <c r="K231" t="n">
        <v>0</v>
      </c>
      <c r="L231" t="n">
        <v>0</v>
      </c>
      <c r="M231" t="n">
        <v>0</v>
      </c>
      <c r="N231" t="n">
        <v>0</v>
      </c>
      <c r="O231" t="n">
        <v>0</v>
      </c>
      <c r="P231" t="n">
        <v>0</v>
      </c>
      <c r="Q231" t="n">
        <v>0</v>
      </c>
      <c r="R231" s="2" t="inlineStr"/>
    </row>
    <row r="232" ht="15" customHeight="1">
      <c r="A232" t="inlineStr">
        <is>
          <t>A 873-2024</t>
        </is>
      </c>
      <c r="B232" s="1" t="n">
        <v>45301</v>
      </c>
      <c r="C232" s="1" t="n">
        <v>46114</v>
      </c>
      <c r="D232" t="inlineStr">
        <is>
          <t>GOTLANDS LÄN</t>
        </is>
      </c>
      <c r="E232" t="inlineStr">
        <is>
          <t>GOTLAND</t>
        </is>
      </c>
      <c r="G232" t="n">
        <v>2.7</v>
      </c>
      <c r="H232" t="n">
        <v>0</v>
      </c>
      <c r="I232" t="n">
        <v>0</v>
      </c>
      <c r="J232" t="n">
        <v>0</v>
      </c>
      <c r="K232" t="n">
        <v>0</v>
      </c>
      <c r="L232" t="n">
        <v>0</v>
      </c>
      <c r="M232" t="n">
        <v>0</v>
      </c>
      <c r="N232" t="n">
        <v>0</v>
      </c>
      <c r="O232" t="n">
        <v>0</v>
      </c>
      <c r="P232" t="n">
        <v>0</v>
      </c>
      <c r="Q232" t="n">
        <v>0</v>
      </c>
      <c r="R232" s="2" t="inlineStr"/>
    </row>
    <row r="233" ht="15" customHeight="1">
      <c r="A233" t="inlineStr">
        <is>
          <t>A 63229-2021</t>
        </is>
      </c>
      <c r="B233" s="1" t="n">
        <v>44508.34518518519</v>
      </c>
      <c r="C233" s="1" t="n">
        <v>46114</v>
      </c>
      <c r="D233" t="inlineStr">
        <is>
          <t>GOTLANDS LÄN</t>
        </is>
      </c>
      <c r="E233" t="inlineStr">
        <is>
          <t>GOTLAND</t>
        </is>
      </c>
      <c r="F233" t="inlineStr">
        <is>
          <t>Kyrkan</t>
        </is>
      </c>
      <c r="G233" t="n">
        <v>3.8</v>
      </c>
      <c r="H233" t="n">
        <v>0</v>
      </c>
      <c r="I233" t="n">
        <v>0</v>
      </c>
      <c r="J233" t="n">
        <v>0</v>
      </c>
      <c r="K233" t="n">
        <v>0</v>
      </c>
      <c r="L233" t="n">
        <v>0</v>
      </c>
      <c r="M233" t="n">
        <v>0</v>
      </c>
      <c r="N233" t="n">
        <v>0</v>
      </c>
      <c r="O233" t="n">
        <v>0</v>
      </c>
      <c r="P233" t="n">
        <v>0</v>
      </c>
      <c r="Q233" t="n">
        <v>0</v>
      </c>
      <c r="R233" s="2" t="inlineStr"/>
    </row>
    <row r="234" ht="15" customHeight="1">
      <c r="A234" t="inlineStr">
        <is>
          <t>A 44228-2022</t>
        </is>
      </c>
      <c r="B234" s="1" t="n">
        <v>44839.51599537037</v>
      </c>
      <c r="C234" s="1" t="n">
        <v>46114</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61386-2023</t>
        </is>
      </c>
      <c r="B235" s="1" t="n">
        <v>45264</v>
      </c>
      <c r="C235" s="1" t="n">
        <v>46114</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46114</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46114</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45106-2024</t>
        </is>
      </c>
      <c r="B238" s="1" t="n">
        <v>45575</v>
      </c>
      <c r="C238" s="1" t="n">
        <v>46114</v>
      </c>
      <c r="D238" t="inlineStr">
        <is>
          <t>GOTLANDS LÄN</t>
        </is>
      </c>
      <c r="E238" t="inlineStr">
        <is>
          <t>GOTLAND</t>
        </is>
      </c>
      <c r="G238" t="n">
        <v>10</v>
      </c>
      <c r="H238" t="n">
        <v>0</v>
      </c>
      <c r="I238" t="n">
        <v>0</v>
      </c>
      <c r="J238" t="n">
        <v>0</v>
      </c>
      <c r="K238" t="n">
        <v>0</v>
      </c>
      <c r="L238" t="n">
        <v>0</v>
      </c>
      <c r="M238" t="n">
        <v>0</v>
      </c>
      <c r="N238" t="n">
        <v>0</v>
      </c>
      <c r="O238" t="n">
        <v>0</v>
      </c>
      <c r="P238" t="n">
        <v>0</v>
      </c>
      <c r="Q238" t="n">
        <v>0</v>
      </c>
      <c r="R238" s="2" t="inlineStr"/>
    </row>
    <row r="239" ht="15" customHeight="1">
      <c r="A239" t="inlineStr">
        <is>
          <t>A 45112-2024</t>
        </is>
      </c>
      <c r="B239" s="1" t="n">
        <v>45575</v>
      </c>
      <c r="C239" s="1" t="n">
        <v>46114</v>
      </c>
      <c r="D239" t="inlineStr">
        <is>
          <t>GOTLANDS LÄN</t>
        </is>
      </c>
      <c r="E239" t="inlineStr">
        <is>
          <t>GOTLAND</t>
        </is>
      </c>
      <c r="G239" t="n">
        <v>5.1</v>
      </c>
      <c r="H239" t="n">
        <v>0</v>
      </c>
      <c r="I239" t="n">
        <v>0</v>
      </c>
      <c r="J239" t="n">
        <v>0</v>
      </c>
      <c r="K239" t="n">
        <v>0</v>
      </c>
      <c r="L239" t="n">
        <v>0</v>
      </c>
      <c r="M239" t="n">
        <v>0</v>
      </c>
      <c r="N239" t="n">
        <v>0</v>
      </c>
      <c r="O239" t="n">
        <v>0</v>
      </c>
      <c r="P239" t="n">
        <v>0</v>
      </c>
      <c r="Q239" t="n">
        <v>0</v>
      </c>
      <c r="R239" s="2" t="inlineStr"/>
    </row>
    <row r="240" ht="15" customHeight="1">
      <c r="A240" t="inlineStr">
        <is>
          <t>A 3964-2024</t>
        </is>
      </c>
      <c r="B240" s="1" t="n">
        <v>45322</v>
      </c>
      <c r="C240" s="1" t="n">
        <v>46114</v>
      </c>
      <c r="D240" t="inlineStr">
        <is>
          <t>GOTLANDS LÄN</t>
        </is>
      </c>
      <c r="E240" t="inlineStr">
        <is>
          <t>GOTLAND</t>
        </is>
      </c>
      <c r="G240" t="n">
        <v>1.4</v>
      </c>
      <c r="H240" t="n">
        <v>0</v>
      </c>
      <c r="I240" t="n">
        <v>0</v>
      </c>
      <c r="J240" t="n">
        <v>0</v>
      </c>
      <c r="K240" t="n">
        <v>0</v>
      </c>
      <c r="L240" t="n">
        <v>0</v>
      </c>
      <c r="M240" t="n">
        <v>0</v>
      </c>
      <c r="N240" t="n">
        <v>0</v>
      </c>
      <c r="O240" t="n">
        <v>0</v>
      </c>
      <c r="P240" t="n">
        <v>0</v>
      </c>
      <c r="Q240" t="n">
        <v>0</v>
      </c>
      <c r="R240" s="2" t="inlineStr"/>
    </row>
    <row r="241" ht="15" customHeight="1">
      <c r="A241" t="inlineStr">
        <is>
          <t>A 7026-2023</t>
        </is>
      </c>
      <c r="B241" s="1" t="n">
        <v>44968.30340277778</v>
      </c>
      <c r="C241" s="1" t="n">
        <v>46114</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52892-2021</t>
        </is>
      </c>
      <c r="B242" s="1" t="n">
        <v>44467.49048611111</v>
      </c>
      <c r="C242" s="1" t="n">
        <v>46114</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1351-2025</t>
        </is>
      </c>
      <c r="B243" s="1" t="n">
        <v>45667.62246527777</v>
      </c>
      <c r="C243" s="1" t="n">
        <v>46114</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49874-2024</t>
        </is>
      </c>
      <c r="B244" s="1" t="n">
        <v>45597.49274305555</v>
      </c>
      <c r="C244" s="1" t="n">
        <v>46114</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60675-2021</t>
        </is>
      </c>
      <c r="B245" s="1" t="n">
        <v>44496.64855324074</v>
      </c>
      <c r="C245" s="1" t="n">
        <v>46114</v>
      </c>
      <c r="D245" t="inlineStr">
        <is>
          <t>GOTLANDS LÄN</t>
        </is>
      </c>
      <c r="E245" t="inlineStr">
        <is>
          <t>GOTLAND</t>
        </is>
      </c>
      <c r="G245" t="n">
        <v>4.6</v>
      </c>
      <c r="H245" t="n">
        <v>0</v>
      </c>
      <c r="I245" t="n">
        <v>0</v>
      </c>
      <c r="J245" t="n">
        <v>0</v>
      </c>
      <c r="K245" t="n">
        <v>0</v>
      </c>
      <c r="L245" t="n">
        <v>0</v>
      </c>
      <c r="M245" t="n">
        <v>0</v>
      </c>
      <c r="N245" t="n">
        <v>0</v>
      </c>
      <c r="O245" t="n">
        <v>0</v>
      </c>
      <c r="P245" t="n">
        <v>0</v>
      </c>
      <c r="Q245" t="n">
        <v>0</v>
      </c>
      <c r="R245" s="2" t="inlineStr"/>
    </row>
    <row r="246" ht="15" customHeight="1">
      <c r="A246" t="inlineStr">
        <is>
          <t>A 51782-2023</t>
        </is>
      </c>
      <c r="B246" s="1" t="n">
        <v>45222.80952546297</v>
      </c>
      <c r="C246" s="1" t="n">
        <v>46114</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5217-2023</t>
        </is>
      </c>
      <c r="B247" s="1" t="n">
        <v>44959.39582175926</v>
      </c>
      <c r="C247" s="1" t="n">
        <v>46114</v>
      </c>
      <c r="D247" t="inlineStr">
        <is>
          <t>GOTLANDS LÄN</t>
        </is>
      </c>
      <c r="E247" t="inlineStr">
        <is>
          <t>GOTLAND</t>
        </is>
      </c>
      <c r="G247" t="n">
        <v>1.9</v>
      </c>
      <c r="H247" t="n">
        <v>0</v>
      </c>
      <c r="I247" t="n">
        <v>0</v>
      </c>
      <c r="J247" t="n">
        <v>0</v>
      </c>
      <c r="K247" t="n">
        <v>0</v>
      </c>
      <c r="L247" t="n">
        <v>0</v>
      </c>
      <c r="M247" t="n">
        <v>0</v>
      </c>
      <c r="N247" t="n">
        <v>0</v>
      </c>
      <c r="O247" t="n">
        <v>0</v>
      </c>
      <c r="P247" t="n">
        <v>0</v>
      </c>
      <c r="Q247" t="n">
        <v>0</v>
      </c>
      <c r="R247" s="2" t="inlineStr"/>
    </row>
    <row r="248" ht="15" customHeight="1">
      <c r="A248" t="inlineStr">
        <is>
          <t>A 4421-2024</t>
        </is>
      </c>
      <c r="B248" s="1" t="n">
        <v>45327.45173611111</v>
      </c>
      <c r="C248" s="1" t="n">
        <v>46114</v>
      </c>
      <c r="D248" t="inlineStr">
        <is>
          <t>GOTLANDS LÄN</t>
        </is>
      </c>
      <c r="E248" t="inlineStr">
        <is>
          <t>GOTLAND</t>
        </is>
      </c>
      <c r="G248" t="n">
        <v>5.1</v>
      </c>
      <c r="H248" t="n">
        <v>0</v>
      </c>
      <c r="I248" t="n">
        <v>0</v>
      </c>
      <c r="J248" t="n">
        <v>0</v>
      </c>
      <c r="K248" t="n">
        <v>0</v>
      </c>
      <c r="L248" t="n">
        <v>0</v>
      </c>
      <c r="M248" t="n">
        <v>0</v>
      </c>
      <c r="N248" t="n">
        <v>0</v>
      </c>
      <c r="O248" t="n">
        <v>0</v>
      </c>
      <c r="P248" t="n">
        <v>0</v>
      </c>
      <c r="Q248" t="n">
        <v>0</v>
      </c>
      <c r="R248" s="2" t="inlineStr"/>
    </row>
    <row r="249" ht="15" customHeight="1">
      <c r="A249" t="inlineStr">
        <is>
          <t>A 14638-2025</t>
        </is>
      </c>
      <c r="B249" s="1" t="n">
        <v>45742</v>
      </c>
      <c r="C249" s="1" t="n">
        <v>46114</v>
      </c>
      <c r="D249" t="inlineStr">
        <is>
          <t>GOTLANDS LÄN</t>
        </is>
      </c>
      <c r="E249" t="inlineStr">
        <is>
          <t>GOTLAND</t>
        </is>
      </c>
      <c r="G249" t="n">
        <v>13.4</v>
      </c>
      <c r="H249" t="n">
        <v>0</v>
      </c>
      <c r="I249" t="n">
        <v>0</v>
      </c>
      <c r="J249" t="n">
        <v>0</v>
      </c>
      <c r="K249" t="n">
        <v>0</v>
      </c>
      <c r="L249" t="n">
        <v>0</v>
      </c>
      <c r="M249" t="n">
        <v>0</v>
      </c>
      <c r="N249" t="n">
        <v>0</v>
      </c>
      <c r="O249" t="n">
        <v>0</v>
      </c>
      <c r="P249" t="n">
        <v>0</v>
      </c>
      <c r="Q249" t="n">
        <v>0</v>
      </c>
      <c r="R249" s="2" t="inlineStr"/>
    </row>
    <row r="250" ht="15" customHeight="1">
      <c r="A250" t="inlineStr">
        <is>
          <t>A 33876-2024</t>
        </is>
      </c>
      <c r="B250" s="1" t="n">
        <v>45521.87988425926</v>
      </c>
      <c r="C250" s="1" t="n">
        <v>46114</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20165-2022</t>
        </is>
      </c>
      <c r="B251" s="1" t="n">
        <v>44698.49854166667</v>
      </c>
      <c r="C251" s="1" t="n">
        <v>46114</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31264-2021</t>
        </is>
      </c>
      <c r="B252" s="1" t="n">
        <v>44368</v>
      </c>
      <c r="C252" s="1" t="n">
        <v>46114</v>
      </c>
      <c r="D252" t="inlineStr">
        <is>
          <t>GOTLANDS LÄN</t>
        </is>
      </c>
      <c r="E252" t="inlineStr">
        <is>
          <t>GOTLAND</t>
        </is>
      </c>
      <c r="G252" t="n">
        <v>1.2</v>
      </c>
      <c r="H252" t="n">
        <v>0</v>
      </c>
      <c r="I252" t="n">
        <v>0</v>
      </c>
      <c r="J252" t="n">
        <v>0</v>
      </c>
      <c r="K252" t="n">
        <v>0</v>
      </c>
      <c r="L252" t="n">
        <v>0</v>
      </c>
      <c r="M252" t="n">
        <v>0</v>
      </c>
      <c r="N252" t="n">
        <v>0</v>
      </c>
      <c r="O252" t="n">
        <v>0</v>
      </c>
      <c r="P252" t="n">
        <v>0</v>
      </c>
      <c r="Q252" t="n">
        <v>0</v>
      </c>
      <c r="R252" s="2" t="inlineStr"/>
    </row>
    <row r="253" ht="15" customHeight="1">
      <c r="A253" t="inlineStr">
        <is>
          <t>A 61962-2024</t>
        </is>
      </c>
      <c r="B253" s="1" t="n">
        <v>45653.54340277778</v>
      </c>
      <c r="C253" s="1" t="n">
        <v>46114</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43223-2023</t>
        </is>
      </c>
      <c r="B254" s="1" t="n">
        <v>45183.45642361111</v>
      </c>
      <c r="C254" s="1" t="n">
        <v>46114</v>
      </c>
      <c r="D254" t="inlineStr">
        <is>
          <t>GOTLANDS LÄN</t>
        </is>
      </c>
      <c r="E254" t="inlineStr">
        <is>
          <t>GOTLAND</t>
        </is>
      </c>
      <c r="G254" t="n">
        <v>1.8</v>
      </c>
      <c r="H254" t="n">
        <v>0</v>
      </c>
      <c r="I254" t="n">
        <v>0</v>
      </c>
      <c r="J254" t="n">
        <v>0</v>
      </c>
      <c r="K254" t="n">
        <v>0</v>
      </c>
      <c r="L254" t="n">
        <v>0</v>
      </c>
      <c r="M254" t="n">
        <v>0</v>
      </c>
      <c r="N254" t="n">
        <v>0</v>
      </c>
      <c r="O254" t="n">
        <v>0</v>
      </c>
      <c r="P254" t="n">
        <v>0</v>
      </c>
      <c r="Q254" t="n">
        <v>0</v>
      </c>
      <c r="R254" s="2" t="inlineStr"/>
    </row>
    <row r="255" ht="15" customHeight="1">
      <c r="A255" t="inlineStr">
        <is>
          <t>A 5751-2024</t>
        </is>
      </c>
      <c r="B255" s="1" t="n">
        <v>45335.32702546296</v>
      </c>
      <c r="C255" s="1" t="n">
        <v>46114</v>
      </c>
      <c r="D255" t="inlineStr">
        <is>
          <t>GOTLANDS LÄN</t>
        </is>
      </c>
      <c r="E255" t="inlineStr">
        <is>
          <t>GOTLAND</t>
        </is>
      </c>
      <c r="G255" t="n">
        <v>4.2</v>
      </c>
      <c r="H255" t="n">
        <v>0</v>
      </c>
      <c r="I255" t="n">
        <v>0</v>
      </c>
      <c r="J255" t="n">
        <v>0</v>
      </c>
      <c r="K255" t="n">
        <v>0</v>
      </c>
      <c r="L255" t="n">
        <v>0</v>
      </c>
      <c r="M255" t="n">
        <v>0</v>
      </c>
      <c r="N255" t="n">
        <v>0</v>
      </c>
      <c r="O255" t="n">
        <v>0</v>
      </c>
      <c r="P255" t="n">
        <v>0</v>
      </c>
      <c r="Q255" t="n">
        <v>0</v>
      </c>
      <c r="R255" s="2" t="inlineStr"/>
    </row>
    <row r="256" ht="15" customHeight="1">
      <c r="A256" t="inlineStr">
        <is>
          <t>A 6696-2023</t>
        </is>
      </c>
      <c r="B256" s="1" t="n">
        <v>44966.66425925926</v>
      </c>
      <c r="C256" s="1" t="n">
        <v>46114</v>
      </c>
      <c r="D256" t="inlineStr">
        <is>
          <t>GOTLANDS LÄN</t>
        </is>
      </c>
      <c r="E256" t="inlineStr">
        <is>
          <t>GOTLAND</t>
        </is>
      </c>
      <c r="G256" t="n">
        <v>1.5</v>
      </c>
      <c r="H256" t="n">
        <v>0</v>
      </c>
      <c r="I256" t="n">
        <v>0</v>
      </c>
      <c r="J256" t="n">
        <v>0</v>
      </c>
      <c r="K256" t="n">
        <v>0</v>
      </c>
      <c r="L256" t="n">
        <v>0</v>
      </c>
      <c r="M256" t="n">
        <v>0</v>
      </c>
      <c r="N256" t="n">
        <v>0</v>
      </c>
      <c r="O256" t="n">
        <v>0</v>
      </c>
      <c r="P256" t="n">
        <v>0</v>
      </c>
      <c r="Q256" t="n">
        <v>0</v>
      </c>
      <c r="R256" s="2" t="inlineStr"/>
    </row>
    <row r="257" ht="15" customHeight="1">
      <c r="A257" t="inlineStr">
        <is>
          <t>A 27930-2021</t>
        </is>
      </c>
      <c r="B257" s="1" t="n">
        <v>44354</v>
      </c>
      <c r="C257" s="1" t="n">
        <v>46114</v>
      </c>
      <c r="D257" t="inlineStr">
        <is>
          <t>GOTLANDS LÄN</t>
        </is>
      </c>
      <c r="E257" t="inlineStr">
        <is>
          <t>GOTLAND</t>
        </is>
      </c>
      <c r="G257" t="n">
        <v>2.5</v>
      </c>
      <c r="H257" t="n">
        <v>0</v>
      </c>
      <c r="I257" t="n">
        <v>0</v>
      </c>
      <c r="J257" t="n">
        <v>0</v>
      </c>
      <c r="K257" t="n">
        <v>0</v>
      </c>
      <c r="L257" t="n">
        <v>0</v>
      </c>
      <c r="M257" t="n">
        <v>0</v>
      </c>
      <c r="N257" t="n">
        <v>0</v>
      </c>
      <c r="O257" t="n">
        <v>0</v>
      </c>
      <c r="P257" t="n">
        <v>0</v>
      </c>
      <c r="Q257" t="n">
        <v>0</v>
      </c>
      <c r="R257" s="2" t="inlineStr"/>
    </row>
    <row r="258" ht="15" customHeight="1">
      <c r="A258" t="inlineStr">
        <is>
          <t>A 59469-2024</t>
        </is>
      </c>
      <c r="B258" s="1" t="n">
        <v>45638</v>
      </c>
      <c r="C258" s="1" t="n">
        <v>46114</v>
      </c>
      <c r="D258" t="inlineStr">
        <is>
          <t>GOTLANDS LÄN</t>
        </is>
      </c>
      <c r="E258" t="inlineStr">
        <is>
          <t>GOTLAND</t>
        </is>
      </c>
      <c r="G258" t="n">
        <v>0.4</v>
      </c>
      <c r="H258" t="n">
        <v>0</v>
      </c>
      <c r="I258" t="n">
        <v>0</v>
      </c>
      <c r="J258" t="n">
        <v>0</v>
      </c>
      <c r="K258" t="n">
        <v>0</v>
      </c>
      <c r="L258" t="n">
        <v>0</v>
      </c>
      <c r="M258" t="n">
        <v>0</v>
      </c>
      <c r="N258" t="n">
        <v>0</v>
      </c>
      <c r="O258" t="n">
        <v>0</v>
      </c>
      <c r="P258" t="n">
        <v>0</v>
      </c>
      <c r="Q258" t="n">
        <v>0</v>
      </c>
      <c r="R258" s="2" t="inlineStr"/>
    </row>
    <row r="259" ht="15" customHeight="1">
      <c r="A259" t="inlineStr">
        <is>
          <t>A 28480-2023</t>
        </is>
      </c>
      <c r="B259" s="1" t="n">
        <v>45103</v>
      </c>
      <c r="C259" s="1" t="n">
        <v>46114</v>
      </c>
      <c r="D259" t="inlineStr">
        <is>
          <t>GOTLANDS LÄN</t>
        </is>
      </c>
      <c r="E259" t="inlineStr">
        <is>
          <t>GOTLAND</t>
        </is>
      </c>
      <c r="G259" t="n">
        <v>5.7</v>
      </c>
      <c r="H259" t="n">
        <v>0</v>
      </c>
      <c r="I259" t="n">
        <v>0</v>
      </c>
      <c r="J259" t="n">
        <v>0</v>
      </c>
      <c r="K259" t="n">
        <v>0</v>
      </c>
      <c r="L259" t="n">
        <v>0</v>
      </c>
      <c r="M259" t="n">
        <v>0</v>
      </c>
      <c r="N259" t="n">
        <v>0</v>
      </c>
      <c r="O259" t="n">
        <v>0</v>
      </c>
      <c r="P259" t="n">
        <v>0</v>
      </c>
      <c r="Q259" t="n">
        <v>0</v>
      </c>
      <c r="R259" s="2" t="inlineStr"/>
    </row>
    <row r="260" ht="15" customHeight="1">
      <c r="A260" t="inlineStr">
        <is>
          <t>A 28485-2023</t>
        </is>
      </c>
      <c r="B260" s="1" t="n">
        <v>45103.43731481482</v>
      </c>
      <c r="C260" s="1" t="n">
        <v>46114</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4990-2025</t>
        </is>
      </c>
      <c r="B261" s="1" t="n">
        <v>45691</v>
      </c>
      <c r="C261" s="1" t="n">
        <v>46114</v>
      </c>
      <c r="D261" t="inlineStr">
        <is>
          <t>GOTLANDS LÄN</t>
        </is>
      </c>
      <c r="E261" t="inlineStr">
        <is>
          <t>GOTLAND</t>
        </is>
      </c>
      <c r="G261" t="n">
        <v>7.7</v>
      </c>
      <c r="H261" t="n">
        <v>0</v>
      </c>
      <c r="I261" t="n">
        <v>0</v>
      </c>
      <c r="J261" t="n">
        <v>0</v>
      </c>
      <c r="K261" t="n">
        <v>0</v>
      </c>
      <c r="L261" t="n">
        <v>0</v>
      </c>
      <c r="M261" t="n">
        <v>0</v>
      </c>
      <c r="N261" t="n">
        <v>0</v>
      </c>
      <c r="O261" t="n">
        <v>0</v>
      </c>
      <c r="P261" t="n">
        <v>0</v>
      </c>
      <c r="Q261" t="n">
        <v>0</v>
      </c>
      <c r="R261" s="2" t="inlineStr"/>
    </row>
    <row r="262" ht="15" customHeight="1">
      <c r="A262" t="inlineStr">
        <is>
          <t>A 56009-2024</t>
        </is>
      </c>
      <c r="B262" s="1" t="n">
        <v>45623.80864583333</v>
      </c>
      <c r="C262" s="1" t="n">
        <v>46114</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38165-2023</t>
        </is>
      </c>
      <c r="B263" s="1" t="n">
        <v>45161</v>
      </c>
      <c r="C263" s="1" t="n">
        <v>46114</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54073-2022</t>
        </is>
      </c>
      <c r="B264" s="1" t="n">
        <v>44881.50380787037</v>
      </c>
      <c r="C264" s="1" t="n">
        <v>46114</v>
      </c>
      <c r="D264" t="inlineStr">
        <is>
          <t>GOTLANDS LÄN</t>
        </is>
      </c>
      <c r="E264" t="inlineStr">
        <is>
          <t>GOTLAND</t>
        </is>
      </c>
      <c r="G264" t="n">
        <v>3.8</v>
      </c>
      <c r="H264" t="n">
        <v>0</v>
      </c>
      <c r="I264" t="n">
        <v>0</v>
      </c>
      <c r="J264" t="n">
        <v>0</v>
      </c>
      <c r="K264" t="n">
        <v>0</v>
      </c>
      <c r="L264" t="n">
        <v>0</v>
      </c>
      <c r="M264" t="n">
        <v>0</v>
      </c>
      <c r="N264" t="n">
        <v>0</v>
      </c>
      <c r="O264" t="n">
        <v>0</v>
      </c>
      <c r="P264" t="n">
        <v>0</v>
      </c>
      <c r="Q264" t="n">
        <v>0</v>
      </c>
      <c r="R264" s="2" t="inlineStr"/>
    </row>
    <row r="265" ht="15" customHeight="1">
      <c r="A265" t="inlineStr">
        <is>
          <t>A 48503-2023</t>
        </is>
      </c>
      <c r="B265" s="1" t="n">
        <v>45207</v>
      </c>
      <c r="C265" s="1" t="n">
        <v>46114</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24825-2024</t>
        </is>
      </c>
      <c r="B266" s="1" t="n">
        <v>45461</v>
      </c>
      <c r="C266" s="1" t="n">
        <v>46114</v>
      </c>
      <c r="D266" t="inlineStr">
        <is>
          <t>GOTLANDS LÄN</t>
        </is>
      </c>
      <c r="E266" t="inlineStr">
        <is>
          <t>GOTLAND</t>
        </is>
      </c>
      <c r="G266" t="n">
        <v>1.3</v>
      </c>
      <c r="H266" t="n">
        <v>0</v>
      </c>
      <c r="I266" t="n">
        <v>0</v>
      </c>
      <c r="J266" t="n">
        <v>0</v>
      </c>
      <c r="K266" t="n">
        <v>0</v>
      </c>
      <c r="L266" t="n">
        <v>0</v>
      </c>
      <c r="M266" t="n">
        <v>0</v>
      </c>
      <c r="N266" t="n">
        <v>0</v>
      </c>
      <c r="O266" t="n">
        <v>0</v>
      </c>
      <c r="P266" t="n">
        <v>0</v>
      </c>
      <c r="Q266" t="n">
        <v>0</v>
      </c>
      <c r="R266" s="2" t="inlineStr"/>
    </row>
    <row r="267" ht="15" customHeight="1">
      <c r="A267" t="inlineStr">
        <is>
          <t>A 22031-2024</t>
        </is>
      </c>
      <c r="B267" s="1" t="n">
        <v>45443.60075231481</v>
      </c>
      <c r="C267" s="1" t="n">
        <v>46114</v>
      </c>
      <c r="D267" t="inlineStr">
        <is>
          <t>GOTLANDS LÄN</t>
        </is>
      </c>
      <c r="E267" t="inlineStr">
        <is>
          <t>GOTLAND</t>
        </is>
      </c>
      <c r="G267" t="n">
        <v>2.3</v>
      </c>
      <c r="H267" t="n">
        <v>0</v>
      </c>
      <c r="I267" t="n">
        <v>0</v>
      </c>
      <c r="J267" t="n">
        <v>0</v>
      </c>
      <c r="K267" t="n">
        <v>0</v>
      </c>
      <c r="L267" t="n">
        <v>0</v>
      </c>
      <c r="M267" t="n">
        <v>0</v>
      </c>
      <c r="N267" t="n">
        <v>0</v>
      </c>
      <c r="O267" t="n">
        <v>0</v>
      </c>
      <c r="P267" t="n">
        <v>0</v>
      </c>
      <c r="Q267" t="n">
        <v>0</v>
      </c>
      <c r="R267" s="2" t="inlineStr"/>
    </row>
    <row r="268" ht="15" customHeight="1">
      <c r="A268" t="inlineStr">
        <is>
          <t>A 17688-2024</t>
        </is>
      </c>
      <c r="B268" s="1" t="n">
        <v>45418.43575231481</v>
      </c>
      <c r="C268" s="1" t="n">
        <v>46114</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8260-2023</t>
        </is>
      </c>
      <c r="B269" s="1" t="n">
        <v>44974.61608796296</v>
      </c>
      <c r="C269" s="1" t="n">
        <v>46114</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27694-2024</t>
        </is>
      </c>
      <c r="B270" s="1" t="n">
        <v>45475</v>
      </c>
      <c r="C270" s="1" t="n">
        <v>46114</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39764-2022</t>
        </is>
      </c>
      <c r="B271" s="1" t="n">
        <v>44819</v>
      </c>
      <c r="C271" s="1" t="n">
        <v>46114</v>
      </c>
      <c r="D271" t="inlineStr">
        <is>
          <t>GOTLANDS LÄN</t>
        </is>
      </c>
      <c r="E271" t="inlineStr">
        <is>
          <t>GOTLAND</t>
        </is>
      </c>
      <c r="F271" t="inlineStr">
        <is>
          <t>Kyrkan</t>
        </is>
      </c>
      <c r="G271" t="n">
        <v>3.7</v>
      </c>
      <c r="H271" t="n">
        <v>0</v>
      </c>
      <c r="I271" t="n">
        <v>0</v>
      </c>
      <c r="J271" t="n">
        <v>0</v>
      </c>
      <c r="K271" t="n">
        <v>0</v>
      </c>
      <c r="L271" t="n">
        <v>0</v>
      </c>
      <c r="M271" t="n">
        <v>0</v>
      </c>
      <c r="N271" t="n">
        <v>0</v>
      </c>
      <c r="O271" t="n">
        <v>0</v>
      </c>
      <c r="P271" t="n">
        <v>0</v>
      </c>
      <c r="Q271" t="n">
        <v>0</v>
      </c>
      <c r="R271" s="2" t="inlineStr"/>
    </row>
    <row r="272" ht="15" customHeight="1">
      <c r="A272" t="inlineStr">
        <is>
          <t>A 22287-2022</t>
        </is>
      </c>
      <c r="B272" s="1" t="n">
        <v>44712</v>
      </c>
      <c r="C272" s="1" t="n">
        <v>46114</v>
      </c>
      <c r="D272" t="inlineStr">
        <is>
          <t>GOTLANDS LÄN</t>
        </is>
      </c>
      <c r="E272" t="inlineStr">
        <is>
          <t>GOTLAND</t>
        </is>
      </c>
      <c r="G272" t="n">
        <v>6.1</v>
      </c>
      <c r="H272" t="n">
        <v>0</v>
      </c>
      <c r="I272" t="n">
        <v>0</v>
      </c>
      <c r="J272" t="n">
        <v>0</v>
      </c>
      <c r="K272" t="n">
        <v>0</v>
      </c>
      <c r="L272" t="n">
        <v>0</v>
      </c>
      <c r="M272" t="n">
        <v>0</v>
      </c>
      <c r="N272" t="n">
        <v>0</v>
      </c>
      <c r="O272" t="n">
        <v>0</v>
      </c>
      <c r="P272" t="n">
        <v>0</v>
      </c>
      <c r="Q272" t="n">
        <v>0</v>
      </c>
      <c r="R272" s="2" t="inlineStr"/>
    </row>
    <row r="273" ht="15" customHeight="1">
      <c r="A273" t="inlineStr">
        <is>
          <t>A 6099-2024</t>
        </is>
      </c>
      <c r="B273" s="1" t="n">
        <v>45337</v>
      </c>
      <c r="C273" s="1" t="n">
        <v>46114</v>
      </c>
      <c r="D273" t="inlineStr">
        <is>
          <t>GOTLANDS LÄN</t>
        </is>
      </c>
      <c r="E273" t="inlineStr">
        <is>
          <t>GOTLAND</t>
        </is>
      </c>
      <c r="G273" t="n">
        <v>12.6</v>
      </c>
      <c r="H273" t="n">
        <v>0</v>
      </c>
      <c r="I273" t="n">
        <v>0</v>
      </c>
      <c r="J273" t="n">
        <v>0</v>
      </c>
      <c r="K273" t="n">
        <v>0</v>
      </c>
      <c r="L273" t="n">
        <v>0</v>
      </c>
      <c r="M273" t="n">
        <v>0</v>
      </c>
      <c r="N273" t="n">
        <v>0</v>
      </c>
      <c r="O273" t="n">
        <v>0</v>
      </c>
      <c r="P273" t="n">
        <v>0</v>
      </c>
      <c r="Q273" t="n">
        <v>0</v>
      </c>
      <c r="R273" s="2" t="inlineStr"/>
    </row>
    <row r="274" ht="15" customHeight="1">
      <c r="A274" t="inlineStr">
        <is>
          <t>A 49693-2023</t>
        </is>
      </c>
      <c r="B274" s="1" t="n">
        <v>45212.38138888889</v>
      </c>
      <c r="C274" s="1" t="n">
        <v>46114</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49697-2023</t>
        </is>
      </c>
      <c r="B275" s="1" t="n">
        <v>45212.38909722222</v>
      </c>
      <c r="C275" s="1" t="n">
        <v>46114</v>
      </c>
      <c r="D275" t="inlineStr">
        <is>
          <t>GOTLANDS LÄN</t>
        </is>
      </c>
      <c r="E275" t="inlineStr">
        <is>
          <t>GOTLAND</t>
        </is>
      </c>
      <c r="G275" t="n">
        <v>4.4</v>
      </c>
      <c r="H275" t="n">
        <v>0</v>
      </c>
      <c r="I275" t="n">
        <v>0</v>
      </c>
      <c r="J275" t="n">
        <v>0</v>
      </c>
      <c r="K275" t="n">
        <v>0</v>
      </c>
      <c r="L275" t="n">
        <v>0</v>
      </c>
      <c r="M275" t="n">
        <v>0</v>
      </c>
      <c r="N275" t="n">
        <v>0</v>
      </c>
      <c r="O275" t="n">
        <v>0</v>
      </c>
      <c r="P275" t="n">
        <v>0</v>
      </c>
      <c r="Q275" t="n">
        <v>0</v>
      </c>
      <c r="R275" s="2" t="inlineStr"/>
    </row>
    <row r="276" ht="15" customHeight="1">
      <c r="A276" t="inlineStr">
        <is>
          <t>A 57534-2022</t>
        </is>
      </c>
      <c r="B276" s="1" t="n">
        <v>44896</v>
      </c>
      <c r="C276" s="1" t="n">
        <v>46114</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34312-2024</t>
        </is>
      </c>
      <c r="B277" s="1" t="n">
        <v>45524.69703703704</v>
      </c>
      <c r="C277" s="1" t="n">
        <v>46114</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64660-2023</t>
        </is>
      </c>
      <c r="B278" s="1" t="n">
        <v>45281.60122685185</v>
      </c>
      <c r="C278" s="1" t="n">
        <v>46114</v>
      </c>
      <c r="D278" t="inlineStr">
        <is>
          <t>GOTLANDS LÄN</t>
        </is>
      </c>
      <c r="E278" t="inlineStr">
        <is>
          <t>GOTLAND</t>
        </is>
      </c>
      <c r="G278" t="n">
        <v>6.3</v>
      </c>
      <c r="H278" t="n">
        <v>0</v>
      </c>
      <c r="I278" t="n">
        <v>0</v>
      </c>
      <c r="J278" t="n">
        <v>0</v>
      </c>
      <c r="K278" t="n">
        <v>0</v>
      </c>
      <c r="L278" t="n">
        <v>0</v>
      </c>
      <c r="M278" t="n">
        <v>0</v>
      </c>
      <c r="N278" t="n">
        <v>0</v>
      </c>
      <c r="O278" t="n">
        <v>0</v>
      </c>
      <c r="P278" t="n">
        <v>0</v>
      </c>
      <c r="Q278" t="n">
        <v>0</v>
      </c>
      <c r="R278" s="2" t="inlineStr"/>
    </row>
    <row r="279" ht="15" customHeight="1">
      <c r="A279" t="inlineStr">
        <is>
          <t>A 33007-2025</t>
        </is>
      </c>
      <c r="B279" s="1" t="n">
        <v>45840</v>
      </c>
      <c r="C279" s="1" t="n">
        <v>46114</v>
      </c>
      <c r="D279" t="inlineStr">
        <is>
          <t>GOTLANDS LÄN</t>
        </is>
      </c>
      <c r="E279" t="inlineStr">
        <is>
          <t>GOTLAND</t>
        </is>
      </c>
      <c r="G279" t="n">
        <v>4.9</v>
      </c>
      <c r="H279" t="n">
        <v>0</v>
      </c>
      <c r="I279" t="n">
        <v>0</v>
      </c>
      <c r="J279" t="n">
        <v>0</v>
      </c>
      <c r="K279" t="n">
        <v>0</v>
      </c>
      <c r="L279" t="n">
        <v>0</v>
      </c>
      <c r="M279" t="n">
        <v>0</v>
      </c>
      <c r="N279" t="n">
        <v>0</v>
      </c>
      <c r="O279" t="n">
        <v>0</v>
      </c>
      <c r="P279" t="n">
        <v>0</v>
      </c>
      <c r="Q279" t="n">
        <v>0</v>
      </c>
      <c r="R279" s="2" t="inlineStr"/>
    </row>
    <row r="280" ht="15" customHeight="1">
      <c r="A280" t="inlineStr">
        <is>
          <t>A 20356-2022</t>
        </is>
      </c>
      <c r="B280" s="1" t="n">
        <v>44699</v>
      </c>
      <c r="C280" s="1" t="n">
        <v>46114</v>
      </c>
      <c r="D280" t="inlineStr">
        <is>
          <t>GOTLANDS LÄN</t>
        </is>
      </c>
      <c r="E280" t="inlineStr">
        <is>
          <t>GOTLAND</t>
        </is>
      </c>
      <c r="F280" t="inlineStr">
        <is>
          <t>Övriga Aktiebolag</t>
        </is>
      </c>
      <c r="G280" t="n">
        <v>4.4</v>
      </c>
      <c r="H280" t="n">
        <v>0</v>
      </c>
      <c r="I280" t="n">
        <v>0</v>
      </c>
      <c r="J280" t="n">
        <v>0</v>
      </c>
      <c r="K280" t="n">
        <v>0</v>
      </c>
      <c r="L280" t="n">
        <v>0</v>
      </c>
      <c r="M280" t="n">
        <v>0</v>
      </c>
      <c r="N280" t="n">
        <v>0</v>
      </c>
      <c r="O280" t="n">
        <v>0</v>
      </c>
      <c r="P280" t="n">
        <v>0</v>
      </c>
      <c r="Q280" t="n">
        <v>0</v>
      </c>
      <c r="R280" s="2" t="inlineStr"/>
    </row>
    <row r="281" ht="15" customHeight="1">
      <c r="A281" t="inlineStr">
        <is>
          <t>A 20855-2023</t>
        </is>
      </c>
      <c r="B281" s="1" t="n">
        <v>45058.82172453704</v>
      </c>
      <c r="C281" s="1" t="n">
        <v>46114</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35142-2025</t>
        </is>
      </c>
      <c r="B282" s="1" t="n">
        <v>45852.65532407408</v>
      </c>
      <c r="C282" s="1" t="n">
        <v>46114</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60709-2023</t>
        </is>
      </c>
      <c r="B283" s="1" t="n">
        <v>45260</v>
      </c>
      <c r="C283" s="1" t="n">
        <v>46114</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1000-2024</t>
        </is>
      </c>
      <c r="B284" s="1" t="n">
        <v>45301.63371527778</v>
      </c>
      <c r="C284" s="1" t="n">
        <v>46114</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1010-2024</t>
        </is>
      </c>
      <c r="B285" s="1" t="n">
        <v>45301</v>
      </c>
      <c r="C285" s="1" t="n">
        <v>46114</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65249-2023</t>
        </is>
      </c>
      <c r="B286" s="1" t="n">
        <v>45290</v>
      </c>
      <c r="C286" s="1" t="n">
        <v>46114</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35141-2025</t>
        </is>
      </c>
      <c r="B287" s="1" t="n">
        <v>45852.65206018519</v>
      </c>
      <c r="C287" s="1" t="n">
        <v>46114</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30956-2024</t>
        </is>
      </c>
      <c r="B288" s="1" t="n">
        <v>45499.42527777778</v>
      </c>
      <c r="C288" s="1" t="n">
        <v>46114</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15413-2025</t>
        </is>
      </c>
      <c r="B289" s="1" t="n">
        <v>45747.451875</v>
      </c>
      <c r="C289" s="1" t="n">
        <v>46114</v>
      </c>
      <c r="D289" t="inlineStr">
        <is>
          <t>GOTLANDS LÄN</t>
        </is>
      </c>
      <c r="E289" t="inlineStr">
        <is>
          <t>GOTLAND</t>
        </is>
      </c>
      <c r="G289" t="n">
        <v>0.6</v>
      </c>
      <c r="H289" t="n">
        <v>0</v>
      </c>
      <c r="I289" t="n">
        <v>0</v>
      </c>
      <c r="J289" t="n">
        <v>0</v>
      </c>
      <c r="K289" t="n">
        <v>0</v>
      </c>
      <c r="L289" t="n">
        <v>0</v>
      </c>
      <c r="M289" t="n">
        <v>0</v>
      </c>
      <c r="N289" t="n">
        <v>0</v>
      </c>
      <c r="O289" t="n">
        <v>0</v>
      </c>
      <c r="P289" t="n">
        <v>0</v>
      </c>
      <c r="Q289" t="n">
        <v>0</v>
      </c>
      <c r="R289" s="2" t="inlineStr"/>
    </row>
    <row r="290" ht="15" customHeight="1">
      <c r="A290" t="inlineStr">
        <is>
          <t>A 12596-2023</t>
        </is>
      </c>
      <c r="B290" s="1" t="n">
        <v>45000.43310185185</v>
      </c>
      <c r="C290" s="1" t="n">
        <v>46114</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8045-2022</t>
        </is>
      </c>
      <c r="B291" s="1" t="n">
        <v>44609</v>
      </c>
      <c r="C291" s="1" t="n">
        <v>46114</v>
      </c>
      <c r="D291" t="inlineStr">
        <is>
          <t>GOTLANDS LÄN</t>
        </is>
      </c>
      <c r="E291" t="inlineStr">
        <is>
          <t>GOTLAND</t>
        </is>
      </c>
      <c r="G291" t="n">
        <v>7</v>
      </c>
      <c r="H291" t="n">
        <v>0</v>
      </c>
      <c r="I291" t="n">
        <v>0</v>
      </c>
      <c r="J291" t="n">
        <v>0</v>
      </c>
      <c r="K291" t="n">
        <v>0</v>
      </c>
      <c r="L291" t="n">
        <v>0</v>
      </c>
      <c r="M291" t="n">
        <v>0</v>
      </c>
      <c r="N291" t="n">
        <v>0</v>
      </c>
      <c r="O291" t="n">
        <v>0</v>
      </c>
      <c r="P291" t="n">
        <v>0</v>
      </c>
      <c r="Q291" t="n">
        <v>0</v>
      </c>
      <c r="R291" s="2" t="inlineStr"/>
    </row>
    <row r="292" ht="15" customHeight="1">
      <c r="A292" t="inlineStr">
        <is>
          <t>A 35096-2025</t>
        </is>
      </c>
      <c r="B292" s="1" t="n">
        <v>45852.54356481481</v>
      </c>
      <c r="C292" s="1" t="n">
        <v>46114</v>
      </c>
      <c r="D292" t="inlineStr">
        <is>
          <t>GOTLANDS LÄN</t>
        </is>
      </c>
      <c r="E292" t="inlineStr">
        <is>
          <t>GOTLAND</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35123-2025</t>
        </is>
      </c>
      <c r="B293" s="1" t="n">
        <v>45852.614375</v>
      </c>
      <c r="C293" s="1" t="n">
        <v>46114</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35290-2025</t>
        </is>
      </c>
      <c r="B294" s="1" t="n">
        <v>45854.38502314815</v>
      </c>
      <c r="C294" s="1" t="n">
        <v>46114</v>
      </c>
      <c r="D294" t="inlineStr">
        <is>
          <t>GOTLANDS LÄN</t>
        </is>
      </c>
      <c r="E294" t="inlineStr">
        <is>
          <t>GOTLAND</t>
        </is>
      </c>
      <c r="G294" t="n">
        <v>5.4</v>
      </c>
      <c r="H294" t="n">
        <v>0</v>
      </c>
      <c r="I294" t="n">
        <v>0</v>
      </c>
      <c r="J294" t="n">
        <v>0</v>
      </c>
      <c r="K294" t="n">
        <v>0</v>
      </c>
      <c r="L294" t="n">
        <v>0</v>
      </c>
      <c r="M294" t="n">
        <v>0</v>
      </c>
      <c r="N294" t="n">
        <v>0</v>
      </c>
      <c r="O294" t="n">
        <v>0</v>
      </c>
      <c r="P294" t="n">
        <v>0</v>
      </c>
      <c r="Q294" t="n">
        <v>0</v>
      </c>
      <c r="R294" s="2" t="inlineStr"/>
    </row>
    <row r="295" ht="15" customHeight="1">
      <c r="A295" t="inlineStr">
        <is>
          <t>A 30104-2025</t>
        </is>
      </c>
      <c r="B295" s="1" t="n">
        <v>45826.68806712963</v>
      </c>
      <c r="C295" s="1" t="n">
        <v>46114</v>
      </c>
      <c r="D295" t="inlineStr">
        <is>
          <t>GOTLANDS LÄN</t>
        </is>
      </c>
      <c r="E295" t="inlineStr">
        <is>
          <t>GOTLAND</t>
        </is>
      </c>
      <c r="G295" t="n">
        <v>15.4</v>
      </c>
      <c r="H295" t="n">
        <v>0</v>
      </c>
      <c r="I295" t="n">
        <v>0</v>
      </c>
      <c r="J295" t="n">
        <v>0</v>
      </c>
      <c r="K295" t="n">
        <v>0</v>
      </c>
      <c r="L295" t="n">
        <v>0</v>
      </c>
      <c r="M295" t="n">
        <v>0</v>
      </c>
      <c r="N295" t="n">
        <v>0</v>
      </c>
      <c r="O295" t="n">
        <v>0</v>
      </c>
      <c r="P295" t="n">
        <v>0</v>
      </c>
      <c r="Q295" t="n">
        <v>0</v>
      </c>
      <c r="R295" s="2" t="inlineStr"/>
    </row>
    <row r="296" ht="15" customHeight="1">
      <c r="A296" t="inlineStr">
        <is>
          <t>A 39849-2025</t>
        </is>
      </c>
      <c r="B296" s="1" t="n">
        <v>45891.58502314815</v>
      </c>
      <c r="C296" s="1" t="n">
        <v>46114</v>
      </c>
      <c r="D296" t="inlineStr">
        <is>
          <t>GOTLANDS LÄN</t>
        </is>
      </c>
      <c r="E296" t="inlineStr">
        <is>
          <t>GOTLAND</t>
        </is>
      </c>
      <c r="G296" t="n">
        <v>6.1</v>
      </c>
      <c r="H296" t="n">
        <v>0</v>
      </c>
      <c r="I296" t="n">
        <v>0</v>
      </c>
      <c r="J296" t="n">
        <v>0</v>
      </c>
      <c r="K296" t="n">
        <v>0</v>
      </c>
      <c r="L296" t="n">
        <v>0</v>
      </c>
      <c r="M296" t="n">
        <v>0</v>
      </c>
      <c r="N296" t="n">
        <v>0</v>
      </c>
      <c r="O296" t="n">
        <v>0</v>
      </c>
      <c r="P296" t="n">
        <v>0</v>
      </c>
      <c r="Q296" t="n">
        <v>0</v>
      </c>
      <c r="R296" s="2" t="inlineStr"/>
    </row>
    <row r="297" ht="15" customHeight="1">
      <c r="A297" t="inlineStr">
        <is>
          <t>A 32669-2024</t>
        </is>
      </c>
      <c r="B297" s="1" t="n">
        <v>45514</v>
      </c>
      <c r="C297" s="1" t="n">
        <v>46114</v>
      </c>
      <c r="D297" t="inlineStr">
        <is>
          <t>GOTLANDS LÄN</t>
        </is>
      </c>
      <c r="E297" t="inlineStr">
        <is>
          <t>GOTLAND</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999-2024</t>
        </is>
      </c>
      <c r="B298" s="1" t="n">
        <v>45301</v>
      </c>
      <c r="C298" s="1" t="n">
        <v>46114</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65901-2021</t>
        </is>
      </c>
      <c r="B299" s="1" t="n">
        <v>44516</v>
      </c>
      <c r="C299" s="1" t="n">
        <v>46114</v>
      </c>
      <c r="D299" t="inlineStr">
        <is>
          <t>GOTLANDS LÄN</t>
        </is>
      </c>
      <c r="E299" t="inlineStr">
        <is>
          <t>GOTLAND</t>
        </is>
      </c>
      <c r="G299" t="n">
        <v>4.9</v>
      </c>
      <c r="H299" t="n">
        <v>0</v>
      </c>
      <c r="I299" t="n">
        <v>0</v>
      </c>
      <c r="J299" t="n">
        <v>0</v>
      </c>
      <c r="K299" t="n">
        <v>0</v>
      </c>
      <c r="L299" t="n">
        <v>0</v>
      </c>
      <c r="M299" t="n">
        <v>0</v>
      </c>
      <c r="N299" t="n">
        <v>0</v>
      </c>
      <c r="O299" t="n">
        <v>0</v>
      </c>
      <c r="P299" t="n">
        <v>0</v>
      </c>
      <c r="Q299" t="n">
        <v>0</v>
      </c>
      <c r="R299" s="2" t="inlineStr"/>
    </row>
    <row r="300" ht="15" customHeight="1">
      <c r="A300" t="inlineStr">
        <is>
          <t>A 39814-2025</t>
        </is>
      </c>
      <c r="B300" s="1" t="n">
        <v>45891.52694444444</v>
      </c>
      <c r="C300" s="1" t="n">
        <v>46114</v>
      </c>
      <c r="D300" t="inlineStr">
        <is>
          <t>GOTLANDS LÄN</t>
        </is>
      </c>
      <c r="E300" t="inlineStr">
        <is>
          <t>GOTLAND</t>
        </is>
      </c>
      <c r="G300" t="n">
        <v>4.5</v>
      </c>
      <c r="H300" t="n">
        <v>0</v>
      </c>
      <c r="I300" t="n">
        <v>0</v>
      </c>
      <c r="J300" t="n">
        <v>0</v>
      </c>
      <c r="K300" t="n">
        <v>0</v>
      </c>
      <c r="L300" t="n">
        <v>0</v>
      </c>
      <c r="M300" t="n">
        <v>0</v>
      </c>
      <c r="N300" t="n">
        <v>0</v>
      </c>
      <c r="O300" t="n">
        <v>0</v>
      </c>
      <c r="P300" t="n">
        <v>0</v>
      </c>
      <c r="Q300" t="n">
        <v>0</v>
      </c>
      <c r="R300" s="2" t="inlineStr"/>
    </row>
    <row r="301" ht="15" customHeight="1">
      <c r="A301" t="inlineStr">
        <is>
          <t>A 47762-2023</t>
        </is>
      </c>
      <c r="B301" s="1" t="n">
        <v>45203.86256944444</v>
      </c>
      <c r="C301" s="1" t="n">
        <v>46114</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39819-2025</t>
        </is>
      </c>
      <c r="B302" s="1" t="n">
        <v>45891.53418981482</v>
      </c>
      <c r="C302" s="1" t="n">
        <v>46114</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35537-2025</t>
        </is>
      </c>
      <c r="B303" s="1" t="n">
        <v>45856</v>
      </c>
      <c r="C303" s="1" t="n">
        <v>46114</v>
      </c>
      <c r="D303" t="inlineStr">
        <is>
          <t>GOTLANDS LÄN</t>
        </is>
      </c>
      <c r="E303" t="inlineStr">
        <is>
          <t>GOTLAND</t>
        </is>
      </c>
      <c r="G303" t="n">
        <v>16.8</v>
      </c>
      <c r="H303" t="n">
        <v>0</v>
      </c>
      <c r="I303" t="n">
        <v>0</v>
      </c>
      <c r="J303" t="n">
        <v>0</v>
      </c>
      <c r="K303" t="n">
        <v>0</v>
      </c>
      <c r="L303" t="n">
        <v>0</v>
      </c>
      <c r="M303" t="n">
        <v>0</v>
      </c>
      <c r="N303" t="n">
        <v>0</v>
      </c>
      <c r="O303" t="n">
        <v>0</v>
      </c>
      <c r="P303" t="n">
        <v>0</v>
      </c>
      <c r="Q303" t="n">
        <v>0</v>
      </c>
      <c r="R303" s="2" t="inlineStr"/>
    </row>
    <row r="304" ht="15" customHeight="1">
      <c r="A304" t="inlineStr">
        <is>
          <t>A 39752-2025</t>
        </is>
      </c>
      <c r="B304" s="1" t="n">
        <v>45891</v>
      </c>
      <c r="C304" s="1" t="n">
        <v>46114</v>
      </c>
      <c r="D304" t="inlineStr">
        <is>
          <t>GOTLANDS LÄN</t>
        </is>
      </c>
      <c r="E304" t="inlineStr">
        <is>
          <t>GOTLAND</t>
        </is>
      </c>
      <c r="G304" t="n">
        <v>5.3</v>
      </c>
      <c r="H304" t="n">
        <v>0</v>
      </c>
      <c r="I304" t="n">
        <v>0</v>
      </c>
      <c r="J304" t="n">
        <v>0</v>
      </c>
      <c r="K304" t="n">
        <v>0</v>
      </c>
      <c r="L304" t="n">
        <v>0</v>
      </c>
      <c r="M304" t="n">
        <v>0</v>
      </c>
      <c r="N304" t="n">
        <v>0</v>
      </c>
      <c r="O304" t="n">
        <v>0</v>
      </c>
      <c r="P304" t="n">
        <v>0</v>
      </c>
      <c r="Q304" t="n">
        <v>0</v>
      </c>
      <c r="R304" s="2" t="inlineStr"/>
    </row>
    <row r="305" ht="15" customHeight="1">
      <c r="A305" t="inlineStr">
        <is>
          <t>A 39816-2025</t>
        </is>
      </c>
      <c r="B305" s="1" t="n">
        <v>45891</v>
      </c>
      <c r="C305" s="1" t="n">
        <v>46114</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40294-2022</t>
        </is>
      </c>
      <c r="B306" s="1" t="n">
        <v>44821</v>
      </c>
      <c r="C306" s="1" t="n">
        <v>46114</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40372-2025</t>
        </is>
      </c>
      <c r="B307" s="1" t="n">
        <v>45895.5162037037</v>
      </c>
      <c r="C307" s="1" t="n">
        <v>46114</v>
      </c>
      <c r="D307" t="inlineStr">
        <is>
          <t>GOTLANDS LÄN</t>
        </is>
      </c>
      <c r="E307" t="inlineStr">
        <is>
          <t>GOTLAND</t>
        </is>
      </c>
      <c r="G307" t="n">
        <v>3.3</v>
      </c>
      <c r="H307" t="n">
        <v>0</v>
      </c>
      <c r="I307" t="n">
        <v>0</v>
      </c>
      <c r="J307" t="n">
        <v>0</v>
      </c>
      <c r="K307" t="n">
        <v>0</v>
      </c>
      <c r="L307" t="n">
        <v>0</v>
      </c>
      <c r="M307" t="n">
        <v>0</v>
      </c>
      <c r="N307" t="n">
        <v>0</v>
      </c>
      <c r="O307" t="n">
        <v>0</v>
      </c>
      <c r="P307" t="n">
        <v>0</v>
      </c>
      <c r="Q307" t="n">
        <v>0</v>
      </c>
      <c r="R307" s="2" t="inlineStr"/>
    </row>
    <row r="308" ht="15" customHeight="1">
      <c r="A308" t="inlineStr">
        <is>
          <t>A 27602-2023</t>
        </is>
      </c>
      <c r="B308" s="1" t="n">
        <v>45097</v>
      </c>
      <c r="C308" s="1" t="n">
        <v>46114</v>
      </c>
      <c r="D308" t="inlineStr">
        <is>
          <t>GOTLANDS LÄN</t>
        </is>
      </c>
      <c r="E308" t="inlineStr">
        <is>
          <t>GOTLAND</t>
        </is>
      </c>
      <c r="G308" t="n">
        <v>2.7</v>
      </c>
      <c r="H308" t="n">
        <v>0</v>
      </c>
      <c r="I308" t="n">
        <v>0</v>
      </c>
      <c r="J308" t="n">
        <v>0</v>
      </c>
      <c r="K308" t="n">
        <v>0</v>
      </c>
      <c r="L308" t="n">
        <v>0</v>
      </c>
      <c r="M308" t="n">
        <v>0</v>
      </c>
      <c r="N308" t="n">
        <v>0</v>
      </c>
      <c r="O308" t="n">
        <v>0</v>
      </c>
      <c r="P308" t="n">
        <v>0</v>
      </c>
      <c r="Q308" t="n">
        <v>0</v>
      </c>
      <c r="R308" s="2" t="inlineStr"/>
    </row>
    <row r="309" ht="15" customHeight="1">
      <c r="A309" t="inlineStr">
        <is>
          <t>A 40373-2025</t>
        </is>
      </c>
      <c r="B309" s="1" t="n">
        <v>45895.51821759259</v>
      </c>
      <c r="C309" s="1" t="n">
        <v>46114</v>
      </c>
      <c r="D309" t="inlineStr">
        <is>
          <t>GOTLANDS LÄN</t>
        </is>
      </c>
      <c r="E309" t="inlineStr">
        <is>
          <t>GOTLAND</t>
        </is>
      </c>
      <c r="G309" t="n">
        <v>0.6</v>
      </c>
      <c r="H309" t="n">
        <v>0</v>
      </c>
      <c r="I309" t="n">
        <v>0</v>
      </c>
      <c r="J309" t="n">
        <v>0</v>
      </c>
      <c r="K309" t="n">
        <v>0</v>
      </c>
      <c r="L309" t="n">
        <v>0</v>
      </c>
      <c r="M309" t="n">
        <v>0</v>
      </c>
      <c r="N309" t="n">
        <v>0</v>
      </c>
      <c r="O309" t="n">
        <v>0</v>
      </c>
      <c r="P309" t="n">
        <v>0</v>
      </c>
      <c r="Q309" t="n">
        <v>0</v>
      </c>
      <c r="R309" s="2" t="inlineStr"/>
    </row>
    <row r="310" ht="15" customHeight="1">
      <c r="A310" t="inlineStr">
        <is>
          <t>A 58780-2024</t>
        </is>
      </c>
      <c r="B310" s="1" t="n">
        <v>45635.84113425926</v>
      </c>
      <c r="C310" s="1" t="n">
        <v>46114</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12322-2025</t>
        </is>
      </c>
      <c r="B311" s="1" t="n">
        <v>45730</v>
      </c>
      <c r="C311" s="1" t="n">
        <v>46114</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40103-2025</t>
        </is>
      </c>
      <c r="B312" s="1" t="n">
        <v>45894.4880324074</v>
      </c>
      <c r="C312" s="1" t="n">
        <v>46114</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24192-2023</t>
        </is>
      </c>
      <c r="B313" s="1" t="n">
        <v>45079</v>
      </c>
      <c r="C313" s="1" t="n">
        <v>46114</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30282-2022</t>
        </is>
      </c>
      <c r="B314" s="1" t="n">
        <v>44760</v>
      </c>
      <c r="C314" s="1" t="n">
        <v>46114</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7835-2024</t>
        </is>
      </c>
      <c r="B315" s="1" t="n">
        <v>45349.83138888889</v>
      </c>
      <c r="C315" s="1" t="n">
        <v>46114</v>
      </c>
      <c r="D315" t="inlineStr">
        <is>
          <t>GOTLANDS LÄN</t>
        </is>
      </c>
      <c r="E315" t="inlineStr">
        <is>
          <t>GOTLAND</t>
        </is>
      </c>
      <c r="G315" t="n">
        <v>3.8</v>
      </c>
      <c r="H315" t="n">
        <v>0</v>
      </c>
      <c r="I315" t="n">
        <v>0</v>
      </c>
      <c r="J315" t="n">
        <v>0</v>
      </c>
      <c r="K315" t="n">
        <v>0</v>
      </c>
      <c r="L315" t="n">
        <v>0</v>
      </c>
      <c r="M315" t="n">
        <v>0</v>
      </c>
      <c r="N315" t="n">
        <v>0</v>
      </c>
      <c r="O315" t="n">
        <v>0</v>
      </c>
      <c r="P315" t="n">
        <v>0</v>
      </c>
      <c r="Q315" t="n">
        <v>0</v>
      </c>
      <c r="R315" s="2" t="inlineStr"/>
    </row>
    <row r="316" ht="15" customHeight="1">
      <c r="A316" t="inlineStr">
        <is>
          <t>A 40499-2025</t>
        </is>
      </c>
      <c r="B316" s="1" t="n">
        <v>45896.32517361111</v>
      </c>
      <c r="C316" s="1" t="n">
        <v>46114</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10650-2022</t>
        </is>
      </c>
      <c r="B317" s="1" t="n">
        <v>44624.57945601852</v>
      </c>
      <c r="C317" s="1" t="n">
        <v>46114</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30488-2025</t>
        </is>
      </c>
      <c r="B318" s="1" t="n">
        <v>45830</v>
      </c>
      <c r="C318" s="1" t="n">
        <v>46114</v>
      </c>
      <c r="D318" t="inlineStr">
        <is>
          <t>GOTLANDS LÄN</t>
        </is>
      </c>
      <c r="E318" t="inlineStr">
        <is>
          <t>GOTLAND</t>
        </is>
      </c>
      <c r="F318" t="inlineStr">
        <is>
          <t>Kyrkan</t>
        </is>
      </c>
      <c r="G318" t="n">
        <v>3.9</v>
      </c>
      <c r="H318" t="n">
        <v>0</v>
      </c>
      <c r="I318" t="n">
        <v>0</v>
      </c>
      <c r="J318" t="n">
        <v>0</v>
      </c>
      <c r="K318" t="n">
        <v>0</v>
      </c>
      <c r="L318" t="n">
        <v>0</v>
      </c>
      <c r="M318" t="n">
        <v>0</v>
      </c>
      <c r="N318" t="n">
        <v>0</v>
      </c>
      <c r="O318" t="n">
        <v>0</v>
      </c>
      <c r="P318" t="n">
        <v>0</v>
      </c>
      <c r="Q318" t="n">
        <v>0</v>
      </c>
      <c r="R318" s="2" t="inlineStr"/>
    </row>
    <row r="319" ht="15" customHeight="1">
      <c r="A319" t="inlineStr">
        <is>
          <t>A 15216-2025</t>
        </is>
      </c>
      <c r="B319" s="1" t="n">
        <v>45744</v>
      </c>
      <c r="C319" s="1" t="n">
        <v>46114</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26810-2021</t>
        </is>
      </c>
      <c r="B320" s="1" t="n">
        <v>44349.55087962963</v>
      </c>
      <c r="C320" s="1" t="n">
        <v>46114</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15001-2025</t>
        </is>
      </c>
      <c r="B321" s="1" t="n">
        <v>45743</v>
      </c>
      <c r="C321" s="1" t="n">
        <v>46114</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43790-2024</t>
        </is>
      </c>
      <c r="B322" s="1" t="n">
        <v>45571</v>
      </c>
      <c r="C322" s="1" t="n">
        <v>46114</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17847-2025</t>
        </is>
      </c>
      <c r="B323" s="1" t="n">
        <v>45758</v>
      </c>
      <c r="C323" s="1" t="n">
        <v>46114</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18742-2025</t>
        </is>
      </c>
      <c r="B324" s="1" t="n">
        <v>45763</v>
      </c>
      <c r="C324" s="1" t="n">
        <v>46114</v>
      </c>
      <c r="D324" t="inlineStr">
        <is>
          <t>GOTLANDS LÄN</t>
        </is>
      </c>
      <c r="E324" t="inlineStr">
        <is>
          <t>GOTLAND</t>
        </is>
      </c>
      <c r="G324" t="n">
        <v>3.4</v>
      </c>
      <c r="H324" t="n">
        <v>0</v>
      </c>
      <c r="I324" t="n">
        <v>0</v>
      </c>
      <c r="J324" t="n">
        <v>0</v>
      </c>
      <c r="K324" t="n">
        <v>0</v>
      </c>
      <c r="L324" t="n">
        <v>0</v>
      </c>
      <c r="M324" t="n">
        <v>0</v>
      </c>
      <c r="N324" t="n">
        <v>0</v>
      </c>
      <c r="O324" t="n">
        <v>0</v>
      </c>
      <c r="P324" t="n">
        <v>0</v>
      </c>
      <c r="Q324" t="n">
        <v>0</v>
      </c>
      <c r="R324" s="2" t="inlineStr"/>
    </row>
    <row r="325" ht="15" customHeight="1">
      <c r="A325" t="inlineStr">
        <is>
          <t>A 35129-2025</t>
        </is>
      </c>
      <c r="B325" s="1" t="n">
        <v>45852.63224537037</v>
      </c>
      <c r="C325" s="1" t="n">
        <v>46114</v>
      </c>
      <c r="D325" t="inlineStr">
        <is>
          <t>GOTLANDS LÄN</t>
        </is>
      </c>
      <c r="E325" t="inlineStr">
        <is>
          <t>GOTLAND</t>
        </is>
      </c>
      <c r="G325" t="n">
        <v>3.2</v>
      </c>
      <c r="H325" t="n">
        <v>0</v>
      </c>
      <c r="I325" t="n">
        <v>0</v>
      </c>
      <c r="J325" t="n">
        <v>0</v>
      </c>
      <c r="K325" t="n">
        <v>0</v>
      </c>
      <c r="L325" t="n">
        <v>0</v>
      </c>
      <c r="M325" t="n">
        <v>0</v>
      </c>
      <c r="N325" t="n">
        <v>0</v>
      </c>
      <c r="O325" t="n">
        <v>0</v>
      </c>
      <c r="P325" t="n">
        <v>0</v>
      </c>
      <c r="Q325" t="n">
        <v>0</v>
      </c>
      <c r="R325" s="2" t="inlineStr"/>
    </row>
    <row r="326" ht="15" customHeight="1">
      <c r="A326" t="inlineStr">
        <is>
          <t>A 41551-2025</t>
        </is>
      </c>
      <c r="B326" s="1" t="n">
        <v>45901.58854166666</v>
      </c>
      <c r="C326" s="1" t="n">
        <v>46114</v>
      </c>
      <c r="D326" t="inlineStr">
        <is>
          <t>GOTLANDS LÄN</t>
        </is>
      </c>
      <c r="E326" t="inlineStr">
        <is>
          <t>GOTLAND</t>
        </is>
      </c>
      <c r="G326" t="n">
        <v>5.6</v>
      </c>
      <c r="H326" t="n">
        <v>0</v>
      </c>
      <c r="I326" t="n">
        <v>0</v>
      </c>
      <c r="J326" t="n">
        <v>0</v>
      </c>
      <c r="K326" t="n">
        <v>0</v>
      </c>
      <c r="L326" t="n">
        <v>0</v>
      </c>
      <c r="M326" t="n">
        <v>0</v>
      </c>
      <c r="N326" t="n">
        <v>0</v>
      </c>
      <c r="O326" t="n">
        <v>0</v>
      </c>
      <c r="P326" t="n">
        <v>0</v>
      </c>
      <c r="Q326" t="n">
        <v>0</v>
      </c>
      <c r="R326" s="2" t="inlineStr"/>
    </row>
    <row r="327" ht="15" customHeight="1">
      <c r="A327" t="inlineStr">
        <is>
          <t>A 28425-2023</t>
        </is>
      </c>
      <c r="B327" s="1" t="n">
        <v>45102</v>
      </c>
      <c r="C327" s="1" t="n">
        <v>46114</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39278-2025</t>
        </is>
      </c>
      <c r="B328" s="1" t="n">
        <v>45889</v>
      </c>
      <c r="C328" s="1" t="n">
        <v>46114</v>
      </c>
      <c r="D328" t="inlineStr">
        <is>
          <t>GOTLANDS LÄN</t>
        </is>
      </c>
      <c r="E328" t="inlineStr">
        <is>
          <t>GOTLAND</t>
        </is>
      </c>
      <c r="G328" t="n">
        <v>3.7</v>
      </c>
      <c r="H328" t="n">
        <v>0</v>
      </c>
      <c r="I328" t="n">
        <v>0</v>
      </c>
      <c r="J328" t="n">
        <v>0</v>
      </c>
      <c r="K328" t="n">
        <v>0</v>
      </c>
      <c r="L328" t="n">
        <v>0</v>
      </c>
      <c r="M328" t="n">
        <v>0</v>
      </c>
      <c r="N328" t="n">
        <v>0</v>
      </c>
      <c r="O328" t="n">
        <v>0</v>
      </c>
      <c r="P328" t="n">
        <v>0</v>
      </c>
      <c r="Q328" t="n">
        <v>0</v>
      </c>
      <c r="R328" s="2" t="inlineStr"/>
    </row>
    <row r="329" ht="15" customHeight="1">
      <c r="A329" t="inlineStr">
        <is>
          <t>A 41435-2025</t>
        </is>
      </c>
      <c r="B329" s="1" t="n">
        <v>45901.39974537037</v>
      </c>
      <c r="C329" s="1" t="n">
        <v>46114</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13037-2025</t>
        </is>
      </c>
      <c r="B330" s="1" t="n">
        <v>45734</v>
      </c>
      <c r="C330" s="1" t="n">
        <v>46114</v>
      </c>
      <c r="D330" t="inlineStr">
        <is>
          <t>GOTLANDS LÄN</t>
        </is>
      </c>
      <c r="E330" t="inlineStr">
        <is>
          <t>GOTLAND</t>
        </is>
      </c>
      <c r="G330" t="n">
        <v>9.5</v>
      </c>
      <c r="H330" t="n">
        <v>0</v>
      </c>
      <c r="I330" t="n">
        <v>0</v>
      </c>
      <c r="J330" t="n">
        <v>0</v>
      </c>
      <c r="K330" t="n">
        <v>0</v>
      </c>
      <c r="L330" t="n">
        <v>0</v>
      </c>
      <c r="M330" t="n">
        <v>0</v>
      </c>
      <c r="N330" t="n">
        <v>0</v>
      </c>
      <c r="O330" t="n">
        <v>0</v>
      </c>
      <c r="P330" t="n">
        <v>0</v>
      </c>
      <c r="Q330" t="n">
        <v>0</v>
      </c>
      <c r="R330" s="2" t="inlineStr"/>
    </row>
    <row r="331" ht="15" customHeight="1">
      <c r="A331" t="inlineStr">
        <is>
          <t>A 10746-2025</t>
        </is>
      </c>
      <c r="B331" s="1" t="n">
        <v>45722.42766203704</v>
      </c>
      <c r="C331" s="1" t="n">
        <v>46114</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42608-2025</t>
        </is>
      </c>
      <c r="B332" s="1" t="n">
        <v>45905</v>
      </c>
      <c r="C332" s="1" t="n">
        <v>46114</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30489-2025</t>
        </is>
      </c>
      <c r="B333" s="1" t="n">
        <v>45830</v>
      </c>
      <c r="C333" s="1" t="n">
        <v>46114</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21142-2025</t>
        </is>
      </c>
      <c r="B334" s="1" t="n">
        <v>45779</v>
      </c>
      <c r="C334" s="1" t="n">
        <v>46114</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6108-2025</t>
        </is>
      </c>
      <c r="B335" s="1" t="n">
        <v>45698.29880787037</v>
      </c>
      <c r="C335" s="1" t="n">
        <v>46114</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16373-2025</t>
        </is>
      </c>
      <c r="B336" s="1" t="n">
        <v>45751</v>
      </c>
      <c r="C336" s="1" t="n">
        <v>46114</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17343-2025</t>
        </is>
      </c>
      <c r="B337" s="1" t="n">
        <v>45756.6687037037</v>
      </c>
      <c r="C337" s="1" t="n">
        <v>46114</v>
      </c>
      <c r="D337" t="inlineStr">
        <is>
          <t>GOTLANDS LÄN</t>
        </is>
      </c>
      <c r="E337" t="inlineStr">
        <is>
          <t>GOTLAND</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18938-2025</t>
        </is>
      </c>
      <c r="B338" s="1" t="n">
        <v>45764.49172453704</v>
      </c>
      <c r="C338" s="1" t="n">
        <v>46114</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20307-2025</t>
        </is>
      </c>
      <c r="B339" s="1" t="n">
        <v>45774.95546296296</v>
      </c>
      <c r="C339" s="1" t="n">
        <v>46114</v>
      </c>
      <c r="D339" t="inlineStr">
        <is>
          <t>GOTLANDS LÄN</t>
        </is>
      </c>
      <c r="E339" t="inlineStr">
        <is>
          <t>GOTLAND</t>
        </is>
      </c>
      <c r="G339" t="n">
        <v>6.8</v>
      </c>
      <c r="H339" t="n">
        <v>0</v>
      </c>
      <c r="I339" t="n">
        <v>0</v>
      </c>
      <c r="J339" t="n">
        <v>0</v>
      </c>
      <c r="K339" t="n">
        <v>0</v>
      </c>
      <c r="L339" t="n">
        <v>0</v>
      </c>
      <c r="M339" t="n">
        <v>0</v>
      </c>
      <c r="N339" t="n">
        <v>0</v>
      </c>
      <c r="O339" t="n">
        <v>0</v>
      </c>
      <c r="P339" t="n">
        <v>0</v>
      </c>
      <c r="Q339" t="n">
        <v>0</v>
      </c>
      <c r="R339" s="2" t="inlineStr"/>
    </row>
    <row r="340" ht="15" customHeight="1">
      <c r="A340" t="inlineStr">
        <is>
          <t>A 43229-2023</t>
        </is>
      </c>
      <c r="B340" s="1" t="n">
        <v>45183.46704861111</v>
      </c>
      <c r="C340" s="1" t="n">
        <v>46114</v>
      </c>
      <c r="D340" t="inlineStr">
        <is>
          <t>GOTLANDS LÄN</t>
        </is>
      </c>
      <c r="E340" t="inlineStr">
        <is>
          <t>GOTLAND</t>
        </is>
      </c>
      <c r="G340" t="n">
        <v>7.1</v>
      </c>
      <c r="H340" t="n">
        <v>0</v>
      </c>
      <c r="I340" t="n">
        <v>0</v>
      </c>
      <c r="J340" t="n">
        <v>0</v>
      </c>
      <c r="K340" t="n">
        <v>0</v>
      </c>
      <c r="L340" t="n">
        <v>0</v>
      </c>
      <c r="M340" t="n">
        <v>0</v>
      </c>
      <c r="N340" t="n">
        <v>0</v>
      </c>
      <c r="O340" t="n">
        <v>0</v>
      </c>
      <c r="P340" t="n">
        <v>0</v>
      </c>
      <c r="Q340" t="n">
        <v>0</v>
      </c>
      <c r="R340" s="2" t="inlineStr"/>
    </row>
    <row r="341" ht="15" customHeight="1">
      <c r="A341" t="inlineStr">
        <is>
          <t>A 41038-2023</t>
        </is>
      </c>
      <c r="B341" s="1" t="n">
        <v>45173.60959490741</v>
      </c>
      <c r="C341" s="1" t="n">
        <v>46114</v>
      </c>
      <c r="D341" t="inlineStr">
        <is>
          <t>GOTLANDS LÄN</t>
        </is>
      </c>
      <c r="E341" t="inlineStr">
        <is>
          <t>GOTLAND</t>
        </is>
      </c>
      <c r="G341" t="n">
        <v>2.7</v>
      </c>
      <c r="H341" t="n">
        <v>0</v>
      </c>
      <c r="I341" t="n">
        <v>0</v>
      </c>
      <c r="J341" t="n">
        <v>0</v>
      </c>
      <c r="K341" t="n">
        <v>0</v>
      </c>
      <c r="L341" t="n">
        <v>0</v>
      </c>
      <c r="M341" t="n">
        <v>0</v>
      </c>
      <c r="N341" t="n">
        <v>0</v>
      </c>
      <c r="O341" t="n">
        <v>0</v>
      </c>
      <c r="P341" t="n">
        <v>0</v>
      </c>
      <c r="Q341" t="n">
        <v>0</v>
      </c>
      <c r="R341" s="2" t="inlineStr"/>
    </row>
    <row r="342" ht="15" customHeight="1">
      <c r="A342" t="inlineStr">
        <is>
          <t>A 10158-2025</t>
        </is>
      </c>
      <c r="B342" s="1" t="n">
        <v>45719</v>
      </c>
      <c r="C342" s="1" t="n">
        <v>46114</v>
      </c>
      <c r="D342" t="inlineStr">
        <is>
          <t>GOTLANDS LÄN</t>
        </is>
      </c>
      <c r="E342" t="inlineStr">
        <is>
          <t>GOTLAND</t>
        </is>
      </c>
      <c r="G342" t="n">
        <v>3.5</v>
      </c>
      <c r="H342" t="n">
        <v>0</v>
      </c>
      <c r="I342" t="n">
        <v>0</v>
      </c>
      <c r="J342" t="n">
        <v>0</v>
      </c>
      <c r="K342" t="n">
        <v>0</v>
      </c>
      <c r="L342" t="n">
        <v>0</v>
      </c>
      <c r="M342" t="n">
        <v>0</v>
      </c>
      <c r="N342" t="n">
        <v>0</v>
      </c>
      <c r="O342" t="n">
        <v>0</v>
      </c>
      <c r="P342" t="n">
        <v>0</v>
      </c>
      <c r="Q342" t="n">
        <v>0</v>
      </c>
      <c r="R342" s="2" t="inlineStr"/>
    </row>
    <row r="343" ht="15" customHeight="1">
      <c r="A343" t="inlineStr">
        <is>
          <t>A 18993-2025</t>
        </is>
      </c>
      <c r="B343" s="1" t="n">
        <v>45764</v>
      </c>
      <c r="C343" s="1" t="n">
        <v>46114</v>
      </c>
      <c r="D343" t="inlineStr">
        <is>
          <t>GOTLANDS LÄN</t>
        </is>
      </c>
      <c r="E343" t="inlineStr">
        <is>
          <t>GOTLAND</t>
        </is>
      </c>
      <c r="G343" t="n">
        <v>3</v>
      </c>
      <c r="H343" t="n">
        <v>0</v>
      </c>
      <c r="I343" t="n">
        <v>0</v>
      </c>
      <c r="J343" t="n">
        <v>0</v>
      </c>
      <c r="K343" t="n">
        <v>0</v>
      </c>
      <c r="L343" t="n">
        <v>0</v>
      </c>
      <c r="M343" t="n">
        <v>0</v>
      </c>
      <c r="N343" t="n">
        <v>0</v>
      </c>
      <c r="O343" t="n">
        <v>0</v>
      </c>
      <c r="P343" t="n">
        <v>0</v>
      </c>
      <c r="Q343" t="n">
        <v>0</v>
      </c>
      <c r="R343" s="2" t="inlineStr"/>
    </row>
    <row r="344" ht="15" customHeight="1">
      <c r="A344" t="inlineStr">
        <is>
          <t>A 30135-2025</t>
        </is>
      </c>
      <c r="B344" s="1" t="n">
        <v>45826</v>
      </c>
      <c r="C344" s="1" t="n">
        <v>46114</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46114</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43951-2025</t>
        </is>
      </c>
      <c r="B346" s="1" t="n">
        <v>45915.38119212963</v>
      </c>
      <c r="C346" s="1" t="n">
        <v>46114</v>
      </c>
      <c r="D346" t="inlineStr">
        <is>
          <t>GOTLANDS LÄN</t>
        </is>
      </c>
      <c r="E346" t="inlineStr">
        <is>
          <t>GOTLAND</t>
        </is>
      </c>
      <c r="G346" t="n">
        <v>4.4</v>
      </c>
      <c r="H346" t="n">
        <v>0</v>
      </c>
      <c r="I346" t="n">
        <v>0</v>
      </c>
      <c r="J346" t="n">
        <v>0</v>
      </c>
      <c r="K346" t="n">
        <v>0</v>
      </c>
      <c r="L346" t="n">
        <v>0</v>
      </c>
      <c r="M346" t="n">
        <v>0</v>
      </c>
      <c r="N346" t="n">
        <v>0</v>
      </c>
      <c r="O346" t="n">
        <v>0</v>
      </c>
      <c r="P346" t="n">
        <v>0</v>
      </c>
      <c r="Q346" t="n">
        <v>0</v>
      </c>
      <c r="R346" s="2" t="inlineStr"/>
    </row>
    <row r="347" ht="15" customHeight="1">
      <c r="A347" t="inlineStr">
        <is>
          <t>A 44410-2025</t>
        </is>
      </c>
      <c r="B347" s="1" t="n">
        <v>45916.53699074074</v>
      </c>
      <c r="C347" s="1" t="n">
        <v>46114</v>
      </c>
      <c r="D347" t="inlineStr">
        <is>
          <t>GOTLANDS LÄN</t>
        </is>
      </c>
      <c r="E347" t="inlineStr">
        <is>
          <t>GOTLAND</t>
        </is>
      </c>
      <c r="G347" t="n">
        <v>2.3</v>
      </c>
      <c r="H347" t="n">
        <v>0</v>
      </c>
      <c r="I347" t="n">
        <v>0</v>
      </c>
      <c r="J347" t="n">
        <v>0</v>
      </c>
      <c r="K347" t="n">
        <v>0</v>
      </c>
      <c r="L347" t="n">
        <v>0</v>
      </c>
      <c r="M347" t="n">
        <v>0</v>
      </c>
      <c r="N347" t="n">
        <v>0</v>
      </c>
      <c r="O347" t="n">
        <v>0</v>
      </c>
      <c r="P347" t="n">
        <v>0</v>
      </c>
      <c r="Q347" t="n">
        <v>0</v>
      </c>
      <c r="R347" s="2" t="inlineStr"/>
    </row>
    <row r="348" ht="15" customHeight="1">
      <c r="A348" t="inlineStr">
        <is>
          <t>A 12599-2025</t>
        </is>
      </c>
      <c r="B348" s="1" t="n">
        <v>45733.29546296296</v>
      </c>
      <c r="C348" s="1" t="n">
        <v>46114</v>
      </c>
      <c r="D348" t="inlineStr">
        <is>
          <t>GOTLANDS LÄN</t>
        </is>
      </c>
      <c r="E348" t="inlineStr">
        <is>
          <t>GOTLAND</t>
        </is>
      </c>
      <c r="G348" t="n">
        <v>4.7</v>
      </c>
      <c r="H348" t="n">
        <v>0</v>
      </c>
      <c r="I348" t="n">
        <v>0</v>
      </c>
      <c r="J348" t="n">
        <v>0</v>
      </c>
      <c r="K348" t="n">
        <v>0</v>
      </c>
      <c r="L348" t="n">
        <v>0</v>
      </c>
      <c r="M348" t="n">
        <v>0</v>
      </c>
      <c r="N348" t="n">
        <v>0</v>
      </c>
      <c r="O348" t="n">
        <v>0</v>
      </c>
      <c r="P348" t="n">
        <v>0</v>
      </c>
      <c r="Q348" t="n">
        <v>0</v>
      </c>
      <c r="R348" s="2" t="inlineStr"/>
    </row>
    <row r="349" ht="15" customHeight="1">
      <c r="A349" t="inlineStr">
        <is>
          <t>A 24966-2023</t>
        </is>
      </c>
      <c r="B349" s="1" t="n">
        <v>45085</v>
      </c>
      <c r="C349" s="1" t="n">
        <v>46114</v>
      </c>
      <c r="D349" t="inlineStr">
        <is>
          <t>GOTLANDS LÄN</t>
        </is>
      </c>
      <c r="E349" t="inlineStr">
        <is>
          <t>GOTLAND</t>
        </is>
      </c>
      <c r="G349" t="n">
        <v>7</v>
      </c>
      <c r="H349" t="n">
        <v>0</v>
      </c>
      <c r="I349" t="n">
        <v>0</v>
      </c>
      <c r="J349" t="n">
        <v>0</v>
      </c>
      <c r="K349" t="n">
        <v>0</v>
      </c>
      <c r="L349" t="n">
        <v>0</v>
      </c>
      <c r="M349" t="n">
        <v>0</v>
      </c>
      <c r="N349" t="n">
        <v>0</v>
      </c>
      <c r="O349" t="n">
        <v>0</v>
      </c>
      <c r="P349" t="n">
        <v>0</v>
      </c>
      <c r="Q349" t="n">
        <v>0</v>
      </c>
      <c r="R349" s="2" t="inlineStr"/>
    </row>
    <row r="350" ht="15" customHeight="1">
      <c r="A350" t="inlineStr">
        <is>
          <t>A 44405-2025</t>
        </is>
      </c>
      <c r="B350" s="1" t="n">
        <v>45916.52405092592</v>
      </c>
      <c r="C350" s="1" t="n">
        <v>46114</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57652-2023</t>
        </is>
      </c>
      <c r="B351" s="1" t="n">
        <v>45246</v>
      </c>
      <c r="C351" s="1" t="n">
        <v>46114</v>
      </c>
      <c r="D351" t="inlineStr">
        <is>
          <t>GOTLANDS LÄN</t>
        </is>
      </c>
      <c r="E351" t="inlineStr">
        <is>
          <t>GOTLAND</t>
        </is>
      </c>
      <c r="G351" t="n">
        <v>7.2</v>
      </c>
      <c r="H351" t="n">
        <v>0</v>
      </c>
      <c r="I351" t="n">
        <v>0</v>
      </c>
      <c r="J351" t="n">
        <v>0</v>
      </c>
      <c r="K351" t="n">
        <v>0</v>
      </c>
      <c r="L351" t="n">
        <v>0</v>
      </c>
      <c r="M351" t="n">
        <v>0</v>
      </c>
      <c r="N351" t="n">
        <v>0</v>
      </c>
      <c r="O351" t="n">
        <v>0</v>
      </c>
      <c r="P351" t="n">
        <v>0</v>
      </c>
      <c r="Q351" t="n">
        <v>0</v>
      </c>
      <c r="R351" s="2" t="inlineStr"/>
    </row>
    <row r="352" ht="15" customHeight="1">
      <c r="A352" t="inlineStr">
        <is>
          <t>A 46189-2022</t>
        </is>
      </c>
      <c r="B352" s="1" t="n">
        <v>44847</v>
      </c>
      <c r="C352" s="1" t="n">
        <v>46114</v>
      </c>
      <c r="D352" t="inlineStr">
        <is>
          <t>GOTLANDS LÄN</t>
        </is>
      </c>
      <c r="E352" t="inlineStr">
        <is>
          <t>GOTLAND</t>
        </is>
      </c>
      <c r="G352" t="n">
        <v>0.4</v>
      </c>
      <c r="H352" t="n">
        <v>0</v>
      </c>
      <c r="I352" t="n">
        <v>0</v>
      </c>
      <c r="J352" t="n">
        <v>0</v>
      </c>
      <c r="K352" t="n">
        <v>0</v>
      </c>
      <c r="L352" t="n">
        <v>0</v>
      </c>
      <c r="M352" t="n">
        <v>0</v>
      </c>
      <c r="N352" t="n">
        <v>0</v>
      </c>
      <c r="O352" t="n">
        <v>0</v>
      </c>
      <c r="P352" t="n">
        <v>0</v>
      </c>
      <c r="Q352" t="n">
        <v>0</v>
      </c>
      <c r="R352" s="2" t="inlineStr"/>
    </row>
    <row r="353" ht="15" customHeight="1">
      <c r="A353" t="inlineStr">
        <is>
          <t>A 57522-2022</t>
        </is>
      </c>
      <c r="B353" s="1" t="n">
        <v>44896</v>
      </c>
      <c r="C353" s="1" t="n">
        <v>46114</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14797-2024</t>
        </is>
      </c>
      <c r="B354" s="1" t="n">
        <v>45397.87030092593</v>
      </c>
      <c r="C354" s="1" t="n">
        <v>46114</v>
      </c>
      <c r="D354" t="inlineStr">
        <is>
          <t>GOTLANDS LÄN</t>
        </is>
      </c>
      <c r="E354" t="inlineStr">
        <is>
          <t>GOTLAND</t>
        </is>
      </c>
      <c r="G354" t="n">
        <v>8.1</v>
      </c>
      <c r="H354" t="n">
        <v>0</v>
      </c>
      <c r="I354" t="n">
        <v>0</v>
      </c>
      <c r="J354" t="n">
        <v>0</v>
      </c>
      <c r="K354" t="n">
        <v>0</v>
      </c>
      <c r="L354" t="n">
        <v>0</v>
      </c>
      <c r="M354" t="n">
        <v>0</v>
      </c>
      <c r="N354" t="n">
        <v>0</v>
      </c>
      <c r="O354" t="n">
        <v>0</v>
      </c>
      <c r="P354" t="n">
        <v>0</v>
      </c>
      <c r="Q354" t="n">
        <v>0</v>
      </c>
      <c r="R354" s="2" t="inlineStr"/>
    </row>
    <row r="355" ht="15" customHeight="1">
      <c r="A355" t="inlineStr">
        <is>
          <t>A 7837-2024</t>
        </is>
      </c>
      <c r="B355" s="1" t="n">
        <v>45349.83787037037</v>
      </c>
      <c r="C355" s="1" t="n">
        <v>46114</v>
      </c>
      <c r="D355" t="inlineStr">
        <is>
          <t>GOTLANDS LÄN</t>
        </is>
      </c>
      <c r="E355" t="inlineStr">
        <is>
          <t>GOTLAND</t>
        </is>
      </c>
      <c r="G355" t="n">
        <v>5</v>
      </c>
      <c r="H355" t="n">
        <v>0</v>
      </c>
      <c r="I355" t="n">
        <v>0</v>
      </c>
      <c r="J355" t="n">
        <v>0</v>
      </c>
      <c r="K355" t="n">
        <v>0</v>
      </c>
      <c r="L355" t="n">
        <v>0</v>
      </c>
      <c r="M355" t="n">
        <v>0</v>
      </c>
      <c r="N355" t="n">
        <v>0</v>
      </c>
      <c r="O355" t="n">
        <v>0</v>
      </c>
      <c r="P355" t="n">
        <v>0</v>
      </c>
      <c r="Q355" t="n">
        <v>0</v>
      </c>
      <c r="R355" s="2" t="inlineStr"/>
    </row>
    <row r="356" ht="15" customHeight="1">
      <c r="A356" t="inlineStr">
        <is>
          <t>A 1394-2023</t>
        </is>
      </c>
      <c r="B356" s="1" t="n">
        <v>44936.72997685185</v>
      </c>
      <c r="C356" s="1" t="n">
        <v>46114</v>
      </c>
      <c r="D356" t="inlineStr">
        <is>
          <t>GOTLANDS LÄN</t>
        </is>
      </c>
      <c r="E356" t="inlineStr">
        <is>
          <t>GOTLAND</t>
        </is>
      </c>
      <c r="G356" t="n">
        <v>2.1</v>
      </c>
      <c r="H356" t="n">
        <v>0</v>
      </c>
      <c r="I356" t="n">
        <v>0</v>
      </c>
      <c r="J356" t="n">
        <v>0</v>
      </c>
      <c r="K356" t="n">
        <v>0</v>
      </c>
      <c r="L356" t="n">
        <v>0</v>
      </c>
      <c r="M356" t="n">
        <v>0</v>
      </c>
      <c r="N356" t="n">
        <v>0</v>
      </c>
      <c r="O356" t="n">
        <v>0</v>
      </c>
      <c r="P356" t="n">
        <v>0</v>
      </c>
      <c r="Q356" t="n">
        <v>0</v>
      </c>
      <c r="R356" s="2" t="inlineStr"/>
    </row>
    <row r="357" ht="15" customHeight="1">
      <c r="A357" t="inlineStr">
        <is>
          <t>A 2676-2023</t>
        </is>
      </c>
      <c r="B357" s="1" t="n">
        <v>44944</v>
      </c>
      <c r="C357" s="1" t="n">
        <v>46114</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4387-2023</t>
        </is>
      </c>
      <c r="B358" s="1" t="n">
        <v>44955.73359953704</v>
      </c>
      <c r="C358" s="1" t="n">
        <v>46114</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49411-2023</t>
        </is>
      </c>
      <c r="B359" s="1" t="n">
        <v>45205</v>
      </c>
      <c r="C359" s="1" t="n">
        <v>46114</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37728-2024</t>
        </is>
      </c>
      <c r="B360" s="1" t="n">
        <v>45541</v>
      </c>
      <c r="C360" s="1" t="n">
        <v>46114</v>
      </c>
      <c r="D360" t="inlineStr">
        <is>
          <t>GOTLANDS LÄN</t>
        </is>
      </c>
      <c r="E360" t="inlineStr">
        <is>
          <t>GOTLAND</t>
        </is>
      </c>
      <c r="G360" t="n">
        <v>0.4</v>
      </c>
      <c r="H360" t="n">
        <v>0</v>
      </c>
      <c r="I360" t="n">
        <v>0</v>
      </c>
      <c r="J360" t="n">
        <v>0</v>
      </c>
      <c r="K360" t="n">
        <v>0</v>
      </c>
      <c r="L360" t="n">
        <v>0</v>
      </c>
      <c r="M360" t="n">
        <v>0</v>
      </c>
      <c r="N360" t="n">
        <v>0</v>
      </c>
      <c r="O360" t="n">
        <v>0</v>
      </c>
      <c r="P360" t="n">
        <v>0</v>
      </c>
      <c r="Q360" t="n">
        <v>0</v>
      </c>
      <c r="R360" s="2" t="inlineStr"/>
    </row>
    <row r="361" ht="15" customHeight="1">
      <c r="A361" t="inlineStr">
        <is>
          <t>A 2241-2025</t>
        </is>
      </c>
      <c r="B361" s="1" t="n">
        <v>45673.48710648148</v>
      </c>
      <c r="C361" s="1" t="n">
        <v>46114</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46114</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22275-2023</t>
        </is>
      </c>
      <c r="B363" s="1" t="n">
        <v>45070.39875</v>
      </c>
      <c r="C363" s="1" t="n">
        <v>46114</v>
      </c>
      <c r="D363" t="inlineStr">
        <is>
          <t>GOTLANDS LÄN</t>
        </is>
      </c>
      <c r="E363" t="inlineStr">
        <is>
          <t>GOTLAND</t>
        </is>
      </c>
      <c r="G363" t="n">
        <v>7.2</v>
      </c>
      <c r="H363" t="n">
        <v>0</v>
      </c>
      <c r="I363" t="n">
        <v>0</v>
      </c>
      <c r="J363" t="n">
        <v>0</v>
      </c>
      <c r="K363" t="n">
        <v>0</v>
      </c>
      <c r="L363" t="n">
        <v>0</v>
      </c>
      <c r="M363" t="n">
        <v>0</v>
      </c>
      <c r="N363" t="n">
        <v>0</v>
      </c>
      <c r="O363" t="n">
        <v>0</v>
      </c>
      <c r="P363" t="n">
        <v>0</v>
      </c>
      <c r="Q363" t="n">
        <v>0</v>
      </c>
      <c r="R363" s="2" t="inlineStr"/>
    </row>
    <row r="364" ht="15" customHeight="1">
      <c r="A364" t="inlineStr">
        <is>
          <t>A 46836-2025</t>
        </is>
      </c>
      <c r="B364" s="1" t="n">
        <v>45928.31511574074</v>
      </c>
      <c r="C364" s="1" t="n">
        <v>46114</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14635-2023</t>
        </is>
      </c>
      <c r="B365" s="1" t="n">
        <v>45013.69365740741</v>
      </c>
      <c r="C365" s="1" t="n">
        <v>46114</v>
      </c>
      <c r="D365" t="inlineStr">
        <is>
          <t>GOTLANDS LÄN</t>
        </is>
      </c>
      <c r="E365" t="inlineStr">
        <is>
          <t>GOTLAND</t>
        </is>
      </c>
      <c r="G365" t="n">
        <v>3.1</v>
      </c>
      <c r="H365" t="n">
        <v>0</v>
      </c>
      <c r="I365" t="n">
        <v>0</v>
      </c>
      <c r="J365" t="n">
        <v>0</v>
      </c>
      <c r="K365" t="n">
        <v>0</v>
      </c>
      <c r="L365" t="n">
        <v>0</v>
      </c>
      <c r="M365" t="n">
        <v>0</v>
      </c>
      <c r="N365" t="n">
        <v>0</v>
      </c>
      <c r="O365" t="n">
        <v>0</v>
      </c>
      <c r="P365" t="n">
        <v>0</v>
      </c>
      <c r="Q365" t="n">
        <v>0</v>
      </c>
      <c r="R365" s="2" t="inlineStr"/>
    </row>
    <row r="366" ht="15" customHeight="1">
      <c r="A366" t="inlineStr">
        <is>
          <t>A 63763-2023</t>
        </is>
      </c>
      <c r="B366" s="1" t="n">
        <v>45278.33944444444</v>
      </c>
      <c r="C366" s="1" t="n">
        <v>46114</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7635-2025</t>
        </is>
      </c>
      <c r="B367" s="1" t="n">
        <v>45705</v>
      </c>
      <c r="C367" s="1" t="n">
        <v>46114</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7636-2025</t>
        </is>
      </c>
      <c r="B368" s="1" t="n">
        <v>45705.7687962963</v>
      </c>
      <c r="C368" s="1" t="n">
        <v>46114</v>
      </c>
      <c r="D368" t="inlineStr">
        <is>
          <t>GOTLANDS LÄN</t>
        </is>
      </c>
      <c r="E368" t="inlineStr">
        <is>
          <t>GOTLAND</t>
        </is>
      </c>
      <c r="G368" t="n">
        <v>0.6</v>
      </c>
      <c r="H368" t="n">
        <v>0</v>
      </c>
      <c r="I368" t="n">
        <v>0</v>
      </c>
      <c r="J368" t="n">
        <v>0</v>
      </c>
      <c r="K368" t="n">
        <v>0</v>
      </c>
      <c r="L368" t="n">
        <v>0</v>
      </c>
      <c r="M368" t="n">
        <v>0</v>
      </c>
      <c r="N368" t="n">
        <v>0</v>
      </c>
      <c r="O368" t="n">
        <v>0</v>
      </c>
      <c r="P368" t="n">
        <v>0</v>
      </c>
      <c r="Q368" t="n">
        <v>0</v>
      </c>
      <c r="R368" s="2" t="inlineStr"/>
    </row>
    <row r="369" ht="15" customHeight="1">
      <c r="A369" t="inlineStr">
        <is>
          <t>A 7639-2025</t>
        </is>
      </c>
      <c r="B369" s="1" t="n">
        <v>45705.77465277778</v>
      </c>
      <c r="C369" s="1" t="n">
        <v>46114</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61682-2024</t>
        </is>
      </c>
      <c r="B370" s="1" t="n">
        <v>45647.48824074074</v>
      </c>
      <c r="C370" s="1" t="n">
        <v>46114</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15434-2024</t>
        </is>
      </c>
      <c r="B371" s="1" t="n">
        <v>45401.38836805556</v>
      </c>
      <c r="C371" s="1" t="n">
        <v>46114</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47637-2025</t>
        </is>
      </c>
      <c r="B372" s="1" t="n">
        <v>45931.49753472222</v>
      </c>
      <c r="C372" s="1" t="n">
        <v>46114</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7034-2023</t>
        </is>
      </c>
      <c r="B373" s="1" t="n">
        <v>44968.32108796296</v>
      </c>
      <c r="C373" s="1" t="n">
        <v>46114</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7042-2023</t>
        </is>
      </c>
      <c r="B374" s="1" t="n">
        <v>44968</v>
      </c>
      <c r="C374" s="1" t="n">
        <v>46114</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2180-2025</t>
        </is>
      </c>
      <c r="B375" s="1" t="n">
        <v>45673</v>
      </c>
      <c r="C375" s="1" t="n">
        <v>46114</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32378-2025</t>
        </is>
      </c>
      <c r="B376" s="1" t="n">
        <v>45837</v>
      </c>
      <c r="C376" s="1" t="n">
        <v>46114</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54074-2022</t>
        </is>
      </c>
      <c r="B377" s="1" t="n">
        <v>44881</v>
      </c>
      <c r="C377" s="1" t="n">
        <v>46114</v>
      </c>
      <c r="D377" t="inlineStr">
        <is>
          <t>GOTLANDS LÄN</t>
        </is>
      </c>
      <c r="E377" t="inlineStr">
        <is>
          <t>GOTLAND</t>
        </is>
      </c>
      <c r="G377" t="n">
        <v>0.9</v>
      </c>
      <c r="H377" t="n">
        <v>0</v>
      </c>
      <c r="I377" t="n">
        <v>0</v>
      </c>
      <c r="J377" t="n">
        <v>0</v>
      </c>
      <c r="K377" t="n">
        <v>0</v>
      </c>
      <c r="L377" t="n">
        <v>0</v>
      </c>
      <c r="M377" t="n">
        <v>0</v>
      </c>
      <c r="N377" t="n">
        <v>0</v>
      </c>
      <c r="O377" t="n">
        <v>0</v>
      </c>
      <c r="P377" t="n">
        <v>0</v>
      </c>
      <c r="Q377" t="n">
        <v>0</v>
      </c>
      <c r="R377" s="2" t="inlineStr"/>
    </row>
    <row r="378" ht="15" customHeight="1">
      <c r="A378" t="inlineStr">
        <is>
          <t>A 61694-2023</t>
        </is>
      </c>
      <c r="B378" s="1" t="n">
        <v>45264</v>
      </c>
      <c r="C378" s="1" t="n">
        <v>46114</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64208-2021</t>
        </is>
      </c>
      <c r="B379" s="1" t="n">
        <v>44510</v>
      </c>
      <c r="C379" s="1" t="n">
        <v>46114</v>
      </c>
      <c r="D379" t="inlineStr">
        <is>
          <t>GOTLANDS LÄN</t>
        </is>
      </c>
      <c r="E379" t="inlineStr">
        <is>
          <t>GOTLAND</t>
        </is>
      </c>
      <c r="G379" t="n">
        <v>4.7</v>
      </c>
      <c r="H379" t="n">
        <v>0</v>
      </c>
      <c r="I379" t="n">
        <v>0</v>
      </c>
      <c r="J379" t="n">
        <v>0</v>
      </c>
      <c r="K379" t="n">
        <v>0</v>
      </c>
      <c r="L379" t="n">
        <v>0</v>
      </c>
      <c r="M379" t="n">
        <v>0</v>
      </c>
      <c r="N379" t="n">
        <v>0</v>
      </c>
      <c r="O379" t="n">
        <v>0</v>
      </c>
      <c r="P379" t="n">
        <v>0</v>
      </c>
      <c r="Q379" t="n">
        <v>0</v>
      </c>
      <c r="R379" s="2" t="inlineStr"/>
    </row>
    <row r="380" ht="15" customHeight="1">
      <c r="A380" t="inlineStr">
        <is>
          <t>A 35550-2025</t>
        </is>
      </c>
      <c r="B380" s="1" t="n">
        <v>45856.49324074074</v>
      </c>
      <c r="C380" s="1" t="n">
        <v>46114</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54268-2022</t>
        </is>
      </c>
      <c r="B381" s="1" t="n">
        <v>44882</v>
      </c>
      <c r="C381" s="1" t="n">
        <v>46114</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1446-2025</t>
        </is>
      </c>
      <c r="B382" s="1" t="n">
        <v>45669.86035879629</v>
      </c>
      <c r="C382" s="1" t="n">
        <v>46114</v>
      </c>
      <c r="D382" t="inlineStr">
        <is>
          <t>GOTLANDS LÄN</t>
        </is>
      </c>
      <c r="E382" t="inlineStr">
        <is>
          <t>GOTLAND</t>
        </is>
      </c>
      <c r="G382" t="n">
        <v>3.1</v>
      </c>
      <c r="H382" t="n">
        <v>0</v>
      </c>
      <c r="I382" t="n">
        <v>0</v>
      </c>
      <c r="J382" t="n">
        <v>0</v>
      </c>
      <c r="K382" t="n">
        <v>0</v>
      </c>
      <c r="L382" t="n">
        <v>0</v>
      </c>
      <c r="M382" t="n">
        <v>0</v>
      </c>
      <c r="N382" t="n">
        <v>0</v>
      </c>
      <c r="O382" t="n">
        <v>0</v>
      </c>
      <c r="P382" t="n">
        <v>0</v>
      </c>
      <c r="Q382" t="n">
        <v>0</v>
      </c>
      <c r="R382" s="2" t="inlineStr"/>
    </row>
    <row r="383" ht="15" customHeight="1">
      <c r="A383" t="inlineStr">
        <is>
          <t>A 1462-2025</t>
        </is>
      </c>
      <c r="B383" s="1" t="n">
        <v>45670.36319444444</v>
      </c>
      <c r="C383" s="1" t="n">
        <v>46114</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47578-2025</t>
        </is>
      </c>
      <c r="B384" s="1" t="n">
        <v>45931</v>
      </c>
      <c r="C384" s="1" t="n">
        <v>46114</v>
      </c>
      <c r="D384" t="inlineStr">
        <is>
          <t>GOTLANDS LÄN</t>
        </is>
      </c>
      <c r="E384" t="inlineStr">
        <is>
          <t>GOTLAND</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57685-2022</t>
        </is>
      </c>
      <c r="B385" s="1" t="n">
        <v>44897.4777662037</v>
      </c>
      <c r="C385" s="1" t="n">
        <v>46114</v>
      </c>
      <c r="D385" t="inlineStr">
        <is>
          <t>GOTLANDS LÄN</t>
        </is>
      </c>
      <c r="E385" t="inlineStr">
        <is>
          <t>GOTLAND</t>
        </is>
      </c>
      <c r="G385" t="n">
        <v>3.7</v>
      </c>
      <c r="H385" t="n">
        <v>0</v>
      </c>
      <c r="I385" t="n">
        <v>0</v>
      </c>
      <c r="J385" t="n">
        <v>0</v>
      </c>
      <c r="K385" t="n">
        <v>0</v>
      </c>
      <c r="L385" t="n">
        <v>0</v>
      </c>
      <c r="M385" t="n">
        <v>0</v>
      </c>
      <c r="N385" t="n">
        <v>0</v>
      </c>
      <c r="O385" t="n">
        <v>0</v>
      </c>
      <c r="P385" t="n">
        <v>0</v>
      </c>
      <c r="Q385" t="n">
        <v>0</v>
      </c>
      <c r="R385" s="2" t="inlineStr"/>
    </row>
    <row r="386" ht="15" customHeight="1">
      <c r="A386" t="inlineStr">
        <is>
          <t>A 811-2023</t>
        </is>
      </c>
      <c r="B386" s="1" t="n">
        <v>44931</v>
      </c>
      <c r="C386" s="1" t="n">
        <v>46114</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33011-2025</t>
        </is>
      </c>
      <c r="B387" s="1" t="n">
        <v>45840</v>
      </c>
      <c r="C387" s="1" t="n">
        <v>46114</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49690-2025</t>
        </is>
      </c>
      <c r="B388" s="1" t="n">
        <v>45939.66730324074</v>
      </c>
      <c r="C388" s="1" t="n">
        <v>46114</v>
      </c>
      <c r="D388" t="inlineStr">
        <is>
          <t>GOTLANDS LÄN</t>
        </is>
      </c>
      <c r="E388" t="inlineStr">
        <is>
          <t>GOTLAND</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5905-2024</t>
        </is>
      </c>
      <c r="B389" s="1" t="n">
        <v>45335.88993055555</v>
      </c>
      <c r="C389" s="1" t="n">
        <v>46114</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3431-2025</t>
        </is>
      </c>
      <c r="B390" s="1" t="n">
        <v>45680.42935185185</v>
      </c>
      <c r="C390" s="1" t="n">
        <v>46114</v>
      </c>
      <c r="D390" t="inlineStr">
        <is>
          <t>GOTLANDS LÄN</t>
        </is>
      </c>
      <c r="E390" t="inlineStr">
        <is>
          <t>GOTLAND</t>
        </is>
      </c>
      <c r="G390" t="n">
        <v>4.8</v>
      </c>
      <c r="H390" t="n">
        <v>0</v>
      </c>
      <c r="I390" t="n">
        <v>0</v>
      </c>
      <c r="J390" t="n">
        <v>0</v>
      </c>
      <c r="K390" t="n">
        <v>0</v>
      </c>
      <c r="L390" t="n">
        <v>0</v>
      </c>
      <c r="M390" t="n">
        <v>0</v>
      </c>
      <c r="N390" t="n">
        <v>0</v>
      </c>
      <c r="O390" t="n">
        <v>0</v>
      </c>
      <c r="P390" t="n">
        <v>0</v>
      </c>
      <c r="Q390" t="n">
        <v>0</v>
      </c>
      <c r="R390" s="2" t="inlineStr"/>
    </row>
    <row r="391" ht="15" customHeight="1">
      <c r="A391" t="inlineStr">
        <is>
          <t>A 34407-2023</t>
        </is>
      </c>
      <c r="B391" s="1" t="n">
        <v>45132</v>
      </c>
      <c r="C391" s="1" t="n">
        <v>46114</v>
      </c>
      <c r="D391" t="inlineStr">
        <is>
          <t>GOTLANDS LÄN</t>
        </is>
      </c>
      <c r="E391" t="inlineStr">
        <is>
          <t>GOTLAND</t>
        </is>
      </c>
      <c r="G391" t="n">
        <v>4.4</v>
      </c>
      <c r="H391" t="n">
        <v>0</v>
      </c>
      <c r="I391" t="n">
        <v>0</v>
      </c>
      <c r="J391" t="n">
        <v>0</v>
      </c>
      <c r="K391" t="n">
        <v>0</v>
      </c>
      <c r="L391" t="n">
        <v>0</v>
      </c>
      <c r="M391" t="n">
        <v>0</v>
      </c>
      <c r="N391" t="n">
        <v>0</v>
      </c>
      <c r="O391" t="n">
        <v>0</v>
      </c>
      <c r="P391" t="n">
        <v>0</v>
      </c>
      <c r="Q391" t="n">
        <v>0</v>
      </c>
      <c r="R391" s="2" t="inlineStr"/>
    </row>
    <row r="392" ht="15" customHeight="1">
      <c r="A392" t="inlineStr">
        <is>
          <t>A 30892-2024</t>
        </is>
      </c>
      <c r="B392" s="1" t="n">
        <v>45491</v>
      </c>
      <c r="C392" s="1" t="n">
        <v>46114</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32958-2021</t>
        </is>
      </c>
      <c r="B393" s="1" t="n">
        <v>44376</v>
      </c>
      <c r="C393" s="1" t="n">
        <v>46114</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49724-2025</t>
        </is>
      </c>
      <c r="B394" s="1" t="n">
        <v>45939.83730324074</v>
      </c>
      <c r="C394" s="1" t="n">
        <v>46114</v>
      </c>
      <c r="D394" t="inlineStr">
        <is>
          <t>GOTLANDS LÄN</t>
        </is>
      </c>
      <c r="E394" t="inlineStr">
        <is>
          <t>GOTLAND</t>
        </is>
      </c>
      <c r="F394" t="inlineStr">
        <is>
          <t>Kyrkan</t>
        </is>
      </c>
      <c r="G394" t="n">
        <v>3.1</v>
      </c>
      <c r="H394" t="n">
        <v>0</v>
      </c>
      <c r="I394" t="n">
        <v>0</v>
      </c>
      <c r="J394" t="n">
        <v>0</v>
      </c>
      <c r="K394" t="n">
        <v>0</v>
      </c>
      <c r="L394" t="n">
        <v>0</v>
      </c>
      <c r="M394" t="n">
        <v>0</v>
      </c>
      <c r="N394" t="n">
        <v>0</v>
      </c>
      <c r="O394" t="n">
        <v>0</v>
      </c>
      <c r="P394" t="n">
        <v>0</v>
      </c>
      <c r="Q394" t="n">
        <v>0</v>
      </c>
      <c r="R394" s="2" t="inlineStr"/>
    </row>
    <row r="395" ht="15" customHeight="1">
      <c r="A395" t="inlineStr">
        <is>
          <t>A 49730-2025</t>
        </is>
      </c>
      <c r="B395" s="1" t="n">
        <v>45939.87613425926</v>
      </c>
      <c r="C395" s="1" t="n">
        <v>46114</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7858-2025</t>
        </is>
      </c>
      <c r="B396" s="1" t="n">
        <v>45706.68633101852</v>
      </c>
      <c r="C396" s="1" t="n">
        <v>46114</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46545-2024</t>
        </is>
      </c>
      <c r="B397" s="1" t="n">
        <v>45582.65831018519</v>
      </c>
      <c r="C397" s="1" t="n">
        <v>46114</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999-2023</t>
        </is>
      </c>
      <c r="B398" s="1" t="n">
        <v>44935</v>
      </c>
      <c r="C398" s="1" t="n">
        <v>46114</v>
      </c>
      <c r="D398" t="inlineStr">
        <is>
          <t>GOTLANDS LÄN</t>
        </is>
      </c>
      <c r="E398" t="inlineStr">
        <is>
          <t>GOTLAND</t>
        </is>
      </c>
      <c r="G398" t="n">
        <v>4.7</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46114</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1364-2025</t>
        </is>
      </c>
      <c r="B400" s="1" t="n">
        <v>45667.63929398148</v>
      </c>
      <c r="C400" s="1" t="n">
        <v>46114</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2125-2025</t>
        </is>
      </c>
      <c r="B401" s="1" t="n">
        <v>45672.64940972222</v>
      </c>
      <c r="C401" s="1" t="n">
        <v>46114</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46114</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14141-2024</t>
        </is>
      </c>
      <c r="B403" s="1" t="n">
        <v>45392.85193287037</v>
      </c>
      <c r="C403" s="1" t="n">
        <v>46114</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12155-2023</t>
        </is>
      </c>
      <c r="B404" s="1" t="n">
        <v>44998.49106481481</v>
      </c>
      <c r="C404" s="1" t="n">
        <v>46114</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50928-2025</t>
        </is>
      </c>
      <c r="B405" s="1" t="n">
        <v>45946.67896990741</v>
      </c>
      <c r="C405" s="1" t="n">
        <v>46114</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51262-2025</t>
        </is>
      </c>
      <c r="B406" s="1" t="n">
        <v>45949.49872685185</v>
      </c>
      <c r="C406" s="1" t="n">
        <v>46114</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2774-2024</t>
        </is>
      </c>
      <c r="B407" s="1" t="n">
        <v>45314.62375</v>
      </c>
      <c r="C407" s="1" t="n">
        <v>46114</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9947-2024</t>
        </is>
      </c>
      <c r="B408" s="1" t="n">
        <v>45363</v>
      </c>
      <c r="C408" s="1" t="n">
        <v>46114</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42007-2023</t>
        </is>
      </c>
      <c r="B409" s="1" t="n">
        <v>45177</v>
      </c>
      <c r="C409" s="1" t="n">
        <v>46114</v>
      </c>
      <c r="D409" t="inlineStr">
        <is>
          <t>GOTLANDS LÄN</t>
        </is>
      </c>
      <c r="E409" t="inlineStr">
        <is>
          <t>GOTLAND</t>
        </is>
      </c>
      <c r="G409" t="n">
        <v>0.8</v>
      </c>
      <c r="H409" t="n">
        <v>0</v>
      </c>
      <c r="I409" t="n">
        <v>0</v>
      </c>
      <c r="J409" t="n">
        <v>0</v>
      </c>
      <c r="K409" t="n">
        <v>0</v>
      </c>
      <c r="L409" t="n">
        <v>0</v>
      </c>
      <c r="M409" t="n">
        <v>0</v>
      </c>
      <c r="N409" t="n">
        <v>0</v>
      </c>
      <c r="O409" t="n">
        <v>0</v>
      </c>
      <c r="P409" t="n">
        <v>0</v>
      </c>
      <c r="Q409" t="n">
        <v>0</v>
      </c>
      <c r="R409" s="2" t="inlineStr"/>
    </row>
    <row r="410" ht="15" customHeight="1">
      <c r="A410" t="inlineStr">
        <is>
          <t>A 52249-2025</t>
        </is>
      </c>
      <c r="B410" s="1" t="n">
        <v>45953.48637731482</v>
      </c>
      <c r="C410" s="1" t="n">
        <v>46114</v>
      </c>
      <c r="D410" t="inlineStr">
        <is>
          <t>GOTLANDS LÄN</t>
        </is>
      </c>
      <c r="E410" t="inlineStr">
        <is>
          <t>GOTLAND</t>
        </is>
      </c>
      <c r="F410" t="inlineStr">
        <is>
          <t>Övriga Aktiebolag</t>
        </is>
      </c>
      <c r="G410" t="n">
        <v>1</v>
      </c>
      <c r="H410" t="n">
        <v>0</v>
      </c>
      <c r="I410" t="n">
        <v>0</v>
      </c>
      <c r="J410" t="n">
        <v>0</v>
      </c>
      <c r="K410" t="n">
        <v>0</v>
      </c>
      <c r="L410" t="n">
        <v>0</v>
      </c>
      <c r="M410" t="n">
        <v>0</v>
      </c>
      <c r="N410" t="n">
        <v>0</v>
      </c>
      <c r="O410" t="n">
        <v>0</v>
      </c>
      <c r="P410" t="n">
        <v>0</v>
      </c>
      <c r="Q410" t="n">
        <v>0</v>
      </c>
      <c r="R410" s="2" t="inlineStr"/>
    </row>
    <row r="411" ht="15" customHeight="1">
      <c r="A411" t="inlineStr">
        <is>
          <t>A 52637-2025</t>
        </is>
      </c>
      <c r="B411" s="1" t="n">
        <v>45954.75099537037</v>
      </c>
      <c r="C411" s="1" t="n">
        <v>46114</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15083-2025</t>
        </is>
      </c>
      <c r="B412" s="1" t="n">
        <v>45743</v>
      </c>
      <c r="C412" s="1" t="n">
        <v>46114</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53577-2025</t>
        </is>
      </c>
      <c r="B413" s="1" t="n">
        <v>45960.42224537037</v>
      </c>
      <c r="C413" s="1" t="n">
        <v>46114</v>
      </c>
      <c r="D413" t="inlineStr">
        <is>
          <t>GOTLANDS LÄN</t>
        </is>
      </c>
      <c r="E413" t="inlineStr">
        <is>
          <t>GOTLAND</t>
        </is>
      </c>
      <c r="F413" t="inlineStr">
        <is>
          <t>Övriga Aktiebolag</t>
        </is>
      </c>
      <c r="G413" t="n">
        <v>3.3</v>
      </c>
      <c r="H413" t="n">
        <v>0</v>
      </c>
      <c r="I413" t="n">
        <v>0</v>
      </c>
      <c r="J413" t="n">
        <v>0</v>
      </c>
      <c r="K413" t="n">
        <v>0</v>
      </c>
      <c r="L413" t="n">
        <v>0</v>
      </c>
      <c r="M413" t="n">
        <v>0</v>
      </c>
      <c r="N413" t="n">
        <v>0</v>
      </c>
      <c r="O413" t="n">
        <v>0</v>
      </c>
      <c r="P413" t="n">
        <v>0</v>
      </c>
      <c r="Q413" t="n">
        <v>0</v>
      </c>
      <c r="R413" s="2" t="inlineStr"/>
    </row>
    <row r="414" ht="15" customHeight="1">
      <c r="A414" t="inlineStr">
        <is>
          <t>A 53569-2025</t>
        </is>
      </c>
      <c r="B414" s="1" t="n">
        <v>45960.41155092593</v>
      </c>
      <c r="C414" s="1" t="n">
        <v>46114</v>
      </c>
      <c r="D414" t="inlineStr">
        <is>
          <t>GOTLANDS LÄN</t>
        </is>
      </c>
      <c r="E414" t="inlineStr">
        <is>
          <t>GOTLAND</t>
        </is>
      </c>
      <c r="F414" t="inlineStr">
        <is>
          <t>Övriga Aktiebolag</t>
        </is>
      </c>
      <c r="G414" t="n">
        <v>11.3</v>
      </c>
      <c r="H414" t="n">
        <v>0</v>
      </c>
      <c r="I414" t="n">
        <v>0</v>
      </c>
      <c r="J414" t="n">
        <v>0</v>
      </c>
      <c r="K414" t="n">
        <v>0</v>
      </c>
      <c r="L414" t="n">
        <v>0</v>
      </c>
      <c r="M414" t="n">
        <v>0</v>
      </c>
      <c r="N414" t="n">
        <v>0</v>
      </c>
      <c r="O414" t="n">
        <v>0</v>
      </c>
      <c r="P414" t="n">
        <v>0</v>
      </c>
      <c r="Q414" t="n">
        <v>0</v>
      </c>
      <c r="R414" s="2" t="inlineStr"/>
    </row>
    <row r="415" ht="15" customHeight="1">
      <c r="A415" t="inlineStr">
        <is>
          <t>A 1066-2024</t>
        </is>
      </c>
      <c r="B415" s="1" t="n">
        <v>45302.285</v>
      </c>
      <c r="C415" s="1" t="n">
        <v>46114</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37202-2024</t>
        </is>
      </c>
      <c r="B416" s="1" t="n">
        <v>45539.67310185185</v>
      </c>
      <c r="C416" s="1" t="n">
        <v>46114</v>
      </c>
      <c r="D416" t="inlineStr">
        <is>
          <t>GOTLANDS LÄN</t>
        </is>
      </c>
      <c r="E416" t="inlineStr">
        <is>
          <t>GOTLAND</t>
        </is>
      </c>
      <c r="G416" t="n">
        <v>0.3</v>
      </c>
      <c r="H416" t="n">
        <v>0</v>
      </c>
      <c r="I416" t="n">
        <v>0</v>
      </c>
      <c r="J416" t="n">
        <v>0</v>
      </c>
      <c r="K416" t="n">
        <v>0</v>
      </c>
      <c r="L416" t="n">
        <v>0</v>
      </c>
      <c r="M416" t="n">
        <v>0</v>
      </c>
      <c r="N416" t="n">
        <v>0</v>
      </c>
      <c r="O416" t="n">
        <v>0</v>
      </c>
      <c r="P416" t="n">
        <v>0</v>
      </c>
      <c r="Q416" t="n">
        <v>0</v>
      </c>
      <c r="R416" s="2" t="inlineStr"/>
    </row>
    <row r="417" ht="15" customHeight="1">
      <c r="A417" t="inlineStr">
        <is>
          <t>A 30815-2023</t>
        </is>
      </c>
      <c r="B417" s="1" t="n">
        <v>45112</v>
      </c>
      <c r="C417" s="1" t="n">
        <v>46114</v>
      </c>
      <c r="D417" t="inlineStr">
        <is>
          <t>GOTLANDS LÄN</t>
        </is>
      </c>
      <c r="E417" t="inlineStr">
        <is>
          <t>GOTLAND</t>
        </is>
      </c>
      <c r="G417" t="n">
        <v>6</v>
      </c>
      <c r="H417" t="n">
        <v>0</v>
      </c>
      <c r="I417" t="n">
        <v>0</v>
      </c>
      <c r="J417" t="n">
        <v>0</v>
      </c>
      <c r="K417" t="n">
        <v>0</v>
      </c>
      <c r="L417" t="n">
        <v>0</v>
      </c>
      <c r="M417" t="n">
        <v>0</v>
      </c>
      <c r="N417" t="n">
        <v>0</v>
      </c>
      <c r="O417" t="n">
        <v>0</v>
      </c>
      <c r="P417" t="n">
        <v>0</v>
      </c>
      <c r="Q417" t="n">
        <v>0</v>
      </c>
      <c r="R417" s="2" t="inlineStr"/>
    </row>
    <row r="418" ht="15" customHeight="1">
      <c r="A418" t="inlineStr">
        <is>
          <t>A 46400-2023</t>
        </is>
      </c>
      <c r="B418" s="1" t="n">
        <v>45197.49290509259</v>
      </c>
      <c r="C418" s="1" t="n">
        <v>46114</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10492-2023</t>
        </is>
      </c>
      <c r="B419" s="1" t="n">
        <v>44987</v>
      </c>
      <c r="C419" s="1" t="n">
        <v>46114</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44919-2022</t>
        </is>
      </c>
      <c r="B420" s="1" t="n">
        <v>44841</v>
      </c>
      <c r="C420" s="1" t="n">
        <v>46114</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16501-2023</t>
        </is>
      </c>
      <c r="B421" s="1" t="n">
        <v>45029</v>
      </c>
      <c r="C421" s="1" t="n">
        <v>46114</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27095-2022</t>
        </is>
      </c>
      <c r="B422" s="1" t="n">
        <v>44741</v>
      </c>
      <c r="C422" s="1" t="n">
        <v>46114</v>
      </c>
      <c r="D422" t="inlineStr">
        <is>
          <t>GOTLANDS LÄN</t>
        </is>
      </c>
      <c r="E422" t="inlineStr">
        <is>
          <t>GOTLAND</t>
        </is>
      </c>
      <c r="F422" t="inlineStr">
        <is>
          <t>Övriga Aktiebolag</t>
        </is>
      </c>
      <c r="G422" t="n">
        <v>2.9</v>
      </c>
      <c r="H422" t="n">
        <v>0</v>
      </c>
      <c r="I422" t="n">
        <v>0</v>
      </c>
      <c r="J422" t="n">
        <v>0</v>
      </c>
      <c r="K422" t="n">
        <v>0</v>
      </c>
      <c r="L422" t="n">
        <v>0</v>
      </c>
      <c r="M422" t="n">
        <v>0</v>
      </c>
      <c r="N422" t="n">
        <v>0</v>
      </c>
      <c r="O422" t="n">
        <v>0</v>
      </c>
      <c r="P422" t="n">
        <v>0</v>
      </c>
      <c r="Q422" t="n">
        <v>0</v>
      </c>
      <c r="R422" s="2" t="inlineStr"/>
    </row>
    <row r="423" ht="15" customHeight="1">
      <c r="A423" t="inlineStr">
        <is>
          <t>A 458-2023</t>
        </is>
      </c>
      <c r="B423" s="1" t="n">
        <v>44929</v>
      </c>
      <c r="C423" s="1" t="n">
        <v>46114</v>
      </c>
      <c r="D423" t="inlineStr">
        <is>
          <t>GOTLANDS LÄN</t>
        </is>
      </c>
      <c r="E423" t="inlineStr">
        <is>
          <t>GOTLAND</t>
        </is>
      </c>
      <c r="G423" t="n">
        <v>3.6</v>
      </c>
      <c r="H423" t="n">
        <v>0</v>
      </c>
      <c r="I423" t="n">
        <v>0</v>
      </c>
      <c r="J423" t="n">
        <v>0</v>
      </c>
      <c r="K423" t="n">
        <v>0</v>
      </c>
      <c r="L423" t="n">
        <v>0</v>
      </c>
      <c r="M423" t="n">
        <v>0</v>
      </c>
      <c r="N423" t="n">
        <v>0</v>
      </c>
      <c r="O423" t="n">
        <v>0</v>
      </c>
      <c r="P423" t="n">
        <v>0</v>
      </c>
      <c r="Q423" t="n">
        <v>0</v>
      </c>
      <c r="R423" s="2" t="inlineStr"/>
    </row>
    <row r="424" ht="15" customHeight="1">
      <c r="A424" t="inlineStr">
        <is>
          <t>A 1291-2023</t>
        </is>
      </c>
      <c r="B424" s="1" t="n">
        <v>44936.47561342592</v>
      </c>
      <c r="C424" s="1" t="n">
        <v>46114</v>
      </c>
      <c r="D424" t="inlineStr">
        <is>
          <t>GOTLANDS LÄN</t>
        </is>
      </c>
      <c r="E424" t="inlineStr">
        <is>
          <t>GOTLAND</t>
        </is>
      </c>
      <c r="G424" t="n">
        <v>7.4</v>
      </c>
      <c r="H424" t="n">
        <v>0</v>
      </c>
      <c r="I424" t="n">
        <v>0</v>
      </c>
      <c r="J424" t="n">
        <v>0</v>
      </c>
      <c r="K424" t="n">
        <v>0</v>
      </c>
      <c r="L424" t="n">
        <v>0</v>
      </c>
      <c r="M424" t="n">
        <v>0</v>
      </c>
      <c r="N424" t="n">
        <v>0</v>
      </c>
      <c r="O424" t="n">
        <v>0</v>
      </c>
      <c r="P424" t="n">
        <v>0</v>
      </c>
      <c r="Q424" t="n">
        <v>0</v>
      </c>
      <c r="R424" s="2" t="inlineStr"/>
    </row>
    <row r="425" ht="15" customHeight="1">
      <c r="A425" t="inlineStr">
        <is>
          <t>A 32330-2024</t>
        </is>
      </c>
      <c r="B425" s="1" t="n">
        <v>45512</v>
      </c>
      <c r="C425" s="1" t="n">
        <v>46114</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5891-2025</t>
        </is>
      </c>
      <c r="B426" s="1" t="n">
        <v>45695.38327546296</v>
      </c>
      <c r="C426" s="1" t="n">
        <v>46114</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56688-2025</t>
        </is>
      </c>
      <c r="B427" s="1" t="n">
        <v>45975.84331018518</v>
      </c>
      <c r="C427" s="1" t="n">
        <v>46114</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56799-2025</t>
        </is>
      </c>
      <c r="B428" s="1" t="n">
        <v>45978.43392361111</v>
      </c>
      <c r="C428" s="1" t="n">
        <v>46114</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2719-2023</t>
        </is>
      </c>
      <c r="B429" s="1" t="n">
        <v>44944.55361111111</v>
      </c>
      <c r="C429" s="1" t="n">
        <v>46114</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17144-2025</t>
        </is>
      </c>
      <c r="B430" s="1" t="n">
        <v>45755.9499537037</v>
      </c>
      <c r="C430" s="1" t="n">
        <v>46114</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49314-2024</t>
        </is>
      </c>
      <c r="B431" s="1" t="n">
        <v>45595.55893518519</v>
      </c>
      <c r="C431" s="1" t="n">
        <v>46114</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9875-2025</t>
        </is>
      </c>
      <c r="B432" s="1" t="n">
        <v>45716</v>
      </c>
      <c r="C432" s="1" t="n">
        <v>46114</v>
      </c>
      <c r="D432" t="inlineStr">
        <is>
          <t>GOTLANDS LÄN</t>
        </is>
      </c>
      <c r="E432" t="inlineStr">
        <is>
          <t>GOTLAND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29809-2022</t>
        </is>
      </c>
      <c r="B433" s="1" t="n">
        <v>44755.8713425926</v>
      </c>
      <c r="C433" s="1" t="n">
        <v>46114</v>
      </c>
      <c r="D433" t="inlineStr">
        <is>
          <t>GOTLANDS LÄN</t>
        </is>
      </c>
      <c r="E433" t="inlineStr">
        <is>
          <t>GOTLAND</t>
        </is>
      </c>
      <c r="G433" t="n">
        <v>11.5</v>
      </c>
      <c r="H433" t="n">
        <v>0</v>
      </c>
      <c r="I433" t="n">
        <v>0</v>
      </c>
      <c r="J433" t="n">
        <v>0</v>
      </c>
      <c r="K433" t="n">
        <v>0</v>
      </c>
      <c r="L433" t="n">
        <v>0</v>
      </c>
      <c r="M433" t="n">
        <v>0</v>
      </c>
      <c r="N433" t="n">
        <v>0</v>
      </c>
      <c r="O433" t="n">
        <v>0</v>
      </c>
      <c r="P433" t="n">
        <v>0</v>
      </c>
      <c r="Q433" t="n">
        <v>0</v>
      </c>
      <c r="R433" s="2" t="inlineStr"/>
    </row>
    <row r="434" ht="15" customHeight="1">
      <c r="A434" t="inlineStr">
        <is>
          <t>A 16361-2024</t>
        </is>
      </c>
      <c r="B434" s="1" t="n">
        <v>45407</v>
      </c>
      <c r="C434" s="1" t="n">
        <v>46114</v>
      </c>
      <c r="D434" t="inlineStr">
        <is>
          <t>GOTLANDS LÄN</t>
        </is>
      </c>
      <c r="E434" t="inlineStr">
        <is>
          <t>GOTLAND</t>
        </is>
      </c>
      <c r="G434" t="n">
        <v>6</v>
      </c>
      <c r="H434" t="n">
        <v>0</v>
      </c>
      <c r="I434" t="n">
        <v>0</v>
      </c>
      <c r="J434" t="n">
        <v>0</v>
      </c>
      <c r="K434" t="n">
        <v>0</v>
      </c>
      <c r="L434" t="n">
        <v>0</v>
      </c>
      <c r="M434" t="n">
        <v>0</v>
      </c>
      <c r="N434" t="n">
        <v>0</v>
      </c>
      <c r="O434" t="n">
        <v>0</v>
      </c>
      <c r="P434" t="n">
        <v>0</v>
      </c>
      <c r="Q434" t="n">
        <v>0</v>
      </c>
      <c r="R434" s="2" t="inlineStr"/>
    </row>
    <row r="435" ht="15" customHeight="1">
      <c r="A435" t="inlineStr">
        <is>
          <t>A 43081-2022</t>
        </is>
      </c>
      <c r="B435" s="1" t="n">
        <v>44833</v>
      </c>
      <c r="C435" s="1" t="n">
        <v>46114</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1175-2025</t>
        </is>
      </c>
      <c r="B436" s="1" t="n">
        <v>45667.34449074074</v>
      </c>
      <c r="C436" s="1" t="n">
        <v>46114</v>
      </c>
      <c r="D436" t="inlineStr">
        <is>
          <t>GOTLANDS LÄN</t>
        </is>
      </c>
      <c r="E436" t="inlineStr">
        <is>
          <t>GOTLAND</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42201-2023</t>
        </is>
      </c>
      <c r="B437" s="1" t="n">
        <v>45179</v>
      </c>
      <c r="C437" s="1" t="n">
        <v>46114</v>
      </c>
      <c r="D437" t="inlineStr">
        <is>
          <t>GOTLANDS LÄN</t>
        </is>
      </c>
      <c r="E437" t="inlineStr">
        <is>
          <t>GOTLAND</t>
        </is>
      </c>
      <c r="G437" t="n">
        <v>11.9</v>
      </c>
      <c r="H437" t="n">
        <v>0</v>
      </c>
      <c r="I437" t="n">
        <v>0</v>
      </c>
      <c r="J437" t="n">
        <v>0</v>
      </c>
      <c r="K437" t="n">
        <v>0</v>
      </c>
      <c r="L437" t="n">
        <v>0</v>
      </c>
      <c r="M437" t="n">
        <v>0</v>
      </c>
      <c r="N437" t="n">
        <v>0</v>
      </c>
      <c r="O437" t="n">
        <v>0</v>
      </c>
      <c r="P437" t="n">
        <v>0</v>
      </c>
      <c r="Q437" t="n">
        <v>0</v>
      </c>
      <c r="R437" s="2" t="inlineStr"/>
    </row>
    <row r="438" ht="15" customHeight="1">
      <c r="A438" t="inlineStr">
        <is>
          <t>A 3150-2025</t>
        </is>
      </c>
      <c r="B438" s="1" t="n">
        <v>45679.28974537037</v>
      </c>
      <c r="C438" s="1" t="n">
        <v>46114</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59197-2025</t>
        </is>
      </c>
      <c r="B439" s="1" t="n">
        <v>45988.59846064815</v>
      </c>
      <c r="C439" s="1" t="n">
        <v>46114</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42041-2024</t>
        </is>
      </c>
      <c r="B440" s="1" t="n">
        <v>45561</v>
      </c>
      <c r="C440" s="1" t="n">
        <v>46114</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36319-2025</t>
        </is>
      </c>
      <c r="B441" s="1" t="n">
        <v>45868</v>
      </c>
      <c r="C441" s="1" t="n">
        <v>46114</v>
      </c>
      <c r="D441" t="inlineStr">
        <is>
          <t>GOTLANDS LÄN</t>
        </is>
      </c>
      <c r="E441" t="inlineStr">
        <is>
          <t>GOTLAND</t>
        </is>
      </c>
      <c r="G441" t="n">
        <v>2.9</v>
      </c>
      <c r="H441" t="n">
        <v>0</v>
      </c>
      <c r="I441" t="n">
        <v>0</v>
      </c>
      <c r="J441" t="n">
        <v>0</v>
      </c>
      <c r="K441" t="n">
        <v>0</v>
      </c>
      <c r="L441" t="n">
        <v>0</v>
      </c>
      <c r="M441" t="n">
        <v>0</v>
      </c>
      <c r="N441" t="n">
        <v>0</v>
      </c>
      <c r="O441" t="n">
        <v>0</v>
      </c>
      <c r="P441" t="n">
        <v>0</v>
      </c>
      <c r="Q441" t="n">
        <v>0</v>
      </c>
      <c r="R441" s="2" t="inlineStr"/>
    </row>
    <row r="442" ht="15" customHeight="1">
      <c r="A442" t="inlineStr">
        <is>
          <t>A 15436-2025</t>
        </is>
      </c>
      <c r="B442" s="1" t="n">
        <v>45747.47462962963</v>
      </c>
      <c r="C442" s="1" t="n">
        <v>46114</v>
      </c>
      <c r="D442" t="inlineStr">
        <is>
          <t>GOTLANDS LÄN</t>
        </is>
      </c>
      <c r="E442" t="inlineStr">
        <is>
          <t>GOTLAND</t>
        </is>
      </c>
      <c r="G442" t="n">
        <v>4.1</v>
      </c>
      <c r="H442" t="n">
        <v>0</v>
      </c>
      <c r="I442" t="n">
        <v>0</v>
      </c>
      <c r="J442" t="n">
        <v>0</v>
      </c>
      <c r="K442" t="n">
        <v>0</v>
      </c>
      <c r="L442" t="n">
        <v>0</v>
      </c>
      <c r="M442" t="n">
        <v>0</v>
      </c>
      <c r="N442" t="n">
        <v>0</v>
      </c>
      <c r="O442" t="n">
        <v>0</v>
      </c>
      <c r="P442" t="n">
        <v>0</v>
      </c>
      <c r="Q442" t="n">
        <v>0</v>
      </c>
      <c r="R442" s="2" t="inlineStr"/>
    </row>
    <row r="443" ht="15" customHeight="1">
      <c r="A443" t="inlineStr">
        <is>
          <t>A 21247-2022</t>
        </is>
      </c>
      <c r="B443" s="1" t="n">
        <v>44705.38832175926</v>
      </c>
      <c r="C443" s="1" t="n">
        <v>46114</v>
      </c>
      <c r="D443" t="inlineStr">
        <is>
          <t>GOTLANDS LÄN</t>
        </is>
      </c>
      <c r="E443" t="inlineStr">
        <is>
          <t>GOTLAND</t>
        </is>
      </c>
      <c r="G443" t="n">
        <v>16.2</v>
      </c>
      <c r="H443" t="n">
        <v>0</v>
      </c>
      <c r="I443" t="n">
        <v>0</v>
      </c>
      <c r="J443" t="n">
        <v>0</v>
      </c>
      <c r="K443" t="n">
        <v>0</v>
      </c>
      <c r="L443" t="n">
        <v>0</v>
      </c>
      <c r="M443" t="n">
        <v>0</v>
      </c>
      <c r="N443" t="n">
        <v>0</v>
      </c>
      <c r="O443" t="n">
        <v>0</v>
      </c>
      <c r="P443" t="n">
        <v>0</v>
      </c>
      <c r="Q443" t="n">
        <v>0</v>
      </c>
      <c r="R443" s="2" t="inlineStr"/>
    </row>
    <row r="444" ht="15" customHeight="1">
      <c r="A444" t="inlineStr">
        <is>
          <t>A 17780-2022</t>
        </is>
      </c>
      <c r="B444" s="1" t="n">
        <v>44682.82622685185</v>
      </c>
      <c r="C444" s="1" t="n">
        <v>46114</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63516-2023</t>
        </is>
      </c>
      <c r="B445" s="1" t="n">
        <v>45274</v>
      </c>
      <c r="C445" s="1" t="n">
        <v>46114</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53935-2024</t>
        </is>
      </c>
      <c r="B446" s="1" t="n">
        <v>45615</v>
      </c>
      <c r="C446" s="1" t="n">
        <v>46114</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69112-2021</t>
        </is>
      </c>
      <c r="B447" s="1" t="n">
        <v>44530</v>
      </c>
      <c r="C447" s="1" t="n">
        <v>46114</v>
      </c>
      <c r="D447" t="inlineStr">
        <is>
          <t>GOTLANDS LÄN</t>
        </is>
      </c>
      <c r="E447" t="inlineStr">
        <is>
          <t>GOTLAND</t>
        </is>
      </c>
      <c r="G447" t="n">
        <v>4.2</v>
      </c>
      <c r="H447" t="n">
        <v>0</v>
      </c>
      <c r="I447" t="n">
        <v>0</v>
      </c>
      <c r="J447" t="n">
        <v>0</v>
      </c>
      <c r="K447" t="n">
        <v>0</v>
      </c>
      <c r="L447" t="n">
        <v>0</v>
      </c>
      <c r="M447" t="n">
        <v>0</v>
      </c>
      <c r="N447" t="n">
        <v>0</v>
      </c>
      <c r="O447" t="n">
        <v>0</v>
      </c>
      <c r="P447" t="n">
        <v>0</v>
      </c>
      <c r="Q447" t="n">
        <v>0</v>
      </c>
      <c r="R447" s="2" t="inlineStr"/>
    </row>
    <row r="448" ht="15" customHeight="1">
      <c r="A448" t="inlineStr">
        <is>
          <t>A 48734-2022</t>
        </is>
      </c>
      <c r="B448" s="1" t="n">
        <v>44855</v>
      </c>
      <c r="C448" s="1" t="n">
        <v>46114</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23516-2023</t>
        </is>
      </c>
      <c r="B449" s="1" t="n">
        <v>45076.93391203704</v>
      </c>
      <c r="C449" s="1" t="n">
        <v>46114</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43231-2023</t>
        </is>
      </c>
      <c r="B450" s="1" t="n">
        <v>45183.47025462963</v>
      </c>
      <c r="C450" s="1" t="n">
        <v>46114</v>
      </c>
      <c r="D450" t="inlineStr">
        <is>
          <t>GOTLANDS LÄN</t>
        </is>
      </c>
      <c r="E450" t="inlineStr">
        <is>
          <t>GOTLAND</t>
        </is>
      </c>
      <c r="G450" t="n">
        <v>3.6</v>
      </c>
      <c r="H450" t="n">
        <v>0</v>
      </c>
      <c r="I450" t="n">
        <v>0</v>
      </c>
      <c r="J450" t="n">
        <v>0</v>
      </c>
      <c r="K450" t="n">
        <v>0</v>
      </c>
      <c r="L450" t="n">
        <v>0</v>
      </c>
      <c r="M450" t="n">
        <v>0</v>
      </c>
      <c r="N450" t="n">
        <v>0</v>
      </c>
      <c r="O450" t="n">
        <v>0</v>
      </c>
      <c r="P450" t="n">
        <v>0</v>
      </c>
      <c r="Q450" t="n">
        <v>0</v>
      </c>
      <c r="R450" s="2" t="inlineStr"/>
    </row>
    <row r="451" ht="15" customHeight="1">
      <c r="A451" t="inlineStr">
        <is>
          <t>A 58230-2024</t>
        </is>
      </c>
      <c r="B451" s="1" t="n">
        <v>45632.51625</v>
      </c>
      <c r="C451" s="1" t="n">
        <v>46114</v>
      </c>
      <c r="D451" t="inlineStr">
        <is>
          <t>GOTLANDS LÄN</t>
        </is>
      </c>
      <c r="E451" t="inlineStr">
        <is>
          <t>GOTLAND</t>
        </is>
      </c>
      <c r="G451" t="n">
        <v>7.3</v>
      </c>
      <c r="H451" t="n">
        <v>0</v>
      </c>
      <c r="I451" t="n">
        <v>0</v>
      </c>
      <c r="J451" t="n">
        <v>0</v>
      </c>
      <c r="K451" t="n">
        <v>0</v>
      </c>
      <c r="L451" t="n">
        <v>0</v>
      </c>
      <c r="M451" t="n">
        <v>0</v>
      </c>
      <c r="N451" t="n">
        <v>0</v>
      </c>
      <c r="O451" t="n">
        <v>0</v>
      </c>
      <c r="P451" t="n">
        <v>0</v>
      </c>
      <c r="Q451" t="n">
        <v>0</v>
      </c>
      <c r="R451" s="2" t="inlineStr"/>
    </row>
    <row r="452" ht="15" customHeight="1">
      <c r="A452" t="inlineStr">
        <is>
          <t>A 64555-2023</t>
        </is>
      </c>
      <c r="B452" s="1" t="n">
        <v>45281</v>
      </c>
      <c r="C452" s="1" t="n">
        <v>46114</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62066-2025</t>
        </is>
      </c>
      <c r="B453" s="1" t="n">
        <v>46006.34738425926</v>
      </c>
      <c r="C453" s="1" t="n">
        <v>46114</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62103-2025</t>
        </is>
      </c>
      <c r="B454" s="1" t="n">
        <v>46006</v>
      </c>
      <c r="C454" s="1" t="n">
        <v>46114</v>
      </c>
      <c r="D454" t="inlineStr">
        <is>
          <t>GOTLANDS LÄN</t>
        </is>
      </c>
      <c r="E454" t="inlineStr">
        <is>
          <t>GOTLAND</t>
        </is>
      </c>
      <c r="F454" t="inlineStr">
        <is>
          <t>Övriga Aktiebolag</t>
        </is>
      </c>
      <c r="G454" t="n">
        <v>1.7</v>
      </c>
      <c r="H454" t="n">
        <v>0</v>
      </c>
      <c r="I454" t="n">
        <v>0</v>
      </c>
      <c r="J454" t="n">
        <v>0</v>
      </c>
      <c r="K454" t="n">
        <v>0</v>
      </c>
      <c r="L454" t="n">
        <v>0</v>
      </c>
      <c r="M454" t="n">
        <v>0</v>
      </c>
      <c r="N454" t="n">
        <v>0</v>
      </c>
      <c r="O454" t="n">
        <v>0</v>
      </c>
      <c r="P454" t="n">
        <v>0</v>
      </c>
      <c r="Q454" t="n">
        <v>0</v>
      </c>
      <c r="R454" s="2" t="inlineStr"/>
    </row>
    <row r="455" ht="15" customHeight="1">
      <c r="A455" t="inlineStr">
        <is>
          <t>A 457-2023</t>
        </is>
      </c>
      <c r="B455" s="1" t="n">
        <v>44929.87238425926</v>
      </c>
      <c r="C455" s="1" t="n">
        <v>46114</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459-2023</t>
        </is>
      </c>
      <c r="B456" s="1" t="n">
        <v>44929.87423611111</v>
      </c>
      <c r="C456" s="1" t="n">
        <v>46114</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876-2024</t>
        </is>
      </c>
      <c r="B457" s="1" t="n">
        <v>45301</v>
      </c>
      <c r="C457" s="1" t="n">
        <v>46114</v>
      </c>
      <c r="D457" t="inlineStr">
        <is>
          <t>GOTLANDS LÄN</t>
        </is>
      </c>
      <c r="E457" t="inlineStr">
        <is>
          <t>GOTLAND</t>
        </is>
      </c>
      <c r="G457" t="n">
        <v>5.3</v>
      </c>
      <c r="H457" t="n">
        <v>0</v>
      </c>
      <c r="I457" t="n">
        <v>0</v>
      </c>
      <c r="J457" t="n">
        <v>0</v>
      </c>
      <c r="K457" t="n">
        <v>0</v>
      </c>
      <c r="L457" t="n">
        <v>0</v>
      </c>
      <c r="M457" t="n">
        <v>0</v>
      </c>
      <c r="N457" t="n">
        <v>0</v>
      </c>
      <c r="O457" t="n">
        <v>0</v>
      </c>
      <c r="P457" t="n">
        <v>0</v>
      </c>
      <c r="Q457" t="n">
        <v>0</v>
      </c>
      <c r="R457" s="2" t="inlineStr"/>
    </row>
    <row r="458" ht="15" customHeight="1">
      <c r="A458" t="inlineStr">
        <is>
          <t>A 26891-2024</t>
        </is>
      </c>
      <c r="B458" s="1" t="n">
        <v>45470.65540509259</v>
      </c>
      <c r="C458" s="1" t="n">
        <v>46114</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63002-2025</t>
        </is>
      </c>
      <c r="B459" s="1" t="n">
        <v>46009.56564814815</v>
      </c>
      <c r="C459" s="1" t="n">
        <v>46114</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5923-2023</t>
        </is>
      </c>
      <c r="B460" s="1" t="n">
        <v>44963.69503472222</v>
      </c>
      <c r="C460" s="1" t="n">
        <v>46114</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50482-2024</t>
        </is>
      </c>
      <c r="B461" s="1" t="n">
        <v>45601.48114583334</v>
      </c>
      <c r="C461" s="1" t="n">
        <v>46114</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5943-2024</t>
        </is>
      </c>
      <c r="B462" s="1" t="n">
        <v>45336</v>
      </c>
      <c r="C462" s="1" t="n">
        <v>46114</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38234-2023</t>
        </is>
      </c>
      <c r="B463" s="1" t="n">
        <v>45161.56663194444</v>
      </c>
      <c r="C463" s="1" t="n">
        <v>46114</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1273-2023</t>
        </is>
      </c>
      <c r="B464" s="1" t="n">
        <v>44936</v>
      </c>
      <c r="C464" s="1" t="n">
        <v>46114</v>
      </c>
      <c r="D464" t="inlineStr">
        <is>
          <t>GOTLANDS LÄN</t>
        </is>
      </c>
      <c r="E464" t="inlineStr">
        <is>
          <t>GOTLAND</t>
        </is>
      </c>
      <c r="G464" t="n">
        <v>4.5</v>
      </c>
      <c r="H464" t="n">
        <v>0</v>
      </c>
      <c r="I464" t="n">
        <v>0</v>
      </c>
      <c r="J464" t="n">
        <v>0</v>
      </c>
      <c r="K464" t="n">
        <v>0</v>
      </c>
      <c r="L464" t="n">
        <v>0</v>
      </c>
      <c r="M464" t="n">
        <v>0</v>
      </c>
      <c r="N464" t="n">
        <v>0</v>
      </c>
      <c r="O464" t="n">
        <v>0</v>
      </c>
      <c r="P464" t="n">
        <v>0</v>
      </c>
      <c r="Q464" t="n">
        <v>0</v>
      </c>
      <c r="R464" s="2" t="inlineStr"/>
    </row>
    <row r="465" ht="15" customHeight="1">
      <c r="A465" t="inlineStr">
        <is>
          <t>A 54584-2025</t>
        </is>
      </c>
      <c r="B465" s="1" t="n">
        <v>45965.71788194445</v>
      </c>
      <c r="C465" s="1" t="n">
        <v>46114</v>
      </c>
      <c r="D465" t="inlineStr">
        <is>
          <t>GOTLANDS LÄN</t>
        </is>
      </c>
      <c r="E465" t="inlineStr">
        <is>
          <t>GOTLAND</t>
        </is>
      </c>
      <c r="G465" t="n">
        <v>3.5</v>
      </c>
      <c r="H465" t="n">
        <v>0</v>
      </c>
      <c r="I465" t="n">
        <v>0</v>
      </c>
      <c r="J465" t="n">
        <v>0</v>
      </c>
      <c r="K465" t="n">
        <v>0</v>
      </c>
      <c r="L465" t="n">
        <v>0</v>
      </c>
      <c r="M465" t="n">
        <v>0</v>
      </c>
      <c r="N465" t="n">
        <v>0</v>
      </c>
      <c r="O465" t="n">
        <v>0</v>
      </c>
      <c r="P465" t="n">
        <v>0</v>
      </c>
      <c r="Q465" t="n">
        <v>0</v>
      </c>
      <c r="R465" s="2" t="inlineStr"/>
    </row>
    <row r="466" ht="15" customHeight="1">
      <c r="A466" t="inlineStr">
        <is>
          <t>A 38649-2025</t>
        </is>
      </c>
      <c r="B466" s="1" t="n">
        <v>45884</v>
      </c>
      <c r="C466" s="1" t="n">
        <v>46114</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17724-2024</t>
        </is>
      </c>
      <c r="B467" s="1" t="n">
        <v>45418.55096064815</v>
      </c>
      <c r="C467" s="1" t="n">
        <v>46114</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61078-2025</t>
        </is>
      </c>
      <c r="B468" s="1" t="n">
        <v>46000</v>
      </c>
      <c r="C468" s="1" t="n">
        <v>46114</v>
      </c>
      <c r="D468" t="inlineStr">
        <is>
          <t>GOTLANDS LÄN</t>
        </is>
      </c>
      <c r="E468" t="inlineStr">
        <is>
          <t>GOTLAND</t>
        </is>
      </c>
      <c r="G468" t="n">
        <v>0.7</v>
      </c>
      <c r="H468" t="n">
        <v>0</v>
      </c>
      <c r="I468" t="n">
        <v>0</v>
      </c>
      <c r="J468" t="n">
        <v>0</v>
      </c>
      <c r="K468" t="n">
        <v>0</v>
      </c>
      <c r="L468" t="n">
        <v>0</v>
      </c>
      <c r="M468" t="n">
        <v>0</v>
      </c>
      <c r="N468" t="n">
        <v>0</v>
      </c>
      <c r="O468" t="n">
        <v>0</v>
      </c>
      <c r="P468" t="n">
        <v>0</v>
      </c>
      <c r="Q468" t="n">
        <v>0</v>
      </c>
      <c r="R468" s="2" t="inlineStr"/>
    </row>
    <row r="469" ht="15" customHeight="1">
      <c r="A469" t="inlineStr">
        <is>
          <t>A 23978-2023</t>
        </is>
      </c>
      <c r="B469" s="1" t="n">
        <v>45078</v>
      </c>
      <c r="C469" s="1" t="n">
        <v>46114</v>
      </c>
      <c r="D469" t="inlineStr">
        <is>
          <t>GOTLANDS LÄN</t>
        </is>
      </c>
      <c r="E469" t="inlineStr">
        <is>
          <t>GOTLAND</t>
        </is>
      </c>
      <c r="F469" t="inlineStr">
        <is>
          <t>Naturvårdsverket</t>
        </is>
      </c>
      <c r="G469" t="n">
        <v>1.7</v>
      </c>
      <c r="H469" t="n">
        <v>0</v>
      </c>
      <c r="I469" t="n">
        <v>0</v>
      </c>
      <c r="J469" t="n">
        <v>0</v>
      </c>
      <c r="K469" t="n">
        <v>0</v>
      </c>
      <c r="L469" t="n">
        <v>0</v>
      </c>
      <c r="M469" t="n">
        <v>0</v>
      </c>
      <c r="N469" t="n">
        <v>0</v>
      </c>
      <c r="O469" t="n">
        <v>0</v>
      </c>
      <c r="P469" t="n">
        <v>0</v>
      </c>
      <c r="Q469" t="n">
        <v>0</v>
      </c>
      <c r="R469" s="2" t="inlineStr"/>
    </row>
    <row r="470" ht="15" customHeight="1">
      <c r="A470" t="inlineStr">
        <is>
          <t>A 49884-2023</t>
        </is>
      </c>
      <c r="B470" s="1" t="n">
        <v>45213</v>
      </c>
      <c r="C470" s="1" t="n">
        <v>46114</v>
      </c>
      <c r="D470" t="inlineStr">
        <is>
          <t>GOTLANDS LÄN</t>
        </is>
      </c>
      <c r="E470" t="inlineStr">
        <is>
          <t>GOTLAND</t>
        </is>
      </c>
      <c r="G470" t="n">
        <v>8.9</v>
      </c>
      <c r="H470" t="n">
        <v>0</v>
      </c>
      <c r="I470" t="n">
        <v>0</v>
      </c>
      <c r="J470" t="n">
        <v>0</v>
      </c>
      <c r="K470" t="n">
        <v>0</v>
      </c>
      <c r="L470" t="n">
        <v>0</v>
      </c>
      <c r="M470" t="n">
        <v>0</v>
      </c>
      <c r="N470" t="n">
        <v>0</v>
      </c>
      <c r="O470" t="n">
        <v>0</v>
      </c>
      <c r="P470" t="n">
        <v>0</v>
      </c>
      <c r="Q470" t="n">
        <v>0</v>
      </c>
      <c r="R470" s="2" t="inlineStr"/>
    </row>
    <row r="471" ht="15" customHeight="1">
      <c r="A471" t="inlineStr">
        <is>
          <t>A 36-2026</t>
        </is>
      </c>
      <c r="B471" s="1" t="n">
        <v>46024.38886574074</v>
      </c>
      <c r="C471" s="1" t="n">
        <v>46114</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12846-2025</t>
        </is>
      </c>
      <c r="B472" s="1" t="n">
        <v>45733.65049768519</v>
      </c>
      <c r="C472" s="1" t="n">
        <v>46114</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43200-2023</t>
        </is>
      </c>
      <c r="B473" s="1" t="n">
        <v>45183</v>
      </c>
      <c r="C473" s="1" t="n">
        <v>46114</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62674-2025</t>
        </is>
      </c>
      <c r="B474" s="1" t="n">
        <v>46008</v>
      </c>
      <c r="C474" s="1" t="n">
        <v>46114</v>
      </c>
      <c r="D474" t="inlineStr">
        <is>
          <t>GOTLANDS LÄN</t>
        </is>
      </c>
      <c r="E474" t="inlineStr">
        <is>
          <t>GOTLAND</t>
        </is>
      </c>
      <c r="G474" t="n">
        <v>5</v>
      </c>
      <c r="H474" t="n">
        <v>0</v>
      </c>
      <c r="I474" t="n">
        <v>0</v>
      </c>
      <c r="J474" t="n">
        <v>0</v>
      </c>
      <c r="K474" t="n">
        <v>0</v>
      </c>
      <c r="L474" t="n">
        <v>0</v>
      </c>
      <c r="M474" t="n">
        <v>0</v>
      </c>
      <c r="N474" t="n">
        <v>0</v>
      </c>
      <c r="O474" t="n">
        <v>0</v>
      </c>
      <c r="P474" t="n">
        <v>0</v>
      </c>
      <c r="Q474" t="n">
        <v>0</v>
      </c>
      <c r="R474" s="2" t="inlineStr"/>
    </row>
    <row r="475" ht="15" customHeight="1">
      <c r="A475" t="inlineStr">
        <is>
          <t>A 63152-2025</t>
        </is>
      </c>
      <c r="B475" s="1" t="n">
        <v>46010</v>
      </c>
      <c r="C475" s="1" t="n">
        <v>46114</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3935-2025</t>
        </is>
      </c>
      <c r="B476" s="1" t="n">
        <v>45684.46070601852</v>
      </c>
      <c r="C476" s="1" t="n">
        <v>46114</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1355-2026</t>
        </is>
      </c>
      <c r="B477" s="1" t="n">
        <v>46031.59909722222</v>
      </c>
      <c r="C477" s="1" t="n">
        <v>46114</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21792-2024</t>
        </is>
      </c>
      <c r="B478" s="1" t="n">
        <v>45442.64326388889</v>
      </c>
      <c r="C478" s="1" t="n">
        <v>46114</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9901-2026</t>
        </is>
      </c>
      <c r="B479" s="1" t="n">
        <v>46073.40391203704</v>
      </c>
      <c r="C479" s="1" t="n">
        <v>46114</v>
      </c>
      <c r="D479" t="inlineStr">
        <is>
          <t>GOTLANDS LÄN</t>
        </is>
      </c>
      <c r="E479" t="inlineStr">
        <is>
          <t>GOTLAND</t>
        </is>
      </c>
      <c r="F479" t="inlineStr">
        <is>
          <t>Kyrkan</t>
        </is>
      </c>
      <c r="G479" t="n">
        <v>0.9</v>
      </c>
      <c r="H479" t="n">
        <v>0</v>
      </c>
      <c r="I479" t="n">
        <v>0</v>
      </c>
      <c r="J479" t="n">
        <v>0</v>
      </c>
      <c r="K479" t="n">
        <v>0</v>
      </c>
      <c r="L479" t="n">
        <v>0</v>
      </c>
      <c r="M479" t="n">
        <v>0</v>
      </c>
      <c r="N479" t="n">
        <v>0</v>
      </c>
      <c r="O479" t="n">
        <v>0</v>
      </c>
      <c r="P479" t="n">
        <v>0</v>
      </c>
      <c r="Q479" t="n">
        <v>0</v>
      </c>
      <c r="R479" s="2" t="inlineStr"/>
    </row>
    <row r="480" ht="15" customHeight="1">
      <c r="A480" t="inlineStr">
        <is>
          <t>A 10486-2026</t>
        </is>
      </c>
      <c r="B480" s="1" t="n">
        <v>46077.51425925926</v>
      </c>
      <c r="C480" s="1" t="n">
        <v>46114</v>
      </c>
      <c r="D480" t="inlineStr">
        <is>
          <t>GOTLANDS LÄN</t>
        </is>
      </c>
      <c r="E480" t="inlineStr">
        <is>
          <t>GOTLAND</t>
        </is>
      </c>
      <c r="G480" t="n">
        <v>3.5</v>
      </c>
      <c r="H480" t="n">
        <v>0</v>
      </c>
      <c r="I480" t="n">
        <v>0</v>
      </c>
      <c r="J480" t="n">
        <v>0</v>
      </c>
      <c r="K480" t="n">
        <v>0</v>
      </c>
      <c r="L480" t="n">
        <v>0</v>
      </c>
      <c r="M480" t="n">
        <v>0</v>
      </c>
      <c r="N480" t="n">
        <v>0</v>
      </c>
      <c r="O480" t="n">
        <v>0</v>
      </c>
      <c r="P480" t="n">
        <v>0</v>
      </c>
      <c r="Q480" t="n">
        <v>0</v>
      </c>
      <c r="R480" s="2" t="inlineStr"/>
    </row>
    <row r="481" ht="15" customHeight="1">
      <c r="A481" t="inlineStr">
        <is>
          <t>A 48843-2024</t>
        </is>
      </c>
      <c r="B481" s="1" t="n">
        <v>45593</v>
      </c>
      <c r="C481" s="1" t="n">
        <v>46114</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1898-2026</t>
        </is>
      </c>
      <c r="B482" s="1" t="n">
        <v>46035.52024305556</v>
      </c>
      <c r="C482" s="1" t="n">
        <v>46114</v>
      </c>
      <c r="D482" t="inlineStr">
        <is>
          <t>GOTLANDS LÄN</t>
        </is>
      </c>
      <c r="E482" t="inlineStr">
        <is>
          <t>GOTLAND</t>
        </is>
      </c>
      <c r="G482" t="n">
        <v>3.7</v>
      </c>
      <c r="H482" t="n">
        <v>0</v>
      </c>
      <c r="I482" t="n">
        <v>0</v>
      </c>
      <c r="J482" t="n">
        <v>0</v>
      </c>
      <c r="K482" t="n">
        <v>0</v>
      </c>
      <c r="L482" t="n">
        <v>0</v>
      </c>
      <c r="M482" t="n">
        <v>0</v>
      </c>
      <c r="N482" t="n">
        <v>0</v>
      </c>
      <c r="O482" t="n">
        <v>0</v>
      </c>
      <c r="P482" t="n">
        <v>0</v>
      </c>
      <c r="Q482" t="n">
        <v>0</v>
      </c>
      <c r="R482" s="2" t="inlineStr"/>
    </row>
    <row r="483" ht="15" customHeight="1">
      <c r="A483" t="inlineStr">
        <is>
          <t>A 10284-2026</t>
        </is>
      </c>
      <c r="B483" s="1" t="n">
        <v>46076</v>
      </c>
      <c r="C483" s="1" t="n">
        <v>46114</v>
      </c>
      <c r="D483" t="inlineStr">
        <is>
          <t>GOTLANDS LÄN</t>
        </is>
      </c>
      <c r="E483" t="inlineStr">
        <is>
          <t>GOTLAND</t>
        </is>
      </c>
      <c r="G483" t="n">
        <v>5.2</v>
      </c>
      <c r="H483" t="n">
        <v>0</v>
      </c>
      <c r="I483" t="n">
        <v>0</v>
      </c>
      <c r="J483" t="n">
        <v>0</v>
      </c>
      <c r="K483" t="n">
        <v>0</v>
      </c>
      <c r="L483" t="n">
        <v>0</v>
      </c>
      <c r="M483" t="n">
        <v>0</v>
      </c>
      <c r="N483" t="n">
        <v>0</v>
      </c>
      <c r="O483" t="n">
        <v>0</v>
      </c>
      <c r="P483" t="n">
        <v>0</v>
      </c>
      <c r="Q483" t="n">
        <v>0</v>
      </c>
      <c r="R483" s="2" t="inlineStr"/>
    </row>
    <row r="484" ht="15" customHeight="1">
      <c r="A484" t="inlineStr">
        <is>
          <t>A 10653-2023</t>
        </is>
      </c>
      <c r="B484" s="1" t="n">
        <v>44988.48859953704</v>
      </c>
      <c r="C484" s="1" t="n">
        <v>46114</v>
      </c>
      <c r="D484" t="inlineStr">
        <is>
          <t>GOTLANDS LÄN</t>
        </is>
      </c>
      <c r="E484" t="inlineStr">
        <is>
          <t>GOTLAND</t>
        </is>
      </c>
      <c r="F484" t="inlineStr">
        <is>
          <t>Kyrkan</t>
        </is>
      </c>
      <c r="G484" t="n">
        <v>3</v>
      </c>
      <c r="H484" t="n">
        <v>0</v>
      </c>
      <c r="I484" t="n">
        <v>0</v>
      </c>
      <c r="J484" t="n">
        <v>0</v>
      </c>
      <c r="K484" t="n">
        <v>0</v>
      </c>
      <c r="L484" t="n">
        <v>0</v>
      </c>
      <c r="M484" t="n">
        <v>0</v>
      </c>
      <c r="N484" t="n">
        <v>0</v>
      </c>
      <c r="O484" t="n">
        <v>0</v>
      </c>
      <c r="P484" t="n">
        <v>0</v>
      </c>
      <c r="Q484" t="n">
        <v>0</v>
      </c>
      <c r="R484" s="2" t="inlineStr"/>
    </row>
    <row r="485" ht="15" customHeight="1">
      <c r="A485" t="inlineStr">
        <is>
          <t>A 35512-2023</t>
        </is>
      </c>
      <c r="B485" s="1" t="n">
        <v>45147.25623842593</v>
      </c>
      <c r="C485" s="1" t="n">
        <v>46114</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11874-2024</t>
        </is>
      </c>
      <c r="B486" s="1" t="n">
        <v>45376.46956018519</v>
      </c>
      <c r="C486" s="1" t="n">
        <v>46114</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2415-2026</t>
        </is>
      </c>
      <c r="B487" s="1" t="n">
        <v>46036.76203703704</v>
      </c>
      <c r="C487" s="1" t="n">
        <v>46114</v>
      </c>
      <c r="D487" t="inlineStr">
        <is>
          <t>GOTLANDS LÄN</t>
        </is>
      </c>
      <c r="E487" t="inlineStr">
        <is>
          <t>GOTLAND</t>
        </is>
      </c>
      <c r="G487" t="n">
        <v>6.9</v>
      </c>
      <c r="H487" t="n">
        <v>0</v>
      </c>
      <c r="I487" t="n">
        <v>0</v>
      </c>
      <c r="J487" t="n">
        <v>0</v>
      </c>
      <c r="K487" t="n">
        <v>0</v>
      </c>
      <c r="L487" t="n">
        <v>0</v>
      </c>
      <c r="M487" t="n">
        <v>0</v>
      </c>
      <c r="N487" t="n">
        <v>0</v>
      </c>
      <c r="O487" t="n">
        <v>0</v>
      </c>
      <c r="P487" t="n">
        <v>0</v>
      </c>
      <c r="Q487" t="n">
        <v>0</v>
      </c>
      <c r="R487" s="2" t="inlineStr"/>
    </row>
    <row r="488" ht="15" customHeight="1">
      <c r="A488" t="inlineStr">
        <is>
          <t>A 20225-2025</t>
        </is>
      </c>
      <c r="B488" s="1" t="n">
        <v>45772.65802083333</v>
      </c>
      <c r="C488" s="1" t="n">
        <v>46114</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1677-2023</t>
        </is>
      </c>
      <c r="B489" s="1" t="n">
        <v>44938</v>
      </c>
      <c r="C489" s="1" t="n">
        <v>46114</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64831-2023</t>
        </is>
      </c>
      <c r="B490" s="1" t="n">
        <v>45282.44924768519</v>
      </c>
      <c r="C490" s="1" t="n">
        <v>46114</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3253-2026</t>
        </is>
      </c>
      <c r="B491" s="1" t="n">
        <v>46041.58902777778</v>
      </c>
      <c r="C491" s="1" t="n">
        <v>46114</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11414-2026</t>
        </is>
      </c>
      <c r="B492" s="1" t="n">
        <v>46083.46336805556</v>
      </c>
      <c r="C492" s="1" t="n">
        <v>46114</v>
      </c>
      <c r="D492" t="inlineStr">
        <is>
          <t>GOTLANDS LÄN</t>
        </is>
      </c>
      <c r="E492" t="inlineStr">
        <is>
          <t>GOTLAND</t>
        </is>
      </c>
      <c r="G492" t="n">
        <v>4.9</v>
      </c>
      <c r="H492" t="n">
        <v>0</v>
      </c>
      <c r="I492" t="n">
        <v>0</v>
      </c>
      <c r="J492" t="n">
        <v>0</v>
      </c>
      <c r="K492" t="n">
        <v>0</v>
      </c>
      <c r="L492" t="n">
        <v>0</v>
      </c>
      <c r="M492" t="n">
        <v>0</v>
      </c>
      <c r="N492" t="n">
        <v>0</v>
      </c>
      <c r="O492" t="n">
        <v>0</v>
      </c>
      <c r="P492" t="n">
        <v>0</v>
      </c>
      <c r="Q492" t="n">
        <v>0</v>
      </c>
      <c r="R492" s="2" t="inlineStr"/>
    </row>
    <row r="493" ht="15" customHeight="1">
      <c r="A493" t="inlineStr">
        <is>
          <t>A 11424-2026</t>
        </is>
      </c>
      <c r="B493" s="1" t="n">
        <v>46083.48068287037</v>
      </c>
      <c r="C493" s="1" t="n">
        <v>46114</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8036-2022</t>
        </is>
      </c>
      <c r="B494" s="1" t="n">
        <v>44609.44362268518</v>
      </c>
      <c r="C494" s="1" t="n">
        <v>46114</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46375-2024</t>
        </is>
      </c>
      <c r="B495" s="1" t="n">
        <v>45582</v>
      </c>
      <c r="C495" s="1" t="n">
        <v>46114</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62915-2021</t>
        </is>
      </c>
      <c r="B496" s="1" t="n">
        <v>44504</v>
      </c>
      <c r="C496" s="1" t="n">
        <v>46114</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7638-2025</t>
        </is>
      </c>
      <c r="B497" s="1" t="n">
        <v>45705.77306712963</v>
      </c>
      <c r="C497" s="1" t="n">
        <v>46114</v>
      </c>
      <c r="D497" t="inlineStr">
        <is>
          <t>GOTLANDS LÄN</t>
        </is>
      </c>
      <c r="E497" t="inlineStr">
        <is>
          <t>GOTLAND</t>
        </is>
      </c>
      <c r="G497" t="n">
        <v>2.2</v>
      </c>
      <c r="H497" t="n">
        <v>0</v>
      </c>
      <c r="I497" t="n">
        <v>0</v>
      </c>
      <c r="J497" t="n">
        <v>0</v>
      </c>
      <c r="K497" t="n">
        <v>0</v>
      </c>
      <c r="L497" t="n">
        <v>0</v>
      </c>
      <c r="M497" t="n">
        <v>0</v>
      </c>
      <c r="N497" t="n">
        <v>0</v>
      </c>
      <c r="O497" t="n">
        <v>0</v>
      </c>
      <c r="P497" t="n">
        <v>0</v>
      </c>
      <c r="Q497" t="n">
        <v>0</v>
      </c>
      <c r="R497" s="2" t="inlineStr"/>
    </row>
    <row r="498" ht="15" customHeight="1">
      <c r="A498" t="inlineStr">
        <is>
          <t>A 11982-2026</t>
        </is>
      </c>
      <c r="B498" s="1" t="n">
        <v>46085.6434375</v>
      </c>
      <c r="C498" s="1" t="n">
        <v>46114</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4377-2023</t>
        </is>
      </c>
      <c r="B499" s="1" t="n">
        <v>44955.5502662037</v>
      </c>
      <c r="C499" s="1" t="n">
        <v>46114</v>
      </c>
      <c r="D499" t="inlineStr">
        <is>
          <t>GOTLANDS LÄN</t>
        </is>
      </c>
      <c r="E499" t="inlineStr">
        <is>
          <t>GOTLAND</t>
        </is>
      </c>
      <c r="F499" t="inlineStr">
        <is>
          <t>Kyrkan</t>
        </is>
      </c>
      <c r="G499" t="n">
        <v>0.6</v>
      </c>
      <c r="H499" t="n">
        <v>0</v>
      </c>
      <c r="I499" t="n">
        <v>0</v>
      </c>
      <c r="J499" t="n">
        <v>0</v>
      </c>
      <c r="K499" t="n">
        <v>0</v>
      </c>
      <c r="L499" t="n">
        <v>0</v>
      </c>
      <c r="M499" t="n">
        <v>0</v>
      </c>
      <c r="N499" t="n">
        <v>0</v>
      </c>
      <c r="O499" t="n">
        <v>0</v>
      </c>
      <c r="P499" t="n">
        <v>0</v>
      </c>
      <c r="Q499" t="n">
        <v>0</v>
      </c>
      <c r="R499" s="2" t="inlineStr"/>
    </row>
    <row r="500" ht="15" customHeight="1">
      <c r="A500" t="inlineStr">
        <is>
          <t>A 12135-2026</t>
        </is>
      </c>
      <c r="B500" s="1" t="n">
        <v>46086</v>
      </c>
      <c r="C500" s="1" t="n">
        <v>46114</v>
      </c>
      <c r="D500" t="inlineStr">
        <is>
          <t>GOTLANDS LÄN</t>
        </is>
      </c>
      <c r="E500" t="inlineStr">
        <is>
          <t>GOTLAND</t>
        </is>
      </c>
      <c r="G500" t="n">
        <v>3</v>
      </c>
      <c r="H500" t="n">
        <v>0</v>
      </c>
      <c r="I500" t="n">
        <v>0</v>
      </c>
      <c r="J500" t="n">
        <v>0</v>
      </c>
      <c r="K500" t="n">
        <v>0</v>
      </c>
      <c r="L500" t="n">
        <v>0</v>
      </c>
      <c r="M500" t="n">
        <v>0</v>
      </c>
      <c r="N500" t="n">
        <v>0</v>
      </c>
      <c r="O500" t="n">
        <v>0</v>
      </c>
      <c r="P500" t="n">
        <v>0</v>
      </c>
      <c r="Q500" t="n">
        <v>0</v>
      </c>
      <c r="R500" s="2" t="inlineStr"/>
    </row>
    <row r="501" ht="15" customHeight="1">
      <c r="A501" t="inlineStr">
        <is>
          <t>A 60384-2025</t>
        </is>
      </c>
      <c r="B501" s="1" t="n">
        <v>45995</v>
      </c>
      <c r="C501" s="1" t="n">
        <v>46114</v>
      </c>
      <c r="D501" t="inlineStr">
        <is>
          <t>GOTLANDS LÄN</t>
        </is>
      </c>
      <c r="E501" t="inlineStr">
        <is>
          <t>GOTLAND</t>
        </is>
      </c>
      <c r="G501" t="n">
        <v>2.5</v>
      </c>
      <c r="H501" t="n">
        <v>0</v>
      </c>
      <c r="I501" t="n">
        <v>0</v>
      </c>
      <c r="J501" t="n">
        <v>0</v>
      </c>
      <c r="K501" t="n">
        <v>0</v>
      </c>
      <c r="L501" t="n">
        <v>0</v>
      </c>
      <c r="M501" t="n">
        <v>0</v>
      </c>
      <c r="N501" t="n">
        <v>0</v>
      </c>
      <c r="O501" t="n">
        <v>0</v>
      </c>
      <c r="P501" t="n">
        <v>0</v>
      </c>
      <c r="Q501" t="n">
        <v>0</v>
      </c>
      <c r="R501" s="2" t="inlineStr"/>
    </row>
    <row r="502" ht="15" customHeight="1">
      <c r="A502" t="inlineStr">
        <is>
          <t>A 43901-2023</t>
        </is>
      </c>
      <c r="B502" s="1" t="n">
        <v>45187</v>
      </c>
      <c r="C502" s="1" t="n">
        <v>46114</v>
      </c>
      <c r="D502" t="inlineStr">
        <is>
          <t>GOTLANDS LÄN</t>
        </is>
      </c>
      <c r="E502" t="inlineStr">
        <is>
          <t>GOTLAND</t>
        </is>
      </c>
      <c r="G502" t="n">
        <v>5.4</v>
      </c>
      <c r="H502" t="n">
        <v>0</v>
      </c>
      <c r="I502" t="n">
        <v>0</v>
      </c>
      <c r="J502" t="n">
        <v>0</v>
      </c>
      <c r="K502" t="n">
        <v>0</v>
      </c>
      <c r="L502" t="n">
        <v>0</v>
      </c>
      <c r="M502" t="n">
        <v>0</v>
      </c>
      <c r="N502" t="n">
        <v>0</v>
      </c>
      <c r="O502" t="n">
        <v>0</v>
      </c>
      <c r="P502" t="n">
        <v>0</v>
      </c>
      <c r="Q502" t="n">
        <v>0</v>
      </c>
      <c r="R502" s="2" t="inlineStr"/>
    </row>
    <row r="503" ht="15" customHeight="1">
      <c r="A503" t="inlineStr">
        <is>
          <t>A 17532-2024</t>
        </is>
      </c>
      <c r="B503" s="1" t="n">
        <v>45415</v>
      </c>
      <c r="C503" s="1" t="n">
        <v>46114</v>
      </c>
      <c r="D503" t="inlineStr">
        <is>
          <t>GOTLANDS LÄN</t>
        </is>
      </c>
      <c r="E503" t="inlineStr">
        <is>
          <t>GOTLAND</t>
        </is>
      </c>
      <c r="G503" t="n">
        <v>4.3</v>
      </c>
      <c r="H503" t="n">
        <v>0</v>
      </c>
      <c r="I503" t="n">
        <v>0</v>
      </c>
      <c r="J503" t="n">
        <v>0</v>
      </c>
      <c r="K503" t="n">
        <v>0</v>
      </c>
      <c r="L503" t="n">
        <v>0</v>
      </c>
      <c r="M503" t="n">
        <v>0</v>
      </c>
      <c r="N503" t="n">
        <v>0</v>
      </c>
      <c r="O503" t="n">
        <v>0</v>
      </c>
      <c r="P503" t="n">
        <v>0</v>
      </c>
      <c r="Q503" t="n">
        <v>0</v>
      </c>
      <c r="R503" s="2" t="inlineStr"/>
    </row>
    <row r="504" ht="15" customHeight="1">
      <c r="A504" t="inlineStr">
        <is>
          <t>A 45692-2023</t>
        </is>
      </c>
      <c r="B504" s="1" t="n">
        <v>45195</v>
      </c>
      <c r="C504" s="1" t="n">
        <v>46114</v>
      </c>
      <c r="D504" t="inlineStr">
        <is>
          <t>GOTLANDS LÄN</t>
        </is>
      </c>
      <c r="E504" t="inlineStr">
        <is>
          <t>GOTLAND</t>
        </is>
      </c>
      <c r="G504" t="n">
        <v>5.3</v>
      </c>
      <c r="H504" t="n">
        <v>0</v>
      </c>
      <c r="I504" t="n">
        <v>0</v>
      </c>
      <c r="J504" t="n">
        <v>0</v>
      </c>
      <c r="K504" t="n">
        <v>0</v>
      </c>
      <c r="L504" t="n">
        <v>0</v>
      </c>
      <c r="M504" t="n">
        <v>0</v>
      </c>
      <c r="N504" t="n">
        <v>0</v>
      </c>
      <c r="O504" t="n">
        <v>0</v>
      </c>
      <c r="P504" t="n">
        <v>0</v>
      </c>
      <c r="Q504" t="n">
        <v>0</v>
      </c>
      <c r="R504" s="2" t="inlineStr"/>
    </row>
    <row r="505" ht="15" customHeight="1">
      <c r="A505" t="inlineStr">
        <is>
          <t>A 1839-2026</t>
        </is>
      </c>
      <c r="B505" s="1" t="n">
        <v>46035.3942824074</v>
      </c>
      <c r="C505" s="1" t="n">
        <v>46114</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4639-2026</t>
        </is>
      </c>
      <c r="B506" s="1" t="n">
        <v>46048.39880787037</v>
      </c>
      <c r="C506" s="1" t="n">
        <v>46114</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4662-2026</t>
        </is>
      </c>
      <c r="B507" s="1" t="n">
        <v>46048.40949074074</v>
      </c>
      <c r="C507" s="1" t="n">
        <v>46114</v>
      </c>
      <c r="D507" t="inlineStr">
        <is>
          <t>GOTLANDS LÄN</t>
        </is>
      </c>
      <c r="E507" t="inlineStr">
        <is>
          <t>GOTLAND</t>
        </is>
      </c>
      <c r="G507" t="n">
        <v>7.6</v>
      </c>
      <c r="H507" t="n">
        <v>0</v>
      </c>
      <c r="I507" t="n">
        <v>0</v>
      </c>
      <c r="J507" t="n">
        <v>0</v>
      </c>
      <c r="K507" t="n">
        <v>0</v>
      </c>
      <c r="L507" t="n">
        <v>0</v>
      </c>
      <c r="M507" t="n">
        <v>0</v>
      </c>
      <c r="N507" t="n">
        <v>0</v>
      </c>
      <c r="O507" t="n">
        <v>0</v>
      </c>
      <c r="P507" t="n">
        <v>0</v>
      </c>
      <c r="Q507" t="n">
        <v>0</v>
      </c>
      <c r="R507" s="2" t="inlineStr"/>
    </row>
    <row r="508" ht="15" customHeight="1">
      <c r="A508" t="inlineStr">
        <is>
          <t>A 37222-2021</t>
        </is>
      </c>
      <c r="B508" s="1" t="n">
        <v>44396</v>
      </c>
      <c r="C508" s="1" t="n">
        <v>46114</v>
      </c>
      <c r="D508" t="inlineStr">
        <is>
          <t>GOTLANDS LÄN</t>
        </is>
      </c>
      <c r="E508" t="inlineStr">
        <is>
          <t>GOTLAND</t>
        </is>
      </c>
      <c r="G508" t="n">
        <v>3</v>
      </c>
      <c r="H508" t="n">
        <v>0</v>
      </c>
      <c r="I508" t="n">
        <v>0</v>
      </c>
      <c r="J508" t="n">
        <v>0</v>
      </c>
      <c r="K508" t="n">
        <v>0</v>
      </c>
      <c r="L508" t="n">
        <v>0</v>
      </c>
      <c r="M508" t="n">
        <v>0</v>
      </c>
      <c r="N508" t="n">
        <v>0</v>
      </c>
      <c r="O508" t="n">
        <v>0</v>
      </c>
      <c r="P508" t="n">
        <v>0</v>
      </c>
      <c r="Q508" t="n">
        <v>0</v>
      </c>
      <c r="R508" s="2" t="inlineStr"/>
    </row>
    <row r="509" ht="15" customHeight="1">
      <c r="A509" t="inlineStr">
        <is>
          <t>A 4646-2026</t>
        </is>
      </c>
      <c r="B509" s="1" t="n">
        <v>46048.40357638889</v>
      </c>
      <c r="C509" s="1" t="n">
        <v>46114</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46396-2023</t>
        </is>
      </c>
      <c r="B510" s="1" t="n">
        <v>45197</v>
      </c>
      <c r="C510" s="1" t="n">
        <v>46114</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4634-2026</t>
        </is>
      </c>
      <c r="B511" s="1" t="n">
        <v>46048.39304398148</v>
      </c>
      <c r="C511" s="1" t="n">
        <v>46114</v>
      </c>
      <c r="D511" t="inlineStr">
        <is>
          <t>GOTLANDS LÄN</t>
        </is>
      </c>
      <c r="E511" t="inlineStr">
        <is>
          <t>GOTLAND</t>
        </is>
      </c>
      <c r="G511" t="n">
        <v>7.8</v>
      </c>
      <c r="H511" t="n">
        <v>0</v>
      </c>
      <c r="I511" t="n">
        <v>0</v>
      </c>
      <c r="J511" t="n">
        <v>0</v>
      </c>
      <c r="K511" t="n">
        <v>0</v>
      </c>
      <c r="L511" t="n">
        <v>0</v>
      </c>
      <c r="M511" t="n">
        <v>0</v>
      </c>
      <c r="N511" t="n">
        <v>0</v>
      </c>
      <c r="O511" t="n">
        <v>0</v>
      </c>
      <c r="P511" t="n">
        <v>0</v>
      </c>
      <c r="Q511" t="n">
        <v>0</v>
      </c>
      <c r="R511" s="2" t="inlineStr"/>
    </row>
    <row r="512" ht="15" customHeight="1">
      <c r="A512" t="inlineStr">
        <is>
          <t>A 58388-2022</t>
        </is>
      </c>
      <c r="B512" s="1" t="n">
        <v>44894</v>
      </c>
      <c r="C512" s="1" t="n">
        <v>46114</v>
      </c>
      <c r="D512" t="inlineStr">
        <is>
          <t>GOTLANDS LÄN</t>
        </is>
      </c>
      <c r="E512" t="inlineStr">
        <is>
          <t>GOTLAND</t>
        </is>
      </c>
      <c r="F512" t="inlineStr">
        <is>
          <t>Övriga statliga verk och myndigheter</t>
        </is>
      </c>
      <c r="G512" t="n">
        <v>3.1</v>
      </c>
      <c r="H512" t="n">
        <v>0</v>
      </c>
      <c r="I512" t="n">
        <v>0</v>
      </c>
      <c r="J512" t="n">
        <v>0</v>
      </c>
      <c r="K512" t="n">
        <v>0</v>
      </c>
      <c r="L512" t="n">
        <v>0</v>
      </c>
      <c r="M512" t="n">
        <v>0</v>
      </c>
      <c r="N512" t="n">
        <v>0</v>
      </c>
      <c r="O512" t="n">
        <v>0</v>
      </c>
      <c r="P512" t="n">
        <v>0</v>
      </c>
      <c r="Q512" t="n">
        <v>0</v>
      </c>
      <c r="R512" s="2" t="inlineStr"/>
    </row>
    <row r="513" ht="15" customHeight="1">
      <c r="A513" t="inlineStr">
        <is>
          <t>A 4670-2026</t>
        </is>
      </c>
      <c r="B513" s="1" t="n">
        <v>46048.41733796296</v>
      </c>
      <c r="C513" s="1" t="n">
        <v>46114</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53934-2024</t>
        </is>
      </c>
      <c r="B514" s="1" t="n">
        <v>45615</v>
      </c>
      <c r="C514" s="1" t="n">
        <v>46114</v>
      </c>
      <c r="D514" t="inlineStr">
        <is>
          <t>GOTLANDS LÄN</t>
        </is>
      </c>
      <c r="E514" t="inlineStr">
        <is>
          <t>GOTLAND</t>
        </is>
      </c>
      <c r="G514" t="n">
        <v>5</v>
      </c>
      <c r="H514" t="n">
        <v>0</v>
      </c>
      <c r="I514" t="n">
        <v>0</v>
      </c>
      <c r="J514" t="n">
        <v>0</v>
      </c>
      <c r="K514" t="n">
        <v>0</v>
      </c>
      <c r="L514" t="n">
        <v>0</v>
      </c>
      <c r="M514" t="n">
        <v>0</v>
      </c>
      <c r="N514" t="n">
        <v>0</v>
      </c>
      <c r="O514" t="n">
        <v>0</v>
      </c>
      <c r="P514" t="n">
        <v>0</v>
      </c>
      <c r="Q514" t="n">
        <v>0</v>
      </c>
      <c r="R514" s="2" t="inlineStr"/>
    </row>
    <row r="515" ht="15" customHeight="1">
      <c r="A515" t="inlineStr">
        <is>
          <t>A 1854-2026</t>
        </is>
      </c>
      <c r="B515" s="1" t="n">
        <v>46035.4171875</v>
      </c>
      <c r="C515" s="1" t="n">
        <v>46114</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58132-2023</t>
        </is>
      </c>
      <c r="B516" s="1" t="n">
        <v>45250</v>
      </c>
      <c r="C516" s="1" t="n">
        <v>46114</v>
      </c>
      <c r="D516" t="inlineStr">
        <is>
          <t>GOTLANDS LÄN</t>
        </is>
      </c>
      <c r="E516" t="inlineStr">
        <is>
          <t>GOTLAND</t>
        </is>
      </c>
      <c r="G516" t="n">
        <v>3.1</v>
      </c>
      <c r="H516" t="n">
        <v>0</v>
      </c>
      <c r="I516" t="n">
        <v>0</v>
      </c>
      <c r="J516" t="n">
        <v>0</v>
      </c>
      <c r="K516" t="n">
        <v>0</v>
      </c>
      <c r="L516" t="n">
        <v>0</v>
      </c>
      <c r="M516" t="n">
        <v>0</v>
      </c>
      <c r="N516" t="n">
        <v>0</v>
      </c>
      <c r="O516" t="n">
        <v>0</v>
      </c>
      <c r="P516" t="n">
        <v>0</v>
      </c>
      <c r="Q516" t="n">
        <v>0</v>
      </c>
      <c r="R516" s="2" t="inlineStr"/>
    </row>
    <row r="517" ht="15" customHeight="1">
      <c r="A517" t="inlineStr">
        <is>
          <t>A 22899-2023</t>
        </is>
      </c>
      <c r="B517" s="1" t="n">
        <v>45072</v>
      </c>
      <c r="C517" s="1" t="n">
        <v>46114</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28285-2024</t>
        </is>
      </c>
      <c r="B518" s="1" t="n">
        <v>45477</v>
      </c>
      <c r="C518" s="1" t="n">
        <v>46114</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13482-2026</t>
        </is>
      </c>
      <c r="B519" s="1" t="n">
        <v>46094</v>
      </c>
      <c r="C519" s="1" t="n">
        <v>46114</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51963-2024</t>
        </is>
      </c>
      <c r="B520" s="1" t="n">
        <v>45607.64833333333</v>
      </c>
      <c r="C520" s="1" t="n">
        <v>46114</v>
      </c>
      <c r="D520" t="inlineStr">
        <is>
          <t>GOTLANDS LÄN</t>
        </is>
      </c>
      <c r="E520" t="inlineStr">
        <is>
          <t>GOTLAND</t>
        </is>
      </c>
      <c r="G520" t="n">
        <v>2.4</v>
      </c>
      <c r="H520" t="n">
        <v>0</v>
      </c>
      <c r="I520" t="n">
        <v>0</v>
      </c>
      <c r="J520" t="n">
        <v>0</v>
      </c>
      <c r="K520" t="n">
        <v>0</v>
      </c>
      <c r="L520" t="n">
        <v>0</v>
      </c>
      <c r="M520" t="n">
        <v>0</v>
      </c>
      <c r="N520" t="n">
        <v>0</v>
      </c>
      <c r="O520" t="n">
        <v>0</v>
      </c>
      <c r="P520" t="n">
        <v>0</v>
      </c>
      <c r="Q520" t="n">
        <v>0</v>
      </c>
      <c r="R520" s="2" t="inlineStr"/>
    </row>
    <row r="521" ht="15" customHeight="1">
      <c r="A521" t="inlineStr">
        <is>
          <t>A 13486-2026</t>
        </is>
      </c>
      <c r="B521" s="1" t="n">
        <v>46094</v>
      </c>
      <c r="C521" s="1" t="n">
        <v>46114</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1734-2025</t>
        </is>
      </c>
      <c r="B522" s="1" t="n">
        <v>45671.3840625</v>
      </c>
      <c r="C522" s="1" t="n">
        <v>46114</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30365-2024</t>
        </is>
      </c>
      <c r="B523" s="1" t="n">
        <v>45491.3716087963</v>
      </c>
      <c r="C523" s="1" t="n">
        <v>46114</v>
      </c>
      <c r="D523" t="inlineStr">
        <is>
          <t>GOTLANDS LÄN</t>
        </is>
      </c>
      <c r="E523" t="inlineStr">
        <is>
          <t>GOTLAND</t>
        </is>
      </c>
      <c r="G523" t="n">
        <v>0.5</v>
      </c>
      <c r="H523" t="n">
        <v>0</v>
      </c>
      <c r="I523" t="n">
        <v>0</v>
      </c>
      <c r="J523" t="n">
        <v>0</v>
      </c>
      <c r="K523" t="n">
        <v>0</v>
      </c>
      <c r="L523" t="n">
        <v>0</v>
      </c>
      <c r="M523" t="n">
        <v>0</v>
      </c>
      <c r="N523" t="n">
        <v>0</v>
      </c>
      <c r="O523" t="n">
        <v>0</v>
      </c>
      <c r="P523" t="n">
        <v>0</v>
      </c>
      <c r="Q523" t="n">
        <v>0</v>
      </c>
      <c r="R523" s="2" t="inlineStr"/>
    </row>
    <row r="524" ht="15" customHeight="1">
      <c r="A524" t="inlineStr">
        <is>
          <t>A 6207-2026</t>
        </is>
      </c>
      <c r="B524" s="1" t="n">
        <v>46055.42083333333</v>
      </c>
      <c r="C524" s="1" t="n">
        <v>46114</v>
      </c>
      <c r="D524" t="inlineStr">
        <is>
          <t>GOTLANDS LÄN</t>
        </is>
      </c>
      <c r="E524" t="inlineStr">
        <is>
          <t>GOTLAND</t>
        </is>
      </c>
      <c r="G524" t="n">
        <v>7.6</v>
      </c>
      <c r="H524" t="n">
        <v>0</v>
      </c>
      <c r="I524" t="n">
        <v>0</v>
      </c>
      <c r="J524" t="n">
        <v>0</v>
      </c>
      <c r="K524" t="n">
        <v>0</v>
      </c>
      <c r="L524" t="n">
        <v>0</v>
      </c>
      <c r="M524" t="n">
        <v>0</v>
      </c>
      <c r="N524" t="n">
        <v>0</v>
      </c>
      <c r="O524" t="n">
        <v>0</v>
      </c>
      <c r="P524" t="n">
        <v>0</v>
      </c>
      <c r="Q524" t="n">
        <v>0</v>
      </c>
      <c r="R524" s="2" t="inlineStr"/>
    </row>
    <row r="525" ht="15" customHeight="1">
      <c r="A525" t="inlineStr">
        <is>
          <t>A 6218-2026</t>
        </is>
      </c>
      <c r="B525" s="1" t="n">
        <v>46055.42859953704</v>
      </c>
      <c r="C525" s="1" t="n">
        <v>46114</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46114</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61100-2022</t>
        </is>
      </c>
      <c r="B527" s="1" t="n">
        <v>44915</v>
      </c>
      <c r="C527" s="1" t="n">
        <v>46114</v>
      </c>
      <c r="D527" t="inlineStr">
        <is>
          <t>GOTLANDS LÄN</t>
        </is>
      </c>
      <c r="E527" t="inlineStr">
        <is>
          <t>GOTLAND</t>
        </is>
      </c>
      <c r="G527" t="n">
        <v>1.4</v>
      </c>
      <c r="H527" t="n">
        <v>0</v>
      </c>
      <c r="I527" t="n">
        <v>0</v>
      </c>
      <c r="J527" t="n">
        <v>0</v>
      </c>
      <c r="K527" t="n">
        <v>0</v>
      </c>
      <c r="L527" t="n">
        <v>0</v>
      </c>
      <c r="M527" t="n">
        <v>0</v>
      </c>
      <c r="N527" t="n">
        <v>0</v>
      </c>
      <c r="O527" t="n">
        <v>0</v>
      </c>
      <c r="P527" t="n">
        <v>0</v>
      </c>
      <c r="Q527" t="n">
        <v>0</v>
      </c>
      <c r="R527" s="2" t="inlineStr"/>
    </row>
    <row r="528" ht="15" customHeight="1">
      <c r="A528" t="inlineStr">
        <is>
          <t>A 6959-2026</t>
        </is>
      </c>
      <c r="B528" s="1" t="n">
        <v>46057.580625</v>
      </c>
      <c r="C528" s="1" t="n">
        <v>46114</v>
      </c>
      <c r="D528" t="inlineStr">
        <is>
          <t>GOTLANDS LÄN</t>
        </is>
      </c>
      <c r="E528" t="inlineStr">
        <is>
          <t>GOTLAND</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3067-2026</t>
        </is>
      </c>
      <c r="B529" s="1" t="n">
        <v>46040.59025462963</v>
      </c>
      <c r="C529" s="1" t="n">
        <v>46114</v>
      </c>
      <c r="D529" t="inlineStr">
        <is>
          <t>GOTLANDS LÄN</t>
        </is>
      </c>
      <c r="E529" t="inlineStr">
        <is>
          <t>GOTLAND</t>
        </is>
      </c>
      <c r="G529" t="n">
        <v>7.8</v>
      </c>
      <c r="H529" t="n">
        <v>0</v>
      </c>
      <c r="I529" t="n">
        <v>0</v>
      </c>
      <c r="J529" t="n">
        <v>0</v>
      </c>
      <c r="K529" t="n">
        <v>0</v>
      </c>
      <c r="L529" t="n">
        <v>0</v>
      </c>
      <c r="M529" t="n">
        <v>0</v>
      </c>
      <c r="N529" t="n">
        <v>0</v>
      </c>
      <c r="O529" t="n">
        <v>0</v>
      </c>
      <c r="P529" t="n">
        <v>0</v>
      </c>
      <c r="Q529" t="n">
        <v>0</v>
      </c>
      <c r="R529" s="2" t="inlineStr"/>
    </row>
    <row r="530" ht="15" customHeight="1">
      <c r="A530" t="inlineStr">
        <is>
          <t>A 581-2023</t>
        </is>
      </c>
      <c r="B530" s="1" t="n">
        <v>44930</v>
      </c>
      <c r="C530" s="1" t="n">
        <v>46114</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6960-2026</t>
        </is>
      </c>
      <c r="B531" s="1" t="n">
        <v>46057.58105324074</v>
      </c>
      <c r="C531" s="1" t="n">
        <v>46114</v>
      </c>
      <c r="D531" t="inlineStr">
        <is>
          <t>GOTLANDS LÄN</t>
        </is>
      </c>
      <c r="E531" t="inlineStr">
        <is>
          <t>GOTLAND</t>
        </is>
      </c>
      <c r="F531" t="inlineStr">
        <is>
          <t>Kyrkan</t>
        </is>
      </c>
      <c r="G531" t="n">
        <v>2.4</v>
      </c>
      <c r="H531" t="n">
        <v>0</v>
      </c>
      <c r="I531" t="n">
        <v>0</v>
      </c>
      <c r="J531" t="n">
        <v>0</v>
      </c>
      <c r="K531" t="n">
        <v>0</v>
      </c>
      <c r="L531" t="n">
        <v>0</v>
      </c>
      <c r="M531" t="n">
        <v>0</v>
      </c>
      <c r="N531" t="n">
        <v>0</v>
      </c>
      <c r="O531" t="n">
        <v>0</v>
      </c>
      <c r="P531" t="n">
        <v>0</v>
      </c>
      <c r="Q531" t="n">
        <v>0</v>
      </c>
      <c r="R531" s="2" t="inlineStr"/>
    </row>
    <row r="532" ht="15" customHeight="1">
      <c r="A532" t="inlineStr">
        <is>
          <t>A 10655-2023</t>
        </is>
      </c>
      <c r="B532" s="1" t="n">
        <v>44988.49543981482</v>
      </c>
      <c r="C532" s="1" t="n">
        <v>46114</v>
      </c>
      <c r="D532" t="inlineStr">
        <is>
          <t>GOTLANDS LÄN</t>
        </is>
      </c>
      <c r="E532" t="inlineStr">
        <is>
          <t>GOTLAND</t>
        </is>
      </c>
      <c r="F532" t="inlineStr">
        <is>
          <t>Kyrkan</t>
        </is>
      </c>
      <c r="G532" t="n">
        <v>2</v>
      </c>
      <c r="H532" t="n">
        <v>0</v>
      </c>
      <c r="I532" t="n">
        <v>0</v>
      </c>
      <c r="J532" t="n">
        <v>0</v>
      </c>
      <c r="K532" t="n">
        <v>0</v>
      </c>
      <c r="L532" t="n">
        <v>0</v>
      </c>
      <c r="M532" t="n">
        <v>0</v>
      </c>
      <c r="N532" t="n">
        <v>0</v>
      </c>
      <c r="O532" t="n">
        <v>0</v>
      </c>
      <c r="P532" t="n">
        <v>0</v>
      </c>
      <c r="Q532" t="n">
        <v>0</v>
      </c>
      <c r="R532" s="2" t="inlineStr"/>
    </row>
    <row r="533" ht="15" customHeight="1">
      <c r="A533" t="inlineStr">
        <is>
          <t>A 44649-2021</t>
        </is>
      </c>
      <c r="B533" s="1" t="n">
        <v>44437</v>
      </c>
      <c r="C533" s="1" t="n">
        <v>46114</v>
      </c>
      <c r="D533" t="inlineStr">
        <is>
          <t>GOTLANDS LÄN</t>
        </is>
      </c>
      <c r="E533" t="inlineStr">
        <is>
          <t>GOTLAND</t>
        </is>
      </c>
      <c r="G533" t="n">
        <v>8.1</v>
      </c>
      <c r="H533" t="n">
        <v>0</v>
      </c>
      <c r="I533" t="n">
        <v>0</v>
      </c>
      <c r="J533" t="n">
        <v>0</v>
      </c>
      <c r="K533" t="n">
        <v>0</v>
      </c>
      <c r="L533" t="n">
        <v>0</v>
      </c>
      <c r="M533" t="n">
        <v>0</v>
      </c>
      <c r="N533" t="n">
        <v>0</v>
      </c>
      <c r="O533" t="n">
        <v>0</v>
      </c>
      <c r="P533" t="n">
        <v>0</v>
      </c>
      <c r="Q533" t="n">
        <v>0</v>
      </c>
      <c r="R533" s="2" t="inlineStr"/>
    </row>
    <row r="534" ht="15" customHeight="1">
      <c r="A534" t="inlineStr">
        <is>
          <t>A 8484-2025</t>
        </is>
      </c>
      <c r="B534" s="1" t="n">
        <v>45709</v>
      </c>
      <c r="C534" s="1" t="n">
        <v>46114</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49962-2023</t>
        </is>
      </c>
      <c r="B535" s="1" t="n">
        <v>45215.38775462963</v>
      </c>
      <c r="C535" s="1" t="n">
        <v>46114</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5863-2026</t>
        </is>
      </c>
      <c r="B536" s="1" t="n">
        <v>46052.36697916667</v>
      </c>
      <c r="C536" s="1" t="n">
        <v>46114</v>
      </c>
      <c r="D536" t="inlineStr">
        <is>
          <t>GOTLANDS LÄN</t>
        </is>
      </c>
      <c r="E536" t="inlineStr">
        <is>
          <t>GOTLAND</t>
        </is>
      </c>
      <c r="G536" t="n">
        <v>1.8</v>
      </c>
      <c r="H536" t="n">
        <v>0</v>
      </c>
      <c r="I536" t="n">
        <v>0</v>
      </c>
      <c r="J536" t="n">
        <v>0</v>
      </c>
      <c r="K536" t="n">
        <v>0</v>
      </c>
      <c r="L536" t="n">
        <v>0</v>
      </c>
      <c r="M536" t="n">
        <v>0</v>
      </c>
      <c r="N536" t="n">
        <v>0</v>
      </c>
      <c r="O536" t="n">
        <v>0</v>
      </c>
      <c r="P536" t="n">
        <v>0</v>
      </c>
      <c r="Q536" t="n">
        <v>0</v>
      </c>
      <c r="R536" s="2" t="inlineStr"/>
    </row>
    <row r="537" ht="15" customHeight="1">
      <c r="A537" t="inlineStr">
        <is>
          <t>A 7627-2026</t>
        </is>
      </c>
      <c r="B537" s="1" t="n">
        <v>46062.35465277778</v>
      </c>
      <c r="C537" s="1" t="n">
        <v>46114</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50744-2024</t>
        </is>
      </c>
      <c r="B538" s="1" t="n">
        <v>45602.4187037037</v>
      </c>
      <c r="C538" s="1" t="n">
        <v>46114</v>
      </c>
      <c r="D538" t="inlineStr">
        <is>
          <t>GOTLANDS LÄN</t>
        </is>
      </c>
      <c r="E538" t="inlineStr">
        <is>
          <t>GOTLAND</t>
        </is>
      </c>
      <c r="G538" t="n">
        <v>3.2</v>
      </c>
      <c r="H538" t="n">
        <v>0</v>
      </c>
      <c r="I538" t="n">
        <v>0</v>
      </c>
      <c r="J538" t="n">
        <v>0</v>
      </c>
      <c r="K538" t="n">
        <v>0</v>
      </c>
      <c r="L538" t="n">
        <v>0</v>
      </c>
      <c r="M538" t="n">
        <v>0</v>
      </c>
      <c r="N538" t="n">
        <v>0</v>
      </c>
      <c r="O538" t="n">
        <v>0</v>
      </c>
      <c r="P538" t="n">
        <v>0</v>
      </c>
      <c r="Q538" t="n">
        <v>0</v>
      </c>
      <c r="R538" s="2" t="inlineStr"/>
    </row>
    <row r="539" ht="15" customHeight="1">
      <c r="A539" t="inlineStr">
        <is>
          <t>A 63105-2025</t>
        </is>
      </c>
      <c r="B539" s="1" t="n">
        <v>46009</v>
      </c>
      <c r="C539" s="1" t="n">
        <v>46114</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14840-2026</t>
        </is>
      </c>
      <c r="B540" s="1" t="n">
        <v>46104.39498842593</v>
      </c>
      <c r="C540" s="1" t="n">
        <v>46114</v>
      </c>
      <c r="D540" t="inlineStr">
        <is>
          <t>GOTLANDS LÄN</t>
        </is>
      </c>
      <c r="E540" t="inlineStr">
        <is>
          <t>GOTLAND</t>
        </is>
      </c>
      <c r="G540" t="n">
        <v>2.5</v>
      </c>
      <c r="H540" t="n">
        <v>0</v>
      </c>
      <c r="I540" t="n">
        <v>0</v>
      </c>
      <c r="J540" t="n">
        <v>0</v>
      </c>
      <c r="K540" t="n">
        <v>0</v>
      </c>
      <c r="L540" t="n">
        <v>0</v>
      </c>
      <c r="M540" t="n">
        <v>0</v>
      </c>
      <c r="N540" t="n">
        <v>0</v>
      </c>
      <c r="O540" t="n">
        <v>0</v>
      </c>
      <c r="P540" t="n">
        <v>0</v>
      </c>
      <c r="Q540" t="n">
        <v>0</v>
      </c>
      <c r="R540" s="2" t="inlineStr"/>
    </row>
    <row r="541" ht="15" customHeight="1">
      <c r="A541" t="inlineStr">
        <is>
          <t>A 45244-2024</t>
        </is>
      </c>
      <c r="B541" s="1" t="n">
        <v>45576</v>
      </c>
      <c r="C541" s="1" t="n">
        <v>46114</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38787-2023</t>
        </is>
      </c>
      <c r="B542" s="1" t="n">
        <v>45163</v>
      </c>
      <c r="C542" s="1" t="n">
        <v>46114</v>
      </c>
      <c r="D542" t="inlineStr">
        <is>
          <t>GOTLANDS LÄN</t>
        </is>
      </c>
      <c r="E542" t="inlineStr">
        <is>
          <t>GOTLAND</t>
        </is>
      </c>
      <c r="G542" t="n">
        <v>0.4</v>
      </c>
      <c r="H542" t="n">
        <v>0</v>
      </c>
      <c r="I542" t="n">
        <v>0</v>
      </c>
      <c r="J542" t="n">
        <v>0</v>
      </c>
      <c r="K542" t="n">
        <v>0</v>
      </c>
      <c r="L542" t="n">
        <v>0</v>
      </c>
      <c r="M542" t="n">
        <v>0</v>
      </c>
      <c r="N542" t="n">
        <v>0</v>
      </c>
      <c r="O542" t="n">
        <v>0</v>
      </c>
      <c r="P542" t="n">
        <v>0</v>
      </c>
      <c r="Q542" t="n">
        <v>0</v>
      </c>
      <c r="R542" s="2" t="inlineStr"/>
    </row>
    <row r="543" ht="15" customHeight="1">
      <c r="A543" t="inlineStr">
        <is>
          <t>A 7625-2026</t>
        </is>
      </c>
      <c r="B543" s="1" t="n">
        <v>46062.35135416667</v>
      </c>
      <c r="C543" s="1" t="n">
        <v>46114</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2135-2026</t>
        </is>
      </c>
      <c r="B544" s="1" t="n">
        <v>46036</v>
      </c>
      <c r="C544" s="1" t="n">
        <v>46114</v>
      </c>
      <c r="D544" t="inlineStr">
        <is>
          <t>GOTLANDS LÄN</t>
        </is>
      </c>
      <c r="E544" t="inlineStr">
        <is>
          <t>GOTLAND</t>
        </is>
      </c>
      <c r="G544" t="n">
        <v>0.5</v>
      </c>
      <c r="H544" t="n">
        <v>0</v>
      </c>
      <c r="I544" t="n">
        <v>0</v>
      </c>
      <c r="J544" t="n">
        <v>0</v>
      </c>
      <c r="K544" t="n">
        <v>0</v>
      </c>
      <c r="L544" t="n">
        <v>0</v>
      </c>
      <c r="M544" t="n">
        <v>0</v>
      </c>
      <c r="N544" t="n">
        <v>0</v>
      </c>
      <c r="O544" t="n">
        <v>0</v>
      </c>
      <c r="P544" t="n">
        <v>0</v>
      </c>
      <c r="Q544" t="n">
        <v>0</v>
      </c>
      <c r="R544" s="2" t="inlineStr"/>
    </row>
    <row r="545" ht="15" customHeight="1">
      <c r="A545" t="inlineStr">
        <is>
          <t>A 2714-2023</t>
        </is>
      </c>
      <c r="B545" s="1" t="n">
        <v>44944.54896990741</v>
      </c>
      <c r="C545" s="1" t="n">
        <v>46114</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22897-2023</t>
        </is>
      </c>
      <c r="B546" s="1" t="n">
        <v>45072.55239583334</v>
      </c>
      <c r="C546" s="1" t="n">
        <v>46114</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2134-2026</t>
        </is>
      </c>
      <c r="B547" s="1" t="n">
        <v>46036</v>
      </c>
      <c r="C547" s="1" t="n">
        <v>46114</v>
      </c>
      <c r="D547" t="inlineStr">
        <is>
          <t>GOTLANDS LÄN</t>
        </is>
      </c>
      <c r="E547" t="inlineStr">
        <is>
          <t>GOTLAND</t>
        </is>
      </c>
      <c r="G547" t="n">
        <v>1.7</v>
      </c>
      <c r="H547" t="n">
        <v>0</v>
      </c>
      <c r="I547" t="n">
        <v>0</v>
      </c>
      <c r="J547" t="n">
        <v>0</v>
      </c>
      <c r="K547" t="n">
        <v>0</v>
      </c>
      <c r="L547" t="n">
        <v>0</v>
      </c>
      <c r="M547" t="n">
        <v>0</v>
      </c>
      <c r="N547" t="n">
        <v>0</v>
      </c>
      <c r="O547" t="n">
        <v>0</v>
      </c>
      <c r="P547" t="n">
        <v>0</v>
      </c>
      <c r="Q547" t="n">
        <v>0</v>
      </c>
      <c r="R547" s="2" t="inlineStr"/>
    </row>
    <row r="548" ht="15" customHeight="1">
      <c r="A548" t="inlineStr">
        <is>
          <t>A 62836-2025</t>
        </is>
      </c>
      <c r="B548" s="1" t="n">
        <v>46008</v>
      </c>
      <c r="C548" s="1" t="n">
        <v>46114</v>
      </c>
      <c r="D548" t="inlineStr">
        <is>
          <t>GOTLANDS LÄN</t>
        </is>
      </c>
      <c r="E548" t="inlineStr">
        <is>
          <t>GOTLAND</t>
        </is>
      </c>
      <c r="G548" t="n">
        <v>6.5</v>
      </c>
      <c r="H548" t="n">
        <v>0</v>
      </c>
      <c r="I548" t="n">
        <v>0</v>
      </c>
      <c r="J548" t="n">
        <v>0</v>
      </c>
      <c r="K548" t="n">
        <v>0</v>
      </c>
      <c r="L548" t="n">
        <v>0</v>
      </c>
      <c r="M548" t="n">
        <v>0</v>
      </c>
      <c r="N548" t="n">
        <v>0</v>
      </c>
      <c r="O548" t="n">
        <v>0</v>
      </c>
      <c r="P548" t="n">
        <v>0</v>
      </c>
      <c r="Q548" t="n">
        <v>0</v>
      </c>
      <c r="R548" s="2" t="inlineStr"/>
    </row>
    <row r="549" ht="15" customHeight="1">
      <c r="A549" t="inlineStr">
        <is>
          <t>A 4568-2025</t>
        </is>
      </c>
      <c r="B549" s="1" t="n">
        <v>45687</v>
      </c>
      <c r="C549" s="1" t="n">
        <v>46114</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1681-2023</t>
        </is>
      </c>
      <c r="B550" s="1" t="n">
        <v>44938.39715277778</v>
      </c>
      <c r="C550" s="1" t="n">
        <v>46114</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42338-2023</t>
        </is>
      </c>
      <c r="B551" s="1" t="n">
        <v>45180</v>
      </c>
      <c r="C551" s="1" t="n">
        <v>46114</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18918-2025</t>
        </is>
      </c>
      <c r="B552" s="1" t="n">
        <v>45764</v>
      </c>
      <c r="C552" s="1" t="n">
        <v>46114</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11013-2024</t>
        </is>
      </c>
      <c r="B553" s="1" t="n">
        <v>45370</v>
      </c>
      <c r="C553" s="1" t="n">
        <v>46114</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45084-2024</t>
        </is>
      </c>
      <c r="B554" s="1" t="n">
        <v>45575</v>
      </c>
      <c r="C554" s="1" t="n">
        <v>46114</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20356-2022</t>
        </is>
      </c>
      <c r="B555" s="1" t="n">
        <v>44699</v>
      </c>
      <c r="C555" s="1" t="n">
        <v>46114</v>
      </c>
      <c r="D555" t="inlineStr">
        <is>
          <t>GOTLANDS LÄN</t>
        </is>
      </c>
      <c r="E555" t="inlineStr">
        <is>
          <t>GOTLAND</t>
        </is>
      </c>
      <c r="F555" t="inlineStr">
        <is>
          <t>Övriga Aktiebolag</t>
        </is>
      </c>
      <c r="G555" t="n">
        <v>4.4</v>
      </c>
      <c r="H555" t="n">
        <v>0</v>
      </c>
      <c r="I555" t="n">
        <v>0</v>
      </c>
      <c r="J555" t="n">
        <v>0</v>
      </c>
      <c r="K555" t="n">
        <v>0</v>
      </c>
      <c r="L555" t="n">
        <v>0</v>
      </c>
      <c r="M555" t="n">
        <v>0</v>
      </c>
      <c r="N555" t="n">
        <v>0</v>
      </c>
      <c r="O555" t="n">
        <v>0</v>
      </c>
      <c r="P555" t="n">
        <v>0</v>
      </c>
      <c r="Q555" t="n">
        <v>0</v>
      </c>
      <c r="R555" s="2" t="inlineStr"/>
    </row>
    <row r="556" ht="15" customHeight="1">
      <c r="A556" t="inlineStr">
        <is>
          <t>A 4868-2024</t>
        </is>
      </c>
      <c r="B556" s="1" t="n">
        <v>45329</v>
      </c>
      <c r="C556" s="1" t="n">
        <v>46114</v>
      </c>
      <c r="D556" t="inlineStr">
        <is>
          <t>GOTLANDS LÄN</t>
        </is>
      </c>
      <c r="E556" t="inlineStr">
        <is>
          <t>GOTLAND</t>
        </is>
      </c>
      <c r="G556" t="n">
        <v>7.1</v>
      </c>
      <c r="H556" t="n">
        <v>0</v>
      </c>
      <c r="I556" t="n">
        <v>0</v>
      </c>
      <c r="J556" t="n">
        <v>0</v>
      </c>
      <c r="K556" t="n">
        <v>0</v>
      </c>
      <c r="L556" t="n">
        <v>0</v>
      </c>
      <c r="M556" t="n">
        <v>0</v>
      </c>
      <c r="N556" t="n">
        <v>0</v>
      </c>
      <c r="O556" t="n">
        <v>0</v>
      </c>
      <c r="P556" t="n">
        <v>0</v>
      </c>
      <c r="Q556" t="n">
        <v>0</v>
      </c>
      <c r="R556" s="2" t="inlineStr"/>
    </row>
    <row r="557" ht="15" customHeight="1">
      <c r="A557" t="inlineStr">
        <is>
          <t>A 9613-2025</t>
        </is>
      </c>
      <c r="B557" s="1" t="n">
        <v>45715</v>
      </c>
      <c r="C557" s="1" t="n">
        <v>46114</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46114</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58211-2024</t>
        </is>
      </c>
      <c r="B559" s="1" t="n">
        <v>45632.49292824074</v>
      </c>
      <c r="C559" s="1" t="n">
        <v>46114</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46114</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53561-2025</t>
        </is>
      </c>
      <c r="B561" s="1" t="n">
        <v>45960.4059375</v>
      </c>
      <c r="C561" s="1" t="n">
        <v>46114</v>
      </c>
      <c r="D561" t="inlineStr">
        <is>
          <t>GOTLANDS LÄN</t>
        </is>
      </c>
      <c r="E561" t="inlineStr">
        <is>
          <t>GOTLAND</t>
        </is>
      </c>
      <c r="F561" t="inlineStr">
        <is>
          <t>Övriga Aktiebolag</t>
        </is>
      </c>
      <c r="G561" t="n">
        <v>2.4</v>
      </c>
      <c r="H561" t="n">
        <v>0</v>
      </c>
      <c r="I561" t="n">
        <v>0</v>
      </c>
      <c r="J561" t="n">
        <v>0</v>
      </c>
      <c r="K561" t="n">
        <v>0</v>
      </c>
      <c r="L561" t="n">
        <v>0</v>
      </c>
      <c r="M561" t="n">
        <v>0</v>
      </c>
      <c r="N561" t="n">
        <v>0</v>
      </c>
      <c r="O561" t="n">
        <v>0</v>
      </c>
      <c r="P561" t="n">
        <v>0</v>
      </c>
      <c r="Q561" t="n">
        <v>0</v>
      </c>
      <c r="R561" s="2" t="inlineStr"/>
    </row>
    <row r="562" ht="15" customHeight="1">
      <c r="A562" t="inlineStr">
        <is>
          <t>A 5884-2025</t>
        </is>
      </c>
      <c r="B562" s="1" t="n">
        <v>45695.37482638889</v>
      </c>
      <c r="C562" s="1" t="n">
        <v>46114</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5897-2025</t>
        </is>
      </c>
      <c r="B563" s="1" t="n">
        <v>45695.39273148148</v>
      </c>
      <c r="C563" s="1" t="n">
        <v>46114</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5909-2025</t>
        </is>
      </c>
      <c r="B564" s="1" t="n">
        <v>45695.40634259259</v>
      </c>
      <c r="C564" s="1" t="n">
        <v>46114</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53587-2025</t>
        </is>
      </c>
      <c r="B565" s="1" t="n">
        <v>45960.43681712963</v>
      </c>
      <c r="C565" s="1" t="n">
        <v>46114</v>
      </c>
      <c r="D565" t="inlineStr">
        <is>
          <t>GOTLANDS LÄN</t>
        </is>
      </c>
      <c r="E565" t="inlineStr">
        <is>
          <t>GOTLAND</t>
        </is>
      </c>
      <c r="F565" t="inlineStr">
        <is>
          <t>Övriga Aktiebolag</t>
        </is>
      </c>
      <c r="G565" t="n">
        <v>1.7</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46114</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22704-2023</t>
        </is>
      </c>
      <c r="B567" s="1" t="n">
        <v>45071</v>
      </c>
      <c r="C567" s="1" t="n">
        <v>46114</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63000-2025</t>
        </is>
      </c>
      <c r="B568" s="1" t="n">
        <v>46009</v>
      </c>
      <c r="C568" s="1" t="n">
        <v>46114</v>
      </c>
      <c r="D568" t="inlineStr">
        <is>
          <t>GOTLANDS LÄN</t>
        </is>
      </c>
      <c r="E568" t="inlineStr">
        <is>
          <t>GOTLAND</t>
        </is>
      </c>
      <c r="F568" t="inlineStr">
        <is>
          <t>Övriga Aktiebolag</t>
        </is>
      </c>
      <c r="G568" t="n">
        <v>1.7</v>
      </c>
      <c r="H568" t="n">
        <v>0</v>
      </c>
      <c r="I568" t="n">
        <v>0</v>
      </c>
      <c r="J568" t="n">
        <v>0</v>
      </c>
      <c r="K568" t="n">
        <v>0</v>
      </c>
      <c r="L568" t="n">
        <v>0</v>
      </c>
      <c r="M568" t="n">
        <v>0</v>
      </c>
      <c r="N568" t="n">
        <v>0</v>
      </c>
      <c r="O568" t="n">
        <v>0</v>
      </c>
      <c r="P568" t="n">
        <v>0</v>
      </c>
      <c r="Q568" t="n">
        <v>0</v>
      </c>
      <c r="R568" s="2" t="inlineStr"/>
    </row>
    <row r="569" ht="15" customHeight="1">
      <c r="A569" t="inlineStr">
        <is>
          <t>A 9540-2026</t>
        </is>
      </c>
      <c r="B569" s="1" t="n">
        <v>46071.61961805556</v>
      </c>
      <c r="C569" s="1" t="n">
        <v>46114</v>
      </c>
      <c r="D569" t="inlineStr">
        <is>
          <t>GOTLANDS LÄN</t>
        </is>
      </c>
      <c r="E569" t="inlineStr">
        <is>
          <t>GOTLAND</t>
        </is>
      </c>
      <c r="G569" t="n">
        <v>2.8</v>
      </c>
      <c r="H569" t="n">
        <v>0</v>
      </c>
      <c r="I569" t="n">
        <v>0</v>
      </c>
      <c r="J569" t="n">
        <v>0</v>
      </c>
      <c r="K569" t="n">
        <v>0</v>
      </c>
      <c r="L569" t="n">
        <v>0</v>
      </c>
      <c r="M569" t="n">
        <v>0</v>
      </c>
      <c r="N569" t="n">
        <v>0</v>
      </c>
      <c r="O569" t="n">
        <v>0</v>
      </c>
      <c r="P569" t="n">
        <v>0</v>
      </c>
      <c r="Q569" t="n">
        <v>0</v>
      </c>
      <c r="R569" s="2" t="inlineStr"/>
    </row>
    <row r="570" ht="15" customHeight="1">
      <c r="A570" t="inlineStr">
        <is>
          <t>A 25866-2022</t>
        </is>
      </c>
      <c r="B570" s="1" t="n">
        <v>44733</v>
      </c>
      <c r="C570" s="1" t="n">
        <v>46114</v>
      </c>
      <c r="D570" t="inlineStr">
        <is>
          <t>GOTLANDS LÄN</t>
        </is>
      </c>
      <c r="E570" t="inlineStr">
        <is>
          <t>GOTLAND</t>
        </is>
      </c>
      <c r="G570" t="n">
        <v>2.9</v>
      </c>
      <c r="H570" t="n">
        <v>0</v>
      </c>
      <c r="I570" t="n">
        <v>0</v>
      </c>
      <c r="J570" t="n">
        <v>0</v>
      </c>
      <c r="K570" t="n">
        <v>0</v>
      </c>
      <c r="L570" t="n">
        <v>0</v>
      </c>
      <c r="M570" t="n">
        <v>0</v>
      </c>
      <c r="N570" t="n">
        <v>0</v>
      </c>
      <c r="O570" t="n">
        <v>0</v>
      </c>
      <c r="P570" t="n">
        <v>0</v>
      </c>
      <c r="Q570" t="n">
        <v>0</v>
      </c>
      <c r="R570" s="2" t="inlineStr"/>
    </row>
    <row r="571" ht="15" customHeight="1">
      <c r="A571" t="inlineStr">
        <is>
          <t>A 62751-2025</t>
        </is>
      </c>
      <c r="B571" s="1" t="n">
        <v>46008</v>
      </c>
      <c r="C571" s="1" t="n">
        <v>46114</v>
      </c>
      <c r="D571" t="inlineStr">
        <is>
          <t>GOTLANDS LÄN</t>
        </is>
      </c>
      <c r="E571" t="inlineStr">
        <is>
          <t>GOTLAND</t>
        </is>
      </c>
      <c r="F571" t="inlineStr">
        <is>
          <t>Övriga Aktiebolag</t>
        </is>
      </c>
      <c r="G571" t="n">
        <v>7.8</v>
      </c>
      <c r="H571" t="n">
        <v>0</v>
      </c>
      <c r="I571" t="n">
        <v>0</v>
      </c>
      <c r="J571" t="n">
        <v>0</v>
      </c>
      <c r="K571" t="n">
        <v>0</v>
      </c>
      <c r="L571" t="n">
        <v>0</v>
      </c>
      <c r="M571" t="n">
        <v>0</v>
      </c>
      <c r="N571" t="n">
        <v>0</v>
      </c>
      <c r="O571" t="n">
        <v>0</v>
      </c>
      <c r="P571" t="n">
        <v>0</v>
      </c>
      <c r="Q571" t="n">
        <v>0</v>
      </c>
      <c r="R571" s="2" t="inlineStr"/>
    </row>
    <row r="572" ht="15" customHeight="1">
      <c r="A572" t="inlineStr">
        <is>
          <t>A 9521-2026</t>
        </is>
      </c>
      <c r="B572" s="1" t="n">
        <v>46071.59969907408</v>
      </c>
      <c r="C572" s="1" t="n">
        <v>46114</v>
      </c>
      <c r="D572" t="inlineStr">
        <is>
          <t>GOTLANDS LÄN</t>
        </is>
      </c>
      <c r="E572" t="inlineStr">
        <is>
          <t>GOTLAND</t>
        </is>
      </c>
      <c r="G572" t="n">
        <v>3.9</v>
      </c>
      <c r="H572" t="n">
        <v>0</v>
      </c>
      <c r="I572" t="n">
        <v>0</v>
      </c>
      <c r="J572" t="n">
        <v>0</v>
      </c>
      <c r="K572" t="n">
        <v>0</v>
      </c>
      <c r="L572" t="n">
        <v>0</v>
      </c>
      <c r="M572" t="n">
        <v>0</v>
      </c>
      <c r="N572" t="n">
        <v>0</v>
      </c>
      <c r="O572" t="n">
        <v>0</v>
      </c>
      <c r="P572" t="n">
        <v>0</v>
      </c>
      <c r="Q572" t="n">
        <v>0</v>
      </c>
      <c r="R572" s="2" t="inlineStr"/>
    </row>
    <row r="573" ht="15" customHeight="1">
      <c r="A573" t="inlineStr">
        <is>
          <t>A 9524-2026</t>
        </is>
      </c>
      <c r="B573" s="1" t="n">
        <v>46071.60108796296</v>
      </c>
      <c r="C573" s="1" t="n">
        <v>46114</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9543-2026</t>
        </is>
      </c>
      <c r="B574" s="1" t="n">
        <v>46071.62486111111</v>
      </c>
      <c r="C574" s="1" t="n">
        <v>46114</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9504-2026</t>
        </is>
      </c>
      <c r="B575" s="1" t="n">
        <v>46071.57730324074</v>
      </c>
      <c r="C575" s="1" t="n">
        <v>46114</v>
      </c>
      <c r="D575" t="inlineStr">
        <is>
          <t>GOTLANDS LÄN</t>
        </is>
      </c>
      <c r="E575" t="inlineStr">
        <is>
          <t>GOTLAND</t>
        </is>
      </c>
      <c r="G575" t="n">
        <v>0.6</v>
      </c>
      <c r="H575" t="n">
        <v>0</v>
      </c>
      <c r="I575" t="n">
        <v>0</v>
      </c>
      <c r="J575" t="n">
        <v>0</v>
      </c>
      <c r="K575" t="n">
        <v>0</v>
      </c>
      <c r="L575" t="n">
        <v>0</v>
      </c>
      <c r="M575" t="n">
        <v>0</v>
      </c>
      <c r="N575" t="n">
        <v>0</v>
      </c>
      <c r="O575" t="n">
        <v>0</v>
      </c>
      <c r="P575" t="n">
        <v>0</v>
      </c>
      <c r="Q575" t="n">
        <v>0</v>
      </c>
      <c r="R575" s="2" t="inlineStr"/>
    </row>
    <row r="576" ht="15" customHeight="1">
      <c r="A576" t="inlineStr">
        <is>
          <t>A 9518-2026</t>
        </is>
      </c>
      <c r="B576" s="1" t="n">
        <v>46071.59653935185</v>
      </c>
      <c r="C576" s="1" t="n">
        <v>46114</v>
      </c>
      <c r="D576" t="inlineStr">
        <is>
          <t>GOTLANDS LÄN</t>
        </is>
      </c>
      <c r="E576" t="inlineStr">
        <is>
          <t>GOTLAND</t>
        </is>
      </c>
      <c r="G576" t="n">
        <v>6.2</v>
      </c>
      <c r="H576" t="n">
        <v>0</v>
      </c>
      <c r="I576" t="n">
        <v>0</v>
      </c>
      <c r="J576" t="n">
        <v>0</v>
      </c>
      <c r="K576" t="n">
        <v>0</v>
      </c>
      <c r="L576" t="n">
        <v>0</v>
      </c>
      <c r="M576" t="n">
        <v>0</v>
      </c>
      <c r="N576" t="n">
        <v>0</v>
      </c>
      <c r="O576" t="n">
        <v>0</v>
      </c>
      <c r="P576" t="n">
        <v>0</v>
      </c>
      <c r="Q576" t="n">
        <v>0</v>
      </c>
      <c r="R576" s="2" t="inlineStr"/>
    </row>
    <row r="577" ht="15" customHeight="1">
      <c r="A577" t="inlineStr">
        <is>
          <t>A 9519-2026</t>
        </is>
      </c>
      <c r="B577" s="1" t="n">
        <v>46071.59820601852</v>
      </c>
      <c r="C577" s="1" t="n">
        <v>46114</v>
      </c>
      <c r="D577" t="inlineStr">
        <is>
          <t>GOTLANDS LÄN</t>
        </is>
      </c>
      <c r="E577" t="inlineStr">
        <is>
          <t>GOTLAND</t>
        </is>
      </c>
      <c r="G577" t="n">
        <v>4</v>
      </c>
      <c r="H577" t="n">
        <v>0</v>
      </c>
      <c r="I577" t="n">
        <v>0</v>
      </c>
      <c r="J577" t="n">
        <v>0</v>
      </c>
      <c r="K577" t="n">
        <v>0</v>
      </c>
      <c r="L577" t="n">
        <v>0</v>
      </c>
      <c r="M577" t="n">
        <v>0</v>
      </c>
      <c r="N577" t="n">
        <v>0</v>
      </c>
      <c r="O577" t="n">
        <v>0</v>
      </c>
      <c r="P577" t="n">
        <v>0</v>
      </c>
      <c r="Q577" t="n">
        <v>0</v>
      </c>
      <c r="R577" s="2" t="inlineStr"/>
    </row>
    <row r="578" ht="15" customHeight="1">
      <c r="A578" t="inlineStr">
        <is>
          <t>A 62754-2025</t>
        </is>
      </c>
      <c r="B578" s="1" t="n">
        <v>46008</v>
      </c>
      <c r="C578" s="1" t="n">
        <v>46114</v>
      </c>
      <c r="D578" t="inlineStr">
        <is>
          <t>GOTLANDS LÄN</t>
        </is>
      </c>
      <c r="E578" t="inlineStr">
        <is>
          <t>GOTLAND</t>
        </is>
      </c>
      <c r="F578" t="inlineStr">
        <is>
          <t>Övriga Aktiebolag</t>
        </is>
      </c>
      <c r="G578" t="n">
        <v>2.9</v>
      </c>
      <c r="H578" t="n">
        <v>0</v>
      </c>
      <c r="I578" t="n">
        <v>0</v>
      </c>
      <c r="J578" t="n">
        <v>0</v>
      </c>
      <c r="K578" t="n">
        <v>0</v>
      </c>
      <c r="L578" t="n">
        <v>0</v>
      </c>
      <c r="M578" t="n">
        <v>0</v>
      </c>
      <c r="N578" t="n">
        <v>0</v>
      </c>
      <c r="O578" t="n">
        <v>0</v>
      </c>
      <c r="P578" t="n">
        <v>0</v>
      </c>
      <c r="Q578" t="n">
        <v>0</v>
      </c>
      <c r="R578" s="2" t="inlineStr"/>
    </row>
    <row r="579" ht="15" customHeight="1">
      <c r="A579" t="inlineStr">
        <is>
          <t>A 9887-2025</t>
        </is>
      </c>
      <c r="B579" s="1" t="n">
        <v>45716</v>
      </c>
      <c r="C579" s="1" t="n">
        <v>46114</v>
      </c>
      <c r="D579" t="inlineStr">
        <is>
          <t>GOTLANDS LÄN</t>
        </is>
      </c>
      <c r="E579" t="inlineStr">
        <is>
          <t>GOTLAND</t>
        </is>
      </c>
      <c r="G579" t="n">
        <v>7.5</v>
      </c>
      <c r="H579" t="n">
        <v>0</v>
      </c>
      <c r="I579" t="n">
        <v>0</v>
      </c>
      <c r="J579" t="n">
        <v>0</v>
      </c>
      <c r="K579" t="n">
        <v>0</v>
      </c>
      <c r="L579" t="n">
        <v>0</v>
      </c>
      <c r="M579" t="n">
        <v>0</v>
      </c>
      <c r="N579" t="n">
        <v>0</v>
      </c>
      <c r="O579" t="n">
        <v>0</v>
      </c>
      <c r="P579" t="n">
        <v>0</v>
      </c>
      <c r="Q579" t="n">
        <v>0</v>
      </c>
      <c r="R579" s="2" t="inlineStr"/>
    </row>
    <row r="580" ht="15" customHeight="1">
      <c r="A580" t="inlineStr">
        <is>
          <t>A 12209-2024</t>
        </is>
      </c>
      <c r="B580" s="1" t="n">
        <v>45378</v>
      </c>
      <c r="C580" s="1" t="n">
        <v>46114</v>
      </c>
      <c r="D580" t="inlineStr">
        <is>
          <t>GOTLANDS LÄN</t>
        </is>
      </c>
      <c r="E580" t="inlineStr">
        <is>
          <t>GOTLAND</t>
        </is>
      </c>
      <c r="G580" t="n">
        <v>5.3</v>
      </c>
      <c r="H580" t="n">
        <v>0</v>
      </c>
      <c r="I580" t="n">
        <v>0</v>
      </c>
      <c r="J580" t="n">
        <v>0</v>
      </c>
      <c r="K580" t="n">
        <v>0</v>
      </c>
      <c r="L580" t="n">
        <v>0</v>
      </c>
      <c r="M580" t="n">
        <v>0</v>
      </c>
      <c r="N580" t="n">
        <v>0</v>
      </c>
      <c r="O580" t="n">
        <v>0</v>
      </c>
      <c r="P580" t="n">
        <v>0</v>
      </c>
      <c r="Q580" t="n">
        <v>0</v>
      </c>
      <c r="R580" s="2" t="inlineStr"/>
    </row>
    <row r="581" ht="15" customHeight="1">
      <c r="A581" t="inlineStr">
        <is>
          <t>A 12210-2024</t>
        </is>
      </c>
      <c r="B581" s="1" t="n">
        <v>45378</v>
      </c>
      <c r="C581" s="1" t="n">
        <v>46114</v>
      </c>
      <c r="D581" t="inlineStr">
        <is>
          <t>GOTLANDS LÄN</t>
        </is>
      </c>
      <c r="E581" t="inlineStr">
        <is>
          <t>GOTLAND</t>
        </is>
      </c>
      <c r="G581" t="n">
        <v>4.1</v>
      </c>
      <c r="H581" t="n">
        <v>0</v>
      </c>
      <c r="I581" t="n">
        <v>0</v>
      </c>
      <c r="J581" t="n">
        <v>0</v>
      </c>
      <c r="K581" t="n">
        <v>0</v>
      </c>
      <c r="L581" t="n">
        <v>0</v>
      </c>
      <c r="M581" t="n">
        <v>0</v>
      </c>
      <c r="N581" t="n">
        <v>0</v>
      </c>
      <c r="O581" t="n">
        <v>0</v>
      </c>
      <c r="P581" t="n">
        <v>0</v>
      </c>
      <c r="Q581" t="n">
        <v>0</v>
      </c>
      <c r="R581" s="2" t="inlineStr"/>
    </row>
    <row r="582" ht="15" customHeight="1">
      <c r="A582" t="inlineStr">
        <is>
          <t>A 59986-2022</t>
        </is>
      </c>
      <c r="B582" s="1" t="n">
        <v>44909</v>
      </c>
      <c r="C582" s="1" t="n">
        <v>46114</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31802-2024</t>
        </is>
      </c>
      <c r="B583" s="1" t="n">
        <v>45509</v>
      </c>
      <c r="C583" s="1" t="n">
        <v>46114</v>
      </c>
      <c r="D583" t="inlineStr">
        <is>
          <t>GOTLANDS LÄN</t>
        </is>
      </c>
      <c r="E583" t="inlineStr">
        <is>
          <t>GOTLAND</t>
        </is>
      </c>
      <c r="G583" t="n">
        <v>2.8</v>
      </c>
      <c r="H583" t="n">
        <v>0</v>
      </c>
      <c r="I583" t="n">
        <v>0</v>
      </c>
      <c r="J583" t="n">
        <v>0</v>
      </c>
      <c r="K583" t="n">
        <v>0</v>
      </c>
      <c r="L583" t="n">
        <v>0</v>
      </c>
      <c r="M583" t="n">
        <v>0</v>
      </c>
      <c r="N583" t="n">
        <v>0</v>
      </c>
      <c r="O583" t="n">
        <v>0</v>
      </c>
      <c r="P583" t="n">
        <v>0</v>
      </c>
      <c r="Q583" t="n">
        <v>0</v>
      </c>
      <c r="R583" s="2" t="inlineStr"/>
    </row>
    <row r="584" ht="15" customHeight="1">
      <c r="A584" t="inlineStr">
        <is>
          <t>A 20993-2023</t>
        </is>
      </c>
      <c r="B584" s="1" t="n">
        <v>45056</v>
      </c>
      <c r="C584" s="1" t="n">
        <v>46114</v>
      </c>
      <c r="D584" t="inlineStr">
        <is>
          <t>GOTLANDS LÄN</t>
        </is>
      </c>
      <c r="E584" t="inlineStr">
        <is>
          <t>GOTLAND</t>
        </is>
      </c>
      <c r="G584" t="n">
        <v>7.1</v>
      </c>
      <c r="H584" t="n">
        <v>0</v>
      </c>
      <c r="I584" t="n">
        <v>0</v>
      </c>
      <c r="J584" t="n">
        <v>0</v>
      </c>
      <c r="K584" t="n">
        <v>0</v>
      </c>
      <c r="L584" t="n">
        <v>0</v>
      </c>
      <c r="M584" t="n">
        <v>0</v>
      </c>
      <c r="N584" t="n">
        <v>0</v>
      </c>
      <c r="O584" t="n">
        <v>0</v>
      </c>
      <c r="P584" t="n">
        <v>0</v>
      </c>
      <c r="Q584" t="n">
        <v>0</v>
      </c>
      <c r="R584" s="2" t="inlineStr"/>
    </row>
    <row r="585" ht="15" customHeight="1">
      <c r="A585" t="inlineStr">
        <is>
          <t>A 15042-2025</t>
        </is>
      </c>
      <c r="B585" s="1" t="n">
        <v>45743</v>
      </c>
      <c r="C585" s="1" t="n">
        <v>46114</v>
      </c>
      <c r="D585" t="inlineStr">
        <is>
          <t>GOTLANDS LÄN</t>
        </is>
      </c>
      <c r="E585" t="inlineStr">
        <is>
          <t>GOTLAND</t>
        </is>
      </c>
      <c r="G585" t="n">
        <v>8.5</v>
      </c>
      <c r="H585" t="n">
        <v>0</v>
      </c>
      <c r="I585" t="n">
        <v>0</v>
      </c>
      <c r="J585" t="n">
        <v>0</v>
      </c>
      <c r="K585" t="n">
        <v>0</v>
      </c>
      <c r="L585" t="n">
        <v>0</v>
      </c>
      <c r="M585" t="n">
        <v>0</v>
      </c>
      <c r="N585" t="n">
        <v>0</v>
      </c>
      <c r="O585" t="n">
        <v>0</v>
      </c>
      <c r="P585" t="n">
        <v>0</v>
      </c>
      <c r="Q585" t="n">
        <v>0</v>
      </c>
      <c r="R585" s="2" t="inlineStr"/>
    </row>
    <row r="586" ht="15" customHeight="1">
      <c r="A586" t="inlineStr">
        <is>
          <t>A 12327-2025</t>
        </is>
      </c>
      <c r="B586" s="1" t="n">
        <v>45730</v>
      </c>
      <c r="C586" s="1" t="n">
        <v>46114</v>
      </c>
      <c r="D586" t="inlineStr">
        <is>
          <t>GOTLANDS LÄN</t>
        </is>
      </c>
      <c r="E586" t="inlineStr">
        <is>
          <t>GOTLAND</t>
        </is>
      </c>
      <c r="G586" t="n">
        <v>1.8</v>
      </c>
      <c r="H586" t="n">
        <v>0</v>
      </c>
      <c r="I586" t="n">
        <v>0</v>
      </c>
      <c r="J586" t="n">
        <v>0</v>
      </c>
      <c r="K586" t="n">
        <v>0</v>
      </c>
      <c r="L586" t="n">
        <v>0</v>
      </c>
      <c r="M586" t="n">
        <v>0</v>
      </c>
      <c r="N586" t="n">
        <v>0</v>
      </c>
      <c r="O586" t="n">
        <v>0</v>
      </c>
      <c r="P586" t="n">
        <v>0</v>
      </c>
      <c r="Q586" t="n">
        <v>0</v>
      </c>
      <c r="R586" s="2" t="inlineStr"/>
    </row>
    <row r="587" ht="15" customHeight="1">
      <c r="A587" t="inlineStr">
        <is>
          <t>A 4420-2025</t>
        </is>
      </c>
      <c r="B587" s="1" t="n">
        <v>45686.47157407407</v>
      </c>
      <c r="C587" s="1" t="n">
        <v>46114</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14427-2024</t>
        </is>
      </c>
      <c r="B588" s="1" t="n">
        <v>45394</v>
      </c>
      <c r="C588" s="1" t="n">
        <v>46114</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49257-2024</t>
        </is>
      </c>
      <c r="B589" s="1" t="n">
        <v>45595.47627314815</v>
      </c>
      <c r="C589" s="1" t="n">
        <v>46114</v>
      </c>
      <c r="D589" t="inlineStr">
        <is>
          <t>GOTLANDS LÄN</t>
        </is>
      </c>
      <c r="E589" t="inlineStr">
        <is>
          <t>GOTLAND</t>
        </is>
      </c>
      <c r="G589" t="n">
        <v>6.3</v>
      </c>
      <c r="H589" t="n">
        <v>0</v>
      </c>
      <c r="I589" t="n">
        <v>0</v>
      </c>
      <c r="J589" t="n">
        <v>0</v>
      </c>
      <c r="K589" t="n">
        <v>0</v>
      </c>
      <c r="L589" t="n">
        <v>0</v>
      </c>
      <c r="M589" t="n">
        <v>0</v>
      </c>
      <c r="N589" t="n">
        <v>0</v>
      </c>
      <c r="O589" t="n">
        <v>0</v>
      </c>
      <c r="P589" t="n">
        <v>0</v>
      </c>
      <c r="Q589" t="n">
        <v>0</v>
      </c>
      <c r="R589" s="2" t="inlineStr"/>
    </row>
    <row r="590" ht="15" customHeight="1">
      <c r="A590" t="inlineStr">
        <is>
          <t>A 49315-2024</t>
        </is>
      </c>
      <c r="B590" s="1" t="n">
        <v>45595</v>
      </c>
      <c r="C590" s="1" t="n">
        <v>46114</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27596-2023</t>
        </is>
      </c>
      <c r="B591" s="1" t="n">
        <v>45097</v>
      </c>
      <c r="C591" s="1" t="n">
        <v>46114</v>
      </c>
      <c r="D591" t="inlineStr">
        <is>
          <t>GOTLANDS LÄN</t>
        </is>
      </c>
      <c r="E591" t="inlineStr">
        <is>
          <t>GOTLAND</t>
        </is>
      </c>
      <c r="G591" t="n">
        <v>3.6</v>
      </c>
      <c r="H591" t="n">
        <v>0</v>
      </c>
      <c r="I591" t="n">
        <v>0</v>
      </c>
      <c r="J591" t="n">
        <v>0</v>
      </c>
      <c r="K591" t="n">
        <v>0</v>
      </c>
      <c r="L591" t="n">
        <v>0</v>
      </c>
      <c r="M591" t="n">
        <v>0</v>
      </c>
      <c r="N591" t="n">
        <v>0</v>
      </c>
      <c r="O591" t="n">
        <v>0</v>
      </c>
      <c r="P591" t="n">
        <v>0</v>
      </c>
      <c r="Q591" t="n">
        <v>0</v>
      </c>
      <c r="R591" s="2" t="inlineStr"/>
    </row>
    <row r="592" ht="15" customHeight="1">
      <c r="A592" t="inlineStr">
        <is>
          <t>A 56115-2023</t>
        </is>
      </c>
      <c r="B592" s="1" t="n">
        <v>45236</v>
      </c>
      <c r="C592" s="1" t="n">
        <v>46114</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64969-2023</t>
        </is>
      </c>
      <c r="B593" s="1" t="n">
        <v>45284.54009259259</v>
      </c>
      <c r="C593" s="1" t="n">
        <v>46114</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33853-2024</t>
        </is>
      </c>
      <c r="B594" s="1" t="n">
        <v>45520.64298611111</v>
      </c>
      <c r="C594" s="1" t="n">
        <v>46114</v>
      </c>
      <c r="D594" t="inlineStr">
        <is>
          <t>GOTLANDS LÄN</t>
        </is>
      </c>
      <c r="E594" t="inlineStr">
        <is>
          <t>GOTLAND</t>
        </is>
      </c>
      <c r="G594" t="n">
        <v>3.9</v>
      </c>
      <c r="H594" t="n">
        <v>0</v>
      </c>
      <c r="I594" t="n">
        <v>0</v>
      </c>
      <c r="J594" t="n">
        <v>0</v>
      </c>
      <c r="K594" t="n">
        <v>0</v>
      </c>
      <c r="L594" t="n">
        <v>0</v>
      </c>
      <c r="M594" t="n">
        <v>0</v>
      </c>
      <c r="N594" t="n">
        <v>0</v>
      </c>
      <c r="O594" t="n">
        <v>0</v>
      </c>
      <c r="P594" t="n">
        <v>0</v>
      </c>
      <c r="Q594" t="n">
        <v>0</v>
      </c>
      <c r="R594" s="2" t="inlineStr"/>
    </row>
    <row r="595" ht="15" customHeight="1">
      <c r="A595" t="inlineStr">
        <is>
          <t>A 18223-2025</t>
        </is>
      </c>
      <c r="B595" s="1" t="n">
        <v>45761</v>
      </c>
      <c r="C595" s="1" t="n">
        <v>46114</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46949-2024</t>
        </is>
      </c>
      <c r="B596" s="1" t="n">
        <v>45585</v>
      </c>
      <c r="C596" s="1" t="n">
        <v>46114</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24001-2021</t>
        </is>
      </c>
      <c r="B597" s="1" t="n">
        <v>44335</v>
      </c>
      <c r="C597" s="1" t="n">
        <v>46114</v>
      </c>
      <c r="D597" t="inlineStr">
        <is>
          <t>GOTLANDS LÄN</t>
        </is>
      </c>
      <c r="E597" t="inlineStr">
        <is>
          <t>GOTLAND</t>
        </is>
      </c>
      <c r="G597" t="n">
        <v>3.4</v>
      </c>
      <c r="H597" t="n">
        <v>0</v>
      </c>
      <c r="I597" t="n">
        <v>0</v>
      </c>
      <c r="J597" t="n">
        <v>0</v>
      </c>
      <c r="K597" t="n">
        <v>0</v>
      </c>
      <c r="L597" t="n">
        <v>0</v>
      </c>
      <c r="M597" t="n">
        <v>0</v>
      </c>
      <c r="N597" t="n">
        <v>0</v>
      </c>
      <c r="O597" t="n">
        <v>0</v>
      </c>
      <c r="P597" t="n">
        <v>0</v>
      </c>
      <c r="Q597" t="n">
        <v>0</v>
      </c>
      <c r="R597" s="2" t="inlineStr"/>
    </row>
    <row r="598" ht="15" customHeight="1">
      <c r="A598" t="inlineStr">
        <is>
          <t>A 39479-2022</t>
        </is>
      </c>
      <c r="B598" s="1" t="n">
        <v>44818</v>
      </c>
      <c r="C598" s="1" t="n">
        <v>46114</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39496-2022</t>
        </is>
      </c>
      <c r="B599" s="1" t="n">
        <v>44818</v>
      </c>
      <c r="C599" s="1" t="n">
        <v>46114</v>
      </c>
      <c r="D599" t="inlineStr">
        <is>
          <t>GOTLANDS LÄN</t>
        </is>
      </c>
      <c r="E599" t="inlineStr">
        <is>
          <t>GOTLAND</t>
        </is>
      </c>
      <c r="G599" t="n">
        <v>2.4</v>
      </c>
      <c r="H599" t="n">
        <v>0</v>
      </c>
      <c r="I599" t="n">
        <v>0</v>
      </c>
      <c r="J599" t="n">
        <v>0</v>
      </c>
      <c r="K599" t="n">
        <v>0</v>
      </c>
      <c r="L599" t="n">
        <v>0</v>
      </c>
      <c r="M599" t="n">
        <v>0</v>
      </c>
      <c r="N599" t="n">
        <v>0</v>
      </c>
      <c r="O599" t="n">
        <v>0</v>
      </c>
      <c r="P599" t="n">
        <v>0</v>
      </c>
      <c r="Q599" t="n">
        <v>0</v>
      </c>
      <c r="R599" s="2" t="inlineStr"/>
    </row>
    <row r="600" ht="15" customHeight="1">
      <c r="A600" t="inlineStr">
        <is>
          <t>A 46389-2021</t>
        </is>
      </c>
      <c r="B600" s="1" t="n">
        <v>44443</v>
      </c>
      <c r="C600" s="1" t="n">
        <v>46114</v>
      </c>
      <c r="D600" t="inlineStr">
        <is>
          <t>GOTLANDS LÄN</t>
        </is>
      </c>
      <c r="E600" t="inlineStr">
        <is>
          <t>GOTLAND</t>
        </is>
      </c>
      <c r="F600" t="inlineStr">
        <is>
          <t>Kyrkan</t>
        </is>
      </c>
      <c r="G600" t="n">
        <v>2.1</v>
      </c>
      <c r="H600" t="n">
        <v>0</v>
      </c>
      <c r="I600" t="n">
        <v>0</v>
      </c>
      <c r="J600" t="n">
        <v>0</v>
      </c>
      <c r="K600" t="n">
        <v>0</v>
      </c>
      <c r="L600" t="n">
        <v>0</v>
      </c>
      <c r="M600" t="n">
        <v>0</v>
      </c>
      <c r="N600" t="n">
        <v>0</v>
      </c>
      <c r="O600" t="n">
        <v>0</v>
      </c>
      <c r="P600" t="n">
        <v>0</v>
      </c>
      <c r="Q600" t="n">
        <v>0</v>
      </c>
      <c r="R600" s="2" t="inlineStr"/>
    </row>
    <row r="601" ht="15" customHeight="1">
      <c r="A601" t="inlineStr">
        <is>
          <t>A 44949-2023</t>
        </is>
      </c>
      <c r="B601" s="1" t="n">
        <v>45190.69520833333</v>
      </c>
      <c r="C601" s="1" t="n">
        <v>46114</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17682-2024</t>
        </is>
      </c>
      <c r="B602" s="1" t="n">
        <v>45418.42966435185</v>
      </c>
      <c r="C602" s="1" t="n">
        <v>46114</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61897-2024</t>
        </is>
      </c>
      <c r="B603" s="1" t="n">
        <v>45652.75685185185</v>
      </c>
      <c r="C603" s="1" t="n">
        <v>46114</v>
      </c>
      <c r="D603" t="inlineStr">
        <is>
          <t>GOTLANDS LÄN</t>
        </is>
      </c>
      <c r="E603" t="inlineStr">
        <is>
          <t>GOTLAND</t>
        </is>
      </c>
      <c r="G603" t="n">
        <v>6.4</v>
      </c>
      <c r="H603" t="n">
        <v>0</v>
      </c>
      <c r="I603" t="n">
        <v>0</v>
      </c>
      <c r="J603" t="n">
        <v>0</v>
      </c>
      <c r="K603" t="n">
        <v>0</v>
      </c>
      <c r="L603" t="n">
        <v>0</v>
      </c>
      <c r="M603" t="n">
        <v>0</v>
      </c>
      <c r="N603" t="n">
        <v>0</v>
      </c>
      <c r="O603" t="n">
        <v>0</v>
      </c>
      <c r="P603" t="n">
        <v>0</v>
      </c>
      <c r="Q603" t="n">
        <v>0</v>
      </c>
      <c r="R603" s="2" t="inlineStr"/>
    </row>
    <row r="604" ht="15" customHeight="1">
      <c r="A604" t="inlineStr">
        <is>
          <t>A 12032-2025</t>
        </is>
      </c>
      <c r="B604" s="1" t="n">
        <v>45728.64472222222</v>
      </c>
      <c r="C604" s="1" t="n">
        <v>46114</v>
      </c>
      <c r="D604" t="inlineStr">
        <is>
          <t>GOTLANDS LÄN</t>
        </is>
      </c>
      <c r="E604" t="inlineStr">
        <is>
          <t>GOTLAND</t>
        </is>
      </c>
      <c r="G604" t="n">
        <v>1.4</v>
      </c>
      <c r="H604" t="n">
        <v>0</v>
      </c>
      <c r="I604" t="n">
        <v>0</v>
      </c>
      <c r="J604" t="n">
        <v>0</v>
      </c>
      <c r="K604" t="n">
        <v>0</v>
      </c>
      <c r="L604" t="n">
        <v>0</v>
      </c>
      <c r="M604" t="n">
        <v>0</v>
      </c>
      <c r="N604" t="n">
        <v>0</v>
      </c>
      <c r="O604" t="n">
        <v>0</v>
      </c>
      <c r="P604" t="n">
        <v>0</v>
      </c>
      <c r="Q604" t="n">
        <v>0</v>
      </c>
      <c r="R604" s="2" t="inlineStr"/>
    </row>
    <row r="605" ht="15" customHeight="1">
      <c r="A605" t="inlineStr">
        <is>
          <t>A 15595-2024</t>
        </is>
      </c>
      <c r="B605" s="1" t="n">
        <v>45401.81480324074</v>
      </c>
      <c r="C605" s="1" t="n">
        <v>46114</v>
      </c>
      <c r="D605" t="inlineStr">
        <is>
          <t>GOTLANDS LÄN</t>
        </is>
      </c>
      <c r="E605" t="inlineStr">
        <is>
          <t>GOTLAND</t>
        </is>
      </c>
      <c r="G605" t="n">
        <v>6.4</v>
      </c>
      <c r="H605" t="n">
        <v>0</v>
      </c>
      <c r="I605" t="n">
        <v>0</v>
      </c>
      <c r="J605" t="n">
        <v>0</v>
      </c>
      <c r="K605" t="n">
        <v>0</v>
      </c>
      <c r="L605" t="n">
        <v>0</v>
      </c>
      <c r="M605" t="n">
        <v>0</v>
      </c>
      <c r="N605" t="n">
        <v>0</v>
      </c>
      <c r="O605" t="n">
        <v>0</v>
      </c>
      <c r="P605" t="n">
        <v>0</v>
      </c>
      <c r="Q605" t="n">
        <v>0</v>
      </c>
      <c r="R605" s="2" t="inlineStr"/>
    </row>
    <row r="606" ht="15" customHeight="1">
      <c r="A606" t="inlineStr">
        <is>
          <t>A 21164-2024</t>
        </is>
      </c>
      <c r="B606" s="1" t="n">
        <v>45440</v>
      </c>
      <c r="C606" s="1" t="n">
        <v>46114</v>
      </c>
      <c r="D606" t="inlineStr">
        <is>
          <t>GOTLANDS LÄN</t>
        </is>
      </c>
      <c r="E606" t="inlineStr">
        <is>
          <t>GOTLAND</t>
        </is>
      </c>
      <c r="G606" t="n">
        <v>6.3</v>
      </c>
      <c r="H606" t="n">
        <v>0</v>
      </c>
      <c r="I606" t="n">
        <v>0</v>
      </c>
      <c r="J606" t="n">
        <v>0</v>
      </c>
      <c r="K606" t="n">
        <v>0</v>
      </c>
      <c r="L606" t="n">
        <v>0</v>
      </c>
      <c r="M606" t="n">
        <v>0</v>
      </c>
      <c r="N606" t="n">
        <v>0</v>
      </c>
      <c r="O606" t="n">
        <v>0</v>
      </c>
      <c r="P606" t="n">
        <v>0</v>
      </c>
      <c r="Q606" t="n">
        <v>0</v>
      </c>
      <c r="R606" s="2" t="inlineStr"/>
    </row>
    <row r="607" ht="15" customHeight="1">
      <c r="A607" t="inlineStr">
        <is>
          <t>A 17541-2024</t>
        </is>
      </c>
      <c r="B607" s="1" t="n">
        <v>45415</v>
      </c>
      <c r="C607" s="1" t="n">
        <v>46114</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883-2025</t>
        </is>
      </c>
      <c r="B608" s="1" t="n">
        <v>45665</v>
      </c>
      <c r="C608" s="1" t="n">
        <v>46114</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13910-2025</t>
        </is>
      </c>
      <c r="B609" s="1" t="n">
        <v>45737</v>
      </c>
      <c r="C609" s="1" t="n">
        <v>46114</v>
      </c>
      <c r="D609" t="inlineStr">
        <is>
          <t>GOTLANDS LÄN</t>
        </is>
      </c>
      <c r="E609" t="inlineStr">
        <is>
          <t>GOTLAND</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20794-2025</t>
        </is>
      </c>
      <c r="B610" s="1" t="n">
        <v>45776</v>
      </c>
      <c r="C610" s="1" t="n">
        <v>46114</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20805-2025</t>
        </is>
      </c>
      <c r="B611" s="1" t="n">
        <v>45776</v>
      </c>
      <c r="C611" s="1" t="n">
        <v>46114</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21389-2025</t>
        </is>
      </c>
      <c r="B612" s="1" t="n">
        <v>45782</v>
      </c>
      <c r="C612" s="1" t="n">
        <v>46114</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21651-2025</t>
        </is>
      </c>
      <c r="B613" s="1" t="n">
        <v>45783</v>
      </c>
      <c r="C613" s="1" t="n">
        <v>46114</v>
      </c>
      <c r="D613" t="inlineStr">
        <is>
          <t>GOTLANDS LÄN</t>
        </is>
      </c>
      <c r="E613" t="inlineStr">
        <is>
          <t>GOTLAND</t>
        </is>
      </c>
      <c r="G613" t="n">
        <v>4.2</v>
      </c>
      <c r="H613" t="n">
        <v>0</v>
      </c>
      <c r="I613" t="n">
        <v>0</v>
      </c>
      <c r="J613" t="n">
        <v>0</v>
      </c>
      <c r="K613" t="n">
        <v>0</v>
      </c>
      <c r="L613" t="n">
        <v>0</v>
      </c>
      <c r="M613" t="n">
        <v>0</v>
      </c>
      <c r="N613" t="n">
        <v>0</v>
      </c>
      <c r="O613" t="n">
        <v>0</v>
      </c>
      <c r="P613" t="n">
        <v>0</v>
      </c>
      <c r="Q613" t="n">
        <v>0</v>
      </c>
      <c r="R613" s="2" t="inlineStr"/>
    </row>
    <row r="614" ht="15" customHeight="1">
      <c r="A614" t="inlineStr">
        <is>
          <t>A 21420-2024</t>
        </is>
      </c>
      <c r="B614" s="1" t="n">
        <v>45441.38293981482</v>
      </c>
      <c r="C614" s="1" t="n">
        <v>46114</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10656-2024</t>
        </is>
      </c>
      <c r="B615" s="1" t="n">
        <v>45368</v>
      </c>
      <c r="C615" s="1" t="n">
        <v>46114</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57356-2023</t>
        </is>
      </c>
      <c r="B616" s="1" t="n">
        <v>45240</v>
      </c>
      <c r="C616" s="1" t="n">
        <v>46114</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28506-2023</t>
        </is>
      </c>
      <c r="B617" s="1" t="n">
        <v>45103</v>
      </c>
      <c r="C617" s="1" t="n">
        <v>46114</v>
      </c>
      <c r="D617" t="inlineStr">
        <is>
          <t>GOTLANDS LÄN</t>
        </is>
      </c>
      <c r="E617" t="inlineStr">
        <is>
          <t>GOTLAND</t>
        </is>
      </c>
      <c r="G617" t="n">
        <v>3.2</v>
      </c>
      <c r="H617" t="n">
        <v>0</v>
      </c>
      <c r="I617" t="n">
        <v>0</v>
      </c>
      <c r="J617" t="n">
        <v>0</v>
      </c>
      <c r="K617" t="n">
        <v>0</v>
      </c>
      <c r="L617" t="n">
        <v>0</v>
      </c>
      <c r="M617" t="n">
        <v>0</v>
      </c>
      <c r="N617" t="n">
        <v>0</v>
      </c>
      <c r="O617" t="n">
        <v>0</v>
      </c>
      <c r="P617" t="n">
        <v>0</v>
      </c>
      <c r="Q617" t="n">
        <v>0</v>
      </c>
      <c r="R617" s="2" t="inlineStr"/>
    </row>
    <row r="618" ht="15" customHeight="1">
      <c r="A618" t="inlineStr">
        <is>
          <t>A 23188-2025</t>
        </is>
      </c>
      <c r="B618" s="1" t="n">
        <v>45791</v>
      </c>
      <c r="C618" s="1" t="n">
        <v>46114</v>
      </c>
      <c r="D618" t="inlineStr">
        <is>
          <t>GOTLANDS LÄN</t>
        </is>
      </c>
      <c r="E618" t="inlineStr">
        <is>
          <t>GOTLAND</t>
        </is>
      </c>
      <c r="G618" t="n">
        <v>6.2</v>
      </c>
      <c r="H618" t="n">
        <v>0</v>
      </c>
      <c r="I618" t="n">
        <v>0</v>
      </c>
      <c r="J618" t="n">
        <v>0</v>
      </c>
      <c r="K618" t="n">
        <v>0</v>
      </c>
      <c r="L618" t="n">
        <v>0</v>
      </c>
      <c r="M618" t="n">
        <v>0</v>
      </c>
      <c r="N618" t="n">
        <v>0</v>
      </c>
      <c r="O618" t="n">
        <v>0</v>
      </c>
      <c r="P618" t="n">
        <v>0</v>
      </c>
      <c r="Q618" t="n">
        <v>0</v>
      </c>
      <c r="R618" s="2" t="inlineStr"/>
    </row>
    <row r="619" ht="15" customHeight="1">
      <c r="A619" t="inlineStr">
        <is>
          <t>A 23856-2025</t>
        </is>
      </c>
      <c r="B619" s="1" t="n">
        <v>45793</v>
      </c>
      <c r="C619" s="1" t="n">
        <v>46114</v>
      </c>
      <c r="D619" t="inlineStr">
        <is>
          <t>GOTLANDS LÄN</t>
        </is>
      </c>
      <c r="E619" t="inlineStr">
        <is>
          <t>GOTLAND</t>
        </is>
      </c>
      <c r="G619" t="n">
        <v>4.4</v>
      </c>
      <c r="H619" t="n">
        <v>0</v>
      </c>
      <c r="I619" t="n">
        <v>0</v>
      </c>
      <c r="J619" t="n">
        <v>0</v>
      </c>
      <c r="K619" t="n">
        <v>0</v>
      </c>
      <c r="L619" t="n">
        <v>0</v>
      </c>
      <c r="M619" t="n">
        <v>0</v>
      </c>
      <c r="N619" t="n">
        <v>0</v>
      </c>
      <c r="O619" t="n">
        <v>0</v>
      </c>
      <c r="P619" t="n">
        <v>0</v>
      </c>
      <c r="Q619" t="n">
        <v>0</v>
      </c>
      <c r="R619" s="2" t="inlineStr"/>
    </row>
    <row r="620" ht="15" customHeight="1">
      <c r="A620" t="inlineStr">
        <is>
          <t>A 23473-2025</t>
        </is>
      </c>
      <c r="B620" s="1" t="n">
        <v>45792</v>
      </c>
      <c r="C620" s="1" t="n">
        <v>46114</v>
      </c>
      <c r="D620" t="inlineStr">
        <is>
          <t>GOTLANDS LÄN</t>
        </is>
      </c>
      <c r="E620" t="inlineStr">
        <is>
          <t>GOTLAND</t>
        </is>
      </c>
      <c r="G620" t="n">
        <v>3.6</v>
      </c>
      <c r="H620" t="n">
        <v>0</v>
      </c>
      <c r="I620" t="n">
        <v>0</v>
      </c>
      <c r="J620" t="n">
        <v>0</v>
      </c>
      <c r="K620" t="n">
        <v>0</v>
      </c>
      <c r="L620" t="n">
        <v>0</v>
      </c>
      <c r="M620" t="n">
        <v>0</v>
      </c>
      <c r="N620" t="n">
        <v>0</v>
      </c>
      <c r="O620" t="n">
        <v>0</v>
      </c>
      <c r="P620" t="n">
        <v>0</v>
      </c>
      <c r="Q620" t="n">
        <v>0</v>
      </c>
      <c r="R620" s="2" t="inlineStr"/>
    </row>
    <row r="621" ht="15" customHeight="1">
      <c r="A621" t="inlineStr">
        <is>
          <t>A 23698-2025</t>
        </is>
      </c>
      <c r="B621" s="1" t="n">
        <v>45793</v>
      </c>
      <c r="C621" s="1" t="n">
        <v>46114</v>
      </c>
      <c r="D621" t="inlineStr">
        <is>
          <t>GOTLANDS LÄN</t>
        </is>
      </c>
      <c r="E621" t="inlineStr">
        <is>
          <t>GOTLAND</t>
        </is>
      </c>
      <c r="G621" t="n">
        <v>0.8</v>
      </c>
      <c r="H621" t="n">
        <v>0</v>
      </c>
      <c r="I621" t="n">
        <v>0</v>
      </c>
      <c r="J621" t="n">
        <v>0</v>
      </c>
      <c r="K621" t="n">
        <v>0</v>
      </c>
      <c r="L621" t="n">
        <v>0</v>
      </c>
      <c r="M621" t="n">
        <v>0</v>
      </c>
      <c r="N621" t="n">
        <v>0</v>
      </c>
      <c r="O621" t="n">
        <v>0</v>
      </c>
      <c r="P621" t="n">
        <v>0</v>
      </c>
      <c r="Q621" t="n">
        <v>0</v>
      </c>
      <c r="R621" s="2" t="inlineStr"/>
    </row>
    <row r="622" ht="15" customHeight="1">
      <c r="A622" t="inlineStr">
        <is>
          <t>A 15073-2025</t>
        </is>
      </c>
      <c r="B622" s="1" t="n">
        <v>45743</v>
      </c>
      <c r="C622" s="1" t="n">
        <v>46114</v>
      </c>
      <c r="D622" t="inlineStr">
        <is>
          <t>GOTLANDS LÄN</t>
        </is>
      </c>
      <c r="E622" t="inlineStr">
        <is>
          <t>GOTLAND</t>
        </is>
      </c>
      <c r="G622" t="n">
        <v>12.1</v>
      </c>
      <c r="H622" t="n">
        <v>0</v>
      </c>
      <c r="I622" t="n">
        <v>0</v>
      </c>
      <c r="J622" t="n">
        <v>0</v>
      </c>
      <c r="K622" t="n">
        <v>0</v>
      </c>
      <c r="L622" t="n">
        <v>0</v>
      </c>
      <c r="M622" t="n">
        <v>0</v>
      </c>
      <c r="N622" t="n">
        <v>0</v>
      </c>
      <c r="O622" t="n">
        <v>0</v>
      </c>
      <c r="P622" t="n">
        <v>0</v>
      </c>
      <c r="Q622" t="n">
        <v>0</v>
      </c>
      <c r="R622" s="2" t="inlineStr"/>
    </row>
    <row r="623" ht="15" customHeight="1">
      <c r="A623" t="inlineStr">
        <is>
          <t>A 6749-2025</t>
        </is>
      </c>
      <c r="B623" s="1" t="n">
        <v>45700</v>
      </c>
      <c r="C623" s="1" t="n">
        <v>46114</v>
      </c>
      <c r="D623" t="inlineStr">
        <is>
          <t>GOTLANDS LÄN</t>
        </is>
      </c>
      <c r="E623" t="inlineStr">
        <is>
          <t>GOTLAND</t>
        </is>
      </c>
      <c r="G623" t="n">
        <v>4.5</v>
      </c>
      <c r="H623" t="n">
        <v>0</v>
      </c>
      <c r="I623" t="n">
        <v>0</v>
      </c>
      <c r="J623" t="n">
        <v>0</v>
      </c>
      <c r="K623" t="n">
        <v>0</v>
      </c>
      <c r="L623" t="n">
        <v>0</v>
      </c>
      <c r="M623" t="n">
        <v>0</v>
      </c>
      <c r="N623" t="n">
        <v>0</v>
      </c>
      <c r="O623" t="n">
        <v>0</v>
      </c>
      <c r="P623" t="n">
        <v>0</v>
      </c>
      <c r="Q623" t="n">
        <v>0</v>
      </c>
      <c r="R623" s="2" t="inlineStr"/>
    </row>
    <row r="624" ht="15" customHeight="1">
      <c r="A624" t="inlineStr">
        <is>
          <t>A 5462-2025</t>
        </is>
      </c>
      <c r="B624" s="1" t="n">
        <v>45693.29331018519</v>
      </c>
      <c r="C624" s="1" t="n">
        <v>46114</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25796-2025</t>
        </is>
      </c>
      <c r="B625" s="1" t="n">
        <v>45804.39543981481</v>
      </c>
      <c r="C625" s="1" t="n">
        <v>46114</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26465-2025</t>
        </is>
      </c>
      <c r="B626" s="1" t="n">
        <v>45807.44377314814</v>
      </c>
      <c r="C626" s="1" t="n">
        <v>46114</v>
      </c>
      <c r="D626" t="inlineStr">
        <is>
          <t>GOTLANDS LÄN</t>
        </is>
      </c>
      <c r="E626" t="inlineStr">
        <is>
          <t>GOTLAND</t>
        </is>
      </c>
      <c r="G626" t="n">
        <v>4.5</v>
      </c>
      <c r="H626" t="n">
        <v>0</v>
      </c>
      <c r="I626" t="n">
        <v>0</v>
      </c>
      <c r="J626" t="n">
        <v>0</v>
      </c>
      <c r="K626" t="n">
        <v>0</v>
      </c>
      <c r="L626" t="n">
        <v>0</v>
      </c>
      <c r="M626" t="n">
        <v>0</v>
      </c>
      <c r="N626" t="n">
        <v>0</v>
      </c>
      <c r="O626" t="n">
        <v>0</v>
      </c>
      <c r="P626" t="n">
        <v>0</v>
      </c>
      <c r="Q626" t="n">
        <v>0</v>
      </c>
      <c r="R626" s="2" t="inlineStr"/>
    </row>
    <row r="627" ht="15" customHeight="1">
      <c r="A627" t="inlineStr">
        <is>
          <t>A 26457-2025</t>
        </is>
      </c>
      <c r="B627" s="1" t="n">
        <v>45807.42773148148</v>
      </c>
      <c r="C627" s="1" t="n">
        <v>46114</v>
      </c>
      <c r="D627" t="inlineStr">
        <is>
          <t>GOTLANDS LÄN</t>
        </is>
      </c>
      <c r="E627" t="inlineStr">
        <is>
          <t>GOTLAND</t>
        </is>
      </c>
      <c r="G627" t="n">
        <v>5.7</v>
      </c>
      <c r="H627" t="n">
        <v>0</v>
      </c>
      <c r="I627" t="n">
        <v>0</v>
      </c>
      <c r="J627" t="n">
        <v>0</v>
      </c>
      <c r="K627" t="n">
        <v>0</v>
      </c>
      <c r="L627" t="n">
        <v>0</v>
      </c>
      <c r="M627" t="n">
        <v>0</v>
      </c>
      <c r="N627" t="n">
        <v>0</v>
      </c>
      <c r="O627" t="n">
        <v>0</v>
      </c>
      <c r="P627" t="n">
        <v>0</v>
      </c>
      <c r="Q627" t="n">
        <v>0</v>
      </c>
      <c r="R627" s="2" t="inlineStr"/>
    </row>
    <row r="628" ht="15" customHeight="1">
      <c r="A628" t="inlineStr">
        <is>
          <t>A 26467-2025</t>
        </is>
      </c>
      <c r="B628" s="1" t="n">
        <v>45807.44640046296</v>
      </c>
      <c r="C628" s="1" t="n">
        <v>46114</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26660-2025</t>
        </is>
      </c>
      <c r="B629" s="1" t="n">
        <v>45810.39737268518</v>
      </c>
      <c r="C629" s="1" t="n">
        <v>46114</v>
      </c>
      <c r="D629" t="inlineStr">
        <is>
          <t>GOTLANDS LÄN</t>
        </is>
      </c>
      <c r="E629" t="inlineStr">
        <is>
          <t>GOTLAND</t>
        </is>
      </c>
      <c r="G629" t="n">
        <v>1.8</v>
      </c>
      <c r="H629" t="n">
        <v>0</v>
      </c>
      <c r="I629" t="n">
        <v>0</v>
      </c>
      <c r="J629" t="n">
        <v>0</v>
      </c>
      <c r="K629" t="n">
        <v>0</v>
      </c>
      <c r="L629" t="n">
        <v>0</v>
      </c>
      <c r="M629" t="n">
        <v>0</v>
      </c>
      <c r="N629" t="n">
        <v>0</v>
      </c>
      <c r="O629" t="n">
        <v>0</v>
      </c>
      <c r="P629" t="n">
        <v>0</v>
      </c>
      <c r="Q629" t="n">
        <v>0</v>
      </c>
      <c r="R629" s="2" t="inlineStr"/>
    </row>
    <row r="630" ht="15" customHeight="1">
      <c r="A630" t="inlineStr">
        <is>
          <t>A 27355-2025</t>
        </is>
      </c>
      <c r="B630" s="1" t="n">
        <v>45812</v>
      </c>
      <c r="C630" s="1" t="n">
        <v>46114</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27371-2025</t>
        </is>
      </c>
      <c r="B631" s="1" t="n">
        <v>45812</v>
      </c>
      <c r="C631" s="1" t="n">
        <v>46114</v>
      </c>
      <c r="D631" t="inlineStr">
        <is>
          <t>GOTLANDS LÄN</t>
        </is>
      </c>
      <c r="E631" t="inlineStr">
        <is>
          <t>GOTLAND</t>
        </is>
      </c>
      <c r="G631" t="n">
        <v>8</v>
      </c>
      <c r="H631" t="n">
        <v>0</v>
      </c>
      <c r="I631" t="n">
        <v>0</v>
      </c>
      <c r="J631" t="n">
        <v>0</v>
      </c>
      <c r="K631" t="n">
        <v>0</v>
      </c>
      <c r="L631" t="n">
        <v>0</v>
      </c>
      <c r="M631" t="n">
        <v>0</v>
      </c>
      <c r="N631" t="n">
        <v>0</v>
      </c>
      <c r="O631" t="n">
        <v>0</v>
      </c>
      <c r="P631" t="n">
        <v>0</v>
      </c>
      <c r="Q631" t="n">
        <v>0</v>
      </c>
      <c r="R631" s="2" t="inlineStr"/>
    </row>
    <row r="632" ht="15" customHeight="1">
      <c r="A632" t="inlineStr">
        <is>
          <t>A 7850-2025</t>
        </is>
      </c>
      <c r="B632" s="1" t="n">
        <v>45706</v>
      </c>
      <c r="C632" s="1" t="n">
        <v>46114</v>
      </c>
      <c r="D632" t="inlineStr">
        <is>
          <t>GOTLANDS LÄN</t>
        </is>
      </c>
      <c r="E632" t="inlineStr">
        <is>
          <t>GOTLAND</t>
        </is>
      </c>
      <c r="G632" t="n">
        <v>0.5</v>
      </c>
      <c r="H632" t="n">
        <v>0</v>
      </c>
      <c r="I632" t="n">
        <v>0</v>
      </c>
      <c r="J632" t="n">
        <v>0</v>
      </c>
      <c r="K632" t="n">
        <v>0</v>
      </c>
      <c r="L632" t="n">
        <v>0</v>
      </c>
      <c r="M632" t="n">
        <v>0</v>
      </c>
      <c r="N632" t="n">
        <v>0</v>
      </c>
      <c r="O632" t="n">
        <v>0</v>
      </c>
      <c r="P632" t="n">
        <v>0</v>
      </c>
      <c r="Q632" t="n">
        <v>0</v>
      </c>
      <c r="R632" s="2" t="inlineStr"/>
    </row>
    <row r="633" ht="15" customHeight="1">
      <c r="A633" t="inlineStr">
        <is>
          <t>A 6739-2025</t>
        </is>
      </c>
      <c r="B633" s="1" t="n">
        <v>45700</v>
      </c>
      <c r="C633" s="1" t="n">
        <v>46114</v>
      </c>
      <c r="D633" t="inlineStr">
        <is>
          <t>GOTLANDS LÄN</t>
        </is>
      </c>
      <c r="E633" t="inlineStr">
        <is>
          <t>GOTLAND</t>
        </is>
      </c>
      <c r="G633" t="n">
        <v>4.5</v>
      </c>
      <c r="H633" t="n">
        <v>0</v>
      </c>
      <c r="I633" t="n">
        <v>0</v>
      </c>
      <c r="J633" t="n">
        <v>0</v>
      </c>
      <c r="K633" t="n">
        <v>0</v>
      </c>
      <c r="L633" t="n">
        <v>0</v>
      </c>
      <c r="M633" t="n">
        <v>0</v>
      </c>
      <c r="N633" t="n">
        <v>0</v>
      </c>
      <c r="O633" t="n">
        <v>0</v>
      </c>
      <c r="P633" t="n">
        <v>0</v>
      </c>
      <c r="Q633" t="n">
        <v>0</v>
      </c>
      <c r="R633" s="2" t="inlineStr"/>
    </row>
    <row r="634" ht="15" customHeight="1">
      <c r="A634" t="inlineStr">
        <is>
          <t>A 8444-2025</t>
        </is>
      </c>
      <c r="B634" s="1" t="n">
        <v>45709</v>
      </c>
      <c r="C634" s="1" t="n">
        <v>46114</v>
      </c>
      <c r="D634" t="inlineStr">
        <is>
          <t>GOTLANDS LÄN</t>
        </is>
      </c>
      <c r="E634" t="inlineStr">
        <is>
          <t>GOTLAND</t>
        </is>
      </c>
      <c r="G634" t="n">
        <v>5.2</v>
      </c>
      <c r="H634" t="n">
        <v>0</v>
      </c>
      <c r="I634" t="n">
        <v>0</v>
      </c>
      <c r="J634" t="n">
        <v>0</v>
      </c>
      <c r="K634" t="n">
        <v>0</v>
      </c>
      <c r="L634" t="n">
        <v>0</v>
      </c>
      <c r="M634" t="n">
        <v>0</v>
      </c>
      <c r="N634" t="n">
        <v>0</v>
      </c>
      <c r="O634" t="n">
        <v>0</v>
      </c>
      <c r="P634" t="n">
        <v>0</v>
      </c>
      <c r="Q634" t="n">
        <v>0</v>
      </c>
      <c r="R634" s="2" t="inlineStr"/>
    </row>
    <row r="635" ht="15" customHeight="1">
      <c r="A635" t="inlineStr">
        <is>
          <t>A 19905-2025</t>
        </is>
      </c>
      <c r="B635" s="1" t="n">
        <v>45771</v>
      </c>
      <c r="C635" s="1" t="n">
        <v>46114</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29207-2025</t>
        </is>
      </c>
      <c r="B636" s="1" t="n">
        <v>45823</v>
      </c>
      <c r="C636" s="1" t="n">
        <v>46114</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29196-2025</t>
        </is>
      </c>
      <c r="B637" s="1" t="n">
        <v>45822</v>
      </c>
      <c r="C637" s="1" t="n">
        <v>46114</v>
      </c>
      <c r="D637" t="inlineStr">
        <is>
          <t>GOTLANDS LÄN</t>
        </is>
      </c>
      <c r="E637" t="inlineStr">
        <is>
          <t>GOTLAND</t>
        </is>
      </c>
      <c r="G637" t="n">
        <v>0.5</v>
      </c>
      <c r="H637" t="n">
        <v>0</v>
      </c>
      <c r="I637" t="n">
        <v>0</v>
      </c>
      <c r="J637" t="n">
        <v>0</v>
      </c>
      <c r="K637" t="n">
        <v>0</v>
      </c>
      <c r="L637" t="n">
        <v>0</v>
      </c>
      <c r="M637" t="n">
        <v>0</v>
      </c>
      <c r="N637" t="n">
        <v>0</v>
      </c>
      <c r="O637" t="n">
        <v>0</v>
      </c>
      <c r="P637" t="n">
        <v>0</v>
      </c>
      <c r="Q637" t="n">
        <v>0</v>
      </c>
      <c r="R637" s="2" t="inlineStr"/>
    </row>
    <row r="638" ht="15" customHeight="1">
      <c r="A638" t="inlineStr">
        <is>
          <t>A 30061-2025</t>
        </is>
      </c>
      <c r="B638" s="1" t="n">
        <v>45826.61488425926</v>
      </c>
      <c r="C638" s="1" t="n">
        <v>46114</v>
      </c>
      <c r="D638" t="inlineStr">
        <is>
          <t>GOTLANDS LÄN</t>
        </is>
      </c>
      <c r="E638" t="inlineStr">
        <is>
          <t>GOTLAND</t>
        </is>
      </c>
      <c r="G638" t="n">
        <v>4.1</v>
      </c>
      <c r="H638" t="n">
        <v>0</v>
      </c>
      <c r="I638" t="n">
        <v>0</v>
      </c>
      <c r="J638" t="n">
        <v>0</v>
      </c>
      <c r="K638" t="n">
        <v>0</v>
      </c>
      <c r="L638" t="n">
        <v>0</v>
      </c>
      <c r="M638" t="n">
        <v>0</v>
      </c>
      <c r="N638" t="n">
        <v>0</v>
      </c>
      <c r="O638" t="n">
        <v>0</v>
      </c>
      <c r="P638" t="n">
        <v>0</v>
      </c>
      <c r="Q638" t="n">
        <v>0</v>
      </c>
      <c r="R638" s="2" t="inlineStr"/>
    </row>
    <row r="639" ht="15" customHeight="1">
      <c r="A639" t="inlineStr">
        <is>
          <t>A 58160-2024</t>
        </is>
      </c>
      <c r="B639" s="1" t="n">
        <v>45632.44927083333</v>
      </c>
      <c r="C639" s="1" t="n">
        <v>46114</v>
      </c>
      <c r="D639" t="inlineStr">
        <is>
          <t>GOTLANDS LÄN</t>
        </is>
      </c>
      <c r="E639" t="inlineStr">
        <is>
          <t>GOTLAND</t>
        </is>
      </c>
      <c r="G639" t="n">
        <v>5.6</v>
      </c>
      <c r="H639" t="n">
        <v>0</v>
      </c>
      <c r="I639" t="n">
        <v>0</v>
      </c>
      <c r="J639" t="n">
        <v>0</v>
      </c>
      <c r="K639" t="n">
        <v>0</v>
      </c>
      <c r="L639" t="n">
        <v>0</v>
      </c>
      <c r="M639" t="n">
        <v>0</v>
      </c>
      <c r="N639" t="n">
        <v>0</v>
      </c>
      <c r="O639" t="n">
        <v>0</v>
      </c>
      <c r="P639" t="n">
        <v>0</v>
      </c>
      <c r="Q639" t="n">
        <v>0</v>
      </c>
      <c r="R639" s="2" t="inlineStr"/>
    </row>
    <row r="640" ht="15" customHeight="1">
      <c r="A640" t="inlineStr">
        <is>
          <t>A 16109-2025</t>
        </is>
      </c>
      <c r="B640" s="1" t="n">
        <v>45750</v>
      </c>
      <c r="C640" s="1" t="n">
        <v>46114</v>
      </c>
      <c r="D640" t="inlineStr">
        <is>
          <t>GOTLANDS LÄN</t>
        </is>
      </c>
      <c r="E640" t="inlineStr">
        <is>
          <t>GOTLAND</t>
        </is>
      </c>
      <c r="G640" t="n">
        <v>4.9</v>
      </c>
      <c r="H640" t="n">
        <v>0</v>
      </c>
      <c r="I640" t="n">
        <v>0</v>
      </c>
      <c r="J640" t="n">
        <v>0</v>
      </c>
      <c r="K640" t="n">
        <v>0</v>
      </c>
      <c r="L640" t="n">
        <v>0</v>
      </c>
      <c r="M640" t="n">
        <v>0</v>
      </c>
      <c r="N640" t="n">
        <v>0</v>
      </c>
      <c r="O640" t="n">
        <v>0</v>
      </c>
      <c r="P640" t="n">
        <v>0</v>
      </c>
      <c r="Q640" t="n">
        <v>0</v>
      </c>
      <c r="R640" s="2" t="inlineStr"/>
    </row>
    <row r="641" ht="15" customHeight="1">
      <c r="A641" t="inlineStr">
        <is>
          <t>A 32467-2025</t>
        </is>
      </c>
      <c r="B641" s="1" t="n">
        <v>45838.42111111111</v>
      </c>
      <c r="C641" s="1" t="n">
        <v>46114</v>
      </c>
      <c r="D641" t="inlineStr">
        <is>
          <t>GOTLANDS LÄN</t>
        </is>
      </c>
      <c r="E641" t="inlineStr">
        <is>
          <t>GOTLAND</t>
        </is>
      </c>
      <c r="G641" t="n">
        <v>4.3</v>
      </c>
      <c r="H641" t="n">
        <v>0</v>
      </c>
      <c r="I641" t="n">
        <v>0</v>
      </c>
      <c r="J641" t="n">
        <v>0</v>
      </c>
      <c r="K641" t="n">
        <v>0</v>
      </c>
      <c r="L641" t="n">
        <v>0</v>
      </c>
      <c r="M641" t="n">
        <v>0</v>
      </c>
      <c r="N641" t="n">
        <v>0</v>
      </c>
      <c r="O641" t="n">
        <v>0</v>
      </c>
      <c r="P641" t="n">
        <v>0</v>
      </c>
      <c r="Q641" t="n">
        <v>0</v>
      </c>
      <c r="R641" s="2" t="inlineStr"/>
    </row>
    <row r="642">
      <c r="A642" t="inlineStr">
        <is>
          <t>A 32379-2025</t>
        </is>
      </c>
      <c r="B642" s="1" t="n">
        <v>45837</v>
      </c>
      <c r="C642" s="1" t="n">
        <v>46114</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2026-04-02T10:42:47Z</dcterms:created>
  <dcterms:modified xmlns:dcterms="http://purl.org/dc/terms/" xmlns:xsi="http://www.w3.org/2001/XMLSchema-instance" xsi:type="dcterms:W3CDTF">2026-04-02T10:42:48Z</dcterms:modified>
</cp:coreProperties>
</file>