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46103</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46103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46103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46103</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46103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46103</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46103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46103</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46103</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46103</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46103</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46103</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46103</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46103</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46103</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46103</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46103</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46103</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46103</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46103</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46103</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46103</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46103</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46103</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46103</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25779-2022</t>
        </is>
      </c>
      <c r="B31" s="1" t="n">
        <v>44733</v>
      </c>
      <c r="C31" s="1" t="n">
        <v>46103</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2222-2024</t>
        </is>
      </c>
      <c r="B32" s="1" t="n">
        <v>45309</v>
      </c>
      <c r="C32" s="1" t="n">
        <v>46103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44204-2022</t>
        </is>
      </c>
      <c r="B33" s="1" t="n">
        <v>44839</v>
      </c>
      <c r="C33" s="1" t="n">
        <v>46103</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46103</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46103</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46103</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3324-2023</t>
        </is>
      </c>
      <c r="B37" s="1" t="n">
        <v>44949</v>
      </c>
      <c r="C37" s="1" t="n">
        <v>46103</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46103</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46103</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46103</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46103</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46103</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46103</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46103</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6052-2024</t>
        </is>
      </c>
      <c r="B45" s="1" t="n">
        <v>45336</v>
      </c>
      <c r="C45" s="1" t="n">
        <v>46103</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46103</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584-2023</t>
        </is>
      </c>
      <c r="B47" s="1" t="n">
        <v>44930</v>
      </c>
      <c r="C47" s="1" t="n">
        <v>46103</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46103</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46103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46103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46103</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33153-2024</t>
        </is>
      </c>
      <c r="B52" s="1" t="n">
        <v>45518</v>
      </c>
      <c r="C52" s="1" t="n">
        <v>46103</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46103</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46103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21467-2024</t>
        </is>
      </c>
      <c r="B56" s="1" t="n">
        <v>45441</v>
      </c>
      <c r="C56" s="1" t="n">
        <v>46103</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27168-2022</t>
        </is>
      </c>
      <c r="B57" s="1" t="n">
        <v>44741</v>
      </c>
      <c r="C57" s="1" t="n">
        <v>46103</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2649-2023</t>
        </is>
      </c>
      <c r="B58" s="1" t="n">
        <v>44943</v>
      </c>
      <c r="C58" s="1" t="n">
        <v>46103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46103</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46103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46103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46103</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46103</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46103</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46103</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46103</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46103</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46103</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46103</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46103</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53584-2025</t>
        </is>
      </c>
      <c r="B71" s="1" t="n">
        <v>45960.43130787037</v>
      </c>
      <c r="C71" s="1" t="n">
        <v>46103</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46103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7038-2023</t>
        </is>
      </c>
      <c r="B73" s="1" t="n">
        <v>44968</v>
      </c>
      <c r="C73" s="1" t="n">
        <v>46103</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57773-2025</t>
        </is>
      </c>
      <c r="B74" s="1" t="n">
        <v>45981.56349537037</v>
      </c>
      <c r="C74" s="1" t="n">
        <v>46103</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16823-2024</t>
        </is>
      </c>
      <c r="B75" s="1" t="n">
        <v>45411</v>
      </c>
      <c r="C75" s="1" t="n">
        <v>46103</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54527-2023</t>
        </is>
      </c>
      <c r="B76" s="1" t="n">
        <v>45233</v>
      </c>
      <c r="C76" s="1" t="n">
        <v>46103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46103</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46103</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32326-2024</t>
        </is>
      </c>
      <c r="B79" s="1" t="n">
        <v>45512</v>
      </c>
      <c r="C79" s="1" t="n">
        <v>46103</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52245-2025</t>
        </is>
      </c>
      <c r="B80" s="1" t="n">
        <v>45953.47115740741</v>
      </c>
      <c r="C80" s="1" t="n">
        <v>46103</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16375-2025</t>
        </is>
      </c>
      <c r="B81" s="1" t="n">
        <v>45751.41064814815</v>
      </c>
      <c r="C81" s="1" t="n">
        <v>46103</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6839-2026</t>
        </is>
      </c>
      <c r="B82" s="1" t="n">
        <v>46057.41193287037</v>
      </c>
      <c r="C82" s="1" t="n">
        <v>46103</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46103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35293-2025</t>
        </is>
      </c>
      <c r="B84" s="1" t="n">
        <v>45854.39438657407</v>
      </c>
      <c r="C84" s="1" t="n">
        <v>46103</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2213-2023</t>
        </is>
      </c>
      <c r="B85" s="1" t="n">
        <v>44942</v>
      </c>
      <c r="C85" s="1" t="n">
        <v>46103</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46103</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46103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46103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46103</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46103</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54523-2023</t>
        </is>
      </c>
      <c r="B91" s="1" t="n">
        <v>45233</v>
      </c>
      <c r="C91" s="1" t="n">
        <v>46103</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56717-2024</t>
        </is>
      </c>
      <c r="B92" s="1" t="n">
        <v>45628.3166550926</v>
      </c>
      <c r="C92" s="1" t="n">
        <v>46103</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57463-2025</t>
        </is>
      </c>
      <c r="B93" s="1" t="n">
        <v>45980.54174768519</v>
      </c>
      <c r="C93" s="1" t="n">
        <v>46103</v>
      </c>
      <c r="D93" t="inlineStr">
        <is>
          <t>GOTLANDS LÄN</t>
        </is>
      </c>
      <c r="E93" t="inlineStr">
        <is>
          <t>GOTLAND</t>
        </is>
      </c>
      <c r="G93" t="n">
        <v>3.8</v>
      </c>
      <c r="H93" t="n">
        <v>0</v>
      </c>
      <c r="I93" t="n">
        <v>1</v>
      </c>
      <c r="J93" t="n">
        <v>1</v>
      </c>
      <c r="K93" t="n">
        <v>2</v>
      </c>
      <c r="L93" t="n">
        <v>0</v>
      </c>
      <c r="M93" t="n">
        <v>0</v>
      </c>
      <c r="N93" t="n">
        <v>0</v>
      </c>
      <c r="O93" t="n">
        <v>3</v>
      </c>
      <c r="P93" t="n">
        <v>2</v>
      </c>
      <c r="Q93" t="n">
        <v>4</v>
      </c>
      <c r="R93" s="2" t="inlineStr">
        <is>
          <t>Gulsträngad fagerspindling
Tvillingspindling
Odörspindling
Blå slemspindling</t>
        </is>
      </c>
      <c r="S93">
        <f>HYPERLINK("https://klasma.github.io/Logging_0980/artfynd/A 57463-2025 artfynd.xlsx", "A 57463-2025")</f>
        <v/>
      </c>
      <c r="T93">
        <f>HYPERLINK("https://klasma.github.io/Logging_0980/kartor/A 57463-2025 karta.png", "A 57463-2025")</f>
        <v/>
      </c>
      <c r="V93">
        <f>HYPERLINK("https://klasma.github.io/Logging_0980/klagomål/A 57463-2025 FSC-klagomål.docx", "A 57463-2025")</f>
        <v/>
      </c>
      <c r="W93">
        <f>HYPERLINK("https://klasma.github.io/Logging_0980/klagomålsmail/A 57463-2025 FSC-klagomål mail.docx", "A 57463-2025")</f>
        <v/>
      </c>
      <c r="X93">
        <f>HYPERLINK("https://klasma.github.io/Logging_0980/tillsyn/A 57463-2025 tillsynsbegäran.docx", "A 57463-2025")</f>
        <v/>
      </c>
      <c r="Y93">
        <f>HYPERLINK("https://klasma.github.io/Logging_0980/tillsynsmail/A 57463-2025 tillsynsbegäran mail.docx", "A 57463-2025")</f>
        <v/>
      </c>
    </row>
    <row r="94" ht="15" customHeight="1">
      <c r="A94" t="inlineStr">
        <is>
          <t>A 52250-2025</t>
        </is>
      </c>
      <c r="B94" s="1" t="n">
        <v>45953.48998842593</v>
      </c>
      <c r="C94" s="1" t="n">
        <v>46103</v>
      </c>
      <c r="D94" t="inlineStr">
        <is>
          <t>GOTLANDS LÄN</t>
        </is>
      </c>
      <c r="E94" t="inlineStr">
        <is>
          <t>GOTLAND</t>
        </is>
      </c>
      <c r="F94" t="inlineStr">
        <is>
          <t>Övriga Aktiebolag</t>
        </is>
      </c>
      <c r="G94" t="n">
        <v>1.2</v>
      </c>
      <c r="H94" t="n">
        <v>2</v>
      </c>
      <c r="I94" t="n">
        <v>1</v>
      </c>
      <c r="J94" t="n">
        <v>2</v>
      </c>
      <c r="K94" t="n">
        <v>0</v>
      </c>
      <c r="L94" t="n">
        <v>0</v>
      </c>
      <c r="M94" t="n">
        <v>0</v>
      </c>
      <c r="N94" t="n">
        <v>0</v>
      </c>
      <c r="O94" t="n">
        <v>2</v>
      </c>
      <c r="P94" t="n">
        <v>0</v>
      </c>
      <c r="Q94" t="n">
        <v>4</v>
      </c>
      <c r="R94" s="2" t="inlineStr">
        <is>
          <t>Backtimjan
Spillkråka
Anisspindling
Nattviol</t>
        </is>
      </c>
      <c r="S94">
        <f>HYPERLINK("https://klasma.github.io/Logging_0980/artfynd/A 52250-2025 artfynd.xlsx", "A 52250-2025")</f>
        <v/>
      </c>
      <c r="T94">
        <f>HYPERLINK("https://klasma.github.io/Logging_0980/kartor/A 52250-2025 karta.png", "A 52250-2025")</f>
        <v/>
      </c>
      <c r="V94">
        <f>HYPERLINK("https://klasma.github.io/Logging_0980/klagomål/A 52250-2025 FSC-klagomål.docx", "A 52250-2025")</f>
        <v/>
      </c>
      <c r="W94">
        <f>HYPERLINK("https://klasma.github.io/Logging_0980/klagomålsmail/A 52250-2025 FSC-klagomål mail.docx", "A 52250-2025")</f>
        <v/>
      </c>
      <c r="X94">
        <f>HYPERLINK("https://klasma.github.io/Logging_0980/tillsyn/A 52250-2025 tillsynsbegäran.docx", "A 52250-2025")</f>
        <v/>
      </c>
      <c r="Y94">
        <f>HYPERLINK("https://klasma.github.io/Logging_0980/tillsynsmail/A 52250-2025 tillsynsbegäran mail.docx", "A 52250-2025")</f>
        <v/>
      </c>
      <c r="Z94">
        <f>HYPERLINK("https://klasma.github.io/Logging_0980/fåglar/A 52250-2025 prioriterade fågelarter.docx", "A 52250-2025")</f>
        <v/>
      </c>
    </row>
    <row r="95" ht="15" customHeight="1">
      <c r="A95" t="inlineStr">
        <is>
          <t>A 2485-2025</t>
        </is>
      </c>
      <c r="B95" s="1" t="n">
        <v>45673</v>
      </c>
      <c r="C95" s="1" t="n">
        <v>46103</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13203-2026</t>
        </is>
      </c>
      <c r="B96" s="1" t="n">
        <v>46093</v>
      </c>
      <c r="C96" s="1" t="n">
        <v>46103</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6159-2023</t>
        </is>
      </c>
      <c r="B97" s="1" t="n">
        <v>44964</v>
      </c>
      <c r="C97" s="1" t="n">
        <v>46103</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46103</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6836-2026</t>
        </is>
      </c>
      <c r="B99" s="1" t="n">
        <v>46057.40902777778</v>
      </c>
      <c r="C99" s="1" t="n">
        <v>46103</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1971-2023</t>
        </is>
      </c>
      <c r="B100" s="1" t="n">
        <v>44939</v>
      </c>
      <c r="C100" s="1" t="n">
        <v>46103</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20833-2024</t>
        </is>
      </c>
      <c r="B101" s="1" t="n">
        <v>45439</v>
      </c>
      <c r="C101" s="1" t="n">
        <v>46103</v>
      </c>
      <c r="D101" t="inlineStr">
        <is>
          <t>GOTLANDS LÄN</t>
        </is>
      </c>
      <c r="E101" t="inlineStr">
        <is>
          <t>GOTLAND</t>
        </is>
      </c>
      <c r="G101" t="n">
        <v>0.9</v>
      </c>
      <c r="H101" t="n">
        <v>3</v>
      </c>
      <c r="I101" t="n">
        <v>1</v>
      </c>
      <c r="J101" t="n">
        <v>3</v>
      </c>
      <c r="K101" t="n">
        <v>0</v>
      </c>
      <c r="L101" t="n">
        <v>0</v>
      </c>
      <c r="M101" t="n">
        <v>0</v>
      </c>
      <c r="N101" t="n">
        <v>0</v>
      </c>
      <c r="O101" t="n">
        <v>3</v>
      </c>
      <c r="P101" t="n">
        <v>0</v>
      </c>
      <c r="Q101" t="n">
        <v>4</v>
      </c>
      <c r="R101" s="2" t="inlineStr">
        <is>
          <t>Dårgräsfjäril
Spillkråka
Svinrot
Skogsknipprot</t>
        </is>
      </c>
      <c r="S101">
        <f>HYPERLINK("https://klasma.github.io/Logging_0980/artfynd/A 20833-2024 artfynd.xlsx", "A 20833-2024")</f>
        <v/>
      </c>
      <c r="T101">
        <f>HYPERLINK("https://klasma.github.io/Logging_0980/kartor/A 20833-2024 karta.png", "A 20833-2024")</f>
        <v/>
      </c>
      <c r="V101">
        <f>HYPERLINK("https://klasma.github.io/Logging_0980/klagomål/A 20833-2024 FSC-klagomål.docx", "A 20833-2024")</f>
        <v/>
      </c>
      <c r="W101">
        <f>HYPERLINK("https://klasma.github.io/Logging_0980/klagomålsmail/A 20833-2024 FSC-klagomål mail.docx", "A 20833-2024")</f>
        <v/>
      </c>
      <c r="X101">
        <f>HYPERLINK("https://klasma.github.io/Logging_0980/tillsyn/A 20833-2024 tillsynsbegäran.docx", "A 20833-2024")</f>
        <v/>
      </c>
      <c r="Y101">
        <f>HYPERLINK("https://klasma.github.io/Logging_0980/tillsynsmail/A 20833-2024 tillsynsbegäran mail.docx", "A 20833-2024")</f>
        <v/>
      </c>
      <c r="Z101">
        <f>HYPERLINK("https://klasma.github.io/Logging_0980/fåglar/A 20833-2024 prioriterade fågelarter.docx", "A 20833-2024")</f>
        <v/>
      </c>
    </row>
    <row r="102" ht="15" customHeight="1">
      <c r="A102" t="inlineStr">
        <is>
          <t>A 186-2023</t>
        </is>
      </c>
      <c r="B102" s="1" t="n">
        <v>44928</v>
      </c>
      <c r="C102" s="1" t="n">
        <v>46103</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46103</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46103</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46103</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46103</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46103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46103</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46103</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46103</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46103</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46103</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55334-2024</t>
        </is>
      </c>
      <c r="B113" s="1" t="n">
        <v>45621</v>
      </c>
      <c r="C113" s="1" t="n">
        <v>46103</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46103</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1520-2026</t>
        </is>
      </c>
      <c r="B115" s="1" t="n">
        <v>46034.35891203704</v>
      </c>
      <c r="C115" s="1" t="n">
        <v>46103</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17975-2024</t>
        </is>
      </c>
      <c r="B116" s="1" t="n">
        <v>45419.85546296297</v>
      </c>
      <c r="C116" s="1" t="n">
        <v>46103</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30490-2025</t>
        </is>
      </c>
      <c r="B117" s="1" t="n">
        <v>45830</v>
      </c>
      <c r="C117" s="1" t="n">
        <v>46103</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17982-2023</t>
        </is>
      </c>
      <c r="B118" s="1" t="n">
        <v>45040</v>
      </c>
      <c r="C118" s="1" t="n">
        <v>46103</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20831-2024</t>
        </is>
      </c>
      <c r="B119" s="1" t="n">
        <v>45439</v>
      </c>
      <c r="C119" s="1" t="n">
        <v>46103</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53552-2021</t>
        </is>
      </c>
      <c r="B120" s="1" t="n">
        <v>44468</v>
      </c>
      <c r="C120" s="1" t="n">
        <v>46103</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46103</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46103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46103</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46103</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46103</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46103</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46103</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63162-2025</t>
        </is>
      </c>
      <c r="B129" s="1" t="n">
        <v>46010.37629629629</v>
      </c>
      <c r="C129" s="1" t="n">
        <v>46103</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7070-2022</t>
        </is>
      </c>
      <c r="B130" s="1" t="n">
        <v>44603</v>
      </c>
      <c r="C130" s="1" t="n">
        <v>46103</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20429-2025</t>
        </is>
      </c>
      <c r="B131" s="1" t="n">
        <v>45775.47728009259</v>
      </c>
      <c r="C131" s="1" t="n">
        <v>46103</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10274-2026</t>
        </is>
      </c>
      <c r="B132" s="1" t="n">
        <v>46076.58261574074</v>
      </c>
      <c r="C132" s="1" t="n">
        <v>46103</v>
      </c>
      <c r="D132" t="inlineStr">
        <is>
          <t>GOTLANDS LÄN</t>
        </is>
      </c>
      <c r="E132" t="inlineStr">
        <is>
          <t>GOTLAND</t>
        </is>
      </c>
      <c r="G132" t="n">
        <v>9.800000000000001</v>
      </c>
      <c r="H132" t="n">
        <v>1</v>
      </c>
      <c r="I132" t="n">
        <v>0</v>
      </c>
      <c r="J132" t="n">
        <v>0</v>
      </c>
      <c r="K132" t="n">
        <v>1</v>
      </c>
      <c r="L132" t="n">
        <v>0</v>
      </c>
      <c r="M132" t="n">
        <v>0</v>
      </c>
      <c r="N132" t="n">
        <v>0</v>
      </c>
      <c r="O132" t="n">
        <v>1</v>
      </c>
      <c r="P132" t="n">
        <v>1</v>
      </c>
      <c r="Q132" t="n">
        <v>2</v>
      </c>
      <c r="R132" s="2" t="inlineStr">
        <is>
          <t>Gråfingerört
Alvarstånds</t>
        </is>
      </c>
      <c r="S132">
        <f>HYPERLINK("https://klasma.github.io/Logging_0980/artfynd/A 10274-2026 artfynd.xlsx", "A 10274-2026")</f>
        <v/>
      </c>
      <c r="T132">
        <f>HYPERLINK("https://klasma.github.io/Logging_0980/kartor/A 10274-2026 karta.png", "A 10274-2026")</f>
        <v/>
      </c>
      <c r="V132">
        <f>HYPERLINK("https://klasma.github.io/Logging_0980/klagomål/A 10274-2026 FSC-klagomål.docx", "A 10274-2026")</f>
        <v/>
      </c>
      <c r="W132">
        <f>HYPERLINK("https://klasma.github.io/Logging_0980/klagomålsmail/A 10274-2026 FSC-klagomål mail.docx", "A 10274-2026")</f>
        <v/>
      </c>
      <c r="X132">
        <f>HYPERLINK("https://klasma.github.io/Logging_0980/tillsyn/A 10274-2026 tillsynsbegäran.docx", "A 10274-2026")</f>
        <v/>
      </c>
      <c r="Y132">
        <f>HYPERLINK("https://klasma.github.io/Logging_0980/tillsynsmail/A 10274-2026 tillsynsbegäran mail.docx", "A 10274-2026")</f>
        <v/>
      </c>
    </row>
    <row r="133" ht="15" customHeight="1">
      <c r="A133" t="inlineStr">
        <is>
          <t>A 62760-2025</t>
        </is>
      </c>
      <c r="B133" s="1" t="n">
        <v>46008</v>
      </c>
      <c r="C133" s="1" t="n">
        <v>46103</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12914-2025</t>
        </is>
      </c>
      <c r="B134" s="1" t="n">
        <v>45733</v>
      </c>
      <c r="C134" s="1" t="n">
        <v>46103</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54357-2024</t>
        </is>
      </c>
      <c r="B135" s="1" t="n">
        <v>45617.40662037037</v>
      </c>
      <c r="C135" s="1" t="n">
        <v>46103</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46103</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46103</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46103</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46103</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46103</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46103</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46103</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46103</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46103</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46103</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46103</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46103</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46527-2023</t>
        </is>
      </c>
      <c r="B148" s="1" t="n">
        <v>45197</v>
      </c>
      <c r="C148" s="1" t="n">
        <v>46103</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35467-2021</t>
        </is>
      </c>
      <c r="B149" s="1" t="n">
        <v>44385</v>
      </c>
      <c r="C149" s="1" t="n">
        <v>46103</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46103</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17723-2021</t>
        </is>
      </c>
      <c r="B151" s="1" t="n">
        <v>44300</v>
      </c>
      <c r="C151" s="1" t="n">
        <v>46103</v>
      </c>
      <c r="D151" t="inlineStr">
        <is>
          <t>GOTLANDS LÄN</t>
        </is>
      </c>
      <c r="E151" t="inlineStr">
        <is>
          <t>GOTLAND</t>
        </is>
      </c>
      <c r="G151" t="n">
        <v>1.5</v>
      </c>
      <c r="H151" t="n">
        <v>1</v>
      </c>
      <c r="I151" t="n">
        <v>1</v>
      </c>
      <c r="J151" t="n">
        <v>0</v>
      </c>
      <c r="K151" t="n">
        <v>0</v>
      </c>
      <c r="L151" t="n">
        <v>0</v>
      </c>
      <c r="M151" t="n">
        <v>0</v>
      </c>
      <c r="N151" t="n">
        <v>0</v>
      </c>
      <c r="O151" t="n">
        <v>0</v>
      </c>
      <c r="P151" t="n">
        <v>0</v>
      </c>
      <c r="Q151" t="n">
        <v>1</v>
      </c>
      <c r="R151" s="2" t="inlineStr">
        <is>
          <t>Vit skogslilja</t>
        </is>
      </c>
      <c r="S151">
        <f>HYPERLINK("https://klasma.github.io/Logging_0980/artfynd/A 17723-2021 artfynd.xlsx", "A 17723-2021")</f>
        <v/>
      </c>
      <c r="T151">
        <f>HYPERLINK("https://klasma.github.io/Logging_0980/kartor/A 17723-2021 karta.png", "A 17723-2021")</f>
        <v/>
      </c>
      <c r="V151">
        <f>HYPERLINK("https://klasma.github.io/Logging_0980/klagomål/A 17723-2021 FSC-klagomål.docx", "A 17723-2021")</f>
        <v/>
      </c>
      <c r="W151">
        <f>HYPERLINK("https://klasma.github.io/Logging_0980/klagomålsmail/A 17723-2021 FSC-klagomål mail.docx", "A 17723-2021")</f>
        <v/>
      </c>
      <c r="X151">
        <f>HYPERLINK("https://klasma.github.io/Logging_0980/tillsyn/A 17723-2021 tillsynsbegäran.docx", "A 17723-2021")</f>
        <v/>
      </c>
      <c r="Y151">
        <f>HYPERLINK("https://klasma.github.io/Logging_0980/tillsynsmail/A 17723-2021 tillsynsbegäran mail.docx", "A 17723-2021")</f>
        <v/>
      </c>
    </row>
    <row r="152" ht="15" customHeight="1">
      <c r="A152" t="inlineStr">
        <is>
          <t>A 6303-2024</t>
        </is>
      </c>
      <c r="B152" s="1" t="n">
        <v>45338.35376157407</v>
      </c>
      <c r="C152" s="1" t="n">
        <v>46103</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62552-2022</t>
        </is>
      </c>
      <c r="B153" s="1" t="n">
        <v>44924</v>
      </c>
      <c r="C153" s="1" t="n">
        <v>46103</v>
      </c>
      <c r="D153" t="inlineStr">
        <is>
          <t>GOTLANDS LÄN</t>
        </is>
      </c>
      <c r="E153" t="inlineStr">
        <is>
          <t>GOTLAND</t>
        </is>
      </c>
      <c r="G153" t="n">
        <v>1.6</v>
      </c>
      <c r="H153" t="n">
        <v>0</v>
      </c>
      <c r="I153" t="n">
        <v>0</v>
      </c>
      <c r="J153" t="n">
        <v>1</v>
      </c>
      <c r="K153" t="n">
        <v>0</v>
      </c>
      <c r="L153" t="n">
        <v>0</v>
      </c>
      <c r="M153" t="n">
        <v>0</v>
      </c>
      <c r="N153" t="n">
        <v>0</v>
      </c>
      <c r="O153" t="n">
        <v>1</v>
      </c>
      <c r="P153" t="n">
        <v>0</v>
      </c>
      <c r="Q153" t="n">
        <v>1</v>
      </c>
      <c r="R153" s="2" t="inlineStr">
        <is>
          <t>Äggspindling</t>
        </is>
      </c>
      <c r="S153">
        <f>HYPERLINK("https://klasma.github.io/Logging_0980/artfynd/A 62552-2022 artfynd.xlsx", "A 62552-2022")</f>
        <v/>
      </c>
      <c r="T153">
        <f>HYPERLINK("https://klasma.github.io/Logging_0980/kartor/A 62552-2022 karta.png", "A 62552-2022")</f>
        <v/>
      </c>
      <c r="V153">
        <f>HYPERLINK("https://klasma.github.io/Logging_0980/klagomål/A 62552-2022 FSC-klagomål.docx", "A 62552-2022")</f>
        <v/>
      </c>
      <c r="W153">
        <f>HYPERLINK("https://klasma.github.io/Logging_0980/klagomålsmail/A 62552-2022 FSC-klagomål mail.docx", "A 62552-2022")</f>
        <v/>
      </c>
      <c r="X153">
        <f>HYPERLINK("https://klasma.github.io/Logging_0980/tillsyn/A 62552-2022 tillsynsbegäran.docx", "A 62552-2022")</f>
        <v/>
      </c>
      <c r="Y153">
        <f>HYPERLINK("https://klasma.github.io/Logging_0980/tillsynsmail/A 62552-2022 tillsynsbegäran mail.docx", "A 62552-2022")</f>
        <v/>
      </c>
    </row>
    <row r="154" ht="15" customHeight="1">
      <c r="A154" t="inlineStr">
        <is>
          <t>A 25977-2024</t>
        </is>
      </c>
      <c r="B154" s="1" t="n">
        <v>45467.69356481481</v>
      </c>
      <c r="C154" s="1" t="n">
        <v>46103</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27589-2023</t>
        </is>
      </c>
      <c r="B155" s="1" t="n">
        <v>45097</v>
      </c>
      <c r="C155" s="1" t="n">
        <v>46103</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63149-2025</t>
        </is>
      </c>
      <c r="B156" s="1" t="n">
        <v>46010</v>
      </c>
      <c r="C156" s="1" t="n">
        <v>46103</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Anisspindling</t>
        </is>
      </c>
      <c r="S156">
        <f>HYPERLINK("https://klasma.github.io/Logging_0980/artfynd/A 63149-2025 artfynd.xlsx", "A 63149-2025")</f>
        <v/>
      </c>
      <c r="T156">
        <f>HYPERLINK("https://klasma.github.io/Logging_0980/kartor/A 63149-2025 karta.png", "A 63149-2025")</f>
        <v/>
      </c>
      <c r="V156">
        <f>HYPERLINK("https://klasma.github.io/Logging_0980/klagomål/A 63149-2025 FSC-klagomål.docx", "A 63149-2025")</f>
        <v/>
      </c>
      <c r="W156">
        <f>HYPERLINK("https://klasma.github.io/Logging_0980/klagomålsmail/A 63149-2025 FSC-klagomål mail.docx", "A 63149-2025")</f>
        <v/>
      </c>
      <c r="X156">
        <f>HYPERLINK("https://klasma.github.io/Logging_0980/tillsyn/A 63149-2025 tillsynsbegäran.docx", "A 63149-2025")</f>
        <v/>
      </c>
      <c r="Y156">
        <f>HYPERLINK("https://klasma.github.io/Logging_0980/tillsynsmail/A 63149-2025 tillsynsbegäran mail.docx", "A 63149-2025")</f>
        <v/>
      </c>
    </row>
    <row r="157" ht="15" customHeight="1">
      <c r="A157" t="inlineStr">
        <is>
          <t>A 49726-2025</t>
        </is>
      </c>
      <c r="B157" s="1" t="n">
        <v>45939.84466435185</v>
      </c>
      <c r="C157" s="1" t="n">
        <v>46103</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65927-2021</t>
        </is>
      </c>
      <c r="B158" s="1" t="n">
        <v>44516</v>
      </c>
      <c r="C158" s="1" t="n">
        <v>46103</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46103</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11708-2026</t>
        </is>
      </c>
      <c r="B160" s="1" t="n">
        <v>46084</v>
      </c>
      <c r="C160" s="1" t="n">
        <v>46103</v>
      </c>
      <c r="D160" t="inlineStr">
        <is>
          <t>GOTLANDS LÄN</t>
        </is>
      </c>
      <c r="E160" t="inlineStr">
        <is>
          <t>GOTLAND</t>
        </is>
      </c>
      <c r="G160" t="n">
        <v>8.4</v>
      </c>
      <c r="H160" t="n">
        <v>1</v>
      </c>
      <c r="I160" t="n">
        <v>0</v>
      </c>
      <c r="J160" t="n">
        <v>1</v>
      </c>
      <c r="K160" t="n">
        <v>0</v>
      </c>
      <c r="L160" t="n">
        <v>0</v>
      </c>
      <c r="M160" t="n">
        <v>0</v>
      </c>
      <c r="N160" t="n">
        <v>0</v>
      </c>
      <c r="O160" t="n">
        <v>1</v>
      </c>
      <c r="P160" t="n">
        <v>0</v>
      </c>
      <c r="Q160" t="n">
        <v>1</v>
      </c>
      <c r="R160" s="2" t="inlineStr">
        <is>
          <t>Bredarun</t>
        </is>
      </c>
      <c r="S160">
        <f>HYPERLINK("https://klasma.github.io/Logging_0980/artfynd/A 11708-2026 artfynd.xlsx", "A 11708-2026")</f>
        <v/>
      </c>
      <c r="T160">
        <f>HYPERLINK("https://klasma.github.io/Logging_0980/kartor/A 11708-2026 karta.png", "A 11708-2026")</f>
        <v/>
      </c>
      <c r="V160">
        <f>HYPERLINK("https://klasma.github.io/Logging_0980/klagomål/A 11708-2026 FSC-klagomål.docx", "A 11708-2026")</f>
        <v/>
      </c>
      <c r="W160">
        <f>HYPERLINK("https://klasma.github.io/Logging_0980/klagomålsmail/A 11708-2026 FSC-klagomål mail.docx", "A 11708-2026")</f>
        <v/>
      </c>
      <c r="X160">
        <f>HYPERLINK("https://klasma.github.io/Logging_0980/tillsyn/A 11708-2026 tillsynsbegäran.docx", "A 11708-2026")</f>
        <v/>
      </c>
      <c r="Y160">
        <f>HYPERLINK("https://klasma.github.io/Logging_0980/tillsynsmail/A 11708-2026 tillsynsbegäran mail.docx", "A 11708-2026")</f>
        <v/>
      </c>
    </row>
    <row r="161" ht="15" customHeight="1">
      <c r="A161" t="inlineStr">
        <is>
          <t>A 61561-2023</t>
        </is>
      </c>
      <c r="B161" s="1" t="n">
        <v>45265</v>
      </c>
      <c r="C161" s="1" t="n">
        <v>46103</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10013-2026</t>
        </is>
      </c>
      <c r="B162" s="1" t="n">
        <v>46073</v>
      </c>
      <c r="C162" s="1" t="n">
        <v>46103</v>
      </c>
      <c r="D162" t="inlineStr">
        <is>
          <t>GOTLANDS LÄN</t>
        </is>
      </c>
      <c r="E162" t="inlineStr">
        <is>
          <t>GOTLAND</t>
        </is>
      </c>
      <c r="G162" t="n">
        <v>10.5</v>
      </c>
      <c r="H162" t="n">
        <v>0</v>
      </c>
      <c r="I162" t="n">
        <v>0</v>
      </c>
      <c r="J162" t="n">
        <v>0</v>
      </c>
      <c r="K162" t="n">
        <v>1</v>
      </c>
      <c r="L162" t="n">
        <v>0</v>
      </c>
      <c r="M162" t="n">
        <v>0</v>
      </c>
      <c r="N162" t="n">
        <v>0</v>
      </c>
      <c r="O162" t="n">
        <v>1</v>
      </c>
      <c r="P162" t="n">
        <v>1</v>
      </c>
      <c r="Q162" t="n">
        <v>1</v>
      </c>
      <c r="R162" s="2" t="inlineStr">
        <is>
          <t>Skogskorn</t>
        </is>
      </c>
      <c r="S162">
        <f>HYPERLINK("https://klasma.github.io/Logging_0980/artfynd/A 10013-2026 artfynd.xlsx", "A 10013-2026")</f>
        <v/>
      </c>
      <c r="T162">
        <f>HYPERLINK("https://klasma.github.io/Logging_0980/kartor/A 10013-2026 karta.png", "A 10013-2026")</f>
        <v/>
      </c>
      <c r="V162">
        <f>HYPERLINK("https://klasma.github.io/Logging_0980/klagomål/A 10013-2026 FSC-klagomål.docx", "A 10013-2026")</f>
        <v/>
      </c>
      <c r="W162">
        <f>HYPERLINK("https://klasma.github.io/Logging_0980/klagomålsmail/A 10013-2026 FSC-klagomål mail.docx", "A 10013-2026")</f>
        <v/>
      </c>
      <c r="X162">
        <f>HYPERLINK("https://klasma.github.io/Logging_0980/tillsyn/A 10013-2026 tillsynsbegäran.docx", "A 10013-2026")</f>
        <v/>
      </c>
      <c r="Y162">
        <f>HYPERLINK("https://klasma.github.io/Logging_0980/tillsynsmail/A 10013-2026 tillsynsbegäran mail.docx", "A 10013-2026")</f>
        <v/>
      </c>
    </row>
    <row r="163" ht="15" customHeight="1">
      <c r="A163" t="inlineStr">
        <is>
          <t>A 26461-2025</t>
        </is>
      </c>
      <c r="B163" s="1" t="n">
        <v>45807.43337962963</v>
      </c>
      <c r="C163" s="1" t="n">
        <v>46103</v>
      </c>
      <c r="D163" t="inlineStr">
        <is>
          <t>GOTLANDS LÄN</t>
        </is>
      </c>
      <c r="E163" t="inlineStr">
        <is>
          <t>GOTLAND</t>
        </is>
      </c>
      <c r="G163" t="n">
        <v>4.1</v>
      </c>
      <c r="H163" t="n">
        <v>0</v>
      </c>
      <c r="I163" t="n">
        <v>0</v>
      </c>
      <c r="J163" t="n">
        <v>0</v>
      </c>
      <c r="K163" t="n">
        <v>1</v>
      </c>
      <c r="L163" t="n">
        <v>0</v>
      </c>
      <c r="M163" t="n">
        <v>0</v>
      </c>
      <c r="N163" t="n">
        <v>0</v>
      </c>
      <c r="O163" t="n">
        <v>1</v>
      </c>
      <c r="P163" t="n">
        <v>1</v>
      </c>
      <c r="Q163" t="n">
        <v>1</v>
      </c>
      <c r="R163" s="2" t="inlineStr">
        <is>
          <t>Gotlandsmåra</t>
        </is>
      </c>
      <c r="S163">
        <f>HYPERLINK("https://klasma.github.io/Logging_0980/artfynd/A 26461-2025 artfynd.xlsx", "A 26461-2025")</f>
        <v/>
      </c>
      <c r="T163">
        <f>HYPERLINK("https://klasma.github.io/Logging_0980/kartor/A 26461-2025 karta.png", "A 26461-2025")</f>
        <v/>
      </c>
      <c r="V163">
        <f>HYPERLINK("https://klasma.github.io/Logging_0980/klagomål/A 26461-2025 FSC-klagomål.docx", "A 26461-2025")</f>
        <v/>
      </c>
      <c r="W163">
        <f>HYPERLINK("https://klasma.github.io/Logging_0980/klagomålsmail/A 26461-2025 FSC-klagomål mail.docx", "A 26461-2025")</f>
        <v/>
      </c>
      <c r="X163">
        <f>HYPERLINK("https://klasma.github.io/Logging_0980/tillsyn/A 26461-2025 tillsynsbegäran.docx", "A 26461-2025")</f>
        <v/>
      </c>
      <c r="Y163">
        <f>HYPERLINK("https://klasma.github.io/Logging_0980/tillsynsmail/A 26461-2025 tillsynsbegäran mail.docx", "A 26461-2025")</f>
        <v/>
      </c>
    </row>
    <row r="164" ht="15" customHeight="1">
      <c r="A164" t="inlineStr">
        <is>
          <t>A 12324-2025</t>
        </is>
      </c>
      <c r="B164" s="1" t="n">
        <v>45730</v>
      </c>
      <c r="C164" s="1" t="n">
        <v>46103</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46103</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46103</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46103</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9862-2024</t>
        </is>
      </c>
      <c r="B168" s="1" t="n">
        <v>45363</v>
      </c>
      <c r="C168" s="1" t="n">
        <v>46103</v>
      </c>
      <c r="D168" t="inlineStr">
        <is>
          <t>GOTLANDS LÄN</t>
        </is>
      </c>
      <c r="E168" t="inlineStr">
        <is>
          <t>GOTLAND</t>
        </is>
      </c>
      <c r="G168" t="n">
        <v>3.5</v>
      </c>
      <c r="H168" t="n">
        <v>1</v>
      </c>
      <c r="I168" t="n">
        <v>0</v>
      </c>
      <c r="J168" t="n">
        <v>0</v>
      </c>
      <c r="K168" t="n">
        <v>0</v>
      </c>
      <c r="L168" t="n">
        <v>0</v>
      </c>
      <c r="M168" t="n">
        <v>0</v>
      </c>
      <c r="N168" t="n">
        <v>0</v>
      </c>
      <c r="O168" t="n">
        <v>0</v>
      </c>
      <c r="P168" t="n">
        <v>0</v>
      </c>
      <c r="Q168" t="n">
        <v>1</v>
      </c>
      <c r="R168" s="2" t="inlineStr">
        <is>
          <t>Nattviol</t>
        </is>
      </c>
      <c r="S168">
        <f>HYPERLINK("https://klasma.github.io/Logging_0980/artfynd/A 9862-2024 artfynd.xlsx", "A 9862-2024")</f>
        <v/>
      </c>
      <c r="T168">
        <f>HYPERLINK("https://klasma.github.io/Logging_0980/kartor/A 9862-2024 karta.png", "A 9862-2024")</f>
        <v/>
      </c>
      <c r="V168">
        <f>HYPERLINK("https://klasma.github.io/Logging_0980/klagomål/A 9862-2024 FSC-klagomål.docx", "A 9862-2024")</f>
        <v/>
      </c>
      <c r="W168">
        <f>HYPERLINK("https://klasma.github.io/Logging_0980/klagomålsmail/A 9862-2024 FSC-klagomål mail.docx", "A 9862-2024")</f>
        <v/>
      </c>
      <c r="X168">
        <f>HYPERLINK("https://klasma.github.io/Logging_0980/tillsyn/A 9862-2024 tillsynsbegäran.docx", "A 9862-2024")</f>
        <v/>
      </c>
      <c r="Y168">
        <f>HYPERLINK("https://klasma.github.io/Logging_0980/tillsynsmail/A 9862-2024 tillsynsbegäran mail.docx", "A 9862-2024")</f>
        <v/>
      </c>
    </row>
    <row r="169" ht="15" customHeight="1">
      <c r="A169" t="inlineStr">
        <is>
          <t>A 34141-2024</t>
        </is>
      </c>
      <c r="B169" s="1" t="n">
        <v>45524.36229166666</v>
      </c>
      <c r="C169" s="1" t="n">
        <v>46103</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34809-2024</t>
        </is>
      </c>
      <c r="B170" s="1" t="n">
        <v>45526</v>
      </c>
      <c r="C170" s="1" t="n">
        <v>46103</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46103</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46103</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46103</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12924-2025</t>
        </is>
      </c>
      <c r="B174" s="1" t="n">
        <v>45734</v>
      </c>
      <c r="C174" s="1" t="n">
        <v>46103</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13939-2021</t>
        </is>
      </c>
      <c r="B175" s="1" t="n">
        <v>44277</v>
      </c>
      <c r="C175" s="1" t="n">
        <v>46103</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1477-2024</t>
        </is>
      </c>
      <c r="B176" s="1" t="n">
        <v>45305.37987268518</v>
      </c>
      <c r="C176" s="1" t="n">
        <v>46103</v>
      </c>
      <c r="D176" t="inlineStr">
        <is>
          <t>GOTLANDS LÄN</t>
        </is>
      </c>
      <c r="E176" t="inlineStr">
        <is>
          <t>GOTLAND</t>
        </is>
      </c>
      <c r="G176" t="n">
        <v>6.9</v>
      </c>
      <c r="H176" t="n">
        <v>0</v>
      </c>
      <c r="I176" t="n">
        <v>0</v>
      </c>
      <c r="J176" t="n">
        <v>1</v>
      </c>
      <c r="K176" t="n">
        <v>0</v>
      </c>
      <c r="L176" t="n">
        <v>0</v>
      </c>
      <c r="M176" t="n">
        <v>0</v>
      </c>
      <c r="N176" t="n">
        <v>0</v>
      </c>
      <c r="O176" t="n">
        <v>1</v>
      </c>
      <c r="P176" t="n">
        <v>0</v>
      </c>
      <c r="Q176" t="n">
        <v>1</v>
      </c>
      <c r="R176" s="2" t="inlineStr">
        <is>
          <t>Igelkott</t>
        </is>
      </c>
      <c r="S176">
        <f>HYPERLINK("https://klasma.github.io/Logging_0980/artfynd/A 1477-2024 artfynd.xlsx", "A 1477-2024")</f>
        <v/>
      </c>
      <c r="T176">
        <f>HYPERLINK("https://klasma.github.io/Logging_0980/kartor/A 1477-2024 karta.png", "A 1477-2024")</f>
        <v/>
      </c>
      <c r="V176">
        <f>HYPERLINK("https://klasma.github.io/Logging_0980/klagomål/A 1477-2024 FSC-klagomål.docx", "A 1477-2024")</f>
        <v/>
      </c>
      <c r="W176">
        <f>HYPERLINK("https://klasma.github.io/Logging_0980/klagomålsmail/A 1477-2024 FSC-klagomål mail.docx", "A 1477-2024")</f>
        <v/>
      </c>
      <c r="X176">
        <f>HYPERLINK("https://klasma.github.io/Logging_0980/tillsyn/A 1477-2024 tillsynsbegäran.docx", "A 1477-2024")</f>
        <v/>
      </c>
      <c r="Y176">
        <f>HYPERLINK("https://klasma.github.io/Logging_0980/tillsynsmail/A 1477-2024 tillsynsbegäran mail.docx", "A 1477-2024")</f>
        <v/>
      </c>
    </row>
    <row r="177" ht="15" customHeight="1">
      <c r="A177" t="inlineStr">
        <is>
          <t>A 7637-2025</t>
        </is>
      </c>
      <c r="B177" s="1" t="n">
        <v>45705.77181712963</v>
      </c>
      <c r="C177" s="1" t="n">
        <v>46103</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61796-2022</t>
        </is>
      </c>
      <c r="B178" s="1" t="n">
        <v>44917</v>
      </c>
      <c r="C178" s="1" t="n">
        <v>46103</v>
      </c>
      <c r="D178" t="inlineStr">
        <is>
          <t>GOTLANDS LÄN</t>
        </is>
      </c>
      <c r="E178" t="inlineStr">
        <is>
          <t>GOTLAND</t>
        </is>
      </c>
      <c r="G178" t="n">
        <v>1.5</v>
      </c>
      <c r="H178" t="n">
        <v>1</v>
      </c>
      <c r="I178" t="n">
        <v>0</v>
      </c>
      <c r="J178" t="n">
        <v>0</v>
      </c>
      <c r="K178" t="n">
        <v>0</v>
      </c>
      <c r="L178" t="n">
        <v>0</v>
      </c>
      <c r="M178" t="n">
        <v>0</v>
      </c>
      <c r="N178" t="n">
        <v>0</v>
      </c>
      <c r="O178" t="n">
        <v>0</v>
      </c>
      <c r="P178" t="n">
        <v>0</v>
      </c>
      <c r="Q178" t="n">
        <v>1</v>
      </c>
      <c r="R178" s="2" t="inlineStr">
        <is>
          <t>Skogsduva</t>
        </is>
      </c>
      <c r="S178">
        <f>HYPERLINK("https://klasma.github.io/Logging_0980/artfynd/A 61796-2022 artfynd.xlsx", "A 61796-2022")</f>
        <v/>
      </c>
      <c r="T178">
        <f>HYPERLINK("https://klasma.github.io/Logging_0980/kartor/A 61796-2022 karta.png", "A 61796-2022")</f>
        <v/>
      </c>
      <c r="V178">
        <f>HYPERLINK("https://klasma.github.io/Logging_0980/klagomål/A 61796-2022 FSC-klagomål.docx", "A 61796-2022")</f>
        <v/>
      </c>
      <c r="W178">
        <f>HYPERLINK("https://klasma.github.io/Logging_0980/klagomålsmail/A 61796-2022 FSC-klagomål mail.docx", "A 61796-2022")</f>
        <v/>
      </c>
      <c r="X178">
        <f>HYPERLINK("https://klasma.github.io/Logging_0980/tillsyn/A 61796-2022 tillsynsbegäran.docx", "A 61796-2022")</f>
        <v/>
      </c>
      <c r="Y178">
        <f>HYPERLINK("https://klasma.github.io/Logging_0980/tillsynsmail/A 61796-2022 tillsynsbegäran mail.docx", "A 61796-2022")</f>
        <v/>
      </c>
      <c r="Z178">
        <f>HYPERLINK("https://klasma.github.io/Logging_0980/fåglar/A 61796-2022 prioriterade fågelarter.docx", "A 61796-2022")</f>
        <v/>
      </c>
    </row>
    <row r="179" ht="15" customHeight="1">
      <c r="A179" t="inlineStr">
        <is>
          <t>A 10218-2025</t>
        </is>
      </c>
      <c r="B179" s="1" t="n">
        <v>45720</v>
      </c>
      <c r="C179" s="1" t="n">
        <v>46103</v>
      </c>
      <c r="D179" t="inlineStr">
        <is>
          <t>GOTLANDS LÄN</t>
        </is>
      </c>
      <c r="E179" t="inlineStr">
        <is>
          <t>GOTLAND</t>
        </is>
      </c>
      <c r="G179" t="n">
        <v>8.1</v>
      </c>
      <c r="H179" t="n">
        <v>0</v>
      </c>
      <c r="I179" t="n">
        <v>1</v>
      </c>
      <c r="J179" t="n">
        <v>0</v>
      </c>
      <c r="K179" t="n">
        <v>0</v>
      </c>
      <c r="L179" t="n">
        <v>0</v>
      </c>
      <c r="M179" t="n">
        <v>0</v>
      </c>
      <c r="N179" t="n">
        <v>0</v>
      </c>
      <c r="O179" t="n">
        <v>0</v>
      </c>
      <c r="P179" t="n">
        <v>0</v>
      </c>
      <c r="Q179" t="n">
        <v>1</v>
      </c>
      <c r="R179" s="2" t="inlineStr">
        <is>
          <t>Kalktallört</t>
        </is>
      </c>
      <c r="S179">
        <f>HYPERLINK("https://klasma.github.io/Logging_0980/artfynd/A 10218-2025 artfynd.xlsx", "A 10218-2025")</f>
        <v/>
      </c>
      <c r="T179">
        <f>HYPERLINK("https://klasma.github.io/Logging_0980/kartor/A 10218-2025 karta.png", "A 10218-2025")</f>
        <v/>
      </c>
      <c r="V179">
        <f>HYPERLINK("https://klasma.github.io/Logging_0980/klagomål/A 10218-2025 FSC-klagomål.docx", "A 10218-2025")</f>
        <v/>
      </c>
      <c r="W179">
        <f>HYPERLINK("https://klasma.github.io/Logging_0980/klagomålsmail/A 10218-2025 FSC-klagomål mail.docx", "A 10218-2025")</f>
        <v/>
      </c>
      <c r="X179">
        <f>HYPERLINK("https://klasma.github.io/Logging_0980/tillsyn/A 10218-2025 tillsynsbegäran.docx", "A 10218-2025")</f>
        <v/>
      </c>
      <c r="Y179">
        <f>HYPERLINK("https://klasma.github.io/Logging_0980/tillsynsmail/A 10218-2025 tillsynsbegäran mail.docx", "A 10218-2025")</f>
        <v/>
      </c>
    </row>
    <row r="180" ht="15" customHeight="1">
      <c r="A180" t="inlineStr">
        <is>
          <t>A 12379-2024</t>
        </is>
      </c>
      <c r="B180" s="1" t="n">
        <v>45379.28155092592</v>
      </c>
      <c r="C180" s="1" t="n">
        <v>46103</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Svinrot</t>
        </is>
      </c>
      <c r="S180">
        <f>HYPERLINK("https://klasma.github.io/Logging_0980/artfynd/A 12379-2024 artfynd.xlsx", "A 12379-2024")</f>
        <v/>
      </c>
      <c r="T180">
        <f>HYPERLINK("https://klasma.github.io/Logging_0980/kartor/A 12379-2024 karta.png", "A 12379-2024")</f>
        <v/>
      </c>
      <c r="V180">
        <f>HYPERLINK("https://klasma.github.io/Logging_0980/klagomål/A 12379-2024 FSC-klagomål.docx", "A 12379-2024")</f>
        <v/>
      </c>
      <c r="W180">
        <f>HYPERLINK("https://klasma.github.io/Logging_0980/klagomålsmail/A 12379-2024 FSC-klagomål mail.docx", "A 12379-2024")</f>
        <v/>
      </c>
      <c r="X180">
        <f>HYPERLINK("https://klasma.github.io/Logging_0980/tillsyn/A 12379-2024 tillsynsbegäran.docx", "A 12379-2024")</f>
        <v/>
      </c>
      <c r="Y180">
        <f>HYPERLINK("https://klasma.github.io/Logging_0980/tillsynsmail/A 12379-2024 tillsynsbegäran mail.docx", "A 12379-2024")</f>
        <v/>
      </c>
    </row>
    <row r="181" ht="15" customHeight="1">
      <c r="A181" t="inlineStr">
        <is>
          <t>A 64700-2021</t>
        </is>
      </c>
      <c r="B181" s="1" t="n">
        <v>44511</v>
      </c>
      <c r="C181" s="1" t="n">
        <v>46103</v>
      </c>
      <c r="D181" t="inlineStr">
        <is>
          <t>GOTLANDS LÄN</t>
        </is>
      </c>
      <c r="E181" t="inlineStr">
        <is>
          <t>GOTLAND</t>
        </is>
      </c>
      <c r="F181" t="inlineStr">
        <is>
          <t>Naturvårdsverket</t>
        </is>
      </c>
      <c r="G181" t="n">
        <v>2.4</v>
      </c>
      <c r="H181" t="n">
        <v>1</v>
      </c>
      <c r="I181" t="n">
        <v>0</v>
      </c>
      <c r="J181" t="n">
        <v>0</v>
      </c>
      <c r="K181" t="n">
        <v>1</v>
      </c>
      <c r="L181" t="n">
        <v>0</v>
      </c>
      <c r="M181" t="n">
        <v>0</v>
      </c>
      <c r="N181" t="n">
        <v>0</v>
      </c>
      <c r="O181" t="n">
        <v>1</v>
      </c>
      <c r="P181" t="n">
        <v>1</v>
      </c>
      <c r="Q181" t="n">
        <v>1</v>
      </c>
      <c r="R181" s="2" t="inlineStr">
        <is>
          <t>Kalkdån</t>
        </is>
      </c>
      <c r="S181">
        <f>HYPERLINK("https://klasma.github.io/Logging_0980/artfynd/A 64700-2021 artfynd.xlsx", "A 64700-2021")</f>
        <v/>
      </c>
      <c r="T181">
        <f>HYPERLINK("https://klasma.github.io/Logging_0980/kartor/A 64700-2021 karta.png", "A 64700-2021")</f>
        <v/>
      </c>
      <c r="V181">
        <f>HYPERLINK("https://klasma.github.io/Logging_0980/klagomål/A 64700-2021 FSC-klagomål.docx", "A 64700-2021")</f>
        <v/>
      </c>
      <c r="W181">
        <f>HYPERLINK("https://klasma.github.io/Logging_0980/klagomålsmail/A 64700-2021 FSC-klagomål mail.docx", "A 64700-2021")</f>
        <v/>
      </c>
      <c r="X181">
        <f>HYPERLINK("https://klasma.github.io/Logging_0980/tillsyn/A 64700-2021 tillsynsbegäran.docx", "A 64700-2021")</f>
        <v/>
      </c>
      <c r="Y181">
        <f>HYPERLINK("https://klasma.github.io/Logging_0980/tillsynsmail/A 64700-2021 tillsynsbegäran mail.docx", "A 64700-2021")</f>
        <v/>
      </c>
    </row>
    <row r="182" ht="15" customHeight="1">
      <c r="A182" t="inlineStr">
        <is>
          <t>A 35574-2024</t>
        </is>
      </c>
      <c r="B182" s="1" t="n">
        <v>45531</v>
      </c>
      <c r="C182" s="1" t="n">
        <v>46103</v>
      </c>
      <c r="D182" t="inlineStr">
        <is>
          <t>GOTLANDS LÄN</t>
        </is>
      </c>
      <c r="E182" t="inlineStr">
        <is>
          <t>GOTLAND</t>
        </is>
      </c>
      <c r="G182" t="n">
        <v>5.7</v>
      </c>
      <c r="H182" t="n">
        <v>0</v>
      </c>
      <c r="I182" t="n">
        <v>1</v>
      </c>
      <c r="J182" t="n">
        <v>0</v>
      </c>
      <c r="K182" t="n">
        <v>0</v>
      </c>
      <c r="L182" t="n">
        <v>0</v>
      </c>
      <c r="M182" t="n">
        <v>0</v>
      </c>
      <c r="N182" t="n">
        <v>0</v>
      </c>
      <c r="O182" t="n">
        <v>0</v>
      </c>
      <c r="P182" t="n">
        <v>0</v>
      </c>
      <c r="Q182" t="n">
        <v>1</v>
      </c>
      <c r="R182" s="2" t="inlineStr">
        <is>
          <t>Murgröna</t>
        </is>
      </c>
      <c r="S182">
        <f>HYPERLINK("https://klasma.github.io/Logging_0980/artfynd/A 35574-2024 artfynd.xlsx", "A 35574-2024")</f>
        <v/>
      </c>
      <c r="T182">
        <f>HYPERLINK("https://klasma.github.io/Logging_0980/kartor/A 35574-2024 karta.png", "A 35574-2024")</f>
        <v/>
      </c>
      <c r="V182">
        <f>HYPERLINK("https://klasma.github.io/Logging_0980/klagomål/A 35574-2024 FSC-klagomål.docx", "A 35574-2024")</f>
        <v/>
      </c>
      <c r="W182">
        <f>HYPERLINK("https://klasma.github.io/Logging_0980/klagomålsmail/A 35574-2024 FSC-klagomål mail.docx", "A 35574-2024")</f>
        <v/>
      </c>
      <c r="X182">
        <f>HYPERLINK("https://klasma.github.io/Logging_0980/tillsyn/A 35574-2024 tillsynsbegäran.docx", "A 35574-2024")</f>
        <v/>
      </c>
      <c r="Y182">
        <f>HYPERLINK("https://klasma.github.io/Logging_0980/tillsynsmail/A 35574-2024 tillsynsbegäran mail.docx", "A 35574-2024")</f>
        <v/>
      </c>
    </row>
    <row r="183" ht="15" customHeight="1">
      <c r="A183" t="inlineStr">
        <is>
          <t>A 37591-2023</t>
        </is>
      </c>
      <c r="B183" s="1" t="n">
        <v>45159</v>
      </c>
      <c r="C183" s="1" t="n">
        <v>46103</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15637-2024</t>
        </is>
      </c>
      <c r="B184" s="1" t="n">
        <v>45403.6684837963</v>
      </c>
      <c r="C184" s="1" t="n">
        <v>46103</v>
      </c>
      <c r="D184" t="inlineStr">
        <is>
          <t>GOTLANDS LÄN</t>
        </is>
      </c>
      <c r="E184" t="inlineStr">
        <is>
          <t>GOTLAND</t>
        </is>
      </c>
      <c r="G184" t="n">
        <v>4.1</v>
      </c>
      <c r="H184" t="n">
        <v>1</v>
      </c>
      <c r="I184" t="n">
        <v>0</v>
      </c>
      <c r="J184" t="n">
        <v>0</v>
      </c>
      <c r="K184" t="n">
        <v>0</v>
      </c>
      <c r="L184" t="n">
        <v>0</v>
      </c>
      <c r="M184" t="n">
        <v>0</v>
      </c>
      <c r="N184" t="n">
        <v>0</v>
      </c>
      <c r="O184" t="n">
        <v>0</v>
      </c>
      <c r="P184" t="n">
        <v>0</v>
      </c>
      <c r="Q184" t="n">
        <v>1</v>
      </c>
      <c r="R184" s="2" t="inlineStr">
        <is>
          <t>Blåsippa</t>
        </is>
      </c>
      <c r="S184">
        <f>HYPERLINK("https://klasma.github.io/Logging_0980/artfynd/A 15637-2024 artfynd.xlsx", "A 15637-2024")</f>
        <v/>
      </c>
      <c r="T184">
        <f>HYPERLINK("https://klasma.github.io/Logging_0980/kartor/A 15637-2024 karta.png", "A 15637-2024")</f>
        <v/>
      </c>
      <c r="V184">
        <f>HYPERLINK("https://klasma.github.io/Logging_0980/klagomål/A 15637-2024 FSC-klagomål.docx", "A 15637-2024")</f>
        <v/>
      </c>
      <c r="W184">
        <f>HYPERLINK("https://klasma.github.io/Logging_0980/klagomålsmail/A 15637-2024 FSC-klagomål mail.docx", "A 15637-2024")</f>
        <v/>
      </c>
      <c r="X184">
        <f>HYPERLINK("https://klasma.github.io/Logging_0980/tillsyn/A 15637-2024 tillsynsbegäran.docx", "A 15637-2024")</f>
        <v/>
      </c>
      <c r="Y184">
        <f>HYPERLINK("https://klasma.github.io/Logging_0980/tillsynsmail/A 15637-2024 tillsynsbegäran mail.docx", "A 15637-2024")</f>
        <v/>
      </c>
    </row>
    <row r="185" ht="15" customHeight="1">
      <c r="A185" t="inlineStr">
        <is>
          <t>A 49847-2023</t>
        </is>
      </c>
      <c r="B185" s="1" t="n">
        <v>45212</v>
      </c>
      <c r="C185" s="1" t="n">
        <v>46103</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10995-2023</t>
        </is>
      </c>
      <c r="B186" s="1" t="n">
        <v>44986</v>
      </c>
      <c r="C186" s="1" t="n">
        <v>46103</v>
      </c>
      <c r="D186" t="inlineStr">
        <is>
          <t>GOTLANDS LÄN</t>
        </is>
      </c>
      <c r="E186" t="inlineStr">
        <is>
          <t>GOTLAND</t>
        </is>
      </c>
      <c r="G186" t="n">
        <v>2.8</v>
      </c>
      <c r="H186" t="n">
        <v>0</v>
      </c>
      <c r="I186" t="n">
        <v>0</v>
      </c>
      <c r="J186" t="n">
        <v>0</v>
      </c>
      <c r="K186" t="n">
        <v>1</v>
      </c>
      <c r="L186" t="n">
        <v>0</v>
      </c>
      <c r="M186" t="n">
        <v>0</v>
      </c>
      <c r="N186" t="n">
        <v>0</v>
      </c>
      <c r="O186" t="n">
        <v>1</v>
      </c>
      <c r="P186" t="n">
        <v>1</v>
      </c>
      <c r="Q186" t="n">
        <v>1</v>
      </c>
      <c r="R186" s="2" t="inlineStr">
        <is>
          <t>Violettfläckig spindling</t>
        </is>
      </c>
      <c r="S186">
        <f>HYPERLINK("https://klasma.github.io/Logging_0980/artfynd/A 10995-2023 artfynd.xlsx", "A 10995-2023")</f>
        <v/>
      </c>
      <c r="T186">
        <f>HYPERLINK("https://klasma.github.io/Logging_0980/kartor/A 10995-2023 karta.png", "A 10995-2023")</f>
        <v/>
      </c>
      <c r="V186">
        <f>HYPERLINK("https://klasma.github.io/Logging_0980/klagomål/A 10995-2023 FSC-klagomål.docx", "A 10995-2023")</f>
        <v/>
      </c>
      <c r="W186">
        <f>HYPERLINK("https://klasma.github.io/Logging_0980/klagomålsmail/A 10995-2023 FSC-klagomål mail.docx", "A 10995-2023")</f>
        <v/>
      </c>
      <c r="X186">
        <f>HYPERLINK("https://klasma.github.io/Logging_0980/tillsyn/A 10995-2023 tillsynsbegäran.docx", "A 10995-2023")</f>
        <v/>
      </c>
      <c r="Y186">
        <f>HYPERLINK("https://klasma.github.io/Logging_0980/tillsynsmail/A 10995-2023 tillsynsbegäran mail.docx", "A 10995-2023")</f>
        <v/>
      </c>
    </row>
    <row r="187" ht="15" customHeight="1">
      <c r="A187" t="inlineStr">
        <is>
          <t>A 63576-2021</t>
        </is>
      </c>
      <c r="B187" s="1" t="n">
        <v>44508</v>
      </c>
      <c r="C187" s="1" t="n">
        <v>46103</v>
      </c>
      <c r="D187" t="inlineStr">
        <is>
          <t>GOTLANDS LÄN</t>
        </is>
      </c>
      <c r="E187" t="inlineStr">
        <is>
          <t>GOTLAND</t>
        </is>
      </c>
      <c r="F187" t="inlineStr">
        <is>
          <t>Kyrkan</t>
        </is>
      </c>
      <c r="G187" t="n">
        <v>4.1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63576-2021 artfynd.xlsx", "A 63576-2021")</f>
        <v/>
      </c>
      <c r="T187">
        <f>HYPERLINK("https://klasma.github.io/Logging_0980/kartor/A 63576-2021 karta.png", "A 63576-2021")</f>
        <v/>
      </c>
      <c r="V187">
        <f>HYPERLINK("https://klasma.github.io/Logging_0980/klagomål/A 63576-2021 FSC-klagomål.docx", "A 63576-2021")</f>
        <v/>
      </c>
      <c r="W187">
        <f>HYPERLINK("https://klasma.github.io/Logging_0980/klagomålsmail/A 63576-2021 FSC-klagomål mail.docx", "A 63576-2021")</f>
        <v/>
      </c>
      <c r="X187">
        <f>HYPERLINK("https://klasma.github.io/Logging_0980/tillsyn/A 63576-2021 tillsynsbegäran.docx", "A 63576-2021")</f>
        <v/>
      </c>
      <c r="Y187">
        <f>HYPERLINK("https://klasma.github.io/Logging_0980/tillsynsmail/A 63576-2021 tillsynsbegäran mail.docx", "A 63576-2021")</f>
        <v/>
      </c>
    </row>
    <row r="188" ht="15" customHeight="1">
      <c r="A188" t="inlineStr">
        <is>
          <t>A 21466-2025</t>
        </is>
      </c>
      <c r="B188" s="1" t="n">
        <v>45782</v>
      </c>
      <c r="C188" s="1" t="n">
        <v>46103</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19901-2021</t>
        </is>
      </c>
      <c r="B189" s="1" t="n">
        <v>44312</v>
      </c>
      <c r="C189" s="1" t="n">
        <v>46103</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46103</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46103</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46103</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46103</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46103</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46103</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46103</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46103</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46103</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46103</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46103</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46103</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46103</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46103</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46103</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46103</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46103</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24123-2022</t>
        </is>
      </c>
      <c r="B207" s="1" t="n">
        <v>44725.4384375</v>
      </c>
      <c r="C207" s="1" t="n">
        <v>46103</v>
      </c>
      <c r="D207" t="inlineStr">
        <is>
          <t>GOTLANDS LÄN</t>
        </is>
      </c>
      <c r="E207" t="inlineStr">
        <is>
          <t>GOTLAND</t>
        </is>
      </c>
      <c r="G207" t="n">
        <v>6</v>
      </c>
      <c r="H207" t="n">
        <v>0</v>
      </c>
      <c r="I207" t="n">
        <v>0</v>
      </c>
      <c r="J207" t="n">
        <v>0</v>
      </c>
      <c r="K207" t="n">
        <v>0</v>
      </c>
      <c r="L207" t="n">
        <v>0</v>
      </c>
      <c r="M207" t="n">
        <v>0</v>
      </c>
      <c r="N207" t="n">
        <v>0</v>
      </c>
      <c r="O207" t="n">
        <v>0</v>
      </c>
      <c r="P207" t="n">
        <v>0</v>
      </c>
      <c r="Q207" t="n">
        <v>0</v>
      </c>
      <c r="R207" s="2" t="inlineStr"/>
    </row>
    <row r="208" ht="15" customHeight="1">
      <c r="A208" t="inlineStr">
        <is>
          <t>A 44207-2022</t>
        </is>
      </c>
      <c r="B208" s="1" t="n">
        <v>44839</v>
      </c>
      <c r="C208" s="1" t="n">
        <v>46103</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19447-2021</t>
        </is>
      </c>
      <c r="B209" s="1" t="n">
        <v>44310.72780092592</v>
      </c>
      <c r="C209" s="1" t="n">
        <v>46103</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46103</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46103</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46103</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46103</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46103</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46103</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46103</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46103</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46103</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46103</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46103</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46103</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46103</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46103</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46103</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46103</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46103</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46103</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46103</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46103</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46103</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46103</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46103</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456-2023</t>
        </is>
      </c>
      <c r="B233" s="1" t="n">
        <v>44929.87122685185</v>
      </c>
      <c r="C233" s="1" t="n">
        <v>46103</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58476-2022</t>
        </is>
      </c>
      <c r="B234" s="1" t="n">
        <v>44902</v>
      </c>
      <c r="C234" s="1" t="n">
        <v>46103</v>
      </c>
      <c r="D234" t="inlineStr">
        <is>
          <t>GOTLANDS LÄN</t>
        </is>
      </c>
      <c r="E234" t="inlineStr">
        <is>
          <t>GOTLAND</t>
        </is>
      </c>
      <c r="G234" t="n">
        <v>0.9</v>
      </c>
      <c r="H234" t="n">
        <v>0</v>
      </c>
      <c r="I234" t="n">
        <v>0</v>
      </c>
      <c r="J234" t="n">
        <v>0</v>
      </c>
      <c r="K234" t="n">
        <v>0</v>
      </c>
      <c r="L234" t="n">
        <v>0</v>
      </c>
      <c r="M234" t="n">
        <v>0</v>
      </c>
      <c r="N234" t="n">
        <v>0</v>
      </c>
      <c r="O234" t="n">
        <v>0</v>
      </c>
      <c r="P234" t="n">
        <v>0</v>
      </c>
      <c r="Q234" t="n">
        <v>0</v>
      </c>
      <c r="R234" s="2" t="inlineStr"/>
    </row>
    <row r="235" ht="15" customHeight="1">
      <c r="A235" t="inlineStr">
        <is>
          <t>A 61596-2023</t>
        </is>
      </c>
      <c r="B235" s="1" t="n">
        <v>45265</v>
      </c>
      <c r="C235" s="1" t="n">
        <v>46103</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873-2024</t>
        </is>
      </c>
      <c r="B236" s="1" t="n">
        <v>45301</v>
      </c>
      <c r="C236" s="1" t="n">
        <v>46103</v>
      </c>
      <c r="D236" t="inlineStr">
        <is>
          <t>GOTLANDS LÄN</t>
        </is>
      </c>
      <c r="E236" t="inlineStr">
        <is>
          <t>GOTLAND</t>
        </is>
      </c>
      <c r="G236" t="n">
        <v>2.7</v>
      </c>
      <c r="H236" t="n">
        <v>0</v>
      </c>
      <c r="I236" t="n">
        <v>0</v>
      </c>
      <c r="J236" t="n">
        <v>0</v>
      </c>
      <c r="K236" t="n">
        <v>0</v>
      </c>
      <c r="L236" t="n">
        <v>0</v>
      </c>
      <c r="M236" t="n">
        <v>0</v>
      </c>
      <c r="N236" t="n">
        <v>0</v>
      </c>
      <c r="O236" t="n">
        <v>0</v>
      </c>
      <c r="P236" t="n">
        <v>0</v>
      </c>
      <c r="Q236" t="n">
        <v>0</v>
      </c>
      <c r="R236" s="2" t="inlineStr"/>
    </row>
    <row r="237" ht="15" customHeight="1">
      <c r="A237" t="inlineStr">
        <is>
          <t>A 44228-2022</t>
        </is>
      </c>
      <c r="B237" s="1" t="n">
        <v>44839.51599537037</v>
      </c>
      <c r="C237" s="1" t="n">
        <v>46103</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46103</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61386-2023</t>
        </is>
      </c>
      <c r="B239" s="1" t="n">
        <v>45264</v>
      </c>
      <c r="C239" s="1" t="n">
        <v>46103</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27593-2023</t>
        </is>
      </c>
      <c r="B240" s="1" t="n">
        <v>45097</v>
      </c>
      <c r="C240" s="1" t="n">
        <v>46103</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25129-2023</t>
        </is>
      </c>
      <c r="B241" s="1" t="n">
        <v>45086.44261574074</v>
      </c>
      <c r="C241" s="1" t="n">
        <v>46103</v>
      </c>
      <c r="D241" t="inlineStr">
        <is>
          <t>GOTLANDS LÄN</t>
        </is>
      </c>
      <c r="E241" t="inlineStr">
        <is>
          <t>GOTLAND</t>
        </is>
      </c>
      <c r="G241" t="n">
        <v>1.5</v>
      </c>
      <c r="H241" t="n">
        <v>0</v>
      </c>
      <c r="I241" t="n">
        <v>0</v>
      </c>
      <c r="J241" t="n">
        <v>0</v>
      </c>
      <c r="K241" t="n">
        <v>0</v>
      </c>
      <c r="L241" t="n">
        <v>0</v>
      </c>
      <c r="M241" t="n">
        <v>0</v>
      </c>
      <c r="N241" t="n">
        <v>0</v>
      </c>
      <c r="O241" t="n">
        <v>0</v>
      </c>
      <c r="P241" t="n">
        <v>0</v>
      </c>
      <c r="Q241" t="n">
        <v>0</v>
      </c>
      <c r="R241" s="2" t="inlineStr"/>
    </row>
    <row r="242" ht="15" customHeight="1">
      <c r="A242" t="inlineStr">
        <is>
          <t>A 56009-2024</t>
        </is>
      </c>
      <c r="B242" s="1" t="n">
        <v>45623.80864583333</v>
      </c>
      <c r="C242" s="1" t="n">
        <v>46103</v>
      </c>
      <c r="D242" t="inlineStr">
        <is>
          <t>GOTLANDS LÄN</t>
        </is>
      </c>
      <c r="E242" t="inlineStr">
        <is>
          <t>GOTLAND</t>
        </is>
      </c>
      <c r="G242" t="n">
        <v>2.8</v>
      </c>
      <c r="H242" t="n">
        <v>0</v>
      </c>
      <c r="I242" t="n">
        <v>0</v>
      </c>
      <c r="J242" t="n">
        <v>0</v>
      </c>
      <c r="K242" t="n">
        <v>0</v>
      </c>
      <c r="L242" t="n">
        <v>0</v>
      </c>
      <c r="M242" t="n">
        <v>0</v>
      </c>
      <c r="N242" t="n">
        <v>0</v>
      </c>
      <c r="O242" t="n">
        <v>0</v>
      </c>
      <c r="P242" t="n">
        <v>0</v>
      </c>
      <c r="Q242" t="n">
        <v>0</v>
      </c>
      <c r="R242" s="2" t="inlineStr"/>
    </row>
    <row r="243" ht="15" customHeight="1">
      <c r="A243" t="inlineStr">
        <is>
          <t>A 54073-2022</t>
        </is>
      </c>
      <c r="B243" s="1" t="n">
        <v>44881.50380787037</v>
      </c>
      <c r="C243" s="1" t="n">
        <v>46103</v>
      </c>
      <c r="D243" t="inlineStr">
        <is>
          <t>GOTLANDS LÄN</t>
        </is>
      </c>
      <c r="E243" t="inlineStr">
        <is>
          <t>GOTLAND</t>
        </is>
      </c>
      <c r="G243" t="n">
        <v>3.8</v>
      </c>
      <c r="H243" t="n">
        <v>0</v>
      </c>
      <c r="I243" t="n">
        <v>0</v>
      </c>
      <c r="J243" t="n">
        <v>0</v>
      </c>
      <c r="K243" t="n">
        <v>0</v>
      </c>
      <c r="L243" t="n">
        <v>0</v>
      </c>
      <c r="M243" t="n">
        <v>0</v>
      </c>
      <c r="N243" t="n">
        <v>0</v>
      </c>
      <c r="O243" t="n">
        <v>0</v>
      </c>
      <c r="P243" t="n">
        <v>0</v>
      </c>
      <c r="Q243" t="n">
        <v>0</v>
      </c>
      <c r="R243" s="2" t="inlineStr"/>
    </row>
    <row r="244" ht="15" customHeight="1">
      <c r="A244" t="inlineStr">
        <is>
          <t>A 3964-2024</t>
        </is>
      </c>
      <c r="B244" s="1" t="n">
        <v>45322</v>
      </c>
      <c r="C244" s="1" t="n">
        <v>46103</v>
      </c>
      <c r="D244" t="inlineStr">
        <is>
          <t>GOTLANDS LÄN</t>
        </is>
      </c>
      <c r="E244" t="inlineStr">
        <is>
          <t>GOTLAND</t>
        </is>
      </c>
      <c r="G244" t="n">
        <v>1.4</v>
      </c>
      <c r="H244" t="n">
        <v>0</v>
      </c>
      <c r="I244" t="n">
        <v>0</v>
      </c>
      <c r="J244" t="n">
        <v>0</v>
      </c>
      <c r="K244" t="n">
        <v>0</v>
      </c>
      <c r="L244" t="n">
        <v>0</v>
      </c>
      <c r="M244" t="n">
        <v>0</v>
      </c>
      <c r="N244" t="n">
        <v>0</v>
      </c>
      <c r="O244" t="n">
        <v>0</v>
      </c>
      <c r="P244" t="n">
        <v>0</v>
      </c>
      <c r="Q244" t="n">
        <v>0</v>
      </c>
      <c r="R244" s="2" t="inlineStr"/>
    </row>
    <row r="245" ht="15" customHeight="1">
      <c r="A245" t="inlineStr">
        <is>
          <t>A 45106-2024</t>
        </is>
      </c>
      <c r="B245" s="1" t="n">
        <v>45575</v>
      </c>
      <c r="C245" s="1" t="n">
        <v>46103</v>
      </c>
      <c r="D245" t="inlineStr">
        <is>
          <t>GOTLANDS LÄN</t>
        </is>
      </c>
      <c r="E245" t="inlineStr">
        <is>
          <t>GOTLAND</t>
        </is>
      </c>
      <c r="G245" t="n">
        <v>10</v>
      </c>
      <c r="H245" t="n">
        <v>0</v>
      </c>
      <c r="I245" t="n">
        <v>0</v>
      </c>
      <c r="J245" t="n">
        <v>0</v>
      </c>
      <c r="K245" t="n">
        <v>0</v>
      </c>
      <c r="L245" t="n">
        <v>0</v>
      </c>
      <c r="M245" t="n">
        <v>0</v>
      </c>
      <c r="N245" t="n">
        <v>0</v>
      </c>
      <c r="O245" t="n">
        <v>0</v>
      </c>
      <c r="P245" t="n">
        <v>0</v>
      </c>
      <c r="Q245" t="n">
        <v>0</v>
      </c>
      <c r="R245" s="2" t="inlineStr"/>
    </row>
    <row r="246" ht="15" customHeight="1">
      <c r="A246" t="inlineStr">
        <is>
          <t>A 45112-2024</t>
        </is>
      </c>
      <c r="B246" s="1" t="n">
        <v>45575</v>
      </c>
      <c r="C246" s="1" t="n">
        <v>46103</v>
      </c>
      <c r="D246" t="inlineStr">
        <is>
          <t>GOTLANDS LÄN</t>
        </is>
      </c>
      <c r="E246" t="inlineStr">
        <is>
          <t>GOTLAND</t>
        </is>
      </c>
      <c r="G246" t="n">
        <v>5.1</v>
      </c>
      <c r="H246" t="n">
        <v>0</v>
      </c>
      <c r="I246" t="n">
        <v>0</v>
      </c>
      <c r="J246" t="n">
        <v>0</v>
      </c>
      <c r="K246" t="n">
        <v>0</v>
      </c>
      <c r="L246" t="n">
        <v>0</v>
      </c>
      <c r="M246" t="n">
        <v>0</v>
      </c>
      <c r="N246" t="n">
        <v>0</v>
      </c>
      <c r="O246" t="n">
        <v>0</v>
      </c>
      <c r="P246" t="n">
        <v>0</v>
      </c>
      <c r="Q246" t="n">
        <v>0</v>
      </c>
      <c r="R246" s="2" t="inlineStr"/>
    </row>
    <row r="247" ht="15" customHeight="1">
      <c r="A247" t="inlineStr">
        <is>
          <t>A 20356-2022</t>
        </is>
      </c>
      <c r="B247" s="1" t="n">
        <v>44699</v>
      </c>
      <c r="C247" s="1" t="n">
        <v>46103</v>
      </c>
      <c r="D247" t="inlineStr">
        <is>
          <t>GOTLANDS LÄN</t>
        </is>
      </c>
      <c r="E247" t="inlineStr">
        <is>
          <t>GOTLAND</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46103</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45441.38293981482</v>
      </c>
      <c r="C249" s="1" t="n">
        <v>46103</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10656-2024</t>
        </is>
      </c>
      <c r="B250" s="1" t="n">
        <v>45368</v>
      </c>
      <c r="C250" s="1" t="n">
        <v>46103</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52892-2021</t>
        </is>
      </c>
      <c r="B251" s="1" t="n">
        <v>44467.49048611111</v>
      </c>
      <c r="C251" s="1" t="n">
        <v>46103</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46103</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57356-2023</t>
        </is>
      </c>
      <c r="B253" s="1" t="n">
        <v>45240</v>
      </c>
      <c r="C253" s="1" t="n">
        <v>46103</v>
      </c>
      <c r="D253" t="inlineStr">
        <is>
          <t>GOTLANDS LÄN</t>
        </is>
      </c>
      <c r="E253" t="inlineStr">
        <is>
          <t>GOTLAND</t>
        </is>
      </c>
      <c r="G253" t="n">
        <v>6.4</v>
      </c>
      <c r="H253" t="n">
        <v>0</v>
      </c>
      <c r="I253" t="n">
        <v>0</v>
      </c>
      <c r="J253" t="n">
        <v>0</v>
      </c>
      <c r="K253" t="n">
        <v>0</v>
      </c>
      <c r="L253" t="n">
        <v>0</v>
      </c>
      <c r="M253" t="n">
        <v>0</v>
      </c>
      <c r="N253" t="n">
        <v>0</v>
      </c>
      <c r="O253" t="n">
        <v>0</v>
      </c>
      <c r="P253" t="n">
        <v>0</v>
      </c>
      <c r="Q253" t="n">
        <v>0</v>
      </c>
      <c r="R253" s="2" t="inlineStr"/>
    </row>
    <row r="254" ht="15" customHeight="1">
      <c r="A254" t="inlineStr">
        <is>
          <t>A 56688-2025</t>
        </is>
      </c>
      <c r="B254" s="1" t="n">
        <v>45975.84331018518</v>
      </c>
      <c r="C254" s="1" t="n">
        <v>46103</v>
      </c>
      <c r="D254" t="inlineStr">
        <is>
          <t>GOTLANDS LÄN</t>
        </is>
      </c>
      <c r="E254" t="inlineStr">
        <is>
          <t>GOTLAND</t>
        </is>
      </c>
      <c r="G254" t="n">
        <v>1.3</v>
      </c>
      <c r="H254" t="n">
        <v>0</v>
      </c>
      <c r="I254" t="n">
        <v>0</v>
      </c>
      <c r="J254" t="n">
        <v>0</v>
      </c>
      <c r="K254" t="n">
        <v>0</v>
      </c>
      <c r="L254" t="n">
        <v>0</v>
      </c>
      <c r="M254" t="n">
        <v>0</v>
      </c>
      <c r="N254" t="n">
        <v>0</v>
      </c>
      <c r="O254" t="n">
        <v>0</v>
      </c>
      <c r="P254" t="n">
        <v>0</v>
      </c>
      <c r="Q254" t="n">
        <v>0</v>
      </c>
      <c r="R254" s="2" t="inlineStr"/>
    </row>
    <row r="255" ht="15" customHeight="1">
      <c r="A255" t="inlineStr">
        <is>
          <t>A 49874-2024</t>
        </is>
      </c>
      <c r="B255" s="1" t="n">
        <v>45597.49274305555</v>
      </c>
      <c r="C255" s="1" t="n">
        <v>46103</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28506-2023</t>
        </is>
      </c>
      <c r="B256" s="1" t="n">
        <v>45103</v>
      </c>
      <c r="C256" s="1" t="n">
        <v>46103</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35142-2025</t>
        </is>
      </c>
      <c r="B257" s="1" t="n">
        <v>45852.65532407408</v>
      </c>
      <c r="C257" s="1" t="n">
        <v>46103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56799-2025</t>
        </is>
      </c>
      <c r="B258" s="1" t="n">
        <v>45978.43392361111</v>
      </c>
      <c r="C258" s="1" t="n">
        <v>46103</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23188-2025</t>
        </is>
      </c>
      <c r="B259" s="1" t="n">
        <v>45791</v>
      </c>
      <c r="C259" s="1" t="n">
        <v>46103</v>
      </c>
      <c r="D259" t="inlineStr">
        <is>
          <t>GOTLANDS LÄN</t>
        </is>
      </c>
      <c r="E259" t="inlineStr">
        <is>
          <t>GOTLAND</t>
        </is>
      </c>
      <c r="G259" t="n">
        <v>6.2</v>
      </c>
      <c r="H259" t="n">
        <v>0</v>
      </c>
      <c r="I259" t="n">
        <v>0</v>
      </c>
      <c r="J259" t="n">
        <v>0</v>
      </c>
      <c r="K259" t="n">
        <v>0</v>
      </c>
      <c r="L259" t="n">
        <v>0</v>
      </c>
      <c r="M259" t="n">
        <v>0</v>
      </c>
      <c r="N259" t="n">
        <v>0</v>
      </c>
      <c r="O259" t="n">
        <v>0</v>
      </c>
      <c r="P259" t="n">
        <v>0</v>
      </c>
      <c r="Q259" t="n">
        <v>0</v>
      </c>
      <c r="R259" s="2" t="inlineStr"/>
    </row>
    <row r="260" ht="15" customHeight="1">
      <c r="A260" t="inlineStr">
        <is>
          <t>A 35141-2025</t>
        </is>
      </c>
      <c r="B260" s="1" t="n">
        <v>45852.65206018519</v>
      </c>
      <c r="C260" s="1" t="n">
        <v>46103</v>
      </c>
      <c r="D260" t="inlineStr">
        <is>
          <t>GOTLANDS LÄN</t>
        </is>
      </c>
      <c r="E260" t="inlineStr">
        <is>
          <t>GOTLAND</t>
        </is>
      </c>
      <c r="G260" t="n">
        <v>1</v>
      </c>
      <c r="H260" t="n">
        <v>0</v>
      </c>
      <c r="I260" t="n">
        <v>0</v>
      </c>
      <c r="J260" t="n">
        <v>0</v>
      </c>
      <c r="K260" t="n">
        <v>0</v>
      </c>
      <c r="L260" t="n">
        <v>0</v>
      </c>
      <c r="M260" t="n">
        <v>0</v>
      </c>
      <c r="N260" t="n">
        <v>0</v>
      </c>
      <c r="O260" t="n">
        <v>0</v>
      </c>
      <c r="P260" t="n">
        <v>0</v>
      </c>
      <c r="Q260" t="n">
        <v>0</v>
      </c>
      <c r="R260" s="2" t="inlineStr"/>
    </row>
    <row r="261" ht="15" customHeight="1">
      <c r="A261" t="inlineStr">
        <is>
          <t>A 51782-2023</t>
        </is>
      </c>
      <c r="B261" s="1" t="n">
        <v>45222.80952546297</v>
      </c>
      <c r="C261" s="1" t="n">
        <v>46103</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60675-2021</t>
        </is>
      </c>
      <c r="B262" s="1" t="n">
        <v>44496.64855324074</v>
      </c>
      <c r="C262" s="1" t="n">
        <v>46103</v>
      </c>
      <c r="D262" t="inlineStr">
        <is>
          <t>GOTLANDS LÄN</t>
        </is>
      </c>
      <c r="E262" t="inlineStr">
        <is>
          <t>GOTLAND</t>
        </is>
      </c>
      <c r="G262" t="n">
        <v>4.6</v>
      </c>
      <c r="H262" t="n">
        <v>0</v>
      </c>
      <c r="I262" t="n">
        <v>0</v>
      </c>
      <c r="J262" t="n">
        <v>0</v>
      </c>
      <c r="K262" t="n">
        <v>0</v>
      </c>
      <c r="L262" t="n">
        <v>0</v>
      </c>
      <c r="M262" t="n">
        <v>0</v>
      </c>
      <c r="N262" t="n">
        <v>0</v>
      </c>
      <c r="O262" t="n">
        <v>0</v>
      </c>
      <c r="P262" t="n">
        <v>0</v>
      </c>
      <c r="Q262" t="n">
        <v>0</v>
      </c>
      <c r="R262" s="2" t="inlineStr"/>
    </row>
    <row r="263" ht="15" customHeight="1">
      <c r="A263" t="inlineStr">
        <is>
          <t>A 5217-2023</t>
        </is>
      </c>
      <c r="B263" s="1" t="n">
        <v>44959.39582175926</v>
      </c>
      <c r="C263" s="1" t="n">
        <v>46103</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14638-2025</t>
        </is>
      </c>
      <c r="B264" s="1" t="n">
        <v>45742</v>
      </c>
      <c r="C264" s="1" t="n">
        <v>46103</v>
      </c>
      <c r="D264" t="inlineStr">
        <is>
          <t>GOTLANDS LÄN</t>
        </is>
      </c>
      <c r="E264" t="inlineStr">
        <is>
          <t>GOTLAND</t>
        </is>
      </c>
      <c r="G264" t="n">
        <v>13.4</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46103</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4421-2024</t>
        </is>
      </c>
      <c r="B266" s="1" t="n">
        <v>45327.45173611111</v>
      </c>
      <c r="C266" s="1" t="n">
        <v>46103</v>
      </c>
      <c r="D266" t="inlineStr">
        <is>
          <t>GOTLANDS LÄN</t>
        </is>
      </c>
      <c r="E266" t="inlineStr">
        <is>
          <t>GOTLAND</t>
        </is>
      </c>
      <c r="G266" t="n">
        <v>5.1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46103</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46103</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46103</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46103</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46103</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23856-2025</t>
        </is>
      </c>
      <c r="B272" s="1" t="n">
        <v>45793</v>
      </c>
      <c r="C272" s="1" t="n">
        <v>46103</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23473-2025</t>
        </is>
      </c>
      <c r="B273" s="1" t="n">
        <v>45792</v>
      </c>
      <c r="C273" s="1" t="n">
        <v>46103</v>
      </c>
      <c r="D273" t="inlineStr">
        <is>
          <t>GOTLANDS LÄN</t>
        </is>
      </c>
      <c r="E273" t="inlineStr">
        <is>
          <t>GOTLAND</t>
        </is>
      </c>
      <c r="G273" t="n">
        <v>3.6</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46103</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20165-2022</t>
        </is>
      </c>
      <c r="B275" s="1" t="n">
        <v>44698.49854166667</v>
      </c>
      <c r="C275" s="1" t="n">
        <v>46103</v>
      </c>
      <c r="D275" t="inlineStr">
        <is>
          <t>GOTLANDS LÄN</t>
        </is>
      </c>
      <c r="E275" t="inlineStr">
        <is>
          <t>GOTLAND</t>
        </is>
      </c>
      <c r="G275" t="n">
        <v>4.1</v>
      </c>
      <c r="H275" t="n">
        <v>0</v>
      </c>
      <c r="I275" t="n">
        <v>0</v>
      </c>
      <c r="J275" t="n">
        <v>0</v>
      </c>
      <c r="K275" t="n">
        <v>0</v>
      </c>
      <c r="L275" t="n">
        <v>0</v>
      </c>
      <c r="M275" t="n">
        <v>0</v>
      </c>
      <c r="N275" t="n">
        <v>0</v>
      </c>
      <c r="O275" t="n">
        <v>0</v>
      </c>
      <c r="P275" t="n">
        <v>0</v>
      </c>
      <c r="Q275" t="n">
        <v>0</v>
      </c>
      <c r="R275" s="2" t="inlineStr"/>
    </row>
    <row r="276" ht="15" customHeight="1">
      <c r="A276" t="inlineStr">
        <is>
          <t>A 31264-2021</t>
        </is>
      </c>
      <c r="B276" s="1" t="n">
        <v>44368</v>
      </c>
      <c r="C276" s="1" t="n">
        <v>46103</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59197-2025</t>
        </is>
      </c>
      <c r="B277" s="1" t="n">
        <v>45988.59846064815</v>
      </c>
      <c r="C277" s="1" t="n">
        <v>46103</v>
      </c>
      <c r="D277" t="inlineStr">
        <is>
          <t>GOTLANDS LÄN</t>
        </is>
      </c>
      <c r="E277" t="inlineStr">
        <is>
          <t>GOTLAND</t>
        </is>
      </c>
      <c r="G277" t="n">
        <v>2.3</v>
      </c>
      <c r="H277" t="n">
        <v>0</v>
      </c>
      <c r="I277" t="n">
        <v>0</v>
      </c>
      <c r="J277" t="n">
        <v>0</v>
      </c>
      <c r="K277" t="n">
        <v>0</v>
      </c>
      <c r="L277" t="n">
        <v>0</v>
      </c>
      <c r="M277" t="n">
        <v>0</v>
      </c>
      <c r="N277" t="n">
        <v>0</v>
      </c>
      <c r="O277" t="n">
        <v>0</v>
      </c>
      <c r="P277" t="n">
        <v>0</v>
      </c>
      <c r="Q277" t="n">
        <v>0</v>
      </c>
      <c r="R277" s="2" t="inlineStr"/>
    </row>
    <row r="278" ht="15" customHeight="1">
      <c r="A278" t="inlineStr">
        <is>
          <t>A 40103-2025</t>
        </is>
      </c>
      <c r="B278" s="1" t="n">
        <v>45894.4880324074</v>
      </c>
      <c r="C278" s="1" t="n">
        <v>46103</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33876-2024</t>
        </is>
      </c>
      <c r="B279" s="1" t="n">
        <v>45521.87988425926</v>
      </c>
      <c r="C279" s="1" t="n">
        <v>46103</v>
      </c>
      <c r="D279" t="inlineStr">
        <is>
          <t>GOTLANDS LÄN</t>
        </is>
      </c>
      <c r="E279" t="inlineStr">
        <is>
          <t>GOTLAND</t>
        </is>
      </c>
      <c r="G279" t="n">
        <v>1.3</v>
      </c>
      <c r="H279" t="n">
        <v>0</v>
      </c>
      <c r="I279" t="n">
        <v>0</v>
      </c>
      <c r="J279" t="n">
        <v>0</v>
      </c>
      <c r="K279" t="n">
        <v>0</v>
      </c>
      <c r="L279" t="n">
        <v>0</v>
      </c>
      <c r="M279" t="n">
        <v>0</v>
      </c>
      <c r="N279" t="n">
        <v>0</v>
      </c>
      <c r="O279" t="n">
        <v>0</v>
      </c>
      <c r="P279" t="n">
        <v>0</v>
      </c>
      <c r="Q279" t="n">
        <v>0</v>
      </c>
      <c r="R279" s="2" t="inlineStr"/>
    </row>
    <row r="280" ht="15" customHeight="1">
      <c r="A280" t="inlineStr">
        <is>
          <t>A 36319-2025</t>
        </is>
      </c>
      <c r="B280" s="1" t="n">
        <v>45868</v>
      </c>
      <c r="C280" s="1" t="n">
        <v>46103</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40499-2025</t>
        </is>
      </c>
      <c r="B281" s="1" t="n">
        <v>45896.32517361111</v>
      </c>
      <c r="C281" s="1" t="n">
        <v>46103</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23698-2025</t>
        </is>
      </c>
      <c r="B282" s="1" t="n">
        <v>45793</v>
      </c>
      <c r="C282" s="1" t="n">
        <v>46103</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43223-2023</t>
        </is>
      </c>
      <c r="B283" s="1" t="n">
        <v>45183.45642361111</v>
      </c>
      <c r="C283" s="1" t="n">
        <v>46103</v>
      </c>
      <c r="D283" t="inlineStr">
        <is>
          <t>GOTLANDS LÄN</t>
        </is>
      </c>
      <c r="E283" t="inlineStr">
        <is>
          <t>GOTLAND</t>
        </is>
      </c>
      <c r="G283" t="n">
        <v>1.8</v>
      </c>
      <c r="H283" t="n">
        <v>0</v>
      </c>
      <c r="I283" t="n">
        <v>0</v>
      </c>
      <c r="J283" t="n">
        <v>0</v>
      </c>
      <c r="K283" t="n">
        <v>0</v>
      </c>
      <c r="L283" t="n">
        <v>0</v>
      </c>
      <c r="M283" t="n">
        <v>0</v>
      </c>
      <c r="N283" t="n">
        <v>0</v>
      </c>
      <c r="O283" t="n">
        <v>0</v>
      </c>
      <c r="P283" t="n">
        <v>0</v>
      </c>
      <c r="Q283" t="n">
        <v>0</v>
      </c>
      <c r="R283" s="2" t="inlineStr"/>
    </row>
    <row r="284" ht="15" customHeight="1">
      <c r="A284" t="inlineStr">
        <is>
          <t>A 61962-2024</t>
        </is>
      </c>
      <c r="B284" s="1" t="n">
        <v>45653.54340277778</v>
      </c>
      <c r="C284" s="1" t="n">
        <v>46103</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15073-2025</t>
        </is>
      </c>
      <c r="B285" s="1" t="n">
        <v>45743</v>
      </c>
      <c r="C285" s="1" t="n">
        <v>46103</v>
      </c>
      <c r="D285" t="inlineStr">
        <is>
          <t>GOTLANDS LÄN</t>
        </is>
      </c>
      <c r="E285" t="inlineStr">
        <is>
          <t>GOTLAND</t>
        </is>
      </c>
      <c r="G285" t="n">
        <v>12.1</v>
      </c>
      <c r="H285" t="n">
        <v>0</v>
      </c>
      <c r="I285" t="n">
        <v>0</v>
      </c>
      <c r="J285" t="n">
        <v>0</v>
      </c>
      <c r="K285" t="n">
        <v>0</v>
      </c>
      <c r="L285" t="n">
        <v>0</v>
      </c>
      <c r="M285" t="n">
        <v>0</v>
      </c>
      <c r="N285" t="n">
        <v>0</v>
      </c>
      <c r="O285" t="n">
        <v>0</v>
      </c>
      <c r="P285" t="n">
        <v>0</v>
      </c>
      <c r="Q285" t="n">
        <v>0</v>
      </c>
      <c r="R285" s="2" t="inlineStr"/>
    </row>
    <row r="286" ht="15" customHeight="1">
      <c r="A286" t="inlineStr">
        <is>
          <t>A 27930-2021</t>
        </is>
      </c>
      <c r="B286" s="1" t="n">
        <v>44354</v>
      </c>
      <c r="C286" s="1" t="n">
        <v>46103</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59469-2024</t>
        </is>
      </c>
      <c r="B287" s="1" t="n">
        <v>45638</v>
      </c>
      <c r="C287" s="1" t="n">
        <v>46103</v>
      </c>
      <c r="D287" t="inlineStr">
        <is>
          <t>GOTLANDS LÄN</t>
        </is>
      </c>
      <c r="E287" t="inlineStr">
        <is>
          <t>GOTLAND</t>
        </is>
      </c>
      <c r="G287" t="n">
        <v>0.4</v>
      </c>
      <c r="H287" t="n">
        <v>0</v>
      </c>
      <c r="I287" t="n">
        <v>0</v>
      </c>
      <c r="J287" t="n">
        <v>0</v>
      </c>
      <c r="K287" t="n">
        <v>0</v>
      </c>
      <c r="L287" t="n">
        <v>0</v>
      </c>
      <c r="M287" t="n">
        <v>0</v>
      </c>
      <c r="N287" t="n">
        <v>0</v>
      </c>
      <c r="O287" t="n">
        <v>0</v>
      </c>
      <c r="P287" t="n">
        <v>0</v>
      </c>
      <c r="Q287" t="n">
        <v>0</v>
      </c>
      <c r="R287" s="2" t="inlineStr"/>
    </row>
    <row r="288" ht="15" customHeight="1">
      <c r="A288" t="inlineStr">
        <is>
          <t>A 41551-2025</t>
        </is>
      </c>
      <c r="B288" s="1" t="n">
        <v>45901.58854166666</v>
      </c>
      <c r="C288" s="1" t="n">
        <v>46103</v>
      </c>
      <c r="D288" t="inlineStr">
        <is>
          <t>GOTLANDS LÄN</t>
        </is>
      </c>
      <c r="E288" t="inlineStr">
        <is>
          <t>GOTLAND</t>
        </is>
      </c>
      <c r="G288" t="n">
        <v>5.6</v>
      </c>
      <c r="H288" t="n">
        <v>0</v>
      </c>
      <c r="I288" t="n">
        <v>0</v>
      </c>
      <c r="J288" t="n">
        <v>0</v>
      </c>
      <c r="K288" t="n">
        <v>0</v>
      </c>
      <c r="L288" t="n">
        <v>0</v>
      </c>
      <c r="M288" t="n">
        <v>0</v>
      </c>
      <c r="N288" t="n">
        <v>0</v>
      </c>
      <c r="O288" t="n">
        <v>0</v>
      </c>
      <c r="P288" t="n">
        <v>0</v>
      </c>
      <c r="Q288" t="n">
        <v>0</v>
      </c>
      <c r="R288" s="2" t="inlineStr"/>
    </row>
    <row r="289" ht="15" customHeight="1">
      <c r="A289" t="inlineStr">
        <is>
          <t>A 39278-2025</t>
        </is>
      </c>
      <c r="B289" s="1" t="n">
        <v>45889</v>
      </c>
      <c r="C289" s="1" t="n">
        <v>46103</v>
      </c>
      <c r="D289" t="inlineStr">
        <is>
          <t>GOTLANDS LÄN</t>
        </is>
      </c>
      <c r="E289" t="inlineStr">
        <is>
          <t>GOTLAND</t>
        </is>
      </c>
      <c r="G289" t="n">
        <v>3.7</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46103</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5751-2024</t>
        </is>
      </c>
      <c r="B291" s="1" t="n">
        <v>45335.32702546296</v>
      </c>
      <c r="C291" s="1" t="n">
        <v>46103</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6696-2023</t>
        </is>
      </c>
      <c r="B292" s="1" t="n">
        <v>44966.66425925926</v>
      </c>
      <c r="C292" s="1" t="n">
        <v>46103</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28480-2023</t>
        </is>
      </c>
      <c r="B293" s="1" t="n">
        <v>45103</v>
      </c>
      <c r="C293" s="1" t="n">
        <v>46103</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28485-2023</t>
        </is>
      </c>
      <c r="B294" s="1" t="n">
        <v>45103.43731481482</v>
      </c>
      <c r="C294" s="1" t="n">
        <v>46103</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4990-2025</t>
        </is>
      </c>
      <c r="B295" s="1" t="n">
        <v>45691</v>
      </c>
      <c r="C295" s="1" t="n">
        <v>46103</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38165-2023</t>
        </is>
      </c>
      <c r="B296" s="1" t="n">
        <v>45161</v>
      </c>
      <c r="C296" s="1" t="n">
        <v>46103</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46103</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46103</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46103</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46103</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46103</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46103</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43911-2025</t>
        </is>
      </c>
      <c r="B303" s="1" t="n">
        <v>45914.3881712963</v>
      </c>
      <c r="C303" s="1" t="n">
        <v>46103</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48503-2023</t>
        </is>
      </c>
      <c r="B304" s="1" t="n">
        <v>45207</v>
      </c>
      <c r="C304" s="1" t="n">
        <v>46103</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6749-2025</t>
        </is>
      </c>
      <c r="B305" s="1" t="n">
        <v>45700</v>
      </c>
      <c r="C305" s="1" t="n">
        <v>46103</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62066-2025</t>
        </is>
      </c>
      <c r="B306" s="1" t="n">
        <v>46006.34738425926</v>
      </c>
      <c r="C306" s="1" t="n">
        <v>46103</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62103-2025</t>
        </is>
      </c>
      <c r="B307" s="1" t="n">
        <v>46006</v>
      </c>
      <c r="C307" s="1" t="n">
        <v>46103</v>
      </c>
      <c r="D307" t="inlineStr">
        <is>
          <t>GOTLANDS LÄN</t>
        </is>
      </c>
      <c r="E307" t="inlineStr">
        <is>
          <t>GOTLAND</t>
        </is>
      </c>
      <c r="F307" t="inlineStr">
        <is>
          <t>Övriga Aktiebolag</t>
        </is>
      </c>
      <c r="G307" t="n">
        <v>1.7</v>
      </c>
      <c r="H307" t="n">
        <v>0</v>
      </c>
      <c r="I307" t="n">
        <v>0</v>
      </c>
      <c r="J307" t="n">
        <v>0</v>
      </c>
      <c r="K307" t="n">
        <v>0</v>
      </c>
      <c r="L307" t="n">
        <v>0</v>
      </c>
      <c r="M307" t="n">
        <v>0</v>
      </c>
      <c r="N307" t="n">
        <v>0</v>
      </c>
      <c r="O307" t="n">
        <v>0</v>
      </c>
      <c r="P307" t="n">
        <v>0</v>
      </c>
      <c r="Q307" t="n">
        <v>0</v>
      </c>
      <c r="R307" s="2" t="inlineStr"/>
    </row>
    <row r="308" ht="15" customHeight="1">
      <c r="A308" t="inlineStr">
        <is>
          <t>A 24825-2024</t>
        </is>
      </c>
      <c r="B308" s="1" t="n">
        <v>45461</v>
      </c>
      <c r="C308" s="1" t="n">
        <v>46103</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43951-2025</t>
        </is>
      </c>
      <c r="B309" s="1" t="n">
        <v>45915.38119212963</v>
      </c>
      <c r="C309" s="1" t="n">
        <v>46103</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44410-2025</t>
        </is>
      </c>
      <c r="B310" s="1" t="n">
        <v>45916.53699074074</v>
      </c>
      <c r="C310" s="1" t="n">
        <v>46103</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44405-2025</t>
        </is>
      </c>
      <c r="B311" s="1" t="n">
        <v>45916.52405092592</v>
      </c>
      <c r="C311" s="1" t="n">
        <v>46103</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22031-2024</t>
        </is>
      </c>
      <c r="B312" s="1" t="n">
        <v>45443.60075231481</v>
      </c>
      <c r="C312" s="1" t="n">
        <v>46103</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17688-2024</t>
        </is>
      </c>
      <c r="B313" s="1" t="n">
        <v>45418.43575231481</v>
      </c>
      <c r="C313" s="1" t="n">
        <v>46103</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47147-2025</t>
        </is>
      </c>
      <c r="B314" s="1" t="n">
        <v>45929</v>
      </c>
      <c r="C314" s="1" t="n">
        <v>46103</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63002-2025</t>
        </is>
      </c>
      <c r="B315" s="1" t="n">
        <v>46009.56564814815</v>
      </c>
      <c r="C315" s="1" t="n">
        <v>46103</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27694-2024</t>
        </is>
      </c>
      <c r="B316" s="1" t="n">
        <v>45475</v>
      </c>
      <c r="C316" s="1" t="n">
        <v>46103</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5462-2025</t>
        </is>
      </c>
      <c r="B317" s="1" t="n">
        <v>45693.29331018519</v>
      </c>
      <c r="C317" s="1" t="n">
        <v>46103</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39764-2022</t>
        </is>
      </c>
      <c r="B318" s="1" t="n">
        <v>44819</v>
      </c>
      <c r="C318" s="1" t="n">
        <v>46103</v>
      </c>
      <c r="D318" t="inlineStr">
        <is>
          <t>GOTLANDS LÄN</t>
        </is>
      </c>
      <c r="E318" t="inlineStr">
        <is>
          <t>GOTLAND</t>
        </is>
      </c>
      <c r="F318" t="inlineStr">
        <is>
          <t>Kyrkan</t>
        </is>
      </c>
      <c r="G318" t="n">
        <v>3.7</v>
      </c>
      <c r="H318" t="n">
        <v>0</v>
      </c>
      <c r="I318" t="n">
        <v>0</v>
      </c>
      <c r="J318" t="n">
        <v>0</v>
      </c>
      <c r="K318" t="n">
        <v>0</v>
      </c>
      <c r="L318" t="n">
        <v>0</v>
      </c>
      <c r="M318" t="n">
        <v>0</v>
      </c>
      <c r="N318" t="n">
        <v>0</v>
      </c>
      <c r="O318" t="n">
        <v>0</v>
      </c>
      <c r="P318" t="n">
        <v>0</v>
      </c>
      <c r="Q318" t="n">
        <v>0</v>
      </c>
      <c r="R318" s="2" t="inlineStr"/>
    </row>
    <row r="319" ht="15" customHeight="1">
      <c r="A319" t="inlineStr">
        <is>
          <t>A 6099-2024</t>
        </is>
      </c>
      <c r="B319" s="1" t="n">
        <v>45337</v>
      </c>
      <c r="C319" s="1" t="n">
        <v>46103</v>
      </c>
      <c r="D319" t="inlineStr">
        <is>
          <t>GOTLANDS LÄN</t>
        </is>
      </c>
      <c r="E319" t="inlineStr">
        <is>
          <t>GOTLAND</t>
        </is>
      </c>
      <c r="G319" t="n">
        <v>12.6</v>
      </c>
      <c r="H319" t="n">
        <v>0</v>
      </c>
      <c r="I319" t="n">
        <v>0</v>
      </c>
      <c r="J319" t="n">
        <v>0</v>
      </c>
      <c r="K319" t="n">
        <v>0</v>
      </c>
      <c r="L319" t="n">
        <v>0</v>
      </c>
      <c r="M319" t="n">
        <v>0</v>
      </c>
      <c r="N319" t="n">
        <v>0</v>
      </c>
      <c r="O319" t="n">
        <v>0</v>
      </c>
      <c r="P319" t="n">
        <v>0</v>
      </c>
      <c r="Q319" t="n">
        <v>0</v>
      </c>
      <c r="R319" s="2" t="inlineStr"/>
    </row>
    <row r="320" ht="15" customHeight="1">
      <c r="A320" t="inlineStr">
        <is>
          <t>A 8260-2023</t>
        </is>
      </c>
      <c r="B320" s="1" t="n">
        <v>44974.61608796296</v>
      </c>
      <c r="C320" s="1" t="n">
        <v>46103</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54584-2025</t>
        </is>
      </c>
      <c r="B321" s="1" t="n">
        <v>45965.71788194445</v>
      </c>
      <c r="C321" s="1" t="n">
        <v>46103</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38649-2025</t>
        </is>
      </c>
      <c r="B322" s="1" t="n">
        <v>45884</v>
      </c>
      <c r="C322" s="1" t="n">
        <v>46103</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22287-2022</t>
        </is>
      </c>
      <c r="B323" s="1" t="n">
        <v>44712</v>
      </c>
      <c r="C323" s="1" t="n">
        <v>46103</v>
      </c>
      <c r="D323" t="inlineStr">
        <is>
          <t>GOTLANDS LÄN</t>
        </is>
      </c>
      <c r="E323" t="inlineStr">
        <is>
          <t>GOTLAND</t>
        </is>
      </c>
      <c r="G323" t="n">
        <v>6.1</v>
      </c>
      <c r="H323" t="n">
        <v>0</v>
      </c>
      <c r="I323" t="n">
        <v>0</v>
      </c>
      <c r="J323" t="n">
        <v>0</v>
      </c>
      <c r="K323" t="n">
        <v>0</v>
      </c>
      <c r="L323" t="n">
        <v>0</v>
      </c>
      <c r="M323" t="n">
        <v>0</v>
      </c>
      <c r="N323" t="n">
        <v>0</v>
      </c>
      <c r="O323" t="n">
        <v>0</v>
      </c>
      <c r="P323" t="n">
        <v>0</v>
      </c>
      <c r="Q323" t="n">
        <v>0</v>
      </c>
      <c r="R323" s="2" t="inlineStr"/>
    </row>
    <row r="324" ht="15" customHeight="1">
      <c r="A324" t="inlineStr">
        <is>
          <t>A 57534-2022</t>
        </is>
      </c>
      <c r="B324" s="1" t="n">
        <v>44896</v>
      </c>
      <c r="C324" s="1" t="n">
        <v>46103</v>
      </c>
      <c r="D324" t="inlineStr">
        <is>
          <t>GOTLANDS LÄN</t>
        </is>
      </c>
      <c r="E324" t="inlineStr">
        <is>
          <t>GOTLAND</t>
        </is>
      </c>
      <c r="G324" t="n">
        <v>0.6</v>
      </c>
      <c r="H324" t="n">
        <v>0</v>
      </c>
      <c r="I324" t="n">
        <v>0</v>
      </c>
      <c r="J324" t="n">
        <v>0</v>
      </c>
      <c r="K324" t="n">
        <v>0</v>
      </c>
      <c r="L324" t="n">
        <v>0</v>
      </c>
      <c r="M324" t="n">
        <v>0</v>
      </c>
      <c r="N324" t="n">
        <v>0</v>
      </c>
      <c r="O324" t="n">
        <v>0</v>
      </c>
      <c r="P324" t="n">
        <v>0</v>
      </c>
      <c r="Q324" t="n">
        <v>0</v>
      </c>
      <c r="R324" s="2" t="inlineStr"/>
    </row>
    <row r="325" ht="15" customHeight="1">
      <c r="A325" t="inlineStr">
        <is>
          <t>A 7625-2026</t>
        </is>
      </c>
      <c r="B325" s="1" t="n">
        <v>46062.35135416667</v>
      </c>
      <c r="C325" s="1" t="n">
        <v>46103</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7627-2026</t>
        </is>
      </c>
      <c r="B326" s="1" t="n">
        <v>46062.35465277778</v>
      </c>
      <c r="C326" s="1" t="n">
        <v>46103</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61078-2025</t>
        </is>
      </c>
      <c r="B327" s="1" t="n">
        <v>46000</v>
      </c>
      <c r="C327" s="1" t="n">
        <v>46103</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26391-2025</t>
        </is>
      </c>
      <c r="B328" s="1" t="n">
        <v>45806</v>
      </c>
      <c r="C328" s="1" t="n">
        <v>46103</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46836-2025</t>
        </is>
      </c>
      <c r="B329" s="1" t="n">
        <v>45928.31511574074</v>
      </c>
      <c r="C329" s="1" t="n">
        <v>46103</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64660-2023</t>
        </is>
      </c>
      <c r="B330" s="1" t="n">
        <v>45281.60122685185</v>
      </c>
      <c r="C330" s="1" t="n">
        <v>46103</v>
      </c>
      <c r="D330" t="inlineStr">
        <is>
          <t>GOTLANDS LÄN</t>
        </is>
      </c>
      <c r="E330" t="inlineStr">
        <is>
          <t>GOTLAND</t>
        </is>
      </c>
      <c r="G330" t="n">
        <v>6.3</v>
      </c>
      <c r="H330" t="n">
        <v>0</v>
      </c>
      <c r="I330" t="n">
        <v>0</v>
      </c>
      <c r="J330" t="n">
        <v>0</v>
      </c>
      <c r="K330" t="n">
        <v>0</v>
      </c>
      <c r="L330" t="n">
        <v>0</v>
      </c>
      <c r="M330" t="n">
        <v>0</v>
      </c>
      <c r="N330" t="n">
        <v>0</v>
      </c>
      <c r="O330" t="n">
        <v>0</v>
      </c>
      <c r="P330" t="n">
        <v>0</v>
      </c>
      <c r="Q330" t="n">
        <v>0</v>
      </c>
      <c r="R330" s="2" t="inlineStr"/>
    </row>
    <row r="331" ht="15" customHeight="1">
      <c r="A331" t="inlineStr">
        <is>
          <t>A 36-2026</t>
        </is>
      </c>
      <c r="B331" s="1" t="n">
        <v>46024.38886574074</v>
      </c>
      <c r="C331" s="1" t="n">
        <v>46103</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47637-2025</t>
        </is>
      </c>
      <c r="B332" s="1" t="n">
        <v>45931.49753472222</v>
      </c>
      <c r="C332" s="1" t="n">
        <v>46103</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62674-2025</t>
        </is>
      </c>
      <c r="B333" s="1" t="n">
        <v>46008</v>
      </c>
      <c r="C333" s="1" t="n">
        <v>46103</v>
      </c>
      <c r="D333" t="inlineStr">
        <is>
          <t>GOTLANDS LÄN</t>
        </is>
      </c>
      <c r="E333" t="inlineStr">
        <is>
          <t>GOTLAND</t>
        </is>
      </c>
      <c r="G333" t="n">
        <v>5</v>
      </c>
      <c r="H333" t="n">
        <v>0</v>
      </c>
      <c r="I333" t="n">
        <v>0</v>
      </c>
      <c r="J333" t="n">
        <v>0</v>
      </c>
      <c r="K333" t="n">
        <v>0</v>
      </c>
      <c r="L333" t="n">
        <v>0</v>
      </c>
      <c r="M333" t="n">
        <v>0</v>
      </c>
      <c r="N333" t="n">
        <v>0</v>
      </c>
      <c r="O333" t="n">
        <v>0</v>
      </c>
      <c r="P333" t="n">
        <v>0</v>
      </c>
      <c r="Q333" t="n">
        <v>0</v>
      </c>
      <c r="R333" s="2" t="inlineStr"/>
    </row>
    <row r="334" ht="15" customHeight="1">
      <c r="A334" t="inlineStr">
        <is>
          <t>A 9543-2026</t>
        </is>
      </c>
      <c r="B334" s="1" t="n">
        <v>46071.62486111111</v>
      </c>
      <c r="C334" s="1" t="n">
        <v>46103</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9518-2026</t>
        </is>
      </c>
      <c r="B335" s="1" t="n">
        <v>46071.59653935185</v>
      </c>
      <c r="C335" s="1" t="n">
        <v>46103</v>
      </c>
      <c r="D335" t="inlineStr">
        <is>
          <t>GOTLANDS LÄN</t>
        </is>
      </c>
      <c r="E335" t="inlineStr">
        <is>
          <t>GOTLAND</t>
        </is>
      </c>
      <c r="G335" t="n">
        <v>6.2</v>
      </c>
      <c r="H335" t="n">
        <v>0</v>
      </c>
      <c r="I335" t="n">
        <v>0</v>
      </c>
      <c r="J335" t="n">
        <v>0</v>
      </c>
      <c r="K335" t="n">
        <v>0</v>
      </c>
      <c r="L335" t="n">
        <v>0</v>
      </c>
      <c r="M335" t="n">
        <v>0</v>
      </c>
      <c r="N335" t="n">
        <v>0</v>
      </c>
      <c r="O335" t="n">
        <v>0</v>
      </c>
      <c r="P335" t="n">
        <v>0</v>
      </c>
      <c r="Q335" t="n">
        <v>0</v>
      </c>
      <c r="R335" s="2" t="inlineStr"/>
    </row>
    <row r="336" ht="15" customHeight="1">
      <c r="A336" t="inlineStr">
        <is>
          <t>A 9524-2026</t>
        </is>
      </c>
      <c r="B336" s="1" t="n">
        <v>46071.60108796296</v>
      </c>
      <c r="C336" s="1" t="n">
        <v>46103</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32378-2025</t>
        </is>
      </c>
      <c r="B337" s="1" t="n">
        <v>45837</v>
      </c>
      <c r="C337" s="1" t="n">
        <v>46103</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63105-2025</t>
        </is>
      </c>
      <c r="B338" s="1" t="n">
        <v>46009</v>
      </c>
      <c r="C338" s="1" t="n">
        <v>46103</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63152-2025</t>
        </is>
      </c>
      <c r="B339" s="1" t="n">
        <v>46010</v>
      </c>
      <c r="C339" s="1" t="n">
        <v>46103</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20855-2023</t>
        </is>
      </c>
      <c r="B340" s="1" t="n">
        <v>45058.82172453704</v>
      </c>
      <c r="C340" s="1" t="n">
        <v>46103</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9519-2026</t>
        </is>
      </c>
      <c r="B341" s="1" t="n">
        <v>46071.59820601852</v>
      </c>
      <c r="C341" s="1" t="n">
        <v>46103</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9521-2026</t>
        </is>
      </c>
      <c r="B342" s="1" t="n">
        <v>46071.59969907408</v>
      </c>
      <c r="C342" s="1" t="n">
        <v>46103</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9504-2026</t>
        </is>
      </c>
      <c r="B343" s="1" t="n">
        <v>46071.57730324074</v>
      </c>
      <c r="C343" s="1" t="n">
        <v>46103</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9540-2026</t>
        </is>
      </c>
      <c r="B344" s="1" t="n">
        <v>46071.61961805556</v>
      </c>
      <c r="C344" s="1" t="n">
        <v>46103</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1355-2026</t>
        </is>
      </c>
      <c r="B345" s="1" t="n">
        <v>46031.59909722222</v>
      </c>
      <c r="C345" s="1" t="n">
        <v>46103</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60709-2023</t>
        </is>
      </c>
      <c r="B346" s="1" t="n">
        <v>45260</v>
      </c>
      <c r="C346" s="1" t="n">
        <v>46103</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35550-2025</t>
        </is>
      </c>
      <c r="B347" s="1" t="n">
        <v>45856.49324074074</v>
      </c>
      <c r="C347" s="1" t="n">
        <v>46103</v>
      </c>
      <c r="D347" t="inlineStr">
        <is>
          <t>GOTLANDS LÄN</t>
        </is>
      </c>
      <c r="E347" t="inlineStr">
        <is>
          <t>GOTLAND</t>
        </is>
      </c>
      <c r="G347" t="n">
        <v>3.2</v>
      </c>
      <c r="H347" t="n">
        <v>0</v>
      </c>
      <c r="I347" t="n">
        <v>0</v>
      </c>
      <c r="J347" t="n">
        <v>0</v>
      </c>
      <c r="K347" t="n">
        <v>0</v>
      </c>
      <c r="L347" t="n">
        <v>0</v>
      </c>
      <c r="M347" t="n">
        <v>0</v>
      </c>
      <c r="N347" t="n">
        <v>0</v>
      </c>
      <c r="O347" t="n">
        <v>0</v>
      </c>
      <c r="P347" t="n">
        <v>0</v>
      </c>
      <c r="Q347" t="n">
        <v>0</v>
      </c>
      <c r="R347" s="2" t="inlineStr"/>
    </row>
    <row r="348" ht="15" customHeight="1">
      <c r="A348" t="inlineStr">
        <is>
          <t>A 1000-2024</t>
        </is>
      </c>
      <c r="B348" s="1" t="n">
        <v>45301.63371527778</v>
      </c>
      <c r="C348" s="1" t="n">
        <v>46103</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1010-2024</t>
        </is>
      </c>
      <c r="B349" s="1" t="n">
        <v>45301</v>
      </c>
      <c r="C349" s="1" t="n">
        <v>46103</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65249-2023</t>
        </is>
      </c>
      <c r="B350" s="1" t="n">
        <v>45290</v>
      </c>
      <c r="C350" s="1" t="n">
        <v>46103</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47578-2025</t>
        </is>
      </c>
      <c r="B351" s="1" t="n">
        <v>45931</v>
      </c>
      <c r="C351" s="1" t="n">
        <v>46103</v>
      </c>
      <c r="D351" t="inlineStr">
        <is>
          <t>GOTLANDS LÄN</t>
        </is>
      </c>
      <c r="E351" t="inlineStr">
        <is>
          <t>GOTLAND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30956-2024</t>
        </is>
      </c>
      <c r="B352" s="1" t="n">
        <v>45499.42527777778</v>
      </c>
      <c r="C352" s="1" t="n">
        <v>46103</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12596-2023</t>
        </is>
      </c>
      <c r="B353" s="1" t="n">
        <v>45000.43310185185</v>
      </c>
      <c r="C353" s="1" t="n">
        <v>46103</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33011-2025</t>
        </is>
      </c>
      <c r="B354" s="1" t="n">
        <v>45840</v>
      </c>
      <c r="C354" s="1" t="n">
        <v>46103</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49690-2025</t>
        </is>
      </c>
      <c r="B355" s="1" t="n">
        <v>45939.66730324074</v>
      </c>
      <c r="C355" s="1" t="n">
        <v>46103</v>
      </c>
      <c r="D355" t="inlineStr">
        <is>
          <t>GOTLANDS LÄN</t>
        </is>
      </c>
      <c r="E355" t="inlineStr">
        <is>
          <t>GOTLAND</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8045-2022</t>
        </is>
      </c>
      <c r="B356" s="1" t="n">
        <v>44609</v>
      </c>
      <c r="C356" s="1" t="n">
        <v>46103</v>
      </c>
      <c r="D356" t="inlineStr">
        <is>
          <t>GOTLANDS LÄN</t>
        </is>
      </c>
      <c r="E356" t="inlineStr">
        <is>
          <t>GOTLAND</t>
        </is>
      </c>
      <c r="G356" t="n">
        <v>7</v>
      </c>
      <c r="H356" t="n">
        <v>0</v>
      </c>
      <c r="I356" t="n">
        <v>0</v>
      </c>
      <c r="J356" t="n">
        <v>0</v>
      </c>
      <c r="K356" t="n">
        <v>0</v>
      </c>
      <c r="L356" t="n">
        <v>0</v>
      </c>
      <c r="M356" t="n">
        <v>0</v>
      </c>
      <c r="N356" t="n">
        <v>0</v>
      </c>
      <c r="O356" t="n">
        <v>0</v>
      </c>
      <c r="P356" t="n">
        <v>0</v>
      </c>
      <c r="Q356" t="n">
        <v>0</v>
      </c>
      <c r="R356" s="2" t="inlineStr"/>
    </row>
    <row r="357" ht="15" customHeight="1">
      <c r="A357" t="inlineStr">
        <is>
          <t>A 9901-2026</t>
        </is>
      </c>
      <c r="B357" s="1" t="n">
        <v>46073.40391203704</v>
      </c>
      <c r="C357" s="1" t="n">
        <v>46103</v>
      </c>
      <c r="D357" t="inlineStr">
        <is>
          <t>GOTLANDS LÄN</t>
        </is>
      </c>
      <c r="E357" t="inlineStr">
        <is>
          <t>GOTLAND</t>
        </is>
      </c>
      <c r="F357" t="inlineStr">
        <is>
          <t>Kyrkan</t>
        </is>
      </c>
      <c r="G357" t="n">
        <v>0.9</v>
      </c>
      <c r="H357" t="n">
        <v>0</v>
      </c>
      <c r="I357" t="n">
        <v>0</v>
      </c>
      <c r="J357" t="n">
        <v>0</v>
      </c>
      <c r="K357" t="n">
        <v>0</v>
      </c>
      <c r="L357" t="n">
        <v>0</v>
      </c>
      <c r="M357" t="n">
        <v>0</v>
      </c>
      <c r="N357" t="n">
        <v>0</v>
      </c>
      <c r="O357" t="n">
        <v>0</v>
      </c>
      <c r="P357" t="n">
        <v>0</v>
      </c>
      <c r="Q357" t="n">
        <v>0</v>
      </c>
      <c r="R357" s="2" t="inlineStr"/>
    </row>
    <row r="358" ht="15" customHeight="1">
      <c r="A358" t="inlineStr">
        <is>
          <t>A 10486-2026</t>
        </is>
      </c>
      <c r="B358" s="1" t="n">
        <v>46077.51425925926</v>
      </c>
      <c r="C358" s="1" t="n">
        <v>46103</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1898-2026</t>
        </is>
      </c>
      <c r="B359" s="1" t="n">
        <v>46035.52024305556</v>
      </c>
      <c r="C359" s="1" t="n">
        <v>46103</v>
      </c>
      <c r="D359" t="inlineStr">
        <is>
          <t>GOTLANDS LÄN</t>
        </is>
      </c>
      <c r="E359" t="inlineStr">
        <is>
          <t>GOTLAND</t>
        </is>
      </c>
      <c r="G359" t="n">
        <v>3.7</v>
      </c>
      <c r="H359" t="n">
        <v>0</v>
      </c>
      <c r="I359" t="n">
        <v>0</v>
      </c>
      <c r="J359" t="n">
        <v>0</v>
      </c>
      <c r="K359" t="n">
        <v>0</v>
      </c>
      <c r="L359" t="n">
        <v>0</v>
      </c>
      <c r="M359" t="n">
        <v>0</v>
      </c>
      <c r="N359" t="n">
        <v>0</v>
      </c>
      <c r="O359" t="n">
        <v>0</v>
      </c>
      <c r="P359" t="n">
        <v>0</v>
      </c>
      <c r="Q359" t="n">
        <v>0</v>
      </c>
      <c r="R359" s="2" t="inlineStr"/>
    </row>
    <row r="360" ht="15" customHeight="1">
      <c r="A360" t="inlineStr">
        <is>
          <t>A 49724-2025</t>
        </is>
      </c>
      <c r="B360" s="1" t="n">
        <v>45939.83730324074</v>
      </c>
      <c r="C360" s="1" t="n">
        <v>46103</v>
      </c>
      <c r="D360" t="inlineStr">
        <is>
          <t>GOTLANDS LÄN</t>
        </is>
      </c>
      <c r="E360" t="inlineStr">
        <is>
          <t>GOTLAND</t>
        </is>
      </c>
      <c r="F360" t="inlineStr">
        <is>
          <t>Kyrkan</t>
        </is>
      </c>
      <c r="G360" t="n">
        <v>3.1</v>
      </c>
      <c r="H360" t="n">
        <v>0</v>
      </c>
      <c r="I360" t="n">
        <v>0</v>
      </c>
      <c r="J360" t="n">
        <v>0</v>
      </c>
      <c r="K360" t="n">
        <v>0</v>
      </c>
      <c r="L360" t="n">
        <v>0</v>
      </c>
      <c r="M360" t="n">
        <v>0</v>
      </c>
      <c r="N360" t="n">
        <v>0</v>
      </c>
      <c r="O360" t="n">
        <v>0</v>
      </c>
      <c r="P360" t="n">
        <v>0</v>
      </c>
      <c r="Q360" t="n">
        <v>0</v>
      </c>
      <c r="R360" s="2" t="inlineStr"/>
    </row>
    <row r="361" ht="15" customHeight="1">
      <c r="A361" t="inlineStr">
        <is>
          <t>A 49730-2025</t>
        </is>
      </c>
      <c r="B361" s="1" t="n">
        <v>45939.87613425926</v>
      </c>
      <c r="C361" s="1" t="n">
        <v>46103</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999-2024</t>
        </is>
      </c>
      <c r="B362" s="1" t="n">
        <v>45301</v>
      </c>
      <c r="C362" s="1" t="n">
        <v>46103</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65901-2021</t>
        </is>
      </c>
      <c r="B363" s="1" t="n">
        <v>44516</v>
      </c>
      <c r="C363" s="1" t="n">
        <v>46103</v>
      </c>
      <c r="D363" t="inlineStr">
        <is>
          <t>GOTLANDS LÄN</t>
        </is>
      </c>
      <c r="E363" t="inlineStr">
        <is>
          <t>GOTLAND</t>
        </is>
      </c>
      <c r="G363" t="n">
        <v>4.9</v>
      </c>
      <c r="H363" t="n">
        <v>0</v>
      </c>
      <c r="I363" t="n">
        <v>0</v>
      </c>
      <c r="J363" t="n">
        <v>0</v>
      </c>
      <c r="K363" t="n">
        <v>0</v>
      </c>
      <c r="L363" t="n">
        <v>0</v>
      </c>
      <c r="M363" t="n">
        <v>0</v>
      </c>
      <c r="N363" t="n">
        <v>0</v>
      </c>
      <c r="O363" t="n">
        <v>0</v>
      </c>
      <c r="P363" t="n">
        <v>0</v>
      </c>
      <c r="Q363" t="n">
        <v>0</v>
      </c>
      <c r="R363" s="2" t="inlineStr"/>
    </row>
    <row r="364" ht="15" customHeight="1">
      <c r="A364" t="inlineStr">
        <is>
          <t>A 47762-2023</t>
        </is>
      </c>
      <c r="B364" s="1" t="n">
        <v>45203.86256944444</v>
      </c>
      <c r="C364" s="1" t="n">
        <v>46103</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46103</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10284-2026</t>
        </is>
      </c>
      <c r="B366" s="1" t="n">
        <v>46076</v>
      </c>
      <c r="C366" s="1" t="n">
        <v>46103</v>
      </c>
      <c r="D366" t="inlineStr">
        <is>
          <t>GOTLANDS LÄN</t>
        </is>
      </c>
      <c r="E366" t="inlineStr">
        <is>
          <t>GOTLAND</t>
        </is>
      </c>
      <c r="G366" t="n">
        <v>5.2</v>
      </c>
      <c r="H366" t="n">
        <v>0</v>
      </c>
      <c r="I366" t="n">
        <v>0</v>
      </c>
      <c r="J366" t="n">
        <v>0</v>
      </c>
      <c r="K366" t="n">
        <v>0</v>
      </c>
      <c r="L366" t="n">
        <v>0</v>
      </c>
      <c r="M366" t="n">
        <v>0</v>
      </c>
      <c r="N366" t="n">
        <v>0</v>
      </c>
      <c r="O366" t="n">
        <v>0</v>
      </c>
      <c r="P366" t="n">
        <v>0</v>
      </c>
      <c r="Q366" t="n">
        <v>0</v>
      </c>
      <c r="R366" s="2" t="inlineStr"/>
    </row>
    <row r="367" ht="15" customHeight="1">
      <c r="A367" t="inlineStr">
        <is>
          <t>A 40294-2022</t>
        </is>
      </c>
      <c r="B367" s="1" t="n">
        <v>44821</v>
      </c>
      <c r="C367" s="1" t="n">
        <v>46103</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46103</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27602-2023</t>
        </is>
      </c>
      <c r="B369" s="1" t="n">
        <v>45097</v>
      </c>
      <c r="C369" s="1" t="n">
        <v>46103</v>
      </c>
      <c r="D369" t="inlineStr">
        <is>
          <t>GOTLANDS LÄN</t>
        </is>
      </c>
      <c r="E369" t="inlineStr">
        <is>
          <t>GOTLAND</t>
        </is>
      </c>
      <c r="G369" t="n">
        <v>2.7</v>
      </c>
      <c r="H369" t="n">
        <v>0</v>
      </c>
      <c r="I369" t="n">
        <v>0</v>
      </c>
      <c r="J369" t="n">
        <v>0</v>
      </c>
      <c r="K369" t="n">
        <v>0</v>
      </c>
      <c r="L369" t="n">
        <v>0</v>
      </c>
      <c r="M369" t="n">
        <v>0</v>
      </c>
      <c r="N369" t="n">
        <v>0</v>
      </c>
      <c r="O369" t="n">
        <v>0</v>
      </c>
      <c r="P369" t="n">
        <v>0</v>
      </c>
      <c r="Q369" t="n">
        <v>0</v>
      </c>
      <c r="R369" s="2" t="inlineStr"/>
    </row>
    <row r="370" ht="15" customHeight="1">
      <c r="A370" t="inlineStr">
        <is>
          <t>A 58780-2024</t>
        </is>
      </c>
      <c r="B370" s="1" t="n">
        <v>45635.84113425926</v>
      </c>
      <c r="C370" s="1" t="n">
        <v>46103</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12322-2025</t>
        </is>
      </c>
      <c r="B371" s="1" t="n">
        <v>45730</v>
      </c>
      <c r="C371" s="1" t="n">
        <v>46103</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24192-2023</t>
        </is>
      </c>
      <c r="B372" s="1" t="n">
        <v>45079</v>
      </c>
      <c r="C372" s="1" t="n">
        <v>46103</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30282-2022</t>
        </is>
      </c>
      <c r="B373" s="1" t="n">
        <v>44760</v>
      </c>
      <c r="C373" s="1" t="n">
        <v>46103</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2415-2026</t>
        </is>
      </c>
      <c r="B374" s="1" t="n">
        <v>46036.76203703704</v>
      </c>
      <c r="C374" s="1" t="n">
        <v>46103</v>
      </c>
      <c r="D374" t="inlineStr">
        <is>
          <t>GOTLANDS LÄN</t>
        </is>
      </c>
      <c r="E374" t="inlineStr">
        <is>
          <t>GOTLAND</t>
        </is>
      </c>
      <c r="G374" t="n">
        <v>6.9</v>
      </c>
      <c r="H374" t="n">
        <v>0</v>
      </c>
      <c r="I374" t="n">
        <v>0</v>
      </c>
      <c r="J374" t="n">
        <v>0</v>
      </c>
      <c r="K374" t="n">
        <v>0</v>
      </c>
      <c r="L374" t="n">
        <v>0</v>
      </c>
      <c r="M374" t="n">
        <v>0</v>
      </c>
      <c r="N374" t="n">
        <v>0</v>
      </c>
      <c r="O374" t="n">
        <v>0</v>
      </c>
      <c r="P374" t="n">
        <v>0</v>
      </c>
      <c r="Q374" t="n">
        <v>0</v>
      </c>
      <c r="R374" s="2" t="inlineStr"/>
    </row>
    <row r="375" ht="15" customHeight="1">
      <c r="A375" t="inlineStr">
        <is>
          <t>A 50928-2025</t>
        </is>
      </c>
      <c r="B375" s="1" t="n">
        <v>45946.67896990741</v>
      </c>
      <c r="C375" s="1" t="n">
        <v>46103</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7835-2024</t>
        </is>
      </c>
      <c r="B376" s="1" t="n">
        <v>45349.83138888889</v>
      </c>
      <c r="C376" s="1" t="n">
        <v>46103</v>
      </c>
      <c r="D376" t="inlineStr">
        <is>
          <t>GOTLANDS LÄN</t>
        </is>
      </c>
      <c r="E376" t="inlineStr">
        <is>
          <t>GOTLAND</t>
        </is>
      </c>
      <c r="G376" t="n">
        <v>3.8</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46103</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10650-2022</t>
        </is>
      </c>
      <c r="B378" s="1" t="n">
        <v>44624.57945601852</v>
      </c>
      <c r="C378" s="1" t="n">
        <v>46103</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25796-2025</t>
        </is>
      </c>
      <c r="B379" s="1" t="n">
        <v>45804.39543981481</v>
      </c>
      <c r="C379" s="1" t="n">
        <v>46103</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26810-2021</t>
        </is>
      </c>
      <c r="B380" s="1" t="n">
        <v>44349.55087962963</v>
      </c>
      <c r="C380" s="1" t="n">
        <v>46103</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3253-2026</t>
        </is>
      </c>
      <c r="B381" s="1" t="n">
        <v>46041.58902777778</v>
      </c>
      <c r="C381" s="1" t="n">
        <v>46103</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11414-2026</t>
        </is>
      </c>
      <c r="B382" s="1" t="n">
        <v>46083.46336805556</v>
      </c>
      <c r="C382" s="1" t="n">
        <v>46103</v>
      </c>
      <c r="D382" t="inlineStr">
        <is>
          <t>GOTLANDS LÄN</t>
        </is>
      </c>
      <c r="E382" t="inlineStr">
        <is>
          <t>GOTLAND</t>
        </is>
      </c>
      <c r="G382" t="n">
        <v>4.9</v>
      </c>
      <c r="H382" t="n">
        <v>0</v>
      </c>
      <c r="I382" t="n">
        <v>0</v>
      </c>
      <c r="J382" t="n">
        <v>0</v>
      </c>
      <c r="K382" t="n">
        <v>0</v>
      </c>
      <c r="L382" t="n">
        <v>0</v>
      </c>
      <c r="M382" t="n">
        <v>0</v>
      </c>
      <c r="N382" t="n">
        <v>0</v>
      </c>
      <c r="O382" t="n">
        <v>0</v>
      </c>
      <c r="P382" t="n">
        <v>0</v>
      </c>
      <c r="Q382" t="n">
        <v>0</v>
      </c>
      <c r="R382" s="2" t="inlineStr"/>
    </row>
    <row r="383" ht="15" customHeight="1">
      <c r="A383" t="inlineStr">
        <is>
          <t>A 28425-2023</t>
        </is>
      </c>
      <c r="B383" s="1" t="n">
        <v>45102</v>
      </c>
      <c r="C383" s="1" t="n">
        <v>46103</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52249-2025</t>
        </is>
      </c>
      <c r="B384" s="1" t="n">
        <v>45953.48637731482</v>
      </c>
      <c r="C384" s="1" t="n">
        <v>46103</v>
      </c>
      <c r="D384" t="inlineStr">
        <is>
          <t>GOTLANDS LÄN</t>
        </is>
      </c>
      <c r="E384" t="inlineStr">
        <is>
          <t>GOTLAND</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13037-2025</t>
        </is>
      </c>
      <c r="B385" s="1" t="n">
        <v>45734</v>
      </c>
      <c r="C385" s="1" t="n">
        <v>46103</v>
      </c>
      <c r="D385" t="inlineStr">
        <is>
          <t>GOTLANDS LÄN</t>
        </is>
      </c>
      <c r="E385" t="inlineStr">
        <is>
          <t>GOTLAND</t>
        </is>
      </c>
      <c r="G385" t="n">
        <v>9.5</v>
      </c>
      <c r="H385" t="n">
        <v>0</v>
      </c>
      <c r="I385" t="n">
        <v>0</v>
      </c>
      <c r="J385" t="n">
        <v>0</v>
      </c>
      <c r="K385" t="n">
        <v>0</v>
      </c>
      <c r="L385" t="n">
        <v>0</v>
      </c>
      <c r="M385" t="n">
        <v>0</v>
      </c>
      <c r="N385" t="n">
        <v>0</v>
      </c>
      <c r="O385" t="n">
        <v>0</v>
      </c>
      <c r="P385" t="n">
        <v>0</v>
      </c>
      <c r="Q385" t="n">
        <v>0</v>
      </c>
      <c r="R385" s="2" t="inlineStr"/>
    </row>
    <row r="386" ht="15" customHeight="1">
      <c r="A386" t="inlineStr">
        <is>
          <t>A 11424-2026</t>
        </is>
      </c>
      <c r="B386" s="1" t="n">
        <v>46083.48068287037</v>
      </c>
      <c r="C386" s="1" t="n">
        <v>46103</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52637-2025</t>
        </is>
      </c>
      <c r="B387" s="1" t="n">
        <v>45954.75099537037</v>
      </c>
      <c r="C387" s="1" t="n">
        <v>46103</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53587-2025</t>
        </is>
      </c>
      <c r="B388" s="1" t="n">
        <v>45960.43681712963</v>
      </c>
      <c r="C388" s="1" t="n">
        <v>46103</v>
      </c>
      <c r="D388" t="inlineStr">
        <is>
          <t>GOTLANDS LÄN</t>
        </is>
      </c>
      <c r="E388" t="inlineStr">
        <is>
          <t>GOTLAND</t>
        </is>
      </c>
      <c r="F388" t="inlineStr">
        <is>
          <t>Övriga Aktiebolag</t>
        </is>
      </c>
      <c r="G388" t="n">
        <v>1.7</v>
      </c>
      <c r="H388" t="n">
        <v>0</v>
      </c>
      <c r="I388" t="n">
        <v>0</v>
      </c>
      <c r="J388" t="n">
        <v>0</v>
      </c>
      <c r="K388" t="n">
        <v>0</v>
      </c>
      <c r="L388" t="n">
        <v>0</v>
      </c>
      <c r="M388" t="n">
        <v>0</v>
      </c>
      <c r="N388" t="n">
        <v>0</v>
      </c>
      <c r="O388" t="n">
        <v>0</v>
      </c>
      <c r="P388" t="n">
        <v>0</v>
      </c>
      <c r="Q388" t="n">
        <v>0</v>
      </c>
      <c r="R388" s="2" t="inlineStr"/>
    </row>
    <row r="389" ht="15" customHeight="1">
      <c r="A389" t="inlineStr">
        <is>
          <t>A 10746-2025</t>
        </is>
      </c>
      <c r="B389" s="1" t="n">
        <v>45722.42766203704</v>
      </c>
      <c r="C389" s="1" t="n">
        <v>46103</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53577-2025</t>
        </is>
      </c>
      <c r="B390" s="1" t="n">
        <v>45960.42224537037</v>
      </c>
      <c r="C390" s="1" t="n">
        <v>46103</v>
      </c>
      <c r="D390" t="inlineStr">
        <is>
          <t>GOTLANDS LÄN</t>
        </is>
      </c>
      <c r="E390" t="inlineStr">
        <is>
          <t>GOTLAND</t>
        </is>
      </c>
      <c r="F390" t="inlineStr">
        <is>
          <t>Övriga Aktiebolag</t>
        </is>
      </c>
      <c r="G390" t="n">
        <v>3.3</v>
      </c>
      <c r="H390" t="n">
        <v>0</v>
      </c>
      <c r="I390" t="n">
        <v>0</v>
      </c>
      <c r="J390" t="n">
        <v>0</v>
      </c>
      <c r="K390" t="n">
        <v>0</v>
      </c>
      <c r="L390" t="n">
        <v>0</v>
      </c>
      <c r="M390" t="n">
        <v>0</v>
      </c>
      <c r="N390" t="n">
        <v>0</v>
      </c>
      <c r="O390" t="n">
        <v>0</v>
      </c>
      <c r="P390" t="n">
        <v>0</v>
      </c>
      <c r="Q390" t="n">
        <v>0</v>
      </c>
      <c r="R390" s="2" t="inlineStr"/>
    </row>
    <row r="391" ht="15" customHeight="1">
      <c r="A391" t="inlineStr">
        <is>
          <t>A 11982-2026</t>
        </is>
      </c>
      <c r="B391" s="1" t="n">
        <v>46085.6434375</v>
      </c>
      <c r="C391" s="1" t="n">
        <v>46103</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53569-2025</t>
        </is>
      </c>
      <c r="B392" s="1" t="n">
        <v>45960.41155092593</v>
      </c>
      <c r="C392" s="1" t="n">
        <v>46103</v>
      </c>
      <c r="D392" t="inlineStr">
        <is>
          <t>GOTLANDS LÄN</t>
        </is>
      </c>
      <c r="E392" t="inlineStr">
        <is>
          <t>GOTLAND</t>
        </is>
      </c>
      <c r="F392" t="inlineStr">
        <is>
          <t>Övriga Aktiebolag</t>
        </is>
      </c>
      <c r="G392" t="n">
        <v>11.3</v>
      </c>
      <c r="H392" t="n">
        <v>0</v>
      </c>
      <c r="I392" t="n">
        <v>0</v>
      </c>
      <c r="J392" t="n">
        <v>0</v>
      </c>
      <c r="K392" t="n">
        <v>0</v>
      </c>
      <c r="L392" t="n">
        <v>0</v>
      </c>
      <c r="M392" t="n">
        <v>0</v>
      </c>
      <c r="N392" t="n">
        <v>0</v>
      </c>
      <c r="O392" t="n">
        <v>0</v>
      </c>
      <c r="P392" t="n">
        <v>0</v>
      </c>
      <c r="Q392" t="n">
        <v>0</v>
      </c>
      <c r="R392" s="2" t="inlineStr"/>
    </row>
    <row r="393" ht="15" customHeight="1">
      <c r="A393" t="inlineStr">
        <is>
          <t>A 53561-2025</t>
        </is>
      </c>
      <c r="B393" s="1" t="n">
        <v>45960.4059375</v>
      </c>
      <c r="C393" s="1" t="n">
        <v>46103</v>
      </c>
      <c r="D393" t="inlineStr">
        <is>
          <t>GOTLANDS LÄN</t>
        </is>
      </c>
      <c r="E393" t="inlineStr">
        <is>
          <t>GOTLAND</t>
        </is>
      </c>
      <c r="F393" t="inlineStr">
        <is>
          <t>Övriga Aktiebolag</t>
        </is>
      </c>
      <c r="G393" t="n">
        <v>2.4</v>
      </c>
      <c r="H393" t="n">
        <v>0</v>
      </c>
      <c r="I393" t="n">
        <v>0</v>
      </c>
      <c r="J393" t="n">
        <v>0</v>
      </c>
      <c r="K393" t="n">
        <v>0</v>
      </c>
      <c r="L393" t="n">
        <v>0</v>
      </c>
      <c r="M393" t="n">
        <v>0</v>
      </c>
      <c r="N393" t="n">
        <v>0</v>
      </c>
      <c r="O393" t="n">
        <v>0</v>
      </c>
      <c r="P393" t="n">
        <v>0</v>
      </c>
      <c r="Q393" t="n">
        <v>0</v>
      </c>
      <c r="R393" s="2" t="inlineStr"/>
    </row>
    <row r="394" ht="15" customHeight="1">
      <c r="A394" t="inlineStr">
        <is>
          <t>A 12135-2026</t>
        </is>
      </c>
      <c r="B394" s="1" t="n">
        <v>46086</v>
      </c>
      <c r="C394" s="1" t="n">
        <v>46103</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60384-2025</t>
        </is>
      </c>
      <c r="B395" s="1" t="n">
        <v>45995</v>
      </c>
      <c r="C395" s="1" t="n">
        <v>46103</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43229-2023</t>
        </is>
      </c>
      <c r="B396" s="1" t="n">
        <v>45183.46704861111</v>
      </c>
      <c r="C396" s="1" t="n">
        <v>46103</v>
      </c>
      <c r="D396" t="inlineStr">
        <is>
          <t>GOTLANDS LÄN</t>
        </is>
      </c>
      <c r="E396" t="inlineStr">
        <is>
          <t>GOTLAND</t>
        </is>
      </c>
      <c r="G396" t="n">
        <v>7.1</v>
      </c>
      <c r="H396" t="n">
        <v>0</v>
      </c>
      <c r="I396" t="n">
        <v>0</v>
      </c>
      <c r="J396" t="n">
        <v>0</v>
      </c>
      <c r="K396" t="n">
        <v>0</v>
      </c>
      <c r="L396" t="n">
        <v>0</v>
      </c>
      <c r="M396" t="n">
        <v>0</v>
      </c>
      <c r="N396" t="n">
        <v>0</v>
      </c>
      <c r="O396" t="n">
        <v>0</v>
      </c>
      <c r="P396" t="n">
        <v>0</v>
      </c>
      <c r="Q396" t="n">
        <v>0</v>
      </c>
      <c r="R396" s="2" t="inlineStr"/>
    </row>
    <row r="397" ht="15" customHeight="1">
      <c r="A397" t="inlineStr">
        <is>
          <t>A 41038-2023</t>
        </is>
      </c>
      <c r="B397" s="1" t="n">
        <v>45173.60959490741</v>
      </c>
      <c r="C397" s="1" t="n">
        <v>46103</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1839-2026</t>
        </is>
      </c>
      <c r="B398" s="1" t="n">
        <v>46035.3942824074</v>
      </c>
      <c r="C398" s="1" t="n">
        <v>46103</v>
      </c>
      <c r="D398" t="inlineStr">
        <is>
          <t>GOTLANDS LÄN</t>
        </is>
      </c>
      <c r="E398" t="inlineStr">
        <is>
          <t>GOTLAND</t>
        </is>
      </c>
      <c r="G398" t="n">
        <v>3.5</v>
      </c>
      <c r="H398" t="n">
        <v>0</v>
      </c>
      <c r="I398" t="n">
        <v>0</v>
      </c>
      <c r="J398" t="n">
        <v>0</v>
      </c>
      <c r="K398" t="n">
        <v>0</v>
      </c>
      <c r="L398" t="n">
        <v>0</v>
      </c>
      <c r="M398" t="n">
        <v>0</v>
      </c>
      <c r="N398" t="n">
        <v>0</v>
      </c>
      <c r="O398" t="n">
        <v>0</v>
      </c>
      <c r="P398" t="n">
        <v>0</v>
      </c>
      <c r="Q398" t="n">
        <v>0</v>
      </c>
      <c r="R398" s="2" t="inlineStr"/>
    </row>
    <row r="399" ht="15" customHeight="1">
      <c r="A399" t="inlineStr">
        <is>
          <t>A 4639-2026</t>
        </is>
      </c>
      <c r="B399" s="1" t="n">
        <v>46048.39880787037</v>
      </c>
      <c r="C399" s="1" t="n">
        <v>46103</v>
      </c>
      <c r="D399" t="inlineStr">
        <is>
          <t>GOTLANDS LÄN</t>
        </is>
      </c>
      <c r="E399" t="inlineStr">
        <is>
          <t>GOTLAND</t>
        </is>
      </c>
      <c r="G399" t="n">
        <v>0.8</v>
      </c>
      <c r="H399" t="n">
        <v>0</v>
      </c>
      <c r="I399" t="n">
        <v>0</v>
      </c>
      <c r="J399" t="n">
        <v>0</v>
      </c>
      <c r="K399" t="n">
        <v>0</v>
      </c>
      <c r="L399" t="n">
        <v>0</v>
      </c>
      <c r="M399" t="n">
        <v>0</v>
      </c>
      <c r="N399" t="n">
        <v>0</v>
      </c>
      <c r="O399" t="n">
        <v>0</v>
      </c>
      <c r="P399" t="n">
        <v>0</v>
      </c>
      <c r="Q399" t="n">
        <v>0</v>
      </c>
      <c r="R399" s="2" t="inlineStr"/>
    </row>
    <row r="400" ht="15" customHeight="1">
      <c r="A400" t="inlineStr">
        <is>
          <t>A 4662-2026</t>
        </is>
      </c>
      <c r="B400" s="1" t="n">
        <v>46048.40949074074</v>
      </c>
      <c r="C400" s="1" t="n">
        <v>46103</v>
      </c>
      <c r="D400" t="inlineStr">
        <is>
          <t>GOTLANDS LÄN</t>
        </is>
      </c>
      <c r="E400" t="inlineStr">
        <is>
          <t>GOTLAND</t>
        </is>
      </c>
      <c r="G400" t="n">
        <v>7.6</v>
      </c>
      <c r="H400" t="n">
        <v>0</v>
      </c>
      <c r="I400" t="n">
        <v>0</v>
      </c>
      <c r="J400" t="n">
        <v>0</v>
      </c>
      <c r="K400" t="n">
        <v>0</v>
      </c>
      <c r="L400" t="n">
        <v>0</v>
      </c>
      <c r="M400" t="n">
        <v>0</v>
      </c>
      <c r="N400" t="n">
        <v>0</v>
      </c>
      <c r="O400" t="n">
        <v>0</v>
      </c>
      <c r="P400" t="n">
        <v>0</v>
      </c>
      <c r="Q400" t="n">
        <v>0</v>
      </c>
      <c r="R400" s="2" t="inlineStr"/>
    </row>
    <row r="401" ht="15" customHeight="1">
      <c r="A401" t="inlineStr">
        <is>
          <t>A 63000-2025</t>
        </is>
      </c>
      <c r="B401" s="1" t="n">
        <v>46009</v>
      </c>
      <c r="C401" s="1" t="n">
        <v>46103</v>
      </c>
      <c r="D401" t="inlineStr">
        <is>
          <t>GOTLANDS LÄN</t>
        </is>
      </c>
      <c r="E401" t="inlineStr">
        <is>
          <t>GOTLAND</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4646-2026</t>
        </is>
      </c>
      <c r="B402" s="1" t="n">
        <v>46048.40357638889</v>
      </c>
      <c r="C402" s="1" t="n">
        <v>46103</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4634-2026</t>
        </is>
      </c>
      <c r="B403" s="1" t="n">
        <v>46048.39304398148</v>
      </c>
      <c r="C403" s="1" t="n">
        <v>46103</v>
      </c>
      <c r="D403" t="inlineStr">
        <is>
          <t>GOTLANDS LÄN</t>
        </is>
      </c>
      <c r="E403" t="inlineStr">
        <is>
          <t>GOTLAND</t>
        </is>
      </c>
      <c r="G403" t="n">
        <v>7.8</v>
      </c>
      <c r="H403" t="n">
        <v>0</v>
      </c>
      <c r="I403" t="n">
        <v>0</v>
      </c>
      <c r="J403" t="n">
        <v>0</v>
      </c>
      <c r="K403" t="n">
        <v>0</v>
      </c>
      <c r="L403" t="n">
        <v>0</v>
      </c>
      <c r="M403" t="n">
        <v>0</v>
      </c>
      <c r="N403" t="n">
        <v>0</v>
      </c>
      <c r="O403" t="n">
        <v>0</v>
      </c>
      <c r="P403" t="n">
        <v>0</v>
      </c>
      <c r="Q403" t="n">
        <v>0</v>
      </c>
      <c r="R403" s="2" t="inlineStr"/>
    </row>
    <row r="404" ht="15" customHeight="1">
      <c r="A404" t="inlineStr">
        <is>
          <t>A 24966-2023</t>
        </is>
      </c>
      <c r="B404" s="1" t="n">
        <v>45085</v>
      </c>
      <c r="C404" s="1" t="n">
        <v>46103</v>
      </c>
      <c r="D404" t="inlineStr">
        <is>
          <t>GOTLANDS LÄN</t>
        </is>
      </c>
      <c r="E404" t="inlineStr">
        <is>
          <t>GOTLAND</t>
        </is>
      </c>
      <c r="G404" t="n">
        <v>7</v>
      </c>
      <c r="H404" t="n">
        <v>0</v>
      </c>
      <c r="I404" t="n">
        <v>0</v>
      </c>
      <c r="J404" t="n">
        <v>0</v>
      </c>
      <c r="K404" t="n">
        <v>0</v>
      </c>
      <c r="L404" t="n">
        <v>0</v>
      </c>
      <c r="M404" t="n">
        <v>0</v>
      </c>
      <c r="N404" t="n">
        <v>0</v>
      </c>
      <c r="O404" t="n">
        <v>0</v>
      </c>
      <c r="P404" t="n">
        <v>0</v>
      </c>
      <c r="Q404" t="n">
        <v>0</v>
      </c>
      <c r="R404" s="2" t="inlineStr"/>
    </row>
    <row r="405" ht="15" customHeight="1">
      <c r="A405" t="inlineStr">
        <is>
          <t>A 4670-2026</t>
        </is>
      </c>
      <c r="B405" s="1" t="n">
        <v>46048.41733796296</v>
      </c>
      <c r="C405" s="1" t="n">
        <v>46103</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46103</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62754-2025</t>
        </is>
      </c>
      <c r="B407" s="1" t="n">
        <v>46008</v>
      </c>
      <c r="C407" s="1" t="n">
        <v>46103</v>
      </c>
      <c r="D407" t="inlineStr">
        <is>
          <t>GOTLANDS LÄN</t>
        </is>
      </c>
      <c r="E407" t="inlineStr">
        <is>
          <t>GOTLAND</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46189-2022</t>
        </is>
      </c>
      <c r="B408" s="1" t="n">
        <v>44847</v>
      </c>
      <c r="C408" s="1" t="n">
        <v>46103</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62751-2025</t>
        </is>
      </c>
      <c r="B409" s="1" t="n">
        <v>46008</v>
      </c>
      <c r="C409" s="1" t="n">
        <v>46103</v>
      </c>
      <c r="D409" t="inlineStr">
        <is>
          <t>GOTLANDS LÄN</t>
        </is>
      </c>
      <c r="E409" t="inlineStr">
        <is>
          <t>GOTLAND</t>
        </is>
      </c>
      <c r="F409" t="inlineStr">
        <is>
          <t>Övriga Aktiebolag</t>
        </is>
      </c>
      <c r="G409" t="n">
        <v>7.8</v>
      </c>
      <c r="H409" t="n">
        <v>0</v>
      </c>
      <c r="I409" t="n">
        <v>0</v>
      </c>
      <c r="J409" t="n">
        <v>0</v>
      </c>
      <c r="K409" t="n">
        <v>0</v>
      </c>
      <c r="L409" t="n">
        <v>0</v>
      </c>
      <c r="M409" t="n">
        <v>0</v>
      </c>
      <c r="N409" t="n">
        <v>0</v>
      </c>
      <c r="O409" t="n">
        <v>0</v>
      </c>
      <c r="P409" t="n">
        <v>0</v>
      </c>
      <c r="Q409" t="n">
        <v>0</v>
      </c>
      <c r="R409" s="2" t="inlineStr"/>
    </row>
    <row r="410" ht="15" customHeight="1">
      <c r="A410" t="inlineStr">
        <is>
          <t>A 57522-2022</t>
        </is>
      </c>
      <c r="B410" s="1" t="n">
        <v>44896</v>
      </c>
      <c r="C410" s="1" t="n">
        <v>46103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14797-2024</t>
        </is>
      </c>
      <c r="B411" s="1" t="n">
        <v>45397.87030092593</v>
      </c>
      <c r="C411" s="1" t="n">
        <v>46103</v>
      </c>
      <c r="D411" t="inlineStr">
        <is>
          <t>GOTLANDS LÄN</t>
        </is>
      </c>
      <c r="E411" t="inlineStr">
        <is>
          <t>GOTLAND</t>
        </is>
      </c>
      <c r="G411" t="n">
        <v>8.1</v>
      </c>
      <c r="H411" t="n">
        <v>0</v>
      </c>
      <c r="I411" t="n">
        <v>0</v>
      </c>
      <c r="J411" t="n">
        <v>0</v>
      </c>
      <c r="K411" t="n">
        <v>0</v>
      </c>
      <c r="L411" t="n">
        <v>0</v>
      </c>
      <c r="M411" t="n">
        <v>0</v>
      </c>
      <c r="N411" t="n">
        <v>0</v>
      </c>
      <c r="O411" t="n">
        <v>0</v>
      </c>
      <c r="P411" t="n">
        <v>0</v>
      </c>
      <c r="Q411" t="n">
        <v>0</v>
      </c>
      <c r="R411" s="2" t="inlineStr"/>
    </row>
    <row r="412" ht="15" customHeight="1">
      <c r="A412" t="inlineStr">
        <is>
          <t>A 7837-2024</t>
        </is>
      </c>
      <c r="B412" s="1" t="n">
        <v>45349.83787037037</v>
      </c>
      <c r="C412" s="1" t="n">
        <v>46103</v>
      </c>
      <c r="D412" t="inlineStr">
        <is>
          <t>GOTLANDS LÄN</t>
        </is>
      </c>
      <c r="E412" t="inlineStr">
        <is>
          <t>GOTLAND</t>
        </is>
      </c>
      <c r="G412" t="n">
        <v>5</v>
      </c>
      <c r="H412" t="n">
        <v>0</v>
      </c>
      <c r="I412" t="n">
        <v>0</v>
      </c>
      <c r="J412" t="n">
        <v>0</v>
      </c>
      <c r="K412" t="n">
        <v>0</v>
      </c>
      <c r="L412" t="n">
        <v>0</v>
      </c>
      <c r="M412" t="n">
        <v>0</v>
      </c>
      <c r="N412" t="n">
        <v>0</v>
      </c>
      <c r="O412" t="n">
        <v>0</v>
      </c>
      <c r="P412" t="n">
        <v>0</v>
      </c>
      <c r="Q412" t="n">
        <v>0</v>
      </c>
      <c r="R412" s="2" t="inlineStr"/>
    </row>
    <row r="413" ht="15" customHeight="1">
      <c r="A413" t="inlineStr">
        <is>
          <t>A 1394-2023</t>
        </is>
      </c>
      <c r="B413" s="1" t="n">
        <v>44936.72997685185</v>
      </c>
      <c r="C413" s="1" t="n">
        <v>46103</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2676-2023</t>
        </is>
      </c>
      <c r="B414" s="1" t="n">
        <v>44944</v>
      </c>
      <c r="C414" s="1" t="n">
        <v>46103</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4387-2023</t>
        </is>
      </c>
      <c r="B415" s="1" t="n">
        <v>44955.73359953704</v>
      </c>
      <c r="C415" s="1" t="n">
        <v>46103</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1854-2026</t>
        </is>
      </c>
      <c r="B416" s="1" t="n">
        <v>46035.4171875</v>
      </c>
      <c r="C416" s="1" t="n">
        <v>46103</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49411-2023</t>
        </is>
      </c>
      <c r="B417" s="1" t="n">
        <v>45205</v>
      </c>
      <c r="C417" s="1" t="n">
        <v>46103</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37728-2024</t>
        </is>
      </c>
      <c r="B418" s="1" t="n">
        <v>45541</v>
      </c>
      <c r="C418" s="1" t="n">
        <v>46103</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13482-2026</t>
        </is>
      </c>
      <c r="B419" s="1" t="n">
        <v>46094</v>
      </c>
      <c r="C419" s="1" t="n">
        <v>46103</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2241-2025</t>
        </is>
      </c>
      <c r="B420" s="1" t="n">
        <v>45673.48710648148</v>
      </c>
      <c r="C420" s="1" t="n">
        <v>46103</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13486-2026</t>
        </is>
      </c>
      <c r="B421" s="1" t="n">
        <v>46094</v>
      </c>
      <c r="C421" s="1" t="n">
        <v>46103</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26465-2025</t>
        </is>
      </c>
      <c r="B422" s="1" t="n">
        <v>45807.44377314814</v>
      </c>
      <c r="C422" s="1" t="n">
        <v>46103</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26457-2025</t>
        </is>
      </c>
      <c r="B423" s="1" t="n">
        <v>45807.42773148148</v>
      </c>
      <c r="C423" s="1" t="n">
        <v>46103</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26467-2025</t>
        </is>
      </c>
      <c r="B424" s="1" t="n">
        <v>45807.44640046296</v>
      </c>
      <c r="C424" s="1" t="n">
        <v>46103</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22275-2023</t>
        </is>
      </c>
      <c r="B425" s="1" t="n">
        <v>45070.39875</v>
      </c>
      <c r="C425" s="1" t="n">
        <v>46103</v>
      </c>
      <c r="D425" t="inlineStr">
        <is>
          <t>GOTLANDS LÄN</t>
        </is>
      </c>
      <c r="E425" t="inlineStr">
        <is>
          <t>GOTLAND</t>
        </is>
      </c>
      <c r="G425" t="n">
        <v>7.2</v>
      </c>
      <c r="H425" t="n">
        <v>0</v>
      </c>
      <c r="I425" t="n">
        <v>0</v>
      </c>
      <c r="J425" t="n">
        <v>0</v>
      </c>
      <c r="K425" t="n">
        <v>0</v>
      </c>
      <c r="L425" t="n">
        <v>0</v>
      </c>
      <c r="M425" t="n">
        <v>0</v>
      </c>
      <c r="N425" t="n">
        <v>0</v>
      </c>
      <c r="O425" t="n">
        <v>0</v>
      </c>
      <c r="P425" t="n">
        <v>0</v>
      </c>
      <c r="Q425" t="n">
        <v>0</v>
      </c>
      <c r="R425" s="2" t="inlineStr"/>
    </row>
    <row r="426" ht="15" customHeight="1">
      <c r="A426" t="inlineStr">
        <is>
          <t>A 14635-2023</t>
        </is>
      </c>
      <c r="B426" s="1" t="n">
        <v>45013.69365740741</v>
      </c>
      <c r="C426" s="1" t="n">
        <v>46103</v>
      </c>
      <c r="D426" t="inlineStr">
        <is>
          <t>GOTLANDS LÄN</t>
        </is>
      </c>
      <c r="E426" t="inlineStr">
        <is>
          <t>GOTLAND</t>
        </is>
      </c>
      <c r="G426" t="n">
        <v>3.1</v>
      </c>
      <c r="H426" t="n">
        <v>0</v>
      </c>
      <c r="I426" t="n">
        <v>0</v>
      </c>
      <c r="J426" t="n">
        <v>0</v>
      </c>
      <c r="K426" t="n">
        <v>0</v>
      </c>
      <c r="L426" t="n">
        <v>0</v>
      </c>
      <c r="M426" t="n">
        <v>0</v>
      </c>
      <c r="N426" t="n">
        <v>0</v>
      </c>
      <c r="O426" t="n">
        <v>0</v>
      </c>
      <c r="P426" t="n">
        <v>0</v>
      </c>
      <c r="Q426" t="n">
        <v>0</v>
      </c>
      <c r="R426" s="2" t="inlineStr"/>
    </row>
    <row r="427" ht="15" customHeight="1">
      <c r="A427" t="inlineStr">
        <is>
          <t>A 63763-2023</t>
        </is>
      </c>
      <c r="B427" s="1" t="n">
        <v>45278.33944444444</v>
      </c>
      <c r="C427" s="1" t="n">
        <v>46103</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7635-2025</t>
        </is>
      </c>
      <c r="B428" s="1" t="n">
        <v>45705</v>
      </c>
      <c r="C428" s="1" t="n">
        <v>46103</v>
      </c>
      <c r="D428" t="inlineStr">
        <is>
          <t>GOTLANDS LÄN</t>
        </is>
      </c>
      <c r="E428" t="inlineStr">
        <is>
          <t>GOTLAND</t>
        </is>
      </c>
      <c r="G428" t="n">
        <v>0.9</v>
      </c>
      <c r="H428" t="n">
        <v>0</v>
      </c>
      <c r="I428" t="n">
        <v>0</v>
      </c>
      <c r="J428" t="n">
        <v>0</v>
      </c>
      <c r="K428" t="n">
        <v>0</v>
      </c>
      <c r="L428" t="n">
        <v>0</v>
      </c>
      <c r="M428" t="n">
        <v>0</v>
      </c>
      <c r="N428" t="n">
        <v>0</v>
      </c>
      <c r="O428" t="n">
        <v>0</v>
      </c>
      <c r="P428" t="n">
        <v>0</v>
      </c>
      <c r="Q428" t="n">
        <v>0</v>
      </c>
      <c r="R428" s="2" t="inlineStr"/>
    </row>
    <row r="429" ht="15" customHeight="1">
      <c r="A429" t="inlineStr">
        <is>
          <t>A 7636-2025</t>
        </is>
      </c>
      <c r="B429" s="1" t="n">
        <v>45705.7687962963</v>
      </c>
      <c r="C429" s="1" t="n">
        <v>46103</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7639-2025</t>
        </is>
      </c>
      <c r="B430" s="1" t="n">
        <v>45705.77465277778</v>
      </c>
      <c r="C430" s="1" t="n">
        <v>46103</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6207-2026</t>
        </is>
      </c>
      <c r="B431" s="1" t="n">
        <v>46055.42083333333</v>
      </c>
      <c r="C431" s="1" t="n">
        <v>46103</v>
      </c>
      <c r="D431" t="inlineStr">
        <is>
          <t>GOTLANDS LÄN</t>
        </is>
      </c>
      <c r="E431" t="inlineStr">
        <is>
          <t>GOTLAND</t>
        </is>
      </c>
      <c r="G431" t="n">
        <v>7.6</v>
      </c>
      <c r="H431" t="n">
        <v>0</v>
      </c>
      <c r="I431" t="n">
        <v>0</v>
      </c>
      <c r="J431" t="n">
        <v>0</v>
      </c>
      <c r="K431" t="n">
        <v>0</v>
      </c>
      <c r="L431" t="n">
        <v>0</v>
      </c>
      <c r="M431" t="n">
        <v>0</v>
      </c>
      <c r="N431" t="n">
        <v>0</v>
      </c>
      <c r="O431" t="n">
        <v>0</v>
      </c>
      <c r="P431" t="n">
        <v>0</v>
      </c>
      <c r="Q431" t="n">
        <v>0</v>
      </c>
      <c r="R431" s="2" t="inlineStr"/>
    </row>
    <row r="432" ht="15" customHeight="1">
      <c r="A432" t="inlineStr">
        <is>
          <t>A 6218-2026</t>
        </is>
      </c>
      <c r="B432" s="1" t="n">
        <v>46055.42859953704</v>
      </c>
      <c r="C432" s="1" t="n">
        <v>46103</v>
      </c>
      <c r="D432" t="inlineStr">
        <is>
          <t>GOTLANDS LÄN</t>
        </is>
      </c>
      <c r="E432" t="inlineStr">
        <is>
          <t>GOTLAND</t>
        </is>
      </c>
      <c r="G432" t="n">
        <v>4.3</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46103</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46103</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26660-2025</t>
        </is>
      </c>
      <c r="B435" s="1" t="n">
        <v>45810.39737268518</v>
      </c>
      <c r="C435" s="1" t="n">
        <v>46103</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27355-2025</t>
        </is>
      </c>
      <c r="B436" s="1" t="n">
        <v>45812</v>
      </c>
      <c r="C436" s="1" t="n">
        <v>46103</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46103</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46103</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27371-2025</t>
        </is>
      </c>
      <c r="B439" s="1" t="n">
        <v>45812</v>
      </c>
      <c r="C439" s="1" t="n">
        <v>46103</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46103</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6959-2026</t>
        </is>
      </c>
      <c r="B441" s="1" t="n">
        <v>46057.580625</v>
      </c>
      <c r="C441" s="1" t="n">
        <v>46103</v>
      </c>
      <c r="D441" t="inlineStr">
        <is>
          <t>GOTLANDS LÄN</t>
        </is>
      </c>
      <c r="E441" t="inlineStr">
        <is>
          <t>GOTLAND</t>
        </is>
      </c>
      <c r="F441" t="inlineStr">
        <is>
          <t>Kyrkan</t>
        </is>
      </c>
      <c r="G441" t="n">
        <v>1.2</v>
      </c>
      <c r="H441" t="n">
        <v>0</v>
      </c>
      <c r="I441" t="n">
        <v>0</v>
      </c>
      <c r="J441" t="n">
        <v>0</v>
      </c>
      <c r="K441" t="n">
        <v>0</v>
      </c>
      <c r="L441" t="n">
        <v>0</v>
      </c>
      <c r="M441" t="n">
        <v>0</v>
      </c>
      <c r="N441" t="n">
        <v>0</v>
      </c>
      <c r="O441" t="n">
        <v>0</v>
      </c>
      <c r="P441" t="n">
        <v>0</v>
      </c>
      <c r="Q441" t="n">
        <v>0</v>
      </c>
      <c r="R441" s="2" t="inlineStr"/>
    </row>
    <row r="442" ht="15" customHeight="1">
      <c r="A442" t="inlineStr">
        <is>
          <t>A 3067-2026</t>
        </is>
      </c>
      <c r="B442" s="1" t="n">
        <v>46040.59025462963</v>
      </c>
      <c r="C442" s="1" t="n">
        <v>46103</v>
      </c>
      <c r="D442" t="inlineStr">
        <is>
          <t>GOTLANDS LÄN</t>
        </is>
      </c>
      <c r="E442" t="inlineStr">
        <is>
          <t>GOTLAND</t>
        </is>
      </c>
      <c r="G442" t="n">
        <v>7.8</v>
      </c>
      <c r="H442" t="n">
        <v>0</v>
      </c>
      <c r="I442" t="n">
        <v>0</v>
      </c>
      <c r="J442" t="n">
        <v>0</v>
      </c>
      <c r="K442" t="n">
        <v>0</v>
      </c>
      <c r="L442" t="n">
        <v>0</v>
      </c>
      <c r="M442" t="n">
        <v>0</v>
      </c>
      <c r="N442" t="n">
        <v>0</v>
      </c>
      <c r="O442" t="n">
        <v>0</v>
      </c>
      <c r="P442" t="n">
        <v>0</v>
      </c>
      <c r="Q442" t="n">
        <v>0</v>
      </c>
      <c r="R442" s="2" t="inlineStr"/>
    </row>
    <row r="443" ht="15" customHeight="1">
      <c r="A443" t="inlineStr">
        <is>
          <t>A 6960-2026</t>
        </is>
      </c>
      <c r="B443" s="1" t="n">
        <v>46057.58105324074</v>
      </c>
      <c r="C443" s="1" t="n">
        <v>46103</v>
      </c>
      <c r="D443" t="inlineStr">
        <is>
          <t>GOTLANDS LÄN</t>
        </is>
      </c>
      <c r="E443" t="inlineStr">
        <is>
          <t>GOTLAND</t>
        </is>
      </c>
      <c r="F443" t="inlineStr">
        <is>
          <t>Kyrkan</t>
        </is>
      </c>
      <c r="G443" t="n">
        <v>2.4</v>
      </c>
      <c r="H443" t="n">
        <v>0</v>
      </c>
      <c r="I443" t="n">
        <v>0</v>
      </c>
      <c r="J443" t="n">
        <v>0</v>
      </c>
      <c r="K443" t="n">
        <v>0</v>
      </c>
      <c r="L443" t="n">
        <v>0</v>
      </c>
      <c r="M443" t="n">
        <v>0</v>
      </c>
      <c r="N443" t="n">
        <v>0</v>
      </c>
      <c r="O443" t="n">
        <v>0</v>
      </c>
      <c r="P443" t="n">
        <v>0</v>
      </c>
      <c r="Q443" t="n">
        <v>0</v>
      </c>
      <c r="R443" s="2" t="inlineStr"/>
    </row>
    <row r="444" ht="15" customHeight="1">
      <c r="A444" t="inlineStr">
        <is>
          <t>A 54074-2022</t>
        </is>
      </c>
      <c r="B444" s="1" t="n">
        <v>44881</v>
      </c>
      <c r="C444" s="1" t="n">
        <v>46103</v>
      </c>
      <c r="D444" t="inlineStr">
        <is>
          <t>GOTLANDS LÄN</t>
        </is>
      </c>
      <c r="E444" t="inlineStr">
        <is>
          <t>GOTLAND</t>
        </is>
      </c>
      <c r="G444" t="n">
        <v>0.9</v>
      </c>
      <c r="H444" t="n">
        <v>0</v>
      </c>
      <c r="I444" t="n">
        <v>0</v>
      </c>
      <c r="J444" t="n">
        <v>0</v>
      </c>
      <c r="K444" t="n">
        <v>0</v>
      </c>
      <c r="L444" t="n">
        <v>0</v>
      </c>
      <c r="M444" t="n">
        <v>0</v>
      </c>
      <c r="N444" t="n">
        <v>0</v>
      </c>
      <c r="O444" t="n">
        <v>0</v>
      </c>
      <c r="P444" t="n">
        <v>0</v>
      </c>
      <c r="Q444" t="n">
        <v>0</v>
      </c>
      <c r="R444" s="2" t="inlineStr"/>
    </row>
    <row r="445" ht="15" customHeight="1">
      <c r="A445" t="inlineStr">
        <is>
          <t>A 2134-2026</t>
        </is>
      </c>
      <c r="B445" s="1" t="n">
        <v>46036</v>
      </c>
      <c r="C445" s="1" t="n">
        <v>46103</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61694-2023</t>
        </is>
      </c>
      <c r="B446" s="1" t="n">
        <v>45264</v>
      </c>
      <c r="C446" s="1" t="n">
        <v>46103</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64208-2021</t>
        </is>
      </c>
      <c r="B447" s="1" t="n">
        <v>44510</v>
      </c>
      <c r="C447" s="1" t="n">
        <v>46103</v>
      </c>
      <c r="D447" t="inlineStr">
        <is>
          <t>GOTLANDS LÄN</t>
        </is>
      </c>
      <c r="E447" t="inlineStr">
        <is>
          <t>GOTLAND</t>
        </is>
      </c>
      <c r="G447" t="n">
        <v>4.7</v>
      </c>
      <c r="H447" t="n">
        <v>0</v>
      </c>
      <c r="I447" t="n">
        <v>0</v>
      </c>
      <c r="J447" t="n">
        <v>0</v>
      </c>
      <c r="K447" t="n">
        <v>0</v>
      </c>
      <c r="L447" t="n">
        <v>0</v>
      </c>
      <c r="M447" t="n">
        <v>0</v>
      </c>
      <c r="N447" t="n">
        <v>0</v>
      </c>
      <c r="O447" t="n">
        <v>0</v>
      </c>
      <c r="P447" t="n">
        <v>0</v>
      </c>
      <c r="Q447" t="n">
        <v>0</v>
      </c>
      <c r="R447" s="2" t="inlineStr"/>
    </row>
    <row r="448" ht="15" customHeight="1">
      <c r="A448" t="inlineStr">
        <is>
          <t>A 2135-2026</t>
        </is>
      </c>
      <c r="B448" s="1" t="n">
        <v>46036</v>
      </c>
      <c r="C448" s="1" t="n">
        <v>46103</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7850-2025</t>
        </is>
      </c>
      <c r="B449" s="1" t="n">
        <v>45706</v>
      </c>
      <c r="C449" s="1" t="n">
        <v>46103</v>
      </c>
      <c r="D449" t="inlineStr">
        <is>
          <t>GOTLANDS LÄN</t>
        </is>
      </c>
      <c r="E449" t="inlineStr">
        <is>
          <t>GOTLAND</t>
        </is>
      </c>
      <c r="G449" t="n">
        <v>0.5</v>
      </c>
      <c r="H449" t="n">
        <v>0</v>
      </c>
      <c r="I449" t="n">
        <v>0</v>
      </c>
      <c r="J449" t="n">
        <v>0</v>
      </c>
      <c r="K449" t="n">
        <v>0</v>
      </c>
      <c r="L449" t="n">
        <v>0</v>
      </c>
      <c r="M449" t="n">
        <v>0</v>
      </c>
      <c r="N449" t="n">
        <v>0</v>
      </c>
      <c r="O449" t="n">
        <v>0</v>
      </c>
      <c r="P449" t="n">
        <v>0</v>
      </c>
      <c r="Q449" t="n">
        <v>0</v>
      </c>
      <c r="R449" s="2" t="inlineStr"/>
    </row>
    <row r="450" ht="15" customHeight="1">
      <c r="A450" t="inlineStr">
        <is>
          <t>A 54268-2022</t>
        </is>
      </c>
      <c r="B450" s="1" t="n">
        <v>44882</v>
      </c>
      <c r="C450" s="1" t="n">
        <v>46103</v>
      </c>
      <c r="D450" t="inlineStr">
        <is>
          <t>GOTLANDS LÄN</t>
        </is>
      </c>
      <c r="E450" t="inlineStr">
        <is>
          <t>GOTLAND</t>
        </is>
      </c>
      <c r="G450" t="n">
        <v>2.7</v>
      </c>
      <c r="H450" t="n">
        <v>0</v>
      </c>
      <c r="I450" t="n">
        <v>0</v>
      </c>
      <c r="J450" t="n">
        <v>0</v>
      </c>
      <c r="K450" t="n">
        <v>0</v>
      </c>
      <c r="L450" t="n">
        <v>0</v>
      </c>
      <c r="M450" t="n">
        <v>0</v>
      </c>
      <c r="N450" t="n">
        <v>0</v>
      </c>
      <c r="O450" t="n">
        <v>0</v>
      </c>
      <c r="P450" t="n">
        <v>0</v>
      </c>
      <c r="Q450" t="n">
        <v>0</v>
      </c>
      <c r="R450" s="2" t="inlineStr"/>
    </row>
    <row r="451" ht="15" customHeight="1">
      <c r="A451" t="inlineStr">
        <is>
          <t>A 62836-2025</t>
        </is>
      </c>
      <c r="B451" s="1" t="n">
        <v>46008</v>
      </c>
      <c r="C451" s="1" t="n">
        <v>46103</v>
      </c>
      <c r="D451" t="inlineStr">
        <is>
          <t>GOTLANDS LÄN</t>
        </is>
      </c>
      <c r="E451" t="inlineStr">
        <is>
          <t>GOTLAND</t>
        </is>
      </c>
      <c r="G451" t="n">
        <v>6.5</v>
      </c>
      <c r="H451" t="n">
        <v>0</v>
      </c>
      <c r="I451" t="n">
        <v>0</v>
      </c>
      <c r="J451" t="n">
        <v>0</v>
      </c>
      <c r="K451" t="n">
        <v>0</v>
      </c>
      <c r="L451" t="n">
        <v>0</v>
      </c>
      <c r="M451" t="n">
        <v>0</v>
      </c>
      <c r="N451" t="n">
        <v>0</v>
      </c>
      <c r="O451" t="n">
        <v>0</v>
      </c>
      <c r="P451" t="n">
        <v>0</v>
      </c>
      <c r="Q451" t="n">
        <v>0</v>
      </c>
      <c r="R451" s="2" t="inlineStr"/>
    </row>
    <row r="452" ht="15" customHeight="1">
      <c r="A452" t="inlineStr">
        <is>
          <t>A 1446-2025</t>
        </is>
      </c>
      <c r="B452" s="1" t="n">
        <v>45669.86035879629</v>
      </c>
      <c r="C452" s="1" t="n">
        <v>46103</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46103</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6739-2025</t>
        </is>
      </c>
      <c r="B454" s="1" t="n">
        <v>45700</v>
      </c>
      <c r="C454" s="1" t="n">
        <v>46103</v>
      </c>
      <c r="D454" t="inlineStr">
        <is>
          <t>GOTLANDS LÄN</t>
        </is>
      </c>
      <c r="E454" t="inlineStr">
        <is>
          <t>GOTLAND</t>
        </is>
      </c>
      <c r="G454" t="n">
        <v>4.5</v>
      </c>
      <c r="H454" t="n">
        <v>0</v>
      </c>
      <c r="I454" t="n">
        <v>0</v>
      </c>
      <c r="J454" t="n">
        <v>0</v>
      </c>
      <c r="K454" t="n">
        <v>0</v>
      </c>
      <c r="L454" t="n">
        <v>0</v>
      </c>
      <c r="M454" t="n">
        <v>0</v>
      </c>
      <c r="N454" t="n">
        <v>0</v>
      </c>
      <c r="O454" t="n">
        <v>0</v>
      </c>
      <c r="P454" t="n">
        <v>0</v>
      </c>
      <c r="Q454" t="n">
        <v>0</v>
      </c>
      <c r="R454" s="2" t="inlineStr"/>
    </row>
    <row r="455" ht="15" customHeight="1">
      <c r="A455" t="inlineStr">
        <is>
          <t>A 57685-2022</t>
        </is>
      </c>
      <c r="B455" s="1" t="n">
        <v>44897.4777662037</v>
      </c>
      <c r="C455" s="1" t="n">
        <v>46103</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811-2023</t>
        </is>
      </c>
      <c r="B456" s="1" t="n">
        <v>44931</v>
      </c>
      <c r="C456" s="1" t="n">
        <v>46103</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5863-2026</t>
        </is>
      </c>
      <c r="B457" s="1" t="n">
        <v>46052.36697916667</v>
      </c>
      <c r="C457" s="1" t="n">
        <v>46103</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8444-2025</t>
        </is>
      </c>
      <c r="B458" s="1" t="n">
        <v>45709</v>
      </c>
      <c r="C458" s="1" t="n">
        <v>46103</v>
      </c>
      <c r="D458" t="inlineStr">
        <is>
          <t>GOTLANDS LÄN</t>
        </is>
      </c>
      <c r="E458" t="inlineStr">
        <is>
          <t>GOTLAND</t>
        </is>
      </c>
      <c r="G458" t="n">
        <v>5.2</v>
      </c>
      <c r="H458" t="n">
        <v>0</v>
      </c>
      <c r="I458" t="n">
        <v>0</v>
      </c>
      <c r="J458" t="n">
        <v>0</v>
      </c>
      <c r="K458" t="n">
        <v>0</v>
      </c>
      <c r="L458" t="n">
        <v>0</v>
      </c>
      <c r="M458" t="n">
        <v>0</v>
      </c>
      <c r="N458" t="n">
        <v>0</v>
      </c>
      <c r="O458" t="n">
        <v>0</v>
      </c>
      <c r="P458" t="n">
        <v>0</v>
      </c>
      <c r="Q458" t="n">
        <v>0</v>
      </c>
      <c r="R458" s="2" t="inlineStr"/>
    </row>
    <row r="459" ht="15" customHeight="1">
      <c r="A459" t="inlineStr">
        <is>
          <t>A 19905-2025</t>
        </is>
      </c>
      <c r="B459" s="1" t="n">
        <v>45771</v>
      </c>
      <c r="C459" s="1" t="n">
        <v>46103</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5905-2024</t>
        </is>
      </c>
      <c r="B460" s="1" t="n">
        <v>45335.88993055555</v>
      </c>
      <c r="C460" s="1" t="n">
        <v>46103</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3431-2025</t>
        </is>
      </c>
      <c r="B461" s="1" t="n">
        <v>45680.42935185185</v>
      </c>
      <c r="C461" s="1" t="n">
        <v>46103</v>
      </c>
      <c r="D461" t="inlineStr">
        <is>
          <t>GOTLANDS LÄN</t>
        </is>
      </c>
      <c r="E461" t="inlineStr">
        <is>
          <t>GOTLAND</t>
        </is>
      </c>
      <c r="G461" t="n">
        <v>4.8</v>
      </c>
      <c r="H461" t="n">
        <v>0</v>
      </c>
      <c r="I461" t="n">
        <v>0</v>
      </c>
      <c r="J461" t="n">
        <v>0</v>
      </c>
      <c r="K461" t="n">
        <v>0</v>
      </c>
      <c r="L461" t="n">
        <v>0</v>
      </c>
      <c r="M461" t="n">
        <v>0</v>
      </c>
      <c r="N461" t="n">
        <v>0</v>
      </c>
      <c r="O461" t="n">
        <v>0</v>
      </c>
      <c r="P461" t="n">
        <v>0</v>
      </c>
      <c r="Q461" t="n">
        <v>0</v>
      </c>
      <c r="R461" s="2" t="inlineStr"/>
    </row>
    <row r="462" ht="15" customHeight="1">
      <c r="A462" t="inlineStr">
        <is>
          <t>A 34407-2023</t>
        </is>
      </c>
      <c r="B462" s="1" t="n">
        <v>45132</v>
      </c>
      <c r="C462" s="1" t="n">
        <v>46103</v>
      </c>
      <c r="D462" t="inlineStr">
        <is>
          <t>GOTLANDS LÄN</t>
        </is>
      </c>
      <c r="E462" t="inlineStr">
        <is>
          <t>GOTLAND</t>
        </is>
      </c>
      <c r="G462" t="n">
        <v>4.4</v>
      </c>
      <c r="H462" t="n">
        <v>0</v>
      </c>
      <c r="I462" t="n">
        <v>0</v>
      </c>
      <c r="J462" t="n">
        <v>0</v>
      </c>
      <c r="K462" t="n">
        <v>0</v>
      </c>
      <c r="L462" t="n">
        <v>0</v>
      </c>
      <c r="M462" t="n">
        <v>0</v>
      </c>
      <c r="N462" t="n">
        <v>0</v>
      </c>
      <c r="O462" t="n">
        <v>0</v>
      </c>
      <c r="P462" t="n">
        <v>0</v>
      </c>
      <c r="Q462" t="n">
        <v>0</v>
      </c>
      <c r="R462" s="2" t="inlineStr"/>
    </row>
    <row r="463" ht="15" customHeight="1">
      <c r="A463" t="inlineStr">
        <is>
          <t>A 30892-2024</t>
        </is>
      </c>
      <c r="B463" s="1" t="n">
        <v>45491</v>
      </c>
      <c r="C463" s="1" t="n">
        <v>46103</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46103</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7858-2025</t>
        </is>
      </c>
      <c r="B465" s="1" t="n">
        <v>45706.68633101852</v>
      </c>
      <c r="C465" s="1" t="n">
        <v>46103</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46545-2024</t>
        </is>
      </c>
      <c r="B466" s="1" t="n">
        <v>45582.65831018519</v>
      </c>
      <c r="C466" s="1" t="n">
        <v>46103</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999-2023</t>
        </is>
      </c>
      <c r="B467" s="1" t="n">
        <v>44935</v>
      </c>
      <c r="C467" s="1" t="n">
        <v>46103</v>
      </c>
      <c r="D467" t="inlineStr">
        <is>
          <t>GOTLANDS LÄN</t>
        </is>
      </c>
      <c r="E467" t="inlineStr">
        <is>
          <t>GOTLAND</t>
        </is>
      </c>
      <c r="G467" t="n">
        <v>4.7</v>
      </c>
      <c r="H467" t="n">
        <v>0</v>
      </c>
      <c r="I467" t="n">
        <v>0</v>
      </c>
      <c r="J467" t="n">
        <v>0</v>
      </c>
      <c r="K467" t="n">
        <v>0</v>
      </c>
      <c r="L467" t="n">
        <v>0</v>
      </c>
      <c r="M467" t="n">
        <v>0</v>
      </c>
      <c r="N467" t="n">
        <v>0</v>
      </c>
      <c r="O467" t="n">
        <v>0</v>
      </c>
      <c r="P467" t="n">
        <v>0</v>
      </c>
      <c r="Q467" t="n">
        <v>0</v>
      </c>
      <c r="R467" s="2" t="inlineStr"/>
    </row>
    <row r="468" ht="15" customHeight="1">
      <c r="A468" t="inlineStr">
        <is>
          <t>A 1364-2025</t>
        </is>
      </c>
      <c r="B468" s="1" t="n">
        <v>45667.63929398148</v>
      </c>
      <c r="C468" s="1" t="n">
        <v>46103</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29207-2025</t>
        </is>
      </c>
      <c r="B469" s="1" t="n">
        <v>45823</v>
      </c>
      <c r="C469" s="1" t="n">
        <v>46103</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46103</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29196-2025</t>
        </is>
      </c>
      <c r="B471" s="1" t="n">
        <v>45822</v>
      </c>
      <c r="C471" s="1" t="n">
        <v>46103</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14141-2024</t>
        </is>
      </c>
      <c r="B472" s="1" t="n">
        <v>45392.85193287037</v>
      </c>
      <c r="C472" s="1" t="n">
        <v>46103</v>
      </c>
      <c r="D472" t="inlineStr">
        <is>
          <t>GOTLANDS LÄN</t>
        </is>
      </c>
      <c r="E472" t="inlineStr">
        <is>
          <t>GOTLAND</t>
        </is>
      </c>
      <c r="G472" t="n">
        <v>5.3</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46103</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30061-2025</t>
        </is>
      </c>
      <c r="B474" s="1" t="n">
        <v>45826.61488425926</v>
      </c>
      <c r="C474" s="1" t="n">
        <v>46103</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2774-2024</t>
        </is>
      </c>
      <c r="B475" s="1" t="n">
        <v>45314.62375</v>
      </c>
      <c r="C475" s="1" t="n">
        <v>46103</v>
      </c>
      <c r="D475" t="inlineStr">
        <is>
          <t>GOTLANDS LÄN</t>
        </is>
      </c>
      <c r="E475" t="inlineStr">
        <is>
          <t>GOTLAND</t>
        </is>
      </c>
      <c r="G475" t="n">
        <v>1</v>
      </c>
      <c r="H475" t="n">
        <v>0</v>
      </c>
      <c r="I475" t="n">
        <v>0</v>
      </c>
      <c r="J475" t="n">
        <v>0</v>
      </c>
      <c r="K475" t="n">
        <v>0</v>
      </c>
      <c r="L475" t="n">
        <v>0</v>
      </c>
      <c r="M475" t="n">
        <v>0</v>
      </c>
      <c r="N475" t="n">
        <v>0</v>
      </c>
      <c r="O475" t="n">
        <v>0</v>
      </c>
      <c r="P475" t="n">
        <v>0</v>
      </c>
      <c r="Q475" t="n">
        <v>0</v>
      </c>
      <c r="R475" s="2" t="inlineStr"/>
    </row>
    <row r="476" ht="15" customHeight="1">
      <c r="A476" t="inlineStr">
        <is>
          <t>A 9947-2024</t>
        </is>
      </c>
      <c r="B476" s="1" t="n">
        <v>45363</v>
      </c>
      <c r="C476" s="1" t="n">
        <v>46103</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42007-2023</t>
        </is>
      </c>
      <c r="B477" s="1" t="n">
        <v>45177</v>
      </c>
      <c r="C477" s="1" t="n">
        <v>46103</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58160-2024</t>
        </is>
      </c>
      <c r="B478" s="1" t="n">
        <v>45632.44927083333</v>
      </c>
      <c r="C478" s="1" t="n">
        <v>46103</v>
      </c>
      <c r="D478" t="inlineStr">
        <is>
          <t>GOTLANDS LÄN</t>
        </is>
      </c>
      <c r="E478" t="inlineStr">
        <is>
          <t>GOTLAND</t>
        </is>
      </c>
      <c r="G478" t="n">
        <v>5.6</v>
      </c>
      <c r="H478" t="n">
        <v>0</v>
      </c>
      <c r="I478" t="n">
        <v>0</v>
      </c>
      <c r="J478" t="n">
        <v>0</v>
      </c>
      <c r="K478" t="n">
        <v>0</v>
      </c>
      <c r="L478" t="n">
        <v>0</v>
      </c>
      <c r="M478" t="n">
        <v>0</v>
      </c>
      <c r="N478" t="n">
        <v>0</v>
      </c>
      <c r="O478" t="n">
        <v>0</v>
      </c>
      <c r="P478" t="n">
        <v>0</v>
      </c>
      <c r="Q478" t="n">
        <v>0</v>
      </c>
      <c r="R478" s="2" t="inlineStr"/>
    </row>
    <row r="479" ht="15" customHeight="1">
      <c r="A479" t="inlineStr">
        <is>
          <t>A 15083-2025</t>
        </is>
      </c>
      <c r="B479" s="1" t="n">
        <v>45743</v>
      </c>
      <c r="C479" s="1" t="n">
        <v>46103</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16109-2025</t>
        </is>
      </c>
      <c r="B480" s="1" t="n">
        <v>45750</v>
      </c>
      <c r="C480" s="1" t="n">
        <v>46103</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32467-2025</t>
        </is>
      </c>
      <c r="B481" s="1" t="n">
        <v>45838.42111111111</v>
      </c>
      <c r="C481" s="1" t="n">
        <v>46103</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1066-2024</t>
        </is>
      </c>
      <c r="B482" s="1" t="n">
        <v>45302.285</v>
      </c>
      <c r="C482" s="1" t="n">
        <v>46103</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32379-2025</t>
        </is>
      </c>
      <c r="B483" s="1" t="n">
        <v>45837</v>
      </c>
      <c r="C483" s="1" t="n">
        <v>46103</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37202-2024</t>
        </is>
      </c>
      <c r="B484" s="1" t="n">
        <v>45539.67310185185</v>
      </c>
      <c r="C484" s="1" t="n">
        <v>46103</v>
      </c>
      <c r="D484" t="inlineStr">
        <is>
          <t>GOTLANDS LÄN</t>
        </is>
      </c>
      <c r="E484" t="inlineStr">
        <is>
          <t>GOTLAND</t>
        </is>
      </c>
      <c r="G484" t="n">
        <v>0.3</v>
      </c>
      <c r="H484" t="n">
        <v>0</v>
      </c>
      <c r="I484" t="n">
        <v>0</v>
      </c>
      <c r="J484" t="n">
        <v>0</v>
      </c>
      <c r="K484" t="n">
        <v>0</v>
      </c>
      <c r="L484" t="n">
        <v>0</v>
      </c>
      <c r="M484" t="n">
        <v>0</v>
      </c>
      <c r="N484" t="n">
        <v>0</v>
      </c>
      <c r="O484" t="n">
        <v>0</v>
      </c>
      <c r="P484" t="n">
        <v>0</v>
      </c>
      <c r="Q484" t="n">
        <v>0</v>
      </c>
      <c r="R484" s="2" t="inlineStr"/>
    </row>
    <row r="485" ht="15" customHeight="1">
      <c r="A485" t="inlineStr">
        <is>
          <t>A 33007-2025</t>
        </is>
      </c>
      <c r="B485" s="1" t="n">
        <v>45840</v>
      </c>
      <c r="C485" s="1" t="n">
        <v>46103</v>
      </c>
      <c r="D485" t="inlineStr">
        <is>
          <t>GOTLANDS LÄN</t>
        </is>
      </c>
      <c r="E485" t="inlineStr">
        <is>
          <t>GOTLAND</t>
        </is>
      </c>
      <c r="G485" t="n">
        <v>4.9</v>
      </c>
      <c r="H485" t="n">
        <v>0</v>
      </c>
      <c r="I485" t="n">
        <v>0</v>
      </c>
      <c r="J485" t="n">
        <v>0</v>
      </c>
      <c r="K485" t="n">
        <v>0</v>
      </c>
      <c r="L485" t="n">
        <v>0</v>
      </c>
      <c r="M485" t="n">
        <v>0</v>
      </c>
      <c r="N485" t="n">
        <v>0</v>
      </c>
      <c r="O485" t="n">
        <v>0</v>
      </c>
      <c r="P485" t="n">
        <v>0</v>
      </c>
      <c r="Q485" t="n">
        <v>0</v>
      </c>
      <c r="R485" s="2" t="inlineStr"/>
    </row>
    <row r="486" ht="15" customHeight="1">
      <c r="A486" t="inlineStr">
        <is>
          <t>A 30815-2023</t>
        </is>
      </c>
      <c r="B486" s="1" t="n">
        <v>45112</v>
      </c>
      <c r="C486" s="1" t="n">
        <v>46103</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46103</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10492-2023</t>
        </is>
      </c>
      <c r="B488" s="1" t="n">
        <v>44987</v>
      </c>
      <c r="C488" s="1" t="n">
        <v>46103</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46103</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16501-2023</t>
        </is>
      </c>
      <c r="B490" s="1" t="n">
        <v>45029</v>
      </c>
      <c r="C490" s="1" t="n">
        <v>46103</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27095-2022</t>
        </is>
      </c>
      <c r="B491" s="1" t="n">
        <v>44741</v>
      </c>
      <c r="C491" s="1" t="n">
        <v>46103</v>
      </c>
      <c r="D491" t="inlineStr">
        <is>
          <t>GOTLANDS LÄN</t>
        </is>
      </c>
      <c r="E491" t="inlineStr">
        <is>
          <t>GOTLAND</t>
        </is>
      </c>
      <c r="F491" t="inlineStr">
        <is>
          <t>Övriga Aktiebolag</t>
        </is>
      </c>
      <c r="G491" t="n">
        <v>2.9</v>
      </c>
      <c r="H491" t="n">
        <v>0</v>
      </c>
      <c r="I491" t="n">
        <v>0</v>
      </c>
      <c r="J491" t="n">
        <v>0</v>
      </c>
      <c r="K491" t="n">
        <v>0</v>
      </c>
      <c r="L491" t="n">
        <v>0</v>
      </c>
      <c r="M491" t="n">
        <v>0</v>
      </c>
      <c r="N491" t="n">
        <v>0</v>
      </c>
      <c r="O491" t="n">
        <v>0</v>
      </c>
      <c r="P491" t="n">
        <v>0</v>
      </c>
      <c r="Q491" t="n">
        <v>0</v>
      </c>
      <c r="R491" s="2" t="inlineStr"/>
    </row>
    <row r="492" ht="15" customHeight="1">
      <c r="A492" t="inlineStr">
        <is>
          <t>A 458-2023</t>
        </is>
      </c>
      <c r="B492" s="1" t="n">
        <v>44929</v>
      </c>
      <c r="C492" s="1" t="n">
        <v>46103</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1291-2023</t>
        </is>
      </c>
      <c r="B493" s="1" t="n">
        <v>44936.47561342592</v>
      </c>
      <c r="C493" s="1" t="n">
        <v>46103</v>
      </c>
      <c r="D493" t="inlineStr">
        <is>
          <t>GOTLANDS LÄN</t>
        </is>
      </c>
      <c r="E493" t="inlineStr">
        <is>
          <t>GOTLAND</t>
        </is>
      </c>
      <c r="G493" t="n">
        <v>7.4</v>
      </c>
      <c r="H493" t="n">
        <v>0</v>
      </c>
      <c r="I493" t="n">
        <v>0</v>
      </c>
      <c r="J493" t="n">
        <v>0</v>
      </c>
      <c r="K493" t="n">
        <v>0</v>
      </c>
      <c r="L493" t="n">
        <v>0</v>
      </c>
      <c r="M493" t="n">
        <v>0</v>
      </c>
      <c r="N493" t="n">
        <v>0</v>
      </c>
      <c r="O493" t="n">
        <v>0</v>
      </c>
      <c r="P493" t="n">
        <v>0</v>
      </c>
      <c r="Q493" t="n">
        <v>0</v>
      </c>
      <c r="R493" s="2" t="inlineStr"/>
    </row>
    <row r="494" ht="15" customHeight="1">
      <c r="A494" t="inlineStr">
        <is>
          <t>A 15413-2025</t>
        </is>
      </c>
      <c r="B494" s="1" t="n">
        <v>45747.451875</v>
      </c>
      <c r="C494" s="1" t="n">
        <v>46103</v>
      </c>
      <c r="D494" t="inlineStr">
        <is>
          <t>GOTLANDS LÄN</t>
        </is>
      </c>
      <c r="E494" t="inlineStr">
        <is>
          <t>GOTLAND</t>
        </is>
      </c>
      <c r="G494" t="n">
        <v>0.6</v>
      </c>
      <c r="H494" t="n">
        <v>0</v>
      </c>
      <c r="I494" t="n">
        <v>0</v>
      </c>
      <c r="J494" t="n">
        <v>0</v>
      </c>
      <c r="K494" t="n">
        <v>0</v>
      </c>
      <c r="L494" t="n">
        <v>0</v>
      </c>
      <c r="M494" t="n">
        <v>0</v>
      </c>
      <c r="N494" t="n">
        <v>0</v>
      </c>
      <c r="O494" t="n">
        <v>0</v>
      </c>
      <c r="P494" t="n">
        <v>0</v>
      </c>
      <c r="Q494" t="n">
        <v>0</v>
      </c>
      <c r="R494" s="2" t="inlineStr"/>
    </row>
    <row r="495" ht="15" customHeight="1">
      <c r="A495" t="inlineStr">
        <is>
          <t>A 32330-2024</t>
        </is>
      </c>
      <c r="B495" s="1" t="n">
        <v>45512</v>
      </c>
      <c r="C495" s="1" t="n">
        <v>46103</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35096-2025</t>
        </is>
      </c>
      <c r="B496" s="1" t="n">
        <v>45852.54356481481</v>
      </c>
      <c r="C496" s="1" t="n">
        <v>46103</v>
      </c>
      <c r="D496" t="inlineStr">
        <is>
          <t>GOTLANDS LÄN</t>
        </is>
      </c>
      <c r="E496" t="inlineStr">
        <is>
          <t>GOTLAND</t>
        </is>
      </c>
      <c r="F496" t="inlineStr">
        <is>
          <t>Kyrkan</t>
        </is>
      </c>
      <c r="G496" t="n">
        <v>1</v>
      </c>
      <c r="H496" t="n">
        <v>0</v>
      </c>
      <c r="I496" t="n">
        <v>0</v>
      </c>
      <c r="J496" t="n">
        <v>0</v>
      </c>
      <c r="K496" t="n">
        <v>0</v>
      </c>
      <c r="L496" t="n">
        <v>0</v>
      </c>
      <c r="M496" t="n">
        <v>0</v>
      </c>
      <c r="N496" t="n">
        <v>0</v>
      </c>
      <c r="O496" t="n">
        <v>0</v>
      </c>
      <c r="P496" t="n">
        <v>0</v>
      </c>
      <c r="Q496" t="n">
        <v>0</v>
      </c>
      <c r="R496" s="2" t="inlineStr"/>
    </row>
    <row r="497" ht="15" customHeight="1">
      <c r="A497" t="inlineStr">
        <is>
          <t>A 5891-2025</t>
        </is>
      </c>
      <c r="B497" s="1" t="n">
        <v>45695.38327546296</v>
      </c>
      <c r="C497" s="1" t="n">
        <v>46103</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35123-2025</t>
        </is>
      </c>
      <c r="B498" s="1" t="n">
        <v>45852.614375</v>
      </c>
      <c r="C498" s="1" t="n">
        <v>46103</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14804-2021</t>
        </is>
      </c>
      <c r="B499" s="1" t="n">
        <v>44280</v>
      </c>
      <c r="C499" s="1" t="n">
        <v>46103</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35290-2025</t>
        </is>
      </c>
      <c r="B500" s="1" t="n">
        <v>45854.38502314815</v>
      </c>
      <c r="C500" s="1" t="n">
        <v>46103</v>
      </c>
      <c r="D500" t="inlineStr">
        <is>
          <t>GOTLANDS LÄN</t>
        </is>
      </c>
      <c r="E500" t="inlineStr">
        <is>
          <t>GOTLAND</t>
        </is>
      </c>
      <c r="G500" t="n">
        <v>5.4</v>
      </c>
      <c r="H500" t="n">
        <v>0</v>
      </c>
      <c r="I500" t="n">
        <v>0</v>
      </c>
      <c r="J500" t="n">
        <v>0</v>
      </c>
      <c r="K500" t="n">
        <v>0</v>
      </c>
      <c r="L500" t="n">
        <v>0</v>
      </c>
      <c r="M500" t="n">
        <v>0</v>
      </c>
      <c r="N500" t="n">
        <v>0</v>
      </c>
      <c r="O500" t="n">
        <v>0</v>
      </c>
      <c r="P500" t="n">
        <v>0</v>
      </c>
      <c r="Q500" t="n">
        <v>0</v>
      </c>
      <c r="R500" s="2" t="inlineStr"/>
    </row>
    <row r="501" ht="15" customHeight="1">
      <c r="A501" t="inlineStr">
        <is>
          <t>A 2719-2023</t>
        </is>
      </c>
      <c r="B501" s="1" t="n">
        <v>44944.55361111111</v>
      </c>
      <c r="C501" s="1" t="n">
        <v>46103</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17144-2025</t>
        </is>
      </c>
      <c r="B502" s="1" t="n">
        <v>45755.9499537037</v>
      </c>
      <c r="C502" s="1" t="n">
        <v>46103</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30104-2025</t>
        </is>
      </c>
      <c r="B503" s="1" t="n">
        <v>45826.68806712963</v>
      </c>
      <c r="C503" s="1" t="n">
        <v>46103</v>
      </c>
      <c r="D503" t="inlineStr">
        <is>
          <t>GOTLANDS LÄN</t>
        </is>
      </c>
      <c r="E503" t="inlineStr">
        <is>
          <t>GOTLAND</t>
        </is>
      </c>
      <c r="G503" t="n">
        <v>15.4</v>
      </c>
      <c r="H503" t="n">
        <v>0</v>
      </c>
      <c r="I503" t="n">
        <v>0</v>
      </c>
      <c r="J503" t="n">
        <v>0</v>
      </c>
      <c r="K503" t="n">
        <v>0</v>
      </c>
      <c r="L503" t="n">
        <v>0</v>
      </c>
      <c r="M503" t="n">
        <v>0</v>
      </c>
      <c r="N503" t="n">
        <v>0</v>
      </c>
      <c r="O503" t="n">
        <v>0</v>
      </c>
      <c r="P503" t="n">
        <v>0</v>
      </c>
      <c r="Q503" t="n">
        <v>0</v>
      </c>
      <c r="R503" s="2" t="inlineStr"/>
    </row>
    <row r="504" ht="15" customHeight="1">
      <c r="A504" t="inlineStr">
        <is>
          <t>A 49314-2024</t>
        </is>
      </c>
      <c r="B504" s="1" t="n">
        <v>45595.55893518519</v>
      </c>
      <c r="C504" s="1" t="n">
        <v>46103</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9875-2025</t>
        </is>
      </c>
      <c r="B505" s="1" t="n">
        <v>45716</v>
      </c>
      <c r="C505" s="1" t="n">
        <v>46103</v>
      </c>
      <c r="D505" t="inlineStr">
        <is>
          <t>GOTLANDS LÄN</t>
        </is>
      </c>
      <c r="E505" t="inlineStr">
        <is>
          <t>GOTLAND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32669-2024</t>
        </is>
      </c>
      <c r="B506" s="1" t="n">
        <v>45514</v>
      </c>
      <c r="C506" s="1" t="n">
        <v>46103</v>
      </c>
      <c r="D506" t="inlineStr">
        <is>
          <t>GOTLANDS LÄN</t>
        </is>
      </c>
      <c r="E506" t="inlineStr">
        <is>
          <t>GOTLAND</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29809-2022</t>
        </is>
      </c>
      <c r="B507" s="1" t="n">
        <v>44755.8713425926</v>
      </c>
      <c r="C507" s="1" t="n">
        <v>46103</v>
      </c>
      <c r="D507" t="inlineStr">
        <is>
          <t>GOTLANDS LÄN</t>
        </is>
      </c>
      <c r="E507" t="inlineStr">
        <is>
          <t>GOTLAND</t>
        </is>
      </c>
      <c r="G507" t="n">
        <v>11.5</v>
      </c>
      <c r="H507" t="n">
        <v>0</v>
      </c>
      <c r="I507" t="n">
        <v>0</v>
      </c>
      <c r="J507" t="n">
        <v>0</v>
      </c>
      <c r="K507" t="n">
        <v>0</v>
      </c>
      <c r="L507" t="n">
        <v>0</v>
      </c>
      <c r="M507" t="n">
        <v>0</v>
      </c>
      <c r="N507" t="n">
        <v>0</v>
      </c>
      <c r="O507" t="n">
        <v>0</v>
      </c>
      <c r="P507" t="n">
        <v>0</v>
      </c>
      <c r="Q507" t="n">
        <v>0</v>
      </c>
      <c r="R507" s="2" t="inlineStr"/>
    </row>
    <row r="508" ht="15" customHeight="1">
      <c r="A508" t="inlineStr">
        <is>
          <t>A 35537-2025</t>
        </is>
      </c>
      <c r="B508" s="1" t="n">
        <v>45856</v>
      </c>
      <c r="C508" s="1" t="n">
        <v>46103</v>
      </c>
      <c r="D508" t="inlineStr">
        <is>
          <t>GOTLANDS LÄN</t>
        </is>
      </c>
      <c r="E508" t="inlineStr">
        <is>
          <t>GOTLAND</t>
        </is>
      </c>
      <c r="G508" t="n">
        <v>16.8</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46103</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46103</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1175-2025</t>
        </is>
      </c>
      <c r="B511" s="1" t="n">
        <v>45667.34449074074</v>
      </c>
      <c r="C511" s="1" t="n">
        <v>46103</v>
      </c>
      <c r="D511" t="inlineStr">
        <is>
          <t>GOTLANDS LÄN</t>
        </is>
      </c>
      <c r="E511" t="inlineStr">
        <is>
          <t>GOTLAND</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30488-2025</t>
        </is>
      </c>
      <c r="B512" s="1" t="n">
        <v>45830</v>
      </c>
      <c r="C512" s="1" t="n">
        <v>46103</v>
      </c>
      <c r="D512" t="inlineStr">
        <is>
          <t>GOTLANDS LÄN</t>
        </is>
      </c>
      <c r="E512" t="inlineStr">
        <is>
          <t>GOTLAND</t>
        </is>
      </c>
      <c r="F512" t="inlineStr">
        <is>
          <t>Kyrkan</t>
        </is>
      </c>
      <c r="G512" t="n">
        <v>3.9</v>
      </c>
      <c r="H512" t="n">
        <v>0</v>
      </c>
      <c r="I512" t="n">
        <v>0</v>
      </c>
      <c r="J512" t="n">
        <v>0</v>
      </c>
      <c r="K512" t="n">
        <v>0</v>
      </c>
      <c r="L512" t="n">
        <v>0</v>
      </c>
      <c r="M512" t="n">
        <v>0</v>
      </c>
      <c r="N512" t="n">
        <v>0</v>
      </c>
      <c r="O512" t="n">
        <v>0</v>
      </c>
      <c r="P512" t="n">
        <v>0</v>
      </c>
      <c r="Q512" t="n">
        <v>0</v>
      </c>
      <c r="R512" s="2" t="inlineStr"/>
    </row>
    <row r="513" ht="15" customHeight="1">
      <c r="A513" t="inlineStr">
        <is>
          <t>A 15216-2025</t>
        </is>
      </c>
      <c r="B513" s="1" t="n">
        <v>45744</v>
      </c>
      <c r="C513" s="1" t="n">
        <v>46103</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15001-2025</t>
        </is>
      </c>
      <c r="B514" s="1" t="n">
        <v>45743</v>
      </c>
      <c r="C514" s="1" t="n">
        <v>46103</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43790-2024</t>
        </is>
      </c>
      <c r="B515" s="1" t="n">
        <v>45571</v>
      </c>
      <c r="C515" s="1" t="n">
        <v>46103</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17847-2025</t>
        </is>
      </c>
      <c r="B516" s="1" t="n">
        <v>45758</v>
      </c>
      <c r="C516" s="1" t="n">
        <v>46103</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42201-2023</t>
        </is>
      </c>
      <c r="B517" s="1" t="n">
        <v>45179</v>
      </c>
      <c r="C517" s="1" t="n">
        <v>46103</v>
      </c>
      <c r="D517" t="inlineStr">
        <is>
          <t>GOTLANDS LÄN</t>
        </is>
      </c>
      <c r="E517" t="inlineStr">
        <is>
          <t>GOTLAND</t>
        </is>
      </c>
      <c r="G517" t="n">
        <v>11.9</v>
      </c>
      <c r="H517" t="n">
        <v>0</v>
      </c>
      <c r="I517" t="n">
        <v>0</v>
      </c>
      <c r="J517" t="n">
        <v>0</v>
      </c>
      <c r="K517" t="n">
        <v>0</v>
      </c>
      <c r="L517" t="n">
        <v>0</v>
      </c>
      <c r="M517" t="n">
        <v>0</v>
      </c>
      <c r="N517" t="n">
        <v>0</v>
      </c>
      <c r="O517" t="n">
        <v>0</v>
      </c>
      <c r="P517" t="n">
        <v>0</v>
      </c>
      <c r="Q517" t="n">
        <v>0</v>
      </c>
      <c r="R517" s="2" t="inlineStr"/>
    </row>
    <row r="518" ht="15" customHeight="1">
      <c r="A518" t="inlineStr">
        <is>
          <t>A 3150-2025</t>
        </is>
      </c>
      <c r="B518" s="1" t="n">
        <v>45679.28974537037</v>
      </c>
      <c r="C518" s="1" t="n">
        <v>46103</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18742-2025</t>
        </is>
      </c>
      <c r="B519" s="1" t="n">
        <v>45763</v>
      </c>
      <c r="C519" s="1" t="n">
        <v>46103</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35129-2025</t>
        </is>
      </c>
      <c r="B520" s="1" t="n">
        <v>45852.63224537037</v>
      </c>
      <c r="C520" s="1" t="n">
        <v>46103</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42041-2024</t>
        </is>
      </c>
      <c r="B521" s="1" t="n">
        <v>45561</v>
      </c>
      <c r="C521" s="1" t="n">
        <v>46103</v>
      </c>
      <c r="D521" t="inlineStr">
        <is>
          <t>GOTLANDS LÄN</t>
        </is>
      </c>
      <c r="E521" t="inlineStr">
        <is>
          <t>GOTLAND</t>
        </is>
      </c>
      <c r="G521" t="n">
        <v>3.2</v>
      </c>
      <c r="H521" t="n">
        <v>0</v>
      </c>
      <c r="I521" t="n">
        <v>0</v>
      </c>
      <c r="J521" t="n">
        <v>0</v>
      </c>
      <c r="K521" t="n">
        <v>0</v>
      </c>
      <c r="L521" t="n">
        <v>0</v>
      </c>
      <c r="M521" t="n">
        <v>0</v>
      </c>
      <c r="N521" t="n">
        <v>0</v>
      </c>
      <c r="O521" t="n">
        <v>0</v>
      </c>
      <c r="P521" t="n">
        <v>0</v>
      </c>
      <c r="Q521" t="n">
        <v>0</v>
      </c>
      <c r="R521" s="2" t="inlineStr"/>
    </row>
    <row r="522" ht="15" customHeight="1">
      <c r="A522" t="inlineStr">
        <is>
          <t>A 15436-2025</t>
        </is>
      </c>
      <c r="B522" s="1" t="n">
        <v>45747.47462962963</v>
      </c>
      <c r="C522" s="1" t="n">
        <v>46103</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21247-2022</t>
        </is>
      </c>
      <c r="B523" s="1" t="n">
        <v>44705.38832175926</v>
      </c>
      <c r="C523" s="1" t="n">
        <v>46103</v>
      </c>
      <c r="D523" t="inlineStr">
        <is>
          <t>GOTLANDS LÄN</t>
        </is>
      </c>
      <c r="E523" t="inlineStr">
        <is>
          <t>GOTLAND</t>
        </is>
      </c>
      <c r="G523" t="n">
        <v>16.2</v>
      </c>
      <c r="H523" t="n">
        <v>0</v>
      </c>
      <c r="I523" t="n">
        <v>0</v>
      </c>
      <c r="J523" t="n">
        <v>0</v>
      </c>
      <c r="K523" t="n">
        <v>0</v>
      </c>
      <c r="L523" t="n">
        <v>0</v>
      </c>
      <c r="M523" t="n">
        <v>0</v>
      </c>
      <c r="N523" t="n">
        <v>0</v>
      </c>
      <c r="O523" t="n">
        <v>0</v>
      </c>
      <c r="P523" t="n">
        <v>0</v>
      </c>
      <c r="Q523" t="n">
        <v>0</v>
      </c>
      <c r="R523" s="2" t="inlineStr"/>
    </row>
    <row r="524" ht="15" customHeight="1">
      <c r="A524" t="inlineStr">
        <is>
          <t>A 30489-2025</t>
        </is>
      </c>
      <c r="B524" s="1" t="n">
        <v>45830</v>
      </c>
      <c r="C524" s="1" t="n">
        <v>46103</v>
      </c>
      <c r="D524" t="inlineStr">
        <is>
          <t>GOTLANDS LÄN</t>
        </is>
      </c>
      <c r="E524" t="inlineStr">
        <is>
          <t>GOTLAND</t>
        </is>
      </c>
      <c r="G524" t="n">
        <v>4.6</v>
      </c>
      <c r="H524" t="n">
        <v>0</v>
      </c>
      <c r="I524" t="n">
        <v>0</v>
      </c>
      <c r="J524" t="n">
        <v>0</v>
      </c>
      <c r="K524" t="n">
        <v>0</v>
      </c>
      <c r="L524" t="n">
        <v>0</v>
      </c>
      <c r="M524" t="n">
        <v>0</v>
      </c>
      <c r="N524" t="n">
        <v>0</v>
      </c>
      <c r="O524" t="n">
        <v>0</v>
      </c>
      <c r="P524" t="n">
        <v>0</v>
      </c>
      <c r="Q524" t="n">
        <v>0</v>
      </c>
      <c r="R524" s="2" t="inlineStr"/>
    </row>
    <row r="525" ht="15" customHeight="1">
      <c r="A525" t="inlineStr">
        <is>
          <t>A 21142-2025</t>
        </is>
      </c>
      <c r="B525" s="1" t="n">
        <v>45779</v>
      </c>
      <c r="C525" s="1" t="n">
        <v>46103</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6108-2025</t>
        </is>
      </c>
      <c r="B526" s="1" t="n">
        <v>45698.29880787037</v>
      </c>
      <c r="C526" s="1" t="n">
        <v>46103</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17343-2025</t>
        </is>
      </c>
      <c r="B527" s="1" t="n">
        <v>45756.6687037037</v>
      </c>
      <c r="C527" s="1" t="n">
        <v>46103</v>
      </c>
      <c r="D527" t="inlineStr">
        <is>
          <t>GOTLANDS LÄN</t>
        </is>
      </c>
      <c r="E527" t="inlineStr">
        <is>
          <t>GOTLAND</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17780-2022</t>
        </is>
      </c>
      <c r="B528" s="1" t="n">
        <v>44682.82622685185</v>
      </c>
      <c r="C528" s="1" t="n">
        <v>46103</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18938-2025</t>
        </is>
      </c>
      <c r="B529" s="1" t="n">
        <v>45764.49172453704</v>
      </c>
      <c r="C529" s="1" t="n">
        <v>46103</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20307-2025</t>
        </is>
      </c>
      <c r="B530" s="1" t="n">
        <v>45774.95546296296</v>
      </c>
      <c r="C530" s="1" t="n">
        <v>46103</v>
      </c>
      <c r="D530" t="inlineStr">
        <is>
          <t>GOTLANDS LÄN</t>
        </is>
      </c>
      <c r="E530" t="inlineStr">
        <is>
          <t>GOTLAND</t>
        </is>
      </c>
      <c r="G530" t="n">
        <v>6.8</v>
      </c>
      <c r="H530" t="n">
        <v>0</v>
      </c>
      <c r="I530" t="n">
        <v>0</v>
      </c>
      <c r="J530" t="n">
        <v>0</v>
      </c>
      <c r="K530" t="n">
        <v>0</v>
      </c>
      <c r="L530" t="n">
        <v>0</v>
      </c>
      <c r="M530" t="n">
        <v>0</v>
      </c>
      <c r="N530" t="n">
        <v>0</v>
      </c>
      <c r="O530" t="n">
        <v>0</v>
      </c>
      <c r="P530" t="n">
        <v>0</v>
      </c>
      <c r="Q530" t="n">
        <v>0</v>
      </c>
      <c r="R530" s="2" t="inlineStr"/>
    </row>
    <row r="531" ht="15" customHeight="1">
      <c r="A531" t="inlineStr">
        <is>
          <t>A 63516-2023</t>
        </is>
      </c>
      <c r="B531" s="1" t="n">
        <v>45274</v>
      </c>
      <c r="C531" s="1" t="n">
        <v>46103</v>
      </c>
      <c r="D531" t="inlineStr">
        <is>
          <t>GOTLANDS LÄN</t>
        </is>
      </c>
      <c r="E531" t="inlineStr">
        <is>
          <t>GOTLAND</t>
        </is>
      </c>
      <c r="G531" t="n">
        <v>1.2</v>
      </c>
      <c r="H531" t="n">
        <v>0</v>
      </c>
      <c r="I531" t="n">
        <v>0</v>
      </c>
      <c r="J531" t="n">
        <v>0</v>
      </c>
      <c r="K531" t="n">
        <v>0</v>
      </c>
      <c r="L531" t="n">
        <v>0</v>
      </c>
      <c r="M531" t="n">
        <v>0</v>
      </c>
      <c r="N531" t="n">
        <v>0</v>
      </c>
      <c r="O531" t="n">
        <v>0</v>
      </c>
      <c r="P531" t="n">
        <v>0</v>
      </c>
      <c r="Q531" t="n">
        <v>0</v>
      </c>
      <c r="R531" s="2" t="inlineStr"/>
    </row>
    <row r="532" ht="15" customHeight="1">
      <c r="A532" t="inlineStr">
        <is>
          <t>A 53935-2024</t>
        </is>
      </c>
      <c r="B532" s="1" t="n">
        <v>45615</v>
      </c>
      <c r="C532" s="1" t="n">
        <v>46103</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69112-2021</t>
        </is>
      </c>
      <c r="B533" s="1" t="n">
        <v>44530</v>
      </c>
      <c r="C533" s="1" t="n">
        <v>46103</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48734-2022</t>
        </is>
      </c>
      <c r="B534" s="1" t="n">
        <v>44855</v>
      </c>
      <c r="C534" s="1" t="n">
        <v>46103</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23516-2023</t>
        </is>
      </c>
      <c r="B535" s="1" t="n">
        <v>45076.93391203704</v>
      </c>
      <c r="C535" s="1" t="n">
        <v>46103</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43231-2023</t>
        </is>
      </c>
      <c r="B536" s="1" t="n">
        <v>45183.47025462963</v>
      </c>
      <c r="C536" s="1" t="n">
        <v>46103</v>
      </c>
      <c r="D536" t="inlineStr">
        <is>
          <t>GOTLANDS LÄN</t>
        </is>
      </c>
      <c r="E536" t="inlineStr">
        <is>
          <t>GOTLAND</t>
        </is>
      </c>
      <c r="G536" t="n">
        <v>3.6</v>
      </c>
      <c r="H536" t="n">
        <v>0</v>
      </c>
      <c r="I536" t="n">
        <v>0</v>
      </c>
      <c r="J536" t="n">
        <v>0</v>
      </c>
      <c r="K536" t="n">
        <v>0</v>
      </c>
      <c r="L536" t="n">
        <v>0</v>
      </c>
      <c r="M536" t="n">
        <v>0</v>
      </c>
      <c r="N536" t="n">
        <v>0</v>
      </c>
      <c r="O536" t="n">
        <v>0</v>
      </c>
      <c r="P536" t="n">
        <v>0</v>
      </c>
      <c r="Q536" t="n">
        <v>0</v>
      </c>
      <c r="R536" s="2" t="inlineStr"/>
    </row>
    <row r="537" ht="15" customHeight="1">
      <c r="A537" t="inlineStr">
        <is>
          <t>A 58230-2024</t>
        </is>
      </c>
      <c r="B537" s="1" t="n">
        <v>45632.51625</v>
      </c>
      <c r="C537" s="1" t="n">
        <v>46103</v>
      </c>
      <c r="D537" t="inlineStr">
        <is>
          <t>GOTLANDS LÄN</t>
        </is>
      </c>
      <c r="E537" t="inlineStr">
        <is>
          <t>GOTLAND</t>
        </is>
      </c>
      <c r="G537" t="n">
        <v>7.3</v>
      </c>
      <c r="H537" t="n">
        <v>0</v>
      </c>
      <c r="I537" t="n">
        <v>0</v>
      </c>
      <c r="J537" t="n">
        <v>0</v>
      </c>
      <c r="K537" t="n">
        <v>0</v>
      </c>
      <c r="L537" t="n">
        <v>0</v>
      </c>
      <c r="M537" t="n">
        <v>0</v>
      </c>
      <c r="N537" t="n">
        <v>0</v>
      </c>
      <c r="O537" t="n">
        <v>0</v>
      </c>
      <c r="P537" t="n">
        <v>0</v>
      </c>
      <c r="Q537" t="n">
        <v>0</v>
      </c>
      <c r="R537" s="2" t="inlineStr"/>
    </row>
    <row r="538" ht="15" customHeight="1">
      <c r="A538" t="inlineStr">
        <is>
          <t>A 18993-2025</t>
        </is>
      </c>
      <c r="B538" s="1" t="n">
        <v>45764</v>
      </c>
      <c r="C538" s="1" t="n">
        <v>46103</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30135-2025</t>
        </is>
      </c>
      <c r="B539" s="1" t="n">
        <v>45826</v>
      </c>
      <c r="C539" s="1" t="n">
        <v>46103</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64555-2023</t>
        </is>
      </c>
      <c r="B540" s="1" t="n">
        <v>45281</v>
      </c>
      <c r="C540" s="1" t="n">
        <v>46103</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457-2023</t>
        </is>
      </c>
      <c r="B541" s="1" t="n">
        <v>44929.87238425926</v>
      </c>
      <c r="C541" s="1" t="n">
        <v>46103</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459-2023</t>
        </is>
      </c>
      <c r="B542" s="1" t="n">
        <v>44929.87423611111</v>
      </c>
      <c r="C542" s="1" t="n">
        <v>46103</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12599-2025</t>
        </is>
      </c>
      <c r="B543" s="1" t="n">
        <v>45733.29546296296</v>
      </c>
      <c r="C543" s="1" t="n">
        <v>46103</v>
      </c>
      <c r="D543" t="inlineStr">
        <is>
          <t>GOTLANDS LÄN</t>
        </is>
      </c>
      <c r="E543" t="inlineStr">
        <is>
          <t>GOTLAND</t>
        </is>
      </c>
      <c r="G543" t="n">
        <v>4.7</v>
      </c>
      <c r="H543" t="n">
        <v>0</v>
      </c>
      <c r="I543" t="n">
        <v>0</v>
      </c>
      <c r="J543" t="n">
        <v>0</v>
      </c>
      <c r="K543" t="n">
        <v>0</v>
      </c>
      <c r="L543" t="n">
        <v>0</v>
      </c>
      <c r="M543" t="n">
        <v>0</v>
      </c>
      <c r="N543" t="n">
        <v>0</v>
      </c>
      <c r="O543" t="n">
        <v>0</v>
      </c>
      <c r="P543" t="n">
        <v>0</v>
      </c>
      <c r="Q543" t="n">
        <v>0</v>
      </c>
      <c r="R543" s="2" t="inlineStr"/>
    </row>
    <row r="544" ht="15" customHeight="1">
      <c r="A544" t="inlineStr">
        <is>
          <t>A 876-2024</t>
        </is>
      </c>
      <c r="B544" s="1" t="n">
        <v>45301</v>
      </c>
      <c r="C544" s="1" t="n">
        <v>46103</v>
      </c>
      <c r="D544" t="inlineStr">
        <is>
          <t>GOTLANDS LÄN</t>
        </is>
      </c>
      <c r="E544" t="inlineStr">
        <is>
          <t>GOTLAND</t>
        </is>
      </c>
      <c r="G544" t="n">
        <v>5.3</v>
      </c>
      <c r="H544" t="n">
        <v>0</v>
      </c>
      <c r="I544" t="n">
        <v>0</v>
      </c>
      <c r="J544" t="n">
        <v>0</v>
      </c>
      <c r="K544" t="n">
        <v>0</v>
      </c>
      <c r="L544" t="n">
        <v>0</v>
      </c>
      <c r="M544" t="n">
        <v>0</v>
      </c>
      <c r="N544" t="n">
        <v>0</v>
      </c>
      <c r="O544" t="n">
        <v>0</v>
      </c>
      <c r="P544" t="n">
        <v>0</v>
      </c>
      <c r="Q544" t="n">
        <v>0</v>
      </c>
      <c r="R544" s="2" t="inlineStr"/>
    </row>
    <row r="545" ht="15" customHeight="1">
      <c r="A545" t="inlineStr">
        <is>
          <t>A 26891-2024</t>
        </is>
      </c>
      <c r="B545" s="1" t="n">
        <v>45470.65540509259</v>
      </c>
      <c r="C545" s="1" t="n">
        <v>46103</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14536-2021</t>
        </is>
      </c>
      <c r="B546" s="1" t="n">
        <v>44279.66168981481</v>
      </c>
      <c r="C546" s="1" t="n">
        <v>46103</v>
      </c>
      <c r="D546" t="inlineStr">
        <is>
          <t>GOTLANDS LÄN</t>
        </is>
      </c>
      <c r="E546" t="inlineStr">
        <is>
          <t>GOTLAND</t>
        </is>
      </c>
      <c r="G546" t="n">
        <v>8.5</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46103</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50482-2024</t>
        </is>
      </c>
      <c r="B548" s="1" t="n">
        <v>45601.48114583334</v>
      </c>
      <c r="C548" s="1" t="n">
        <v>46103</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5943-2024</t>
        </is>
      </c>
      <c r="B549" s="1" t="n">
        <v>45336</v>
      </c>
      <c r="C549" s="1" t="n">
        <v>46103</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38234-2023</t>
        </is>
      </c>
      <c r="B550" s="1" t="n">
        <v>45161.56663194444</v>
      </c>
      <c r="C550" s="1" t="n">
        <v>46103</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46103</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17724-2024</t>
        </is>
      </c>
      <c r="B552" s="1" t="n">
        <v>45418.55096064815</v>
      </c>
      <c r="C552" s="1" t="n">
        <v>46103</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23978-2023</t>
        </is>
      </c>
      <c r="B553" s="1" t="n">
        <v>45078</v>
      </c>
      <c r="C553" s="1" t="n">
        <v>46103</v>
      </c>
      <c r="D553" t="inlineStr">
        <is>
          <t>GOTLANDS LÄN</t>
        </is>
      </c>
      <c r="E553" t="inlineStr">
        <is>
          <t>GOTLAND</t>
        </is>
      </c>
      <c r="F553" t="inlineStr">
        <is>
          <t>Naturvårdsverket</t>
        </is>
      </c>
      <c r="G553" t="n">
        <v>1.7</v>
      </c>
      <c r="H553" t="n">
        <v>0</v>
      </c>
      <c r="I553" t="n">
        <v>0</v>
      </c>
      <c r="J553" t="n">
        <v>0</v>
      </c>
      <c r="K553" t="n">
        <v>0</v>
      </c>
      <c r="L553" t="n">
        <v>0</v>
      </c>
      <c r="M553" t="n">
        <v>0</v>
      </c>
      <c r="N553" t="n">
        <v>0</v>
      </c>
      <c r="O553" t="n">
        <v>0</v>
      </c>
      <c r="P553" t="n">
        <v>0</v>
      </c>
      <c r="Q553" t="n">
        <v>0</v>
      </c>
      <c r="R553" s="2" t="inlineStr"/>
    </row>
    <row r="554" ht="15" customHeight="1">
      <c r="A554" t="inlineStr">
        <is>
          <t>A 49884-2023</t>
        </is>
      </c>
      <c r="B554" s="1" t="n">
        <v>45213</v>
      </c>
      <c r="C554" s="1" t="n">
        <v>46103</v>
      </c>
      <c r="D554" t="inlineStr">
        <is>
          <t>GOTLANDS LÄN</t>
        </is>
      </c>
      <c r="E554" t="inlineStr">
        <is>
          <t>GOTLAND</t>
        </is>
      </c>
      <c r="G554" t="n">
        <v>8.9</v>
      </c>
      <c r="H554" t="n">
        <v>0</v>
      </c>
      <c r="I554" t="n">
        <v>0</v>
      </c>
      <c r="J554" t="n">
        <v>0</v>
      </c>
      <c r="K554" t="n">
        <v>0</v>
      </c>
      <c r="L554" t="n">
        <v>0</v>
      </c>
      <c r="M554" t="n">
        <v>0</v>
      </c>
      <c r="N554" t="n">
        <v>0</v>
      </c>
      <c r="O554" t="n">
        <v>0</v>
      </c>
      <c r="P554" t="n">
        <v>0</v>
      </c>
      <c r="Q554" t="n">
        <v>0</v>
      </c>
      <c r="R554" s="2" t="inlineStr"/>
    </row>
    <row r="555" ht="15" customHeight="1">
      <c r="A555" t="inlineStr">
        <is>
          <t>A 12846-2025</t>
        </is>
      </c>
      <c r="B555" s="1" t="n">
        <v>45733.65049768519</v>
      </c>
      <c r="C555" s="1" t="n">
        <v>46103</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43200-2023</t>
        </is>
      </c>
      <c r="B556" s="1" t="n">
        <v>45183</v>
      </c>
      <c r="C556" s="1" t="n">
        <v>46103</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3935-2025</t>
        </is>
      </c>
      <c r="B557" s="1" t="n">
        <v>45684.46070601852</v>
      </c>
      <c r="C557" s="1" t="n">
        <v>46103</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21792-2024</t>
        </is>
      </c>
      <c r="B558" s="1" t="n">
        <v>45442.64326388889</v>
      </c>
      <c r="C558" s="1" t="n">
        <v>46103</v>
      </c>
      <c r="D558" t="inlineStr">
        <is>
          <t>GOTLANDS LÄN</t>
        </is>
      </c>
      <c r="E558" t="inlineStr">
        <is>
          <t>GOTLAND</t>
        </is>
      </c>
      <c r="G558" t="n">
        <v>1</v>
      </c>
      <c r="H558" t="n">
        <v>0</v>
      </c>
      <c r="I558" t="n">
        <v>0</v>
      </c>
      <c r="J558" t="n">
        <v>0</v>
      </c>
      <c r="K558" t="n">
        <v>0</v>
      </c>
      <c r="L558" t="n">
        <v>0</v>
      </c>
      <c r="M558" t="n">
        <v>0</v>
      </c>
      <c r="N558" t="n">
        <v>0</v>
      </c>
      <c r="O558" t="n">
        <v>0</v>
      </c>
      <c r="P558" t="n">
        <v>0</v>
      </c>
      <c r="Q558" t="n">
        <v>0</v>
      </c>
      <c r="R558" s="2" t="inlineStr"/>
    </row>
    <row r="559" ht="15" customHeight="1">
      <c r="A559" t="inlineStr">
        <is>
          <t>A 48843-2024</t>
        </is>
      </c>
      <c r="B559" s="1" t="n">
        <v>45593</v>
      </c>
      <c r="C559" s="1" t="n">
        <v>46103</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10653-2023</t>
        </is>
      </c>
      <c r="B560" s="1" t="n">
        <v>44988.48859953704</v>
      </c>
      <c r="C560" s="1" t="n">
        <v>46103</v>
      </c>
      <c r="D560" t="inlineStr">
        <is>
          <t>GOTLANDS LÄN</t>
        </is>
      </c>
      <c r="E560" t="inlineStr">
        <is>
          <t>GOTLAND</t>
        </is>
      </c>
      <c r="F560" t="inlineStr">
        <is>
          <t>Kyrkan</t>
        </is>
      </c>
      <c r="G560" t="n">
        <v>3</v>
      </c>
      <c r="H560" t="n">
        <v>0</v>
      </c>
      <c r="I560" t="n">
        <v>0</v>
      </c>
      <c r="J560" t="n">
        <v>0</v>
      </c>
      <c r="K560" t="n">
        <v>0</v>
      </c>
      <c r="L560" t="n">
        <v>0</v>
      </c>
      <c r="M560" t="n">
        <v>0</v>
      </c>
      <c r="N560" t="n">
        <v>0</v>
      </c>
      <c r="O560" t="n">
        <v>0</v>
      </c>
      <c r="P560" t="n">
        <v>0</v>
      </c>
      <c r="Q560" t="n">
        <v>0</v>
      </c>
      <c r="R560" s="2" t="inlineStr"/>
    </row>
    <row r="561" ht="15" customHeight="1">
      <c r="A561" t="inlineStr">
        <is>
          <t>A 35512-2023</t>
        </is>
      </c>
      <c r="B561" s="1" t="n">
        <v>45147.25623842593</v>
      </c>
      <c r="C561" s="1" t="n">
        <v>46103</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11874-2024</t>
        </is>
      </c>
      <c r="B562" s="1" t="n">
        <v>45376.46956018519</v>
      </c>
      <c r="C562" s="1" t="n">
        <v>46103</v>
      </c>
      <c r="D562" t="inlineStr">
        <is>
          <t>GOTLANDS LÄN</t>
        </is>
      </c>
      <c r="E562" t="inlineStr">
        <is>
          <t>GOTLAND</t>
        </is>
      </c>
      <c r="G562" t="n">
        <v>0.8</v>
      </c>
      <c r="H562" t="n">
        <v>0</v>
      </c>
      <c r="I562" t="n">
        <v>0</v>
      </c>
      <c r="J562" t="n">
        <v>0</v>
      </c>
      <c r="K562" t="n">
        <v>0</v>
      </c>
      <c r="L562" t="n">
        <v>0</v>
      </c>
      <c r="M562" t="n">
        <v>0</v>
      </c>
      <c r="N562" t="n">
        <v>0</v>
      </c>
      <c r="O562" t="n">
        <v>0</v>
      </c>
      <c r="P562" t="n">
        <v>0</v>
      </c>
      <c r="Q562" t="n">
        <v>0</v>
      </c>
      <c r="R562" s="2" t="inlineStr"/>
    </row>
    <row r="563" ht="15" customHeight="1">
      <c r="A563" t="inlineStr">
        <is>
          <t>A 20225-2025</t>
        </is>
      </c>
      <c r="B563" s="1" t="n">
        <v>45772.65802083333</v>
      </c>
      <c r="C563" s="1" t="n">
        <v>46103</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1677-2023</t>
        </is>
      </c>
      <c r="B564" s="1" t="n">
        <v>44938</v>
      </c>
      <c r="C564" s="1" t="n">
        <v>46103</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64831-2023</t>
        </is>
      </c>
      <c r="B565" s="1" t="n">
        <v>45282.44924768519</v>
      </c>
      <c r="C565" s="1" t="n">
        <v>46103</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8036-2022</t>
        </is>
      </c>
      <c r="B566" s="1" t="n">
        <v>44609.44362268518</v>
      </c>
      <c r="C566" s="1" t="n">
        <v>46103</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46375-2024</t>
        </is>
      </c>
      <c r="B567" s="1" t="n">
        <v>45582</v>
      </c>
      <c r="C567" s="1" t="n">
        <v>46103</v>
      </c>
      <c r="D567" t="inlineStr">
        <is>
          <t>GOTLANDS LÄN</t>
        </is>
      </c>
      <c r="E567" t="inlineStr">
        <is>
          <t>GOTLAND</t>
        </is>
      </c>
      <c r="G567" t="n">
        <v>3</v>
      </c>
      <c r="H567" t="n">
        <v>0</v>
      </c>
      <c r="I567" t="n">
        <v>0</v>
      </c>
      <c r="J567" t="n">
        <v>0</v>
      </c>
      <c r="K567" t="n">
        <v>0</v>
      </c>
      <c r="L567" t="n">
        <v>0</v>
      </c>
      <c r="M567" t="n">
        <v>0</v>
      </c>
      <c r="N567" t="n">
        <v>0</v>
      </c>
      <c r="O567" t="n">
        <v>0</v>
      </c>
      <c r="P567" t="n">
        <v>0</v>
      </c>
      <c r="Q567" t="n">
        <v>0</v>
      </c>
      <c r="R567" s="2" t="inlineStr"/>
    </row>
    <row r="568" ht="15" customHeight="1">
      <c r="A568" t="inlineStr">
        <is>
          <t>A 62915-2021</t>
        </is>
      </c>
      <c r="B568" s="1" t="n">
        <v>44504</v>
      </c>
      <c r="C568" s="1" t="n">
        <v>46103</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7638-2025</t>
        </is>
      </c>
      <c r="B569" s="1" t="n">
        <v>45705.77306712963</v>
      </c>
      <c r="C569" s="1" t="n">
        <v>46103</v>
      </c>
      <c r="D569" t="inlineStr">
        <is>
          <t>GOTLANDS LÄN</t>
        </is>
      </c>
      <c r="E569" t="inlineStr">
        <is>
          <t>GOTLAND</t>
        </is>
      </c>
      <c r="G569" t="n">
        <v>2.2</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46103</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43901-2023</t>
        </is>
      </c>
      <c r="B571" s="1" t="n">
        <v>45187</v>
      </c>
      <c r="C571" s="1" t="n">
        <v>46103</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17532-2024</t>
        </is>
      </c>
      <c r="B572" s="1" t="n">
        <v>45415</v>
      </c>
      <c r="C572" s="1" t="n">
        <v>46103</v>
      </c>
      <c r="D572" t="inlineStr">
        <is>
          <t>GOTLANDS LÄN</t>
        </is>
      </c>
      <c r="E572" t="inlineStr">
        <is>
          <t>GOTLAND</t>
        </is>
      </c>
      <c r="G572" t="n">
        <v>4.3</v>
      </c>
      <c r="H572" t="n">
        <v>0</v>
      </c>
      <c r="I572" t="n">
        <v>0</v>
      </c>
      <c r="J572" t="n">
        <v>0</v>
      </c>
      <c r="K572" t="n">
        <v>0</v>
      </c>
      <c r="L572" t="n">
        <v>0</v>
      </c>
      <c r="M572" t="n">
        <v>0</v>
      </c>
      <c r="N572" t="n">
        <v>0</v>
      </c>
      <c r="O572" t="n">
        <v>0</v>
      </c>
      <c r="P572" t="n">
        <v>0</v>
      </c>
      <c r="Q572" t="n">
        <v>0</v>
      </c>
      <c r="R572" s="2" t="inlineStr"/>
    </row>
    <row r="573" ht="15" customHeight="1">
      <c r="A573" t="inlineStr">
        <is>
          <t>A 45692-2023</t>
        </is>
      </c>
      <c r="B573" s="1" t="n">
        <v>45195</v>
      </c>
      <c r="C573" s="1" t="n">
        <v>46103</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37222-2021</t>
        </is>
      </c>
      <c r="B574" s="1" t="n">
        <v>44396</v>
      </c>
      <c r="C574" s="1" t="n">
        <v>46103</v>
      </c>
      <c r="D574" t="inlineStr">
        <is>
          <t>GOTLANDS LÄN</t>
        </is>
      </c>
      <c r="E574" t="inlineStr">
        <is>
          <t>GOTLAND</t>
        </is>
      </c>
      <c r="G574" t="n">
        <v>3</v>
      </c>
      <c r="H574" t="n">
        <v>0</v>
      </c>
      <c r="I574" t="n">
        <v>0</v>
      </c>
      <c r="J574" t="n">
        <v>0</v>
      </c>
      <c r="K574" t="n">
        <v>0</v>
      </c>
      <c r="L574" t="n">
        <v>0</v>
      </c>
      <c r="M574" t="n">
        <v>0</v>
      </c>
      <c r="N574" t="n">
        <v>0</v>
      </c>
      <c r="O574" t="n">
        <v>0</v>
      </c>
      <c r="P574" t="n">
        <v>0</v>
      </c>
      <c r="Q574" t="n">
        <v>0</v>
      </c>
      <c r="R574" s="2" t="inlineStr"/>
    </row>
    <row r="575" ht="15" customHeight="1">
      <c r="A575" t="inlineStr">
        <is>
          <t>A 46396-2023</t>
        </is>
      </c>
      <c r="B575" s="1" t="n">
        <v>45197</v>
      </c>
      <c r="C575" s="1" t="n">
        <v>46103</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58388-2022</t>
        </is>
      </c>
      <c r="B576" s="1" t="n">
        <v>44894</v>
      </c>
      <c r="C576" s="1" t="n">
        <v>46103</v>
      </c>
      <c r="D576" t="inlineStr">
        <is>
          <t>GOTLANDS LÄN</t>
        </is>
      </c>
      <c r="E576" t="inlineStr">
        <is>
          <t>GOTLAND</t>
        </is>
      </c>
      <c r="F576" t="inlineStr">
        <is>
          <t>Övriga statliga verk och myndigheter</t>
        </is>
      </c>
      <c r="G576" t="n">
        <v>3.1</v>
      </c>
      <c r="H576" t="n">
        <v>0</v>
      </c>
      <c r="I576" t="n">
        <v>0</v>
      </c>
      <c r="J576" t="n">
        <v>0</v>
      </c>
      <c r="K576" t="n">
        <v>0</v>
      </c>
      <c r="L576" t="n">
        <v>0</v>
      </c>
      <c r="M576" t="n">
        <v>0</v>
      </c>
      <c r="N576" t="n">
        <v>0</v>
      </c>
      <c r="O576" t="n">
        <v>0</v>
      </c>
      <c r="P576" t="n">
        <v>0</v>
      </c>
      <c r="Q576" t="n">
        <v>0</v>
      </c>
      <c r="R576" s="2" t="inlineStr"/>
    </row>
    <row r="577" ht="15" customHeight="1">
      <c r="A577" t="inlineStr">
        <is>
          <t>A 53934-2024</t>
        </is>
      </c>
      <c r="B577" s="1" t="n">
        <v>45615</v>
      </c>
      <c r="C577" s="1" t="n">
        <v>46103</v>
      </c>
      <c r="D577" t="inlineStr">
        <is>
          <t>GOTLANDS LÄN</t>
        </is>
      </c>
      <c r="E577" t="inlineStr">
        <is>
          <t>GOTLAND</t>
        </is>
      </c>
      <c r="G577" t="n">
        <v>5</v>
      </c>
      <c r="H577" t="n">
        <v>0</v>
      </c>
      <c r="I577" t="n">
        <v>0</v>
      </c>
      <c r="J577" t="n">
        <v>0</v>
      </c>
      <c r="K577" t="n">
        <v>0</v>
      </c>
      <c r="L577" t="n">
        <v>0</v>
      </c>
      <c r="M577" t="n">
        <v>0</v>
      </c>
      <c r="N577" t="n">
        <v>0</v>
      </c>
      <c r="O577" t="n">
        <v>0</v>
      </c>
      <c r="P577" t="n">
        <v>0</v>
      </c>
      <c r="Q577" t="n">
        <v>0</v>
      </c>
      <c r="R577" s="2" t="inlineStr"/>
    </row>
    <row r="578" ht="15" customHeight="1">
      <c r="A578" t="inlineStr">
        <is>
          <t>A 58132-2023</t>
        </is>
      </c>
      <c r="B578" s="1" t="n">
        <v>45250</v>
      </c>
      <c r="C578" s="1" t="n">
        <v>46103</v>
      </c>
      <c r="D578" t="inlineStr">
        <is>
          <t>GOTLANDS LÄN</t>
        </is>
      </c>
      <c r="E578" t="inlineStr">
        <is>
          <t>GOTLAND</t>
        </is>
      </c>
      <c r="G578" t="n">
        <v>3.1</v>
      </c>
      <c r="H578" t="n">
        <v>0</v>
      </c>
      <c r="I578" t="n">
        <v>0</v>
      </c>
      <c r="J578" t="n">
        <v>0</v>
      </c>
      <c r="K578" t="n">
        <v>0</v>
      </c>
      <c r="L578" t="n">
        <v>0</v>
      </c>
      <c r="M578" t="n">
        <v>0</v>
      </c>
      <c r="N578" t="n">
        <v>0</v>
      </c>
      <c r="O578" t="n">
        <v>0</v>
      </c>
      <c r="P578" t="n">
        <v>0</v>
      </c>
      <c r="Q578" t="n">
        <v>0</v>
      </c>
      <c r="R578" s="2" t="inlineStr"/>
    </row>
    <row r="579" ht="15" customHeight="1">
      <c r="A579" t="inlineStr">
        <is>
          <t>A 22899-2023</t>
        </is>
      </c>
      <c r="B579" s="1" t="n">
        <v>45072</v>
      </c>
      <c r="C579" s="1" t="n">
        <v>46103</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28285-2024</t>
        </is>
      </c>
      <c r="B580" s="1" t="n">
        <v>45477</v>
      </c>
      <c r="C580" s="1" t="n">
        <v>46103</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51963-2024</t>
        </is>
      </c>
      <c r="B581" s="1" t="n">
        <v>45607.64833333333</v>
      </c>
      <c r="C581" s="1" t="n">
        <v>46103</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1734-2025</t>
        </is>
      </c>
      <c r="B582" s="1" t="n">
        <v>45671.3840625</v>
      </c>
      <c r="C582" s="1" t="n">
        <v>46103</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30365-2024</t>
        </is>
      </c>
      <c r="B583" s="1" t="n">
        <v>45491.3716087963</v>
      </c>
      <c r="C583" s="1" t="n">
        <v>46103</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46103</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61100-2022</t>
        </is>
      </c>
      <c r="B585" s="1" t="n">
        <v>44915</v>
      </c>
      <c r="C585" s="1" t="n">
        <v>46103</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581-2023</t>
        </is>
      </c>
      <c r="B586" s="1" t="n">
        <v>44930</v>
      </c>
      <c r="C586" s="1" t="n">
        <v>46103</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10655-2023</t>
        </is>
      </c>
      <c r="B587" s="1" t="n">
        <v>44988.49543981482</v>
      </c>
      <c r="C587" s="1" t="n">
        <v>46103</v>
      </c>
      <c r="D587" t="inlineStr">
        <is>
          <t>GOTLANDS LÄN</t>
        </is>
      </c>
      <c r="E587" t="inlineStr">
        <is>
          <t>GOTLAND</t>
        </is>
      </c>
      <c r="F587" t="inlineStr">
        <is>
          <t>Kyrkan</t>
        </is>
      </c>
      <c r="G587" t="n">
        <v>2</v>
      </c>
      <c r="H587" t="n">
        <v>0</v>
      </c>
      <c r="I587" t="n">
        <v>0</v>
      </c>
      <c r="J587" t="n">
        <v>0</v>
      </c>
      <c r="K587" t="n">
        <v>0</v>
      </c>
      <c r="L587" t="n">
        <v>0</v>
      </c>
      <c r="M587" t="n">
        <v>0</v>
      </c>
      <c r="N587" t="n">
        <v>0</v>
      </c>
      <c r="O587" t="n">
        <v>0</v>
      </c>
      <c r="P587" t="n">
        <v>0</v>
      </c>
      <c r="Q587" t="n">
        <v>0</v>
      </c>
      <c r="R587" s="2" t="inlineStr"/>
    </row>
    <row r="588" ht="15" customHeight="1">
      <c r="A588" t="inlineStr">
        <is>
          <t>A 44649-2021</t>
        </is>
      </c>
      <c r="B588" s="1" t="n">
        <v>44437</v>
      </c>
      <c r="C588" s="1" t="n">
        <v>46103</v>
      </c>
      <c r="D588" t="inlineStr">
        <is>
          <t>GOTLANDS LÄN</t>
        </is>
      </c>
      <c r="E588" t="inlineStr">
        <is>
          <t>GOTLAND</t>
        </is>
      </c>
      <c r="G588" t="n">
        <v>8.1</v>
      </c>
      <c r="H588" t="n">
        <v>0</v>
      </c>
      <c r="I588" t="n">
        <v>0</v>
      </c>
      <c r="J588" t="n">
        <v>0</v>
      </c>
      <c r="K588" t="n">
        <v>0</v>
      </c>
      <c r="L588" t="n">
        <v>0</v>
      </c>
      <c r="M588" t="n">
        <v>0</v>
      </c>
      <c r="N588" t="n">
        <v>0</v>
      </c>
      <c r="O588" t="n">
        <v>0</v>
      </c>
      <c r="P588" t="n">
        <v>0</v>
      </c>
      <c r="Q588" t="n">
        <v>0</v>
      </c>
      <c r="R588" s="2" t="inlineStr"/>
    </row>
    <row r="589" ht="15" customHeight="1">
      <c r="A589" t="inlineStr">
        <is>
          <t>A 8484-2025</t>
        </is>
      </c>
      <c r="B589" s="1" t="n">
        <v>45709</v>
      </c>
      <c r="C589" s="1" t="n">
        <v>46103</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49962-2023</t>
        </is>
      </c>
      <c r="B590" s="1" t="n">
        <v>45215.38775462963</v>
      </c>
      <c r="C590" s="1" t="n">
        <v>46103</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50744-2024</t>
        </is>
      </c>
      <c r="B591" s="1" t="n">
        <v>45602.4187037037</v>
      </c>
      <c r="C591" s="1" t="n">
        <v>46103</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45244-2024</t>
        </is>
      </c>
      <c r="B592" s="1" t="n">
        <v>45576</v>
      </c>
      <c r="C592" s="1" t="n">
        <v>46103</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38787-2023</t>
        </is>
      </c>
      <c r="B593" s="1" t="n">
        <v>45163</v>
      </c>
      <c r="C593" s="1" t="n">
        <v>46103</v>
      </c>
      <c r="D593" t="inlineStr">
        <is>
          <t>GOTLANDS LÄN</t>
        </is>
      </c>
      <c r="E593" t="inlineStr">
        <is>
          <t>GOTLAND</t>
        </is>
      </c>
      <c r="G593" t="n">
        <v>0.4</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44944.54896990741</v>
      </c>
      <c r="C594" s="1" t="n">
        <v>46103</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22897-2023</t>
        </is>
      </c>
      <c r="B595" s="1" t="n">
        <v>45072.55239583334</v>
      </c>
      <c r="C595" s="1" t="n">
        <v>46103</v>
      </c>
      <c r="D595" t="inlineStr">
        <is>
          <t>GOTLANDS LÄN</t>
        </is>
      </c>
      <c r="E595" t="inlineStr">
        <is>
          <t>GOTLAND</t>
        </is>
      </c>
      <c r="G595" t="n">
        <v>1.1</v>
      </c>
      <c r="H595" t="n">
        <v>0</v>
      </c>
      <c r="I595" t="n">
        <v>0</v>
      </c>
      <c r="J595" t="n">
        <v>0</v>
      </c>
      <c r="K595" t="n">
        <v>0</v>
      </c>
      <c r="L595" t="n">
        <v>0</v>
      </c>
      <c r="M595" t="n">
        <v>0</v>
      </c>
      <c r="N595" t="n">
        <v>0</v>
      </c>
      <c r="O595" t="n">
        <v>0</v>
      </c>
      <c r="P595" t="n">
        <v>0</v>
      </c>
      <c r="Q595" t="n">
        <v>0</v>
      </c>
      <c r="R595" s="2" t="inlineStr"/>
    </row>
    <row r="596" ht="15" customHeight="1">
      <c r="A596" t="inlineStr">
        <is>
          <t>A 4568-2025</t>
        </is>
      </c>
      <c r="B596" s="1" t="n">
        <v>45687</v>
      </c>
      <c r="C596" s="1" t="n">
        <v>46103</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1681-2023</t>
        </is>
      </c>
      <c r="B597" s="1" t="n">
        <v>44938.39715277778</v>
      </c>
      <c r="C597" s="1" t="n">
        <v>46103</v>
      </c>
      <c r="D597" t="inlineStr">
        <is>
          <t>GOTLANDS LÄN</t>
        </is>
      </c>
      <c r="E597" t="inlineStr">
        <is>
          <t>GOTLAND</t>
        </is>
      </c>
      <c r="G597" t="n">
        <v>2.4</v>
      </c>
      <c r="H597" t="n">
        <v>0</v>
      </c>
      <c r="I597" t="n">
        <v>0</v>
      </c>
      <c r="J597" t="n">
        <v>0</v>
      </c>
      <c r="K597" t="n">
        <v>0</v>
      </c>
      <c r="L597" t="n">
        <v>0</v>
      </c>
      <c r="M597" t="n">
        <v>0</v>
      </c>
      <c r="N597" t="n">
        <v>0</v>
      </c>
      <c r="O597" t="n">
        <v>0</v>
      </c>
      <c r="P597" t="n">
        <v>0</v>
      </c>
      <c r="Q597" t="n">
        <v>0</v>
      </c>
      <c r="R597" s="2" t="inlineStr"/>
    </row>
    <row r="598" ht="15" customHeight="1">
      <c r="A598" t="inlineStr">
        <is>
          <t>A 42338-2023</t>
        </is>
      </c>
      <c r="B598" s="1" t="n">
        <v>45180</v>
      </c>
      <c r="C598" s="1" t="n">
        <v>46103</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18918-2025</t>
        </is>
      </c>
      <c r="B599" s="1" t="n">
        <v>45764</v>
      </c>
      <c r="C599" s="1" t="n">
        <v>46103</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11013-2024</t>
        </is>
      </c>
      <c r="B600" s="1" t="n">
        <v>45370</v>
      </c>
      <c r="C600" s="1" t="n">
        <v>46103</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45084-2024</t>
        </is>
      </c>
      <c r="B601" s="1" t="n">
        <v>45575</v>
      </c>
      <c r="C601" s="1" t="n">
        <v>46103</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row r="602" ht="15" customHeight="1">
      <c r="A602" t="inlineStr">
        <is>
          <t>A 20356-2022</t>
        </is>
      </c>
      <c r="B602" s="1" t="n">
        <v>44699</v>
      </c>
      <c r="C602" s="1" t="n">
        <v>46103</v>
      </c>
      <c r="D602" t="inlineStr">
        <is>
          <t>GOTLANDS LÄN</t>
        </is>
      </c>
      <c r="E602" t="inlineStr">
        <is>
          <t>GOTLAND</t>
        </is>
      </c>
      <c r="F602" t="inlineStr">
        <is>
          <t>Övriga Aktiebolag</t>
        </is>
      </c>
      <c r="G602" t="n">
        <v>4.4</v>
      </c>
      <c r="H602" t="n">
        <v>0</v>
      </c>
      <c r="I602" t="n">
        <v>0</v>
      </c>
      <c r="J602" t="n">
        <v>0</v>
      </c>
      <c r="K602" t="n">
        <v>0</v>
      </c>
      <c r="L602" t="n">
        <v>0</v>
      </c>
      <c r="M602" t="n">
        <v>0</v>
      </c>
      <c r="N602" t="n">
        <v>0</v>
      </c>
      <c r="O602" t="n">
        <v>0</v>
      </c>
      <c r="P602" t="n">
        <v>0</v>
      </c>
      <c r="Q602" t="n">
        <v>0</v>
      </c>
      <c r="R602" s="2" t="inlineStr"/>
    </row>
    <row r="603" ht="15" customHeight="1">
      <c r="A603" t="inlineStr">
        <is>
          <t>A 4868-2024</t>
        </is>
      </c>
      <c r="B603" s="1" t="n">
        <v>45329</v>
      </c>
      <c r="C603" s="1" t="n">
        <v>46103</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9613-2025</t>
        </is>
      </c>
      <c r="B604" s="1" t="n">
        <v>45715</v>
      </c>
      <c r="C604" s="1" t="n">
        <v>46103</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5386-2023</t>
        </is>
      </c>
      <c r="B605" s="1" t="n">
        <v>44959</v>
      </c>
      <c r="C605" s="1" t="n">
        <v>46103</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58211-2024</t>
        </is>
      </c>
      <c r="B606" s="1" t="n">
        <v>45632.49292824074</v>
      </c>
      <c r="C606" s="1" t="n">
        <v>46103</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11634-2024</t>
        </is>
      </c>
      <c r="B607" s="1" t="n">
        <v>45373</v>
      </c>
      <c r="C607" s="1" t="n">
        <v>46103</v>
      </c>
      <c r="D607" t="inlineStr">
        <is>
          <t>GOTLANDS LÄN</t>
        </is>
      </c>
      <c r="E607" t="inlineStr">
        <is>
          <t>GOTLAND</t>
        </is>
      </c>
      <c r="G607" t="n">
        <v>3</v>
      </c>
      <c r="H607" t="n">
        <v>0</v>
      </c>
      <c r="I607" t="n">
        <v>0</v>
      </c>
      <c r="J607" t="n">
        <v>0</v>
      </c>
      <c r="K607" t="n">
        <v>0</v>
      </c>
      <c r="L607" t="n">
        <v>0</v>
      </c>
      <c r="M607" t="n">
        <v>0</v>
      </c>
      <c r="N607" t="n">
        <v>0</v>
      </c>
      <c r="O607" t="n">
        <v>0</v>
      </c>
      <c r="P607" t="n">
        <v>0</v>
      </c>
      <c r="Q607" t="n">
        <v>0</v>
      </c>
      <c r="R607" s="2" t="inlineStr"/>
    </row>
    <row r="608" ht="15" customHeight="1">
      <c r="A608" t="inlineStr">
        <is>
          <t>A 5884-2025</t>
        </is>
      </c>
      <c r="B608" s="1" t="n">
        <v>45695.37482638889</v>
      </c>
      <c r="C608" s="1" t="n">
        <v>46103</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5897-2025</t>
        </is>
      </c>
      <c r="B609" s="1" t="n">
        <v>45695.39273148148</v>
      </c>
      <c r="C609" s="1" t="n">
        <v>46103</v>
      </c>
      <c r="D609" t="inlineStr">
        <is>
          <t>GOTLANDS LÄN</t>
        </is>
      </c>
      <c r="E609" t="inlineStr">
        <is>
          <t>GOTLAND</t>
        </is>
      </c>
      <c r="G609" t="n">
        <v>3.7</v>
      </c>
      <c r="H609" t="n">
        <v>0</v>
      </c>
      <c r="I609" t="n">
        <v>0</v>
      </c>
      <c r="J609" t="n">
        <v>0</v>
      </c>
      <c r="K609" t="n">
        <v>0</v>
      </c>
      <c r="L609" t="n">
        <v>0</v>
      </c>
      <c r="M609" t="n">
        <v>0</v>
      </c>
      <c r="N609" t="n">
        <v>0</v>
      </c>
      <c r="O609" t="n">
        <v>0</v>
      </c>
      <c r="P609" t="n">
        <v>0</v>
      </c>
      <c r="Q609" t="n">
        <v>0</v>
      </c>
      <c r="R609" s="2" t="inlineStr"/>
    </row>
    <row r="610" ht="15" customHeight="1">
      <c r="A610" t="inlineStr">
        <is>
          <t>A 5909-2025</t>
        </is>
      </c>
      <c r="B610" s="1" t="n">
        <v>45695.40634259259</v>
      </c>
      <c r="C610" s="1" t="n">
        <v>46103</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60086-2022</t>
        </is>
      </c>
      <c r="B611" s="1" t="n">
        <v>44909</v>
      </c>
      <c r="C611" s="1" t="n">
        <v>46103</v>
      </c>
      <c r="D611" t="inlineStr">
        <is>
          <t>GOTLANDS LÄN</t>
        </is>
      </c>
      <c r="E611" t="inlineStr">
        <is>
          <t>GOTLAND</t>
        </is>
      </c>
      <c r="G611" t="n">
        <v>2.1</v>
      </c>
      <c r="H611" t="n">
        <v>0</v>
      </c>
      <c r="I611" t="n">
        <v>0</v>
      </c>
      <c r="J611" t="n">
        <v>0</v>
      </c>
      <c r="K611" t="n">
        <v>0</v>
      </c>
      <c r="L611" t="n">
        <v>0</v>
      </c>
      <c r="M611" t="n">
        <v>0</v>
      </c>
      <c r="N611" t="n">
        <v>0</v>
      </c>
      <c r="O611" t="n">
        <v>0</v>
      </c>
      <c r="P611" t="n">
        <v>0</v>
      </c>
      <c r="Q611" t="n">
        <v>0</v>
      </c>
      <c r="R611" s="2" t="inlineStr"/>
    </row>
    <row r="612" ht="15" customHeight="1">
      <c r="A612" t="inlineStr">
        <is>
          <t>A 22704-2023</t>
        </is>
      </c>
      <c r="B612" s="1" t="n">
        <v>45071</v>
      </c>
      <c r="C612" s="1" t="n">
        <v>46103</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25866-2022</t>
        </is>
      </c>
      <c r="B613" s="1" t="n">
        <v>44733</v>
      </c>
      <c r="C613" s="1" t="n">
        <v>46103</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9887-2025</t>
        </is>
      </c>
      <c r="B614" s="1" t="n">
        <v>45716</v>
      </c>
      <c r="C614" s="1" t="n">
        <v>46103</v>
      </c>
      <c r="D614" t="inlineStr">
        <is>
          <t>GOTLANDS LÄN</t>
        </is>
      </c>
      <c r="E614" t="inlineStr">
        <is>
          <t>GOTLAND</t>
        </is>
      </c>
      <c r="G614" t="n">
        <v>7.5</v>
      </c>
      <c r="H614" t="n">
        <v>0</v>
      </c>
      <c r="I614" t="n">
        <v>0</v>
      </c>
      <c r="J614" t="n">
        <v>0</v>
      </c>
      <c r="K614" t="n">
        <v>0</v>
      </c>
      <c r="L614" t="n">
        <v>0</v>
      </c>
      <c r="M614" t="n">
        <v>0</v>
      </c>
      <c r="N614" t="n">
        <v>0</v>
      </c>
      <c r="O614" t="n">
        <v>0</v>
      </c>
      <c r="P614" t="n">
        <v>0</v>
      </c>
      <c r="Q614" t="n">
        <v>0</v>
      </c>
      <c r="R614" s="2" t="inlineStr"/>
    </row>
    <row r="615" ht="15" customHeight="1">
      <c r="A615" t="inlineStr">
        <is>
          <t>A 12209-2024</t>
        </is>
      </c>
      <c r="B615" s="1" t="n">
        <v>45378</v>
      </c>
      <c r="C615" s="1" t="n">
        <v>46103</v>
      </c>
      <c r="D615" t="inlineStr">
        <is>
          <t>GOTLANDS LÄN</t>
        </is>
      </c>
      <c r="E615" t="inlineStr">
        <is>
          <t>GOTLAND</t>
        </is>
      </c>
      <c r="G615" t="n">
        <v>5.3</v>
      </c>
      <c r="H615" t="n">
        <v>0</v>
      </c>
      <c r="I615" t="n">
        <v>0</v>
      </c>
      <c r="J615" t="n">
        <v>0</v>
      </c>
      <c r="K615" t="n">
        <v>0</v>
      </c>
      <c r="L615" t="n">
        <v>0</v>
      </c>
      <c r="M615" t="n">
        <v>0</v>
      </c>
      <c r="N615" t="n">
        <v>0</v>
      </c>
      <c r="O615" t="n">
        <v>0</v>
      </c>
      <c r="P615" t="n">
        <v>0</v>
      </c>
      <c r="Q615" t="n">
        <v>0</v>
      </c>
      <c r="R615" s="2" t="inlineStr"/>
    </row>
    <row r="616" ht="15" customHeight="1">
      <c r="A616" t="inlineStr">
        <is>
          <t>A 12210-2024</t>
        </is>
      </c>
      <c r="B616" s="1" t="n">
        <v>45378</v>
      </c>
      <c r="C616" s="1" t="n">
        <v>46103</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59986-2022</t>
        </is>
      </c>
      <c r="B617" s="1" t="n">
        <v>44909</v>
      </c>
      <c r="C617" s="1" t="n">
        <v>46103</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31802-2024</t>
        </is>
      </c>
      <c r="B618" s="1" t="n">
        <v>45509</v>
      </c>
      <c r="C618" s="1" t="n">
        <v>46103</v>
      </c>
      <c r="D618" t="inlineStr">
        <is>
          <t>GOTLANDS LÄN</t>
        </is>
      </c>
      <c r="E618" t="inlineStr">
        <is>
          <t>GOTLAND</t>
        </is>
      </c>
      <c r="G618" t="n">
        <v>2.8</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46103</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15042-2025</t>
        </is>
      </c>
      <c r="B620" s="1" t="n">
        <v>45743</v>
      </c>
      <c r="C620" s="1" t="n">
        <v>46103</v>
      </c>
      <c r="D620" t="inlineStr">
        <is>
          <t>GOTLANDS LÄN</t>
        </is>
      </c>
      <c r="E620" t="inlineStr">
        <is>
          <t>GOTLAND</t>
        </is>
      </c>
      <c r="G620" t="n">
        <v>8.5</v>
      </c>
      <c r="H620" t="n">
        <v>0</v>
      </c>
      <c r="I620" t="n">
        <v>0</v>
      </c>
      <c r="J620" t="n">
        <v>0</v>
      </c>
      <c r="K620" t="n">
        <v>0</v>
      </c>
      <c r="L620" t="n">
        <v>0</v>
      </c>
      <c r="M620" t="n">
        <v>0</v>
      </c>
      <c r="N620" t="n">
        <v>0</v>
      </c>
      <c r="O620" t="n">
        <v>0</v>
      </c>
      <c r="P620" t="n">
        <v>0</v>
      </c>
      <c r="Q620" t="n">
        <v>0</v>
      </c>
      <c r="R620" s="2" t="inlineStr"/>
    </row>
    <row r="621" ht="15" customHeight="1">
      <c r="A621" t="inlineStr">
        <is>
          <t>A 12327-2025</t>
        </is>
      </c>
      <c r="B621" s="1" t="n">
        <v>45730</v>
      </c>
      <c r="C621" s="1" t="n">
        <v>46103</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4420-2025</t>
        </is>
      </c>
      <c r="B622" s="1" t="n">
        <v>45686.47157407407</v>
      </c>
      <c r="C622" s="1" t="n">
        <v>46103</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14427-2024</t>
        </is>
      </c>
      <c r="B623" s="1" t="n">
        <v>45394</v>
      </c>
      <c r="C623" s="1" t="n">
        <v>46103</v>
      </c>
      <c r="D623" t="inlineStr">
        <is>
          <t>GOTLANDS LÄN</t>
        </is>
      </c>
      <c r="E623" t="inlineStr">
        <is>
          <t>GOTLAND</t>
        </is>
      </c>
      <c r="G623" t="n">
        <v>1.3</v>
      </c>
      <c r="H623" t="n">
        <v>0</v>
      </c>
      <c r="I623" t="n">
        <v>0</v>
      </c>
      <c r="J623" t="n">
        <v>0</v>
      </c>
      <c r="K623" t="n">
        <v>0</v>
      </c>
      <c r="L623" t="n">
        <v>0</v>
      </c>
      <c r="M623" t="n">
        <v>0</v>
      </c>
      <c r="N623" t="n">
        <v>0</v>
      </c>
      <c r="O623" t="n">
        <v>0</v>
      </c>
      <c r="P623" t="n">
        <v>0</v>
      </c>
      <c r="Q623" t="n">
        <v>0</v>
      </c>
      <c r="R623" s="2" t="inlineStr"/>
    </row>
    <row r="624" ht="15" customHeight="1">
      <c r="A624" t="inlineStr">
        <is>
          <t>A 49257-2024</t>
        </is>
      </c>
      <c r="B624" s="1" t="n">
        <v>45595.47627314815</v>
      </c>
      <c r="C624" s="1" t="n">
        <v>46103</v>
      </c>
      <c r="D624" t="inlineStr">
        <is>
          <t>GOTLANDS LÄN</t>
        </is>
      </c>
      <c r="E624" t="inlineStr">
        <is>
          <t>GOTLAND</t>
        </is>
      </c>
      <c r="G624" t="n">
        <v>6.3</v>
      </c>
      <c r="H624" t="n">
        <v>0</v>
      </c>
      <c r="I624" t="n">
        <v>0</v>
      </c>
      <c r="J624" t="n">
        <v>0</v>
      </c>
      <c r="K624" t="n">
        <v>0</v>
      </c>
      <c r="L624" t="n">
        <v>0</v>
      </c>
      <c r="M624" t="n">
        <v>0</v>
      </c>
      <c r="N624" t="n">
        <v>0</v>
      </c>
      <c r="O624" t="n">
        <v>0</v>
      </c>
      <c r="P624" t="n">
        <v>0</v>
      </c>
      <c r="Q624" t="n">
        <v>0</v>
      </c>
      <c r="R624" s="2" t="inlineStr"/>
    </row>
    <row r="625" ht="15" customHeight="1">
      <c r="A625" t="inlineStr">
        <is>
          <t>A 49315-2024</t>
        </is>
      </c>
      <c r="B625" s="1" t="n">
        <v>45595</v>
      </c>
      <c r="C625" s="1" t="n">
        <v>46103</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27596-2023</t>
        </is>
      </c>
      <c r="B626" s="1" t="n">
        <v>45097</v>
      </c>
      <c r="C626" s="1" t="n">
        <v>46103</v>
      </c>
      <c r="D626" t="inlineStr">
        <is>
          <t>GOTLANDS LÄN</t>
        </is>
      </c>
      <c r="E626" t="inlineStr">
        <is>
          <t>GOTLAND</t>
        </is>
      </c>
      <c r="G626" t="n">
        <v>3.6</v>
      </c>
      <c r="H626" t="n">
        <v>0</v>
      </c>
      <c r="I626" t="n">
        <v>0</v>
      </c>
      <c r="J626" t="n">
        <v>0</v>
      </c>
      <c r="K626" t="n">
        <v>0</v>
      </c>
      <c r="L626" t="n">
        <v>0</v>
      </c>
      <c r="M626" t="n">
        <v>0</v>
      </c>
      <c r="N626" t="n">
        <v>0</v>
      </c>
      <c r="O626" t="n">
        <v>0</v>
      </c>
      <c r="P626" t="n">
        <v>0</v>
      </c>
      <c r="Q626" t="n">
        <v>0</v>
      </c>
      <c r="R626" s="2" t="inlineStr"/>
    </row>
    <row r="627" ht="15" customHeight="1">
      <c r="A627" t="inlineStr">
        <is>
          <t>A 56115-2023</t>
        </is>
      </c>
      <c r="B627" s="1" t="n">
        <v>45236</v>
      </c>
      <c r="C627" s="1" t="n">
        <v>46103</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64969-2023</t>
        </is>
      </c>
      <c r="B628" s="1" t="n">
        <v>45284.54009259259</v>
      </c>
      <c r="C628" s="1" t="n">
        <v>46103</v>
      </c>
      <c r="D628" t="inlineStr">
        <is>
          <t>GOTLANDS LÄN</t>
        </is>
      </c>
      <c r="E628" t="inlineStr">
        <is>
          <t>GOTLAND</t>
        </is>
      </c>
      <c r="G628" t="n">
        <v>1.2</v>
      </c>
      <c r="H628" t="n">
        <v>0</v>
      </c>
      <c r="I628" t="n">
        <v>0</v>
      </c>
      <c r="J628" t="n">
        <v>0</v>
      </c>
      <c r="K628" t="n">
        <v>0</v>
      </c>
      <c r="L628" t="n">
        <v>0</v>
      </c>
      <c r="M628" t="n">
        <v>0</v>
      </c>
      <c r="N628" t="n">
        <v>0</v>
      </c>
      <c r="O628" t="n">
        <v>0</v>
      </c>
      <c r="P628" t="n">
        <v>0</v>
      </c>
      <c r="Q628" t="n">
        <v>0</v>
      </c>
      <c r="R628" s="2" t="inlineStr"/>
    </row>
    <row r="629" ht="15" customHeight="1">
      <c r="A629" t="inlineStr">
        <is>
          <t>A 33853-2024</t>
        </is>
      </c>
      <c r="B629" s="1" t="n">
        <v>45520.64298611111</v>
      </c>
      <c r="C629" s="1" t="n">
        <v>46103</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18223-2025</t>
        </is>
      </c>
      <c r="B630" s="1" t="n">
        <v>45761</v>
      </c>
      <c r="C630" s="1" t="n">
        <v>46103</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46949-2024</t>
        </is>
      </c>
      <c r="B631" s="1" t="n">
        <v>45585</v>
      </c>
      <c r="C631" s="1" t="n">
        <v>46103</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24001-2021</t>
        </is>
      </c>
      <c r="B632" s="1" t="n">
        <v>44335</v>
      </c>
      <c r="C632" s="1" t="n">
        <v>46103</v>
      </c>
      <c r="D632" t="inlineStr">
        <is>
          <t>GOTLANDS LÄN</t>
        </is>
      </c>
      <c r="E632" t="inlineStr">
        <is>
          <t>GOTLAND</t>
        </is>
      </c>
      <c r="G632" t="n">
        <v>3.4</v>
      </c>
      <c r="H632" t="n">
        <v>0</v>
      </c>
      <c r="I632" t="n">
        <v>0</v>
      </c>
      <c r="J632" t="n">
        <v>0</v>
      </c>
      <c r="K632" t="n">
        <v>0</v>
      </c>
      <c r="L632" t="n">
        <v>0</v>
      </c>
      <c r="M632" t="n">
        <v>0</v>
      </c>
      <c r="N632" t="n">
        <v>0</v>
      </c>
      <c r="O632" t="n">
        <v>0</v>
      </c>
      <c r="P632" t="n">
        <v>0</v>
      </c>
      <c r="Q632" t="n">
        <v>0</v>
      </c>
      <c r="R632" s="2" t="inlineStr"/>
    </row>
    <row r="633" ht="15" customHeight="1">
      <c r="A633" t="inlineStr">
        <is>
          <t>A 39479-2022</t>
        </is>
      </c>
      <c r="B633" s="1" t="n">
        <v>44818</v>
      </c>
      <c r="C633" s="1" t="n">
        <v>46103</v>
      </c>
      <c r="D633" t="inlineStr">
        <is>
          <t>GOTLANDS LÄN</t>
        </is>
      </c>
      <c r="E633" t="inlineStr">
        <is>
          <t>GOTLAND</t>
        </is>
      </c>
      <c r="G633" t="n">
        <v>1.1</v>
      </c>
      <c r="H633" t="n">
        <v>0</v>
      </c>
      <c r="I633" t="n">
        <v>0</v>
      </c>
      <c r="J633" t="n">
        <v>0</v>
      </c>
      <c r="K633" t="n">
        <v>0</v>
      </c>
      <c r="L633" t="n">
        <v>0</v>
      </c>
      <c r="M633" t="n">
        <v>0</v>
      </c>
      <c r="N633" t="n">
        <v>0</v>
      </c>
      <c r="O633" t="n">
        <v>0</v>
      </c>
      <c r="P633" t="n">
        <v>0</v>
      </c>
      <c r="Q633" t="n">
        <v>0</v>
      </c>
      <c r="R633" s="2" t="inlineStr"/>
    </row>
    <row r="634" ht="15" customHeight="1">
      <c r="A634" t="inlineStr">
        <is>
          <t>A 39496-2022</t>
        </is>
      </c>
      <c r="B634" s="1" t="n">
        <v>44818</v>
      </c>
      <c r="C634" s="1" t="n">
        <v>46103</v>
      </c>
      <c r="D634" t="inlineStr">
        <is>
          <t>GOTLANDS LÄN</t>
        </is>
      </c>
      <c r="E634" t="inlineStr">
        <is>
          <t>GOTLAND</t>
        </is>
      </c>
      <c r="G634" t="n">
        <v>2.4</v>
      </c>
      <c r="H634" t="n">
        <v>0</v>
      </c>
      <c r="I634" t="n">
        <v>0</v>
      </c>
      <c r="J634" t="n">
        <v>0</v>
      </c>
      <c r="K634" t="n">
        <v>0</v>
      </c>
      <c r="L634" t="n">
        <v>0</v>
      </c>
      <c r="M634" t="n">
        <v>0</v>
      </c>
      <c r="N634" t="n">
        <v>0</v>
      </c>
      <c r="O634" t="n">
        <v>0</v>
      </c>
      <c r="P634" t="n">
        <v>0</v>
      </c>
      <c r="Q634" t="n">
        <v>0</v>
      </c>
      <c r="R634" s="2" t="inlineStr"/>
    </row>
    <row r="635" ht="15" customHeight="1">
      <c r="A635" t="inlineStr">
        <is>
          <t>A 46389-2021</t>
        </is>
      </c>
      <c r="B635" s="1" t="n">
        <v>44443</v>
      </c>
      <c r="C635" s="1" t="n">
        <v>46103</v>
      </c>
      <c r="D635" t="inlineStr">
        <is>
          <t>GOTLANDS LÄN</t>
        </is>
      </c>
      <c r="E635" t="inlineStr">
        <is>
          <t>GOTLAND</t>
        </is>
      </c>
      <c r="F635" t="inlineStr">
        <is>
          <t>Kyrkan</t>
        </is>
      </c>
      <c r="G635" t="n">
        <v>2.1</v>
      </c>
      <c r="H635" t="n">
        <v>0</v>
      </c>
      <c r="I635" t="n">
        <v>0</v>
      </c>
      <c r="J635" t="n">
        <v>0</v>
      </c>
      <c r="K635" t="n">
        <v>0</v>
      </c>
      <c r="L635" t="n">
        <v>0</v>
      </c>
      <c r="M635" t="n">
        <v>0</v>
      </c>
      <c r="N635" t="n">
        <v>0</v>
      </c>
      <c r="O635" t="n">
        <v>0</v>
      </c>
      <c r="P635" t="n">
        <v>0</v>
      </c>
      <c r="Q635" t="n">
        <v>0</v>
      </c>
      <c r="R635" s="2" t="inlineStr"/>
    </row>
    <row r="636" ht="15" customHeight="1">
      <c r="A636" t="inlineStr">
        <is>
          <t>A 44949-2023</t>
        </is>
      </c>
      <c r="B636" s="1" t="n">
        <v>45190.69520833333</v>
      </c>
      <c r="C636" s="1" t="n">
        <v>46103</v>
      </c>
      <c r="D636" t="inlineStr">
        <is>
          <t>GOTLANDS LÄN</t>
        </is>
      </c>
      <c r="E636" t="inlineStr">
        <is>
          <t>GOTLAND</t>
        </is>
      </c>
      <c r="G636" t="n">
        <v>1.4</v>
      </c>
      <c r="H636" t="n">
        <v>0</v>
      </c>
      <c r="I636" t="n">
        <v>0</v>
      </c>
      <c r="J636" t="n">
        <v>0</v>
      </c>
      <c r="K636" t="n">
        <v>0</v>
      </c>
      <c r="L636" t="n">
        <v>0</v>
      </c>
      <c r="M636" t="n">
        <v>0</v>
      </c>
      <c r="N636" t="n">
        <v>0</v>
      </c>
      <c r="O636" t="n">
        <v>0</v>
      </c>
      <c r="P636" t="n">
        <v>0</v>
      </c>
      <c r="Q636" t="n">
        <v>0</v>
      </c>
      <c r="R636" s="2" t="inlineStr"/>
    </row>
    <row r="637" ht="15" customHeight="1">
      <c r="A637" t="inlineStr">
        <is>
          <t>A 17682-2024</t>
        </is>
      </c>
      <c r="B637" s="1" t="n">
        <v>45418.42966435185</v>
      </c>
      <c r="C637" s="1" t="n">
        <v>46103</v>
      </c>
      <c r="D637" t="inlineStr">
        <is>
          <t>GOTLANDS LÄN</t>
        </is>
      </c>
      <c r="E637" t="inlineStr">
        <is>
          <t>GOTLAND</t>
        </is>
      </c>
      <c r="G637" t="n">
        <v>2.9</v>
      </c>
      <c r="H637" t="n">
        <v>0</v>
      </c>
      <c r="I637" t="n">
        <v>0</v>
      </c>
      <c r="J637" t="n">
        <v>0</v>
      </c>
      <c r="K637" t="n">
        <v>0</v>
      </c>
      <c r="L637" t="n">
        <v>0</v>
      </c>
      <c r="M637" t="n">
        <v>0</v>
      </c>
      <c r="N637" t="n">
        <v>0</v>
      </c>
      <c r="O637" t="n">
        <v>0</v>
      </c>
      <c r="P637" t="n">
        <v>0</v>
      </c>
      <c r="Q637" t="n">
        <v>0</v>
      </c>
      <c r="R637" s="2" t="inlineStr"/>
    </row>
    <row r="638" ht="15" customHeight="1">
      <c r="A638" t="inlineStr">
        <is>
          <t>A 61897-2024</t>
        </is>
      </c>
      <c r="B638" s="1" t="n">
        <v>45652.75685185185</v>
      </c>
      <c r="C638" s="1" t="n">
        <v>46103</v>
      </c>
      <c r="D638" t="inlineStr">
        <is>
          <t>GOTLANDS LÄN</t>
        </is>
      </c>
      <c r="E638" t="inlineStr">
        <is>
          <t>GOTLAND</t>
        </is>
      </c>
      <c r="G638" t="n">
        <v>6.4</v>
      </c>
      <c r="H638" t="n">
        <v>0</v>
      </c>
      <c r="I638" t="n">
        <v>0</v>
      </c>
      <c r="J638" t="n">
        <v>0</v>
      </c>
      <c r="K638" t="n">
        <v>0</v>
      </c>
      <c r="L638" t="n">
        <v>0</v>
      </c>
      <c r="M638" t="n">
        <v>0</v>
      </c>
      <c r="N638" t="n">
        <v>0</v>
      </c>
      <c r="O638" t="n">
        <v>0</v>
      </c>
      <c r="P638" t="n">
        <v>0</v>
      </c>
      <c r="Q638" t="n">
        <v>0</v>
      </c>
      <c r="R638" s="2" t="inlineStr"/>
    </row>
    <row r="639" ht="15" customHeight="1">
      <c r="A639" t="inlineStr">
        <is>
          <t>A 12032-2025</t>
        </is>
      </c>
      <c r="B639" s="1" t="n">
        <v>45728.64472222222</v>
      </c>
      <c r="C639" s="1" t="n">
        <v>46103</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15595-2024</t>
        </is>
      </c>
      <c r="B640" s="1" t="n">
        <v>45401.81480324074</v>
      </c>
      <c r="C640" s="1" t="n">
        <v>46103</v>
      </c>
      <c r="D640" t="inlineStr">
        <is>
          <t>GOTLANDS LÄN</t>
        </is>
      </c>
      <c r="E640" t="inlineStr">
        <is>
          <t>GOTLAND</t>
        </is>
      </c>
      <c r="G640" t="n">
        <v>6.4</v>
      </c>
      <c r="H640" t="n">
        <v>0</v>
      </c>
      <c r="I640" t="n">
        <v>0</v>
      </c>
      <c r="J640" t="n">
        <v>0</v>
      </c>
      <c r="K640" t="n">
        <v>0</v>
      </c>
      <c r="L640" t="n">
        <v>0</v>
      </c>
      <c r="M640" t="n">
        <v>0</v>
      </c>
      <c r="N640" t="n">
        <v>0</v>
      </c>
      <c r="O640" t="n">
        <v>0</v>
      </c>
      <c r="P640" t="n">
        <v>0</v>
      </c>
      <c r="Q640" t="n">
        <v>0</v>
      </c>
      <c r="R640" s="2" t="inlineStr"/>
    </row>
    <row r="641" ht="15" customHeight="1">
      <c r="A641" t="inlineStr">
        <is>
          <t>A 21164-2024</t>
        </is>
      </c>
      <c r="B641" s="1" t="n">
        <v>45440</v>
      </c>
      <c r="C641" s="1" t="n">
        <v>46103</v>
      </c>
      <c r="D641" t="inlineStr">
        <is>
          <t>GOTLANDS LÄN</t>
        </is>
      </c>
      <c r="E641" t="inlineStr">
        <is>
          <t>GOTLAND</t>
        </is>
      </c>
      <c r="G641" t="n">
        <v>6.3</v>
      </c>
      <c r="H641" t="n">
        <v>0</v>
      </c>
      <c r="I641" t="n">
        <v>0</v>
      </c>
      <c r="J641" t="n">
        <v>0</v>
      </c>
      <c r="K641" t="n">
        <v>0</v>
      </c>
      <c r="L641" t="n">
        <v>0</v>
      </c>
      <c r="M641" t="n">
        <v>0</v>
      </c>
      <c r="N641" t="n">
        <v>0</v>
      </c>
      <c r="O641" t="n">
        <v>0</v>
      </c>
      <c r="P641" t="n">
        <v>0</v>
      </c>
      <c r="Q641" t="n">
        <v>0</v>
      </c>
      <c r="R641" s="2" t="inlineStr"/>
    </row>
    <row r="642" ht="15" customHeight="1">
      <c r="A642" t="inlineStr">
        <is>
          <t>A 17541-2024</t>
        </is>
      </c>
      <c r="B642" s="1" t="n">
        <v>45415</v>
      </c>
      <c r="C642" s="1" t="n">
        <v>46103</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883-2025</t>
        </is>
      </c>
      <c r="B643" s="1" t="n">
        <v>45665</v>
      </c>
      <c r="C643" s="1" t="n">
        <v>46103</v>
      </c>
      <c r="D643" t="inlineStr">
        <is>
          <t>GOTLANDS LÄN</t>
        </is>
      </c>
      <c r="E643" t="inlineStr">
        <is>
          <t>GOTLAND</t>
        </is>
      </c>
      <c r="G643" t="n">
        <v>1.3</v>
      </c>
      <c r="H643" t="n">
        <v>0</v>
      </c>
      <c r="I643" t="n">
        <v>0</v>
      </c>
      <c r="J643" t="n">
        <v>0</v>
      </c>
      <c r="K643" t="n">
        <v>0</v>
      </c>
      <c r="L643" t="n">
        <v>0</v>
      </c>
      <c r="M643" t="n">
        <v>0</v>
      </c>
      <c r="N643" t="n">
        <v>0</v>
      </c>
      <c r="O643" t="n">
        <v>0</v>
      </c>
      <c r="P643" t="n">
        <v>0</v>
      </c>
      <c r="Q643" t="n">
        <v>0</v>
      </c>
      <c r="R643" s="2" t="inlineStr"/>
    </row>
    <row r="644" ht="15" customHeight="1">
      <c r="A644" t="inlineStr">
        <is>
          <t>A 13910-2025</t>
        </is>
      </c>
      <c r="B644" s="1" t="n">
        <v>45737</v>
      </c>
      <c r="C644" s="1" t="n">
        <v>46103</v>
      </c>
      <c r="D644" t="inlineStr">
        <is>
          <t>GOTLANDS LÄN</t>
        </is>
      </c>
      <c r="E644" t="inlineStr">
        <is>
          <t>GOTLAND</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20794-2025</t>
        </is>
      </c>
      <c r="B645" s="1" t="n">
        <v>45776</v>
      </c>
      <c r="C645" s="1" t="n">
        <v>46103</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20805-2025</t>
        </is>
      </c>
      <c r="B646" s="1" t="n">
        <v>45776</v>
      </c>
      <c r="C646" s="1" t="n">
        <v>46103</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21389-2025</t>
        </is>
      </c>
      <c r="B647" s="1" t="n">
        <v>45782</v>
      </c>
      <c r="C647" s="1" t="n">
        <v>46103</v>
      </c>
      <c r="D647" t="inlineStr">
        <is>
          <t>GOTLANDS LÄN</t>
        </is>
      </c>
      <c r="E647" t="inlineStr">
        <is>
          <t>GOTLAND</t>
        </is>
      </c>
      <c r="G647" t="n">
        <v>4.1</v>
      </c>
      <c r="H647" t="n">
        <v>0</v>
      </c>
      <c r="I647" t="n">
        <v>0</v>
      </c>
      <c r="J647" t="n">
        <v>0</v>
      </c>
      <c r="K647" t="n">
        <v>0</v>
      </c>
      <c r="L647" t="n">
        <v>0</v>
      </c>
      <c r="M647" t="n">
        <v>0</v>
      </c>
      <c r="N647" t="n">
        <v>0</v>
      </c>
      <c r="O647" t="n">
        <v>0</v>
      </c>
      <c r="P647" t="n">
        <v>0</v>
      </c>
      <c r="Q647" t="n">
        <v>0</v>
      </c>
      <c r="R647" s="2" t="inlineStr"/>
    </row>
    <row r="648">
      <c r="A648" t="inlineStr">
        <is>
          <t>A 21651-2025</t>
        </is>
      </c>
      <c r="B648" s="1" t="n">
        <v>45783</v>
      </c>
      <c r="C648" s="1" t="n">
        <v>46103</v>
      </c>
      <c r="D648" t="inlineStr">
        <is>
          <t>GOTLANDS LÄN</t>
        </is>
      </c>
      <c r="E648" t="inlineStr">
        <is>
          <t>GOTLAND</t>
        </is>
      </c>
      <c r="G648" t="n">
        <v>4.2</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2026-03-22T11:36:55Z</dcterms:created>
  <dcterms:modified xmlns:dcterms="http://purl.org/dc/terms/" xmlns:xsi="http://www.w3.org/2001/XMLSchema-instance" xsi:type="dcterms:W3CDTF">2026-03-22T11:36:55Z</dcterms:modified>
</cp:coreProperties>
</file>