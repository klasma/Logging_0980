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46059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46059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46059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46059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46059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46059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46059</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46059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46059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46059</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46059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46059</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46059</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46059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46059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46059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445-2023</t>
        </is>
      </c>
      <c r="B18" s="1" t="n">
        <v>44929</v>
      </c>
      <c r="C18" s="1" t="n">
        <v>46059</v>
      </c>
      <c r="D18" t="inlineStr">
        <is>
          <t>GOTLANDS LÄN</t>
        </is>
      </c>
      <c r="E18" t="inlineStr">
        <is>
          <t>GOTLAND</t>
        </is>
      </c>
      <c r="G18" t="n">
        <v>4.9</v>
      </c>
      <c r="H18" t="n">
        <v>3</v>
      </c>
      <c r="I18" t="n">
        <v>8</v>
      </c>
      <c r="J18" t="n">
        <v>6</v>
      </c>
      <c r="K18" t="n">
        <v>6</v>
      </c>
      <c r="L18" t="n">
        <v>0</v>
      </c>
      <c r="M18" t="n">
        <v>0</v>
      </c>
      <c r="N18" t="n">
        <v>0</v>
      </c>
      <c r="O18" t="n">
        <v>13</v>
      </c>
      <c r="P18" t="n">
        <v>6</v>
      </c>
      <c r="Q18" t="n">
        <v>21</v>
      </c>
      <c r="R18"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8">
        <f>HYPERLINK("https://klasma.github.io/Logging_0980/artfynd/A 445-2023 artfynd.xlsx", "A 445-2023")</f>
        <v/>
      </c>
      <c r="T18">
        <f>HYPERLINK("https://klasma.github.io/Logging_0980/kartor/A 445-2023 karta.png", "A 445-2023")</f>
        <v/>
      </c>
      <c r="V18">
        <f>HYPERLINK("https://klasma.github.io/Logging_0980/klagomål/A 445-2023 FSC-klagomål.docx", "A 445-2023")</f>
        <v/>
      </c>
      <c r="W18">
        <f>HYPERLINK("https://klasma.github.io/Logging_0980/klagomålsmail/A 445-2023 FSC-klagomål mail.docx", "A 445-2023")</f>
        <v/>
      </c>
      <c r="X18">
        <f>HYPERLINK("https://klasma.github.io/Logging_0980/tillsyn/A 445-2023 tillsynsbegäran.docx", "A 445-2023")</f>
        <v/>
      </c>
      <c r="Y18">
        <f>HYPERLINK("https://klasma.github.io/Logging_0980/tillsynsmail/A 445-2023 tillsynsbegäran mail.docx", "A 445-2023")</f>
        <v/>
      </c>
      <c r="Z18">
        <f>HYPERLINK("https://klasma.github.io/Logging_0980/fåglar/A 445-2023 prioriterade fågelarter.docx", "A 445-2023")</f>
        <v/>
      </c>
    </row>
    <row r="19" ht="15" customHeight="1">
      <c r="A19" t="inlineStr">
        <is>
          <t>A 40235-2025</t>
        </is>
      </c>
      <c r="B19" s="1" t="n">
        <v>45894</v>
      </c>
      <c r="C19" s="1" t="n">
        <v>46059</v>
      </c>
      <c r="D19" t="inlineStr">
        <is>
          <t>GOTLANDS LÄN</t>
        </is>
      </c>
      <c r="E19" t="inlineStr">
        <is>
          <t>GOTLAND</t>
        </is>
      </c>
      <c r="G19" t="n">
        <v>10.6</v>
      </c>
      <c r="H19" t="n">
        <v>1</v>
      </c>
      <c r="I19" t="n">
        <v>8</v>
      </c>
      <c r="J19" t="n">
        <v>6</v>
      </c>
      <c r="K19" t="n">
        <v>6</v>
      </c>
      <c r="L19" t="n">
        <v>0</v>
      </c>
      <c r="M19" t="n">
        <v>0</v>
      </c>
      <c r="N19" t="n">
        <v>0</v>
      </c>
      <c r="O19" t="n">
        <v>12</v>
      </c>
      <c r="P19" t="n">
        <v>6</v>
      </c>
      <c r="Q19" t="n">
        <v>21</v>
      </c>
      <c r="R19"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9">
        <f>HYPERLINK("https://klasma.github.io/Logging_0980/artfynd/A 40235-2025 artfynd.xlsx", "A 40235-2025")</f>
        <v/>
      </c>
      <c r="T19">
        <f>HYPERLINK("https://klasma.github.io/Logging_0980/kartor/A 40235-2025 karta.png", "A 40235-2025")</f>
        <v/>
      </c>
      <c r="V19">
        <f>HYPERLINK("https://klasma.github.io/Logging_0980/klagomål/A 40235-2025 FSC-klagomål.docx", "A 40235-2025")</f>
        <v/>
      </c>
      <c r="W19">
        <f>HYPERLINK("https://klasma.github.io/Logging_0980/klagomålsmail/A 40235-2025 FSC-klagomål mail.docx", "A 40235-2025")</f>
        <v/>
      </c>
      <c r="X19">
        <f>HYPERLINK("https://klasma.github.io/Logging_0980/tillsyn/A 40235-2025 tillsynsbegäran.docx", "A 40235-2025")</f>
        <v/>
      </c>
      <c r="Y19">
        <f>HYPERLINK("https://klasma.github.io/Logging_0980/tillsynsmail/A 40235-2025 tillsynsbegäran mail.docx", "A 40235-2025")</f>
        <v/>
      </c>
    </row>
    <row r="20" ht="15" customHeight="1">
      <c r="A20" t="inlineStr">
        <is>
          <t>A 569-2023</t>
        </is>
      </c>
      <c r="B20" s="1" t="n">
        <v>44930</v>
      </c>
      <c r="C20" s="1" t="n">
        <v>46059</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46059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46059</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46059</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46059</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6153-2024</t>
        </is>
      </c>
      <c r="B25" s="1" t="n">
        <v>45337</v>
      </c>
      <c r="C25" s="1" t="n">
        <v>46059</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46059</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46059</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24575-2025</t>
        </is>
      </c>
      <c r="B28" s="1" t="n">
        <v>45798</v>
      </c>
      <c r="C28" s="1" t="n">
        <v>46059</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61697-2023</t>
        </is>
      </c>
      <c r="B29" s="1" t="n">
        <v>45265</v>
      </c>
      <c r="C29" s="1" t="n">
        <v>46059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15629-2024</t>
        </is>
      </c>
      <c r="B30" s="1" t="n">
        <v>45402.78372685185</v>
      </c>
      <c r="C30" s="1" t="n">
        <v>46059</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62132-2023</t>
        </is>
      </c>
      <c r="B31" s="1" t="n">
        <v>45267</v>
      </c>
      <c r="C31" s="1" t="n">
        <v>46059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46059</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2222-2024</t>
        </is>
      </c>
      <c r="B33" s="1" t="n">
        <v>45309</v>
      </c>
      <c r="C33" s="1" t="n">
        <v>46059</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46059</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46059</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46059</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46059</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46059</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46059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46059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46059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46059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46059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46059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46059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46059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46059</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46059</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46059</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46059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46059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46059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46059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46059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46059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46059</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46059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46059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46059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46059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46059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46059</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4984-2025</t>
        </is>
      </c>
      <c r="B63" s="1" t="n">
        <v>45691.29891203704</v>
      </c>
      <c r="C63" s="1" t="n">
        <v>46059</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46059</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27280-2023</t>
        </is>
      </c>
      <c r="B65" s="1" t="n">
        <v>45096</v>
      </c>
      <c r="C65" s="1" t="n">
        <v>46059</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46059</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44944-2022</t>
        </is>
      </c>
      <c r="B67" s="1" t="n">
        <v>44841</v>
      </c>
      <c r="C67" s="1" t="n">
        <v>46059</v>
      </c>
      <c r="D67" t="inlineStr">
        <is>
          <t>GOTLANDS LÄN</t>
        </is>
      </c>
      <c r="E67" t="inlineStr">
        <is>
          <t>GOTLAND</t>
        </is>
      </c>
      <c r="G67" t="n">
        <v>2.8</v>
      </c>
      <c r="H67" t="n">
        <v>0</v>
      </c>
      <c r="I67" t="n">
        <v>3</v>
      </c>
      <c r="J67" t="n">
        <v>4</v>
      </c>
      <c r="K67" t="n">
        <v>0</v>
      </c>
      <c r="L67" t="n">
        <v>0</v>
      </c>
      <c r="M67" t="n">
        <v>0</v>
      </c>
      <c r="N67" t="n">
        <v>0</v>
      </c>
      <c r="O67" t="n">
        <v>4</v>
      </c>
      <c r="P67" t="n">
        <v>0</v>
      </c>
      <c r="Q67" t="n">
        <v>7</v>
      </c>
      <c r="R67" s="2" t="inlineStr">
        <is>
          <t>Axveronika
Bredbrämad bastardsvärmare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27168-2022</t>
        </is>
      </c>
      <c r="B68" s="1" t="n">
        <v>44741</v>
      </c>
      <c r="C68" s="1" t="n">
        <v>46059</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46059</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46059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46059</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46059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46059</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2085-2023</t>
        </is>
      </c>
      <c r="B74" s="1" t="n">
        <v>44939</v>
      </c>
      <c r="C74" s="1" t="n">
        <v>46059</v>
      </c>
      <c r="D74" t="inlineStr">
        <is>
          <t>GOTLANDS LÄN</t>
        </is>
      </c>
      <c r="E74" t="inlineStr">
        <is>
          <t>GOTLAND</t>
        </is>
      </c>
      <c r="G74" t="n">
        <v>0.9</v>
      </c>
      <c r="H74" t="n">
        <v>2</v>
      </c>
      <c r="I74" t="n">
        <v>5</v>
      </c>
      <c r="J74" t="n">
        <v>0</v>
      </c>
      <c r="K74" t="n">
        <v>0</v>
      </c>
      <c r="L74" t="n">
        <v>0</v>
      </c>
      <c r="M74" t="n">
        <v>0</v>
      </c>
      <c r="N74" t="n">
        <v>0</v>
      </c>
      <c r="O74" t="n">
        <v>0</v>
      </c>
      <c r="P74" t="n">
        <v>0</v>
      </c>
      <c r="Q74" t="n">
        <v>6</v>
      </c>
      <c r="R74" s="2" t="inlineStr">
        <is>
          <t>Blå slemspindling
Blåmossa
Kattfotslav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446-2023</t>
        </is>
      </c>
      <c r="B75" s="1" t="n">
        <v>44929</v>
      </c>
      <c r="C75" s="1" t="n">
        <v>46059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46059</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7038-2023</t>
        </is>
      </c>
      <c r="B77" s="1" t="n">
        <v>44968</v>
      </c>
      <c r="C77" s="1" t="n">
        <v>46059</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16823-2024</t>
        </is>
      </c>
      <c r="B78" s="1" t="n">
        <v>45411</v>
      </c>
      <c r="C78" s="1" t="n">
        <v>46059</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46059</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46059</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54055-2022</t>
        </is>
      </c>
      <c r="B81" s="1" t="n">
        <v>44881</v>
      </c>
      <c r="C81" s="1" t="n">
        <v>46059</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42936-2024</t>
        </is>
      </c>
      <c r="B82" s="1" t="n">
        <v>45567</v>
      </c>
      <c r="C82" s="1" t="n">
        <v>46059</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39425-2023</t>
        </is>
      </c>
      <c r="B83" s="1" t="n">
        <v>45166</v>
      </c>
      <c r="C83" s="1" t="n">
        <v>46059</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46059</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2213-2023</t>
        </is>
      </c>
      <c r="B85" s="1" t="n">
        <v>44942</v>
      </c>
      <c r="C85" s="1" t="n">
        <v>46059</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46059</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16375-2025</t>
        </is>
      </c>
      <c r="B87" s="1" t="n">
        <v>45751.41064814815</v>
      </c>
      <c r="C87" s="1" t="n">
        <v>46059</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35293-2025</t>
        </is>
      </c>
      <c r="B88" s="1" t="n">
        <v>45854.39438657407</v>
      </c>
      <c r="C88" s="1" t="n">
        <v>46059</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46059</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20833-2024</t>
        </is>
      </c>
      <c r="B90" s="1" t="n">
        <v>45439</v>
      </c>
      <c r="C90" s="1" t="n">
        <v>46059</v>
      </c>
      <c r="D90" t="inlineStr">
        <is>
          <t>GOTLANDS LÄN</t>
        </is>
      </c>
      <c r="E90" t="inlineStr">
        <is>
          <t>GOTLAND</t>
        </is>
      </c>
      <c r="G90" t="n">
        <v>0.9</v>
      </c>
      <c r="H90" t="n">
        <v>3</v>
      </c>
      <c r="I90" t="n">
        <v>1</v>
      </c>
      <c r="J90" t="n">
        <v>3</v>
      </c>
      <c r="K90" t="n">
        <v>0</v>
      </c>
      <c r="L90" t="n">
        <v>0</v>
      </c>
      <c r="M90" t="n">
        <v>0</v>
      </c>
      <c r="N90" t="n">
        <v>0</v>
      </c>
      <c r="O90" t="n">
        <v>3</v>
      </c>
      <c r="P90" t="n">
        <v>0</v>
      </c>
      <c r="Q90" t="n">
        <v>4</v>
      </c>
      <c r="R90" s="2" t="inlineStr">
        <is>
          <t>Dårgräsfjäril
Spillkråka
Svinrot
Skogsknipprot</t>
        </is>
      </c>
      <c r="S90">
        <f>HYPERLINK("https://klasma.github.io/Logging_0980/artfynd/A 20833-2024 artfynd.xlsx", "A 20833-2024")</f>
        <v/>
      </c>
      <c r="T90">
        <f>HYPERLINK("https://klasma.github.io/Logging_0980/kartor/A 20833-2024 karta.png", "A 20833-2024")</f>
        <v/>
      </c>
      <c r="V90">
        <f>HYPERLINK("https://klasma.github.io/Logging_0980/klagomål/A 20833-2024 FSC-klagomål.docx", "A 20833-2024")</f>
        <v/>
      </c>
      <c r="W90">
        <f>HYPERLINK("https://klasma.github.io/Logging_0980/klagomålsmail/A 20833-2024 FSC-klagomål mail.docx", "A 20833-2024")</f>
        <v/>
      </c>
      <c r="X90">
        <f>HYPERLINK("https://klasma.github.io/Logging_0980/tillsyn/A 20833-2024 tillsynsbegäran.docx", "A 20833-2024")</f>
        <v/>
      </c>
      <c r="Y90">
        <f>HYPERLINK("https://klasma.github.io/Logging_0980/tillsynsmail/A 20833-2024 tillsynsbegäran mail.docx", "A 20833-2024")</f>
        <v/>
      </c>
      <c r="Z90">
        <f>HYPERLINK("https://klasma.github.io/Logging_0980/fåglar/A 20833-2024 prioriterade fågelarter.docx", "A 20833-2024")</f>
        <v/>
      </c>
    </row>
    <row r="91" ht="15" customHeight="1">
      <c r="A91" t="inlineStr">
        <is>
          <t>A 5904-2024</t>
        </is>
      </c>
      <c r="B91" s="1" t="n">
        <v>45335</v>
      </c>
      <c r="C91" s="1" t="n">
        <v>46059</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46059</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52250-2025</t>
        </is>
      </c>
      <c r="B93" s="1" t="n">
        <v>45953.48998842593</v>
      </c>
      <c r="C93" s="1" t="n">
        <v>46059</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6159-2023</t>
        </is>
      </c>
      <c r="B94" s="1" t="n">
        <v>44964</v>
      </c>
      <c r="C94" s="1" t="n">
        <v>46059</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57463-2025</t>
        </is>
      </c>
      <c r="B95" s="1" t="n">
        <v>45980.54174768519</v>
      </c>
      <c r="C95" s="1" t="n">
        <v>46059</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54523-2023</t>
        </is>
      </c>
      <c r="B96" s="1" t="n">
        <v>45233</v>
      </c>
      <c r="C96" s="1" t="n">
        <v>46059</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43197-2023</t>
        </is>
      </c>
      <c r="B97" s="1" t="n">
        <v>45183</v>
      </c>
      <c r="C97" s="1" t="n">
        <v>46059</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1971-2023</t>
        </is>
      </c>
      <c r="B98" s="1" t="n">
        <v>44939</v>
      </c>
      <c r="C98" s="1" t="n">
        <v>46059</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6836-2026</t>
        </is>
      </c>
      <c r="B99" s="1" t="n">
        <v>46057.40902777778</v>
      </c>
      <c r="C99" s="1" t="n">
        <v>46059</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44933-2022</t>
        </is>
      </c>
      <c r="B100" s="1" t="n">
        <v>44841</v>
      </c>
      <c r="C100" s="1" t="n">
        <v>46059</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2485-2025</t>
        </is>
      </c>
      <c r="B101" s="1" t="n">
        <v>45673</v>
      </c>
      <c r="C101" s="1" t="n">
        <v>46059</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46059</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46059</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46059</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46059</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46059</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46059</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46059</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20831-2024</t>
        </is>
      </c>
      <c r="B109" s="1" t="n">
        <v>45439</v>
      </c>
      <c r="C109" s="1" t="n">
        <v>46059</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53552-2021</t>
        </is>
      </c>
      <c r="B110" s="1" t="n">
        <v>44468</v>
      </c>
      <c r="C110" s="1" t="n">
        <v>46059</v>
      </c>
      <c r="D110" t="inlineStr">
        <is>
          <t>GOTLANDS LÄN</t>
        </is>
      </c>
      <c r="E110" t="inlineStr">
        <is>
          <t>GOTLAND</t>
        </is>
      </c>
      <c r="G110" t="n">
        <v>6.2</v>
      </c>
      <c r="H110" t="n">
        <v>2</v>
      </c>
      <c r="I110" t="n">
        <v>0</v>
      </c>
      <c r="J110" t="n">
        <v>1</v>
      </c>
      <c r="K110" t="n">
        <v>0</v>
      </c>
      <c r="L110" t="n">
        <v>0</v>
      </c>
      <c r="M110" t="n">
        <v>0</v>
      </c>
      <c r="N110" t="n">
        <v>0</v>
      </c>
      <c r="O110" t="n">
        <v>1</v>
      </c>
      <c r="P110" t="n">
        <v>0</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48126-2022</t>
        </is>
      </c>
      <c r="B111" s="1" t="n">
        <v>44857</v>
      </c>
      <c r="C111" s="1" t="n">
        <v>46059</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46059</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55334-2024</t>
        </is>
      </c>
      <c r="B113" s="1" t="n">
        <v>45621</v>
      </c>
      <c r="C113" s="1" t="n">
        <v>46059</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46059</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17982-2023</t>
        </is>
      </c>
      <c r="B115" s="1" t="n">
        <v>45040</v>
      </c>
      <c r="C115" s="1" t="n">
        <v>46059</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46059</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43013-2022</t>
        </is>
      </c>
      <c r="B117" s="1" t="n">
        <v>44833</v>
      </c>
      <c r="C117" s="1" t="n">
        <v>46059</v>
      </c>
      <c r="D117" t="inlineStr">
        <is>
          <t>GOTLANDS LÄN</t>
        </is>
      </c>
      <c r="E117" t="inlineStr">
        <is>
          <t>GOTLAND</t>
        </is>
      </c>
      <c r="G117" t="n">
        <v>9.300000000000001</v>
      </c>
      <c r="H117" t="n">
        <v>0</v>
      </c>
      <c r="I117" t="n">
        <v>2</v>
      </c>
      <c r="J117" t="n">
        <v>0</v>
      </c>
      <c r="K117" t="n">
        <v>1</v>
      </c>
      <c r="L117" t="n">
        <v>0</v>
      </c>
      <c r="M117" t="n">
        <v>0</v>
      </c>
      <c r="N117" t="n">
        <v>0</v>
      </c>
      <c r="O117" t="n">
        <v>1</v>
      </c>
      <c r="P117" t="n">
        <v>1</v>
      </c>
      <c r="Q117" t="n">
        <v>3</v>
      </c>
      <c r="R117" s="2" t="inlineStr">
        <is>
          <t>Violettfläckig spindling
Anisspindling
Blå slemspindling</t>
        </is>
      </c>
      <c r="S117">
        <f>HYPERLINK("https://klasma.github.io/Logging_0980/artfynd/A 43013-2022 artfynd.xlsx", "A 43013-2022")</f>
        <v/>
      </c>
      <c r="T117">
        <f>HYPERLINK("https://klasma.github.io/Logging_0980/kartor/A 43013-2022 karta.png", "A 43013-2022")</f>
        <v/>
      </c>
      <c r="V117">
        <f>HYPERLINK("https://klasma.github.io/Logging_0980/klagomål/A 43013-2022 FSC-klagomål.docx", "A 43013-2022")</f>
        <v/>
      </c>
      <c r="W117">
        <f>HYPERLINK("https://klasma.github.io/Logging_0980/klagomålsmail/A 43013-2022 FSC-klagomål mail.docx", "A 43013-2022")</f>
        <v/>
      </c>
      <c r="X117">
        <f>HYPERLINK("https://klasma.github.io/Logging_0980/tillsyn/A 43013-2022 tillsynsbegäran.docx", "A 43013-2022")</f>
        <v/>
      </c>
      <c r="Y117">
        <f>HYPERLINK("https://klasma.github.io/Logging_0980/tillsynsmail/A 43013-2022 tillsynsbegäran mail.docx", "A 43013-2022")</f>
        <v/>
      </c>
    </row>
    <row r="118" ht="15" customHeight="1">
      <c r="A118" t="inlineStr">
        <is>
          <t>A 13499-2022</t>
        </is>
      </c>
      <c r="B118" s="1" t="n">
        <v>44647.79203703703</v>
      </c>
      <c r="C118" s="1" t="n">
        <v>46059</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5235-2025</t>
        </is>
      </c>
      <c r="B119" s="1" t="n">
        <v>45692.26797453704</v>
      </c>
      <c r="C119" s="1" t="n">
        <v>46059</v>
      </c>
      <c r="D119" t="inlineStr">
        <is>
          <t>GOTLANDS LÄN</t>
        </is>
      </c>
      <c r="E119" t="inlineStr">
        <is>
          <t>GOTLAND</t>
        </is>
      </c>
      <c r="G119" t="n">
        <v>7.6</v>
      </c>
      <c r="H119" t="n">
        <v>1</v>
      </c>
      <c r="I119" t="n">
        <v>2</v>
      </c>
      <c r="J119" t="n">
        <v>1</v>
      </c>
      <c r="K119" t="n">
        <v>0</v>
      </c>
      <c r="L119" t="n">
        <v>0</v>
      </c>
      <c r="M119" t="n">
        <v>0</v>
      </c>
      <c r="N119" t="n">
        <v>0</v>
      </c>
      <c r="O119" t="n">
        <v>1</v>
      </c>
      <c r="P119" t="n">
        <v>0</v>
      </c>
      <c r="Q119" t="n">
        <v>3</v>
      </c>
      <c r="R119" s="2" t="inlineStr">
        <is>
          <t>Svinrot
Blåmossa
Tvåblad</t>
        </is>
      </c>
      <c r="S119">
        <f>HYPERLINK("https://klasma.github.io/Logging_0980/artfynd/A 5235-2025 artfynd.xlsx", "A 5235-2025")</f>
        <v/>
      </c>
      <c r="T119">
        <f>HYPERLINK("https://klasma.github.io/Logging_0980/kartor/A 5235-2025 karta.png", "A 5235-2025")</f>
        <v/>
      </c>
      <c r="V119">
        <f>HYPERLINK("https://klasma.github.io/Logging_0980/klagomål/A 5235-2025 FSC-klagomål.docx", "A 5235-2025")</f>
        <v/>
      </c>
      <c r="W119">
        <f>HYPERLINK("https://klasma.github.io/Logging_0980/klagomålsmail/A 5235-2025 FSC-klagomål mail.docx", "A 5235-2025")</f>
        <v/>
      </c>
      <c r="X119">
        <f>HYPERLINK("https://klasma.github.io/Logging_0980/tillsyn/A 5235-2025 tillsynsbegäran.docx", "A 5235-2025")</f>
        <v/>
      </c>
      <c r="Y119">
        <f>HYPERLINK("https://klasma.github.io/Logging_0980/tillsynsmail/A 5235-2025 tillsynsbegäran mail.docx", "A 5235-2025")</f>
        <v/>
      </c>
    </row>
    <row r="120" ht="15" customHeight="1">
      <c r="A120" t="inlineStr">
        <is>
          <t>A 12315-2024</t>
        </is>
      </c>
      <c r="B120" s="1" t="n">
        <v>45378.6434837963</v>
      </c>
      <c r="C120" s="1" t="n">
        <v>46059</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46059</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30490-2025</t>
        </is>
      </c>
      <c r="B122" s="1" t="n">
        <v>45830</v>
      </c>
      <c r="C122" s="1" t="n">
        <v>46059</v>
      </c>
      <c r="D122" t="inlineStr">
        <is>
          <t>GOTLANDS LÄN</t>
        </is>
      </c>
      <c r="E122" t="inlineStr">
        <is>
          <t>GOTLAND</t>
        </is>
      </c>
      <c r="G122" t="n">
        <v>7.9</v>
      </c>
      <c r="H122" t="n">
        <v>1</v>
      </c>
      <c r="I122" t="n">
        <v>0</v>
      </c>
      <c r="J122" t="n">
        <v>2</v>
      </c>
      <c r="K122" t="n">
        <v>0</v>
      </c>
      <c r="L122" t="n">
        <v>0</v>
      </c>
      <c r="M122" t="n">
        <v>0</v>
      </c>
      <c r="N122" t="n">
        <v>0</v>
      </c>
      <c r="O122" t="n">
        <v>2</v>
      </c>
      <c r="P122" t="n">
        <v>0</v>
      </c>
      <c r="Q122" t="n">
        <v>3</v>
      </c>
      <c r="R122" s="2" t="inlineStr">
        <is>
          <t>Klasefibbla
Majviva
Nattviol</t>
        </is>
      </c>
      <c r="S122">
        <f>HYPERLINK("https://klasma.github.io/Logging_0980/artfynd/A 30490-2025 artfynd.xlsx", "A 30490-2025")</f>
        <v/>
      </c>
      <c r="T122">
        <f>HYPERLINK("https://klasma.github.io/Logging_0980/kartor/A 30490-2025 karta.png", "A 30490-2025")</f>
        <v/>
      </c>
      <c r="V122">
        <f>HYPERLINK("https://klasma.github.io/Logging_0980/klagomål/A 30490-2025 FSC-klagomål.docx", "A 30490-2025")</f>
        <v/>
      </c>
      <c r="W122">
        <f>HYPERLINK("https://klasma.github.io/Logging_0980/klagomålsmail/A 30490-2025 FSC-klagomål mail.docx", "A 30490-2025")</f>
        <v/>
      </c>
      <c r="X122">
        <f>HYPERLINK("https://klasma.github.io/Logging_0980/tillsyn/A 30490-2025 tillsynsbegäran.docx", "A 30490-2025")</f>
        <v/>
      </c>
      <c r="Y122">
        <f>HYPERLINK("https://klasma.github.io/Logging_0980/tillsynsmail/A 30490-2025 tillsynsbegäran mail.docx", "A 30490-2025")</f>
        <v/>
      </c>
    </row>
    <row r="123" ht="15" customHeight="1">
      <c r="A123" t="inlineStr">
        <is>
          <t>A 29870-2021</t>
        </is>
      </c>
      <c r="B123" s="1" t="n">
        <v>44362</v>
      </c>
      <c r="C123" s="1" t="n">
        <v>46059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46059</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46059</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46059</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46059</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46059</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46059</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26077-2024</t>
        </is>
      </c>
      <c r="B130" s="1" t="n">
        <v>45467</v>
      </c>
      <c r="C130" s="1" t="n">
        <v>46059</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62760-2025</t>
        </is>
      </c>
      <c r="B131" s="1" t="n">
        <v>46008</v>
      </c>
      <c r="C131" s="1" t="n">
        <v>46059</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63162-2025</t>
        </is>
      </c>
      <c r="B132" s="1" t="n">
        <v>46010.37629629629</v>
      </c>
      <c r="C132" s="1" t="n">
        <v>46059</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54357-2024</t>
        </is>
      </c>
      <c r="B133" s="1" t="n">
        <v>45617.40662037037</v>
      </c>
      <c r="C133" s="1" t="n">
        <v>46059</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46059</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46059</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46059</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46059</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46059</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46059</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46059</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46059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46059</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46059</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46059</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12924-2025</t>
        </is>
      </c>
      <c r="B145" s="1" t="n">
        <v>45734</v>
      </c>
      <c r="C145" s="1" t="n">
        <v>46059</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44308-2021</t>
        </is>
      </c>
      <c r="B146" s="1" t="n">
        <v>44434</v>
      </c>
      <c r="C146" s="1" t="n">
        <v>46059</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447-2023</t>
        </is>
      </c>
      <c r="B147" s="1" t="n">
        <v>44929</v>
      </c>
      <c r="C147" s="1" t="n">
        <v>46059</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947-2023</t>
        </is>
      </c>
      <c r="B148" s="1" t="n">
        <v>44934</v>
      </c>
      <c r="C148" s="1" t="n">
        <v>46059</v>
      </c>
      <c r="D148" t="inlineStr">
        <is>
          <t>GOTLANDS LÄN</t>
        </is>
      </c>
      <c r="E148" t="inlineStr">
        <is>
          <t>GOTLAND</t>
        </is>
      </c>
      <c r="G148" t="n">
        <v>0.7</v>
      </c>
      <c r="H148" t="n">
        <v>1</v>
      </c>
      <c r="I148" t="n">
        <v>0</v>
      </c>
      <c r="J148" t="n">
        <v>0</v>
      </c>
      <c r="K148" t="n">
        <v>1</v>
      </c>
      <c r="L148" t="n">
        <v>0</v>
      </c>
      <c r="M148" t="n">
        <v>0</v>
      </c>
      <c r="N148" t="n">
        <v>0</v>
      </c>
      <c r="O148" t="n">
        <v>1</v>
      </c>
      <c r="P148" t="n">
        <v>1</v>
      </c>
      <c r="Q148" t="n">
        <v>1</v>
      </c>
      <c r="R148" s="2" t="inlineStr">
        <is>
          <t>Garderönn</t>
        </is>
      </c>
      <c r="S148">
        <f>HYPERLINK("https://klasma.github.io/Logging_0980/artfynd/A 947-2023 artfynd.xlsx", "A 947-2023")</f>
        <v/>
      </c>
      <c r="T148">
        <f>HYPERLINK("https://klasma.github.io/Logging_0980/kartor/A 947-2023 karta.png", "A 947-2023")</f>
        <v/>
      </c>
      <c r="V148">
        <f>HYPERLINK("https://klasma.github.io/Logging_0980/klagomål/A 947-2023 FSC-klagomål.docx", "A 947-2023")</f>
        <v/>
      </c>
      <c r="W148">
        <f>HYPERLINK("https://klasma.github.io/Logging_0980/klagomålsmail/A 947-2023 FSC-klagomål mail.docx", "A 947-2023")</f>
        <v/>
      </c>
      <c r="X148">
        <f>HYPERLINK("https://klasma.github.io/Logging_0980/tillsyn/A 947-2023 tillsynsbegäran.docx", "A 947-2023")</f>
        <v/>
      </c>
      <c r="Y148">
        <f>HYPERLINK("https://klasma.github.io/Logging_0980/tillsynsmail/A 947-2023 tillsynsbegäran mail.docx", "A 947-2023")</f>
        <v/>
      </c>
    </row>
    <row r="149" ht="15" customHeight="1">
      <c r="A149" t="inlineStr">
        <is>
          <t>A 13939-2021</t>
        </is>
      </c>
      <c r="B149" s="1" t="n">
        <v>44277</v>
      </c>
      <c r="C149" s="1" t="n">
        <v>46059</v>
      </c>
      <c r="D149" t="inlineStr">
        <is>
          <t>GOTLANDS LÄN</t>
        </is>
      </c>
      <c r="E149" t="inlineStr">
        <is>
          <t>GOTLAND</t>
        </is>
      </c>
      <c r="G149" t="n">
        <v>1</v>
      </c>
      <c r="H149" t="n">
        <v>0</v>
      </c>
      <c r="I149" t="n">
        <v>0</v>
      </c>
      <c r="J149" t="n">
        <v>1</v>
      </c>
      <c r="K149" t="n">
        <v>0</v>
      </c>
      <c r="L149" t="n">
        <v>0</v>
      </c>
      <c r="M149" t="n">
        <v>0</v>
      </c>
      <c r="N149" t="n">
        <v>0</v>
      </c>
      <c r="O149" t="n">
        <v>1</v>
      </c>
      <c r="P149" t="n">
        <v>0</v>
      </c>
      <c r="Q149" t="n">
        <v>1</v>
      </c>
      <c r="R149" s="2" t="inlineStr">
        <is>
          <t>Axveronika</t>
        </is>
      </c>
      <c r="S149">
        <f>HYPERLINK("https://klasma.github.io/Logging_0980/artfynd/A 13939-2021 artfynd.xlsx", "A 13939-2021")</f>
        <v/>
      </c>
      <c r="T149">
        <f>HYPERLINK("https://klasma.github.io/Logging_0980/kartor/A 13939-2021 karta.png", "A 13939-2021")</f>
        <v/>
      </c>
      <c r="V149">
        <f>HYPERLINK("https://klasma.github.io/Logging_0980/klagomål/A 13939-2021 FSC-klagomål.docx", "A 13939-2021")</f>
        <v/>
      </c>
      <c r="W149">
        <f>HYPERLINK("https://klasma.github.io/Logging_0980/klagomålsmail/A 13939-2021 FSC-klagomål mail.docx", "A 13939-2021")</f>
        <v/>
      </c>
      <c r="X149">
        <f>HYPERLINK("https://klasma.github.io/Logging_0980/tillsyn/A 13939-2021 tillsynsbegäran.docx", "A 13939-2021")</f>
        <v/>
      </c>
      <c r="Y149">
        <f>HYPERLINK("https://klasma.github.io/Logging_0980/tillsynsmail/A 13939-2021 tillsynsbegäran mail.docx", "A 13939-2021")</f>
        <v/>
      </c>
    </row>
    <row r="150" ht="15" customHeight="1">
      <c r="A150" t="inlineStr">
        <is>
          <t>A 12379-2024</t>
        </is>
      </c>
      <c r="B150" s="1" t="n">
        <v>45379.28155092592</v>
      </c>
      <c r="C150" s="1" t="n">
        <v>46059</v>
      </c>
      <c r="D150" t="inlineStr">
        <is>
          <t>GOTLANDS LÄN</t>
        </is>
      </c>
      <c r="E150" t="inlineStr">
        <is>
          <t>GOTLAND</t>
        </is>
      </c>
      <c r="G150" t="n">
        <v>4.4</v>
      </c>
      <c r="H150" t="n">
        <v>0</v>
      </c>
      <c r="I150" t="n">
        <v>0</v>
      </c>
      <c r="J150" t="n">
        <v>1</v>
      </c>
      <c r="K150" t="n">
        <v>0</v>
      </c>
      <c r="L150" t="n">
        <v>0</v>
      </c>
      <c r="M150" t="n">
        <v>0</v>
      </c>
      <c r="N150" t="n">
        <v>0</v>
      </c>
      <c r="O150" t="n">
        <v>1</v>
      </c>
      <c r="P150" t="n">
        <v>0</v>
      </c>
      <c r="Q150" t="n">
        <v>1</v>
      </c>
      <c r="R150" s="2" t="inlineStr">
        <is>
          <t>Svinrot</t>
        </is>
      </c>
      <c r="S150">
        <f>HYPERLINK("https://klasma.github.io/Logging_0980/artfynd/A 12379-2024 artfynd.xlsx", "A 12379-2024")</f>
        <v/>
      </c>
      <c r="T150">
        <f>HYPERLINK("https://klasma.github.io/Logging_0980/kartor/A 12379-2024 karta.png", "A 12379-2024")</f>
        <v/>
      </c>
      <c r="V150">
        <f>HYPERLINK("https://klasma.github.io/Logging_0980/klagomål/A 12379-2024 FSC-klagomål.docx", "A 12379-2024")</f>
        <v/>
      </c>
      <c r="W150">
        <f>HYPERLINK("https://klasma.github.io/Logging_0980/klagomålsmail/A 12379-2024 FSC-klagomål mail.docx", "A 12379-2024")</f>
        <v/>
      </c>
      <c r="X150">
        <f>HYPERLINK("https://klasma.github.io/Logging_0980/tillsyn/A 12379-2024 tillsynsbegäran.docx", "A 12379-2024")</f>
        <v/>
      </c>
      <c r="Y150">
        <f>HYPERLINK("https://klasma.github.io/Logging_0980/tillsynsmail/A 12379-2024 tillsynsbegäran mail.docx", "A 12379-2024")</f>
        <v/>
      </c>
    </row>
    <row r="151" ht="15" customHeight="1">
      <c r="A151" t="inlineStr">
        <is>
          <t>A 39812-2025</t>
        </is>
      </c>
      <c r="B151" s="1" t="n">
        <v>45891</v>
      </c>
      <c r="C151" s="1" t="n">
        <v>46059</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17723-2021</t>
        </is>
      </c>
      <c r="B152" s="1" t="n">
        <v>44300</v>
      </c>
      <c r="C152" s="1" t="n">
        <v>46059</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49304-2024</t>
        </is>
      </c>
      <c r="B153" s="1" t="n">
        <v>45595.54996527778</v>
      </c>
      <c r="C153" s="1" t="n">
        <v>46059</v>
      </c>
      <c r="D153" t="inlineStr">
        <is>
          <t>GOTLANDS LÄN</t>
        </is>
      </c>
      <c r="E153" t="inlineStr">
        <is>
          <t>GOTLAND</t>
        </is>
      </c>
      <c r="G153" t="n">
        <v>10.8</v>
      </c>
      <c r="H153" t="n">
        <v>0</v>
      </c>
      <c r="I153" t="n">
        <v>0</v>
      </c>
      <c r="J153" t="n">
        <v>1</v>
      </c>
      <c r="K153" t="n">
        <v>0</v>
      </c>
      <c r="L153" t="n">
        <v>0</v>
      </c>
      <c r="M153" t="n">
        <v>0</v>
      </c>
      <c r="N153" t="n">
        <v>0</v>
      </c>
      <c r="O153" t="n">
        <v>1</v>
      </c>
      <c r="P153" t="n">
        <v>0</v>
      </c>
      <c r="Q153" t="n">
        <v>1</v>
      </c>
      <c r="R153" s="2" t="inlineStr">
        <is>
          <t>Åkerranunkel</t>
        </is>
      </c>
      <c r="S153">
        <f>HYPERLINK("https://klasma.github.io/Logging_0980/artfynd/A 49304-2024 artfynd.xlsx", "A 49304-2024")</f>
        <v/>
      </c>
      <c r="T153">
        <f>HYPERLINK("https://klasma.github.io/Logging_0980/kartor/A 49304-2024 karta.png", "A 49304-2024")</f>
        <v/>
      </c>
      <c r="V153">
        <f>HYPERLINK("https://klasma.github.io/Logging_0980/klagomål/A 49304-2024 FSC-klagomål.docx", "A 49304-2024")</f>
        <v/>
      </c>
      <c r="W153">
        <f>HYPERLINK("https://klasma.github.io/Logging_0980/klagomålsmail/A 49304-2024 FSC-klagomål mail.docx", "A 49304-2024")</f>
        <v/>
      </c>
      <c r="X153">
        <f>HYPERLINK("https://klasma.github.io/Logging_0980/tillsyn/A 49304-2024 tillsynsbegäran.docx", "A 49304-2024")</f>
        <v/>
      </c>
      <c r="Y153">
        <f>HYPERLINK("https://klasma.github.io/Logging_0980/tillsynsmail/A 49304-2024 tillsynsbegäran mail.docx", "A 49304-2024")</f>
        <v/>
      </c>
    </row>
    <row r="154" ht="15" customHeight="1">
      <c r="A154" t="inlineStr">
        <is>
          <t>A 63576-2021</t>
        </is>
      </c>
      <c r="B154" s="1" t="n">
        <v>44508</v>
      </c>
      <c r="C154" s="1" t="n">
        <v>46059</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64700-2021</t>
        </is>
      </c>
      <c r="B155" s="1" t="n">
        <v>44511</v>
      </c>
      <c r="C155" s="1" t="n">
        <v>46059</v>
      </c>
      <c r="D155" t="inlineStr">
        <is>
          <t>GOTLANDS LÄN</t>
        </is>
      </c>
      <c r="E155" t="inlineStr">
        <is>
          <t>GOTLAND</t>
        </is>
      </c>
      <c r="F155" t="inlineStr">
        <is>
          <t>Naturvårdsverket</t>
        </is>
      </c>
      <c r="G155" t="n">
        <v>2.4</v>
      </c>
      <c r="H155" t="n">
        <v>1</v>
      </c>
      <c r="I155" t="n">
        <v>0</v>
      </c>
      <c r="J155" t="n">
        <v>0</v>
      </c>
      <c r="K155" t="n">
        <v>1</v>
      </c>
      <c r="L155" t="n">
        <v>0</v>
      </c>
      <c r="M155" t="n">
        <v>0</v>
      </c>
      <c r="N155" t="n">
        <v>0</v>
      </c>
      <c r="O155" t="n">
        <v>1</v>
      </c>
      <c r="P155" t="n">
        <v>1</v>
      </c>
      <c r="Q155" t="n">
        <v>1</v>
      </c>
      <c r="R155" s="2" t="inlineStr">
        <is>
          <t>Kalkdån</t>
        </is>
      </c>
      <c r="S155">
        <f>HYPERLINK("https://klasma.github.io/Logging_0980/artfynd/A 64700-2021 artfynd.xlsx", "A 64700-2021")</f>
        <v/>
      </c>
      <c r="T155">
        <f>HYPERLINK("https://klasma.github.io/Logging_0980/kartor/A 64700-2021 karta.png", "A 64700-2021")</f>
        <v/>
      </c>
      <c r="V155">
        <f>HYPERLINK("https://klasma.github.io/Logging_0980/klagomål/A 64700-2021 FSC-klagomål.docx", "A 64700-2021")</f>
        <v/>
      </c>
      <c r="W155">
        <f>HYPERLINK("https://klasma.github.io/Logging_0980/klagomålsmail/A 64700-2021 FSC-klagomål mail.docx", "A 64700-2021")</f>
        <v/>
      </c>
      <c r="X155">
        <f>HYPERLINK("https://klasma.github.io/Logging_0980/tillsyn/A 64700-2021 tillsynsbegäran.docx", "A 64700-2021")</f>
        <v/>
      </c>
      <c r="Y155">
        <f>HYPERLINK("https://klasma.github.io/Logging_0980/tillsynsmail/A 64700-2021 tillsynsbegäran mail.docx", "A 64700-2021")</f>
        <v/>
      </c>
    </row>
    <row r="156" ht="15" customHeight="1">
      <c r="A156" t="inlineStr">
        <is>
          <t>A 44304-2021</t>
        </is>
      </c>
      <c r="B156" s="1" t="n">
        <v>44434</v>
      </c>
      <c r="C156" s="1" t="n">
        <v>46059</v>
      </c>
      <c r="D156" t="inlineStr">
        <is>
          <t>GOTLANDS LÄN</t>
        </is>
      </c>
      <c r="E156" t="inlineStr">
        <is>
          <t>GOTLAND</t>
        </is>
      </c>
      <c r="G156" t="n">
        <v>5.8</v>
      </c>
      <c r="H156" t="n">
        <v>0</v>
      </c>
      <c r="I156" t="n">
        <v>0</v>
      </c>
      <c r="J156" t="n">
        <v>1</v>
      </c>
      <c r="K156" t="n">
        <v>0</v>
      </c>
      <c r="L156" t="n">
        <v>0</v>
      </c>
      <c r="M156" t="n">
        <v>0</v>
      </c>
      <c r="N156" t="n">
        <v>0</v>
      </c>
      <c r="O156" t="n">
        <v>1</v>
      </c>
      <c r="P156" t="n">
        <v>0</v>
      </c>
      <c r="Q156" t="n">
        <v>1</v>
      </c>
      <c r="R156" s="2" t="inlineStr">
        <is>
          <t>Svinrot</t>
        </is>
      </c>
      <c r="S156">
        <f>HYPERLINK("https://klasma.github.io/Logging_0980/artfynd/A 44304-2021 artfynd.xlsx", "A 44304-2021")</f>
        <v/>
      </c>
      <c r="T156">
        <f>HYPERLINK("https://klasma.github.io/Logging_0980/kartor/A 44304-2021 karta.png", "A 44304-2021")</f>
        <v/>
      </c>
      <c r="V156">
        <f>HYPERLINK("https://klasma.github.io/Logging_0980/klagomål/A 44304-2021 FSC-klagomål.docx", "A 44304-2021")</f>
        <v/>
      </c>
      <c r="W156">
        <f>HYPERLINK("https://klasma.github.io/Logging_0980/klagomålsmail/A 44304-2021 FSC-klagomål mail.docx", "A 44304-2021")</f>
        <v/>
      </c>
      <c r="X156">
        <f>HYPERLINK("https://klasma.github.io/Logging_0980/tillsyn/A 44304-2021 tillsynsbegäran.docx", "A 44304-2021")</f>
        <v/>
      </c>
      <c r="Y156">
        <f>HYPERLINK("https://klasma.github.io/Logging_0980/tillsynsmail/A 44304-2021 tillsynsbegäran mail.docx", "A 44304-2021")</f>
        <v/>
      </c>
    </row>
    <row r="157" ht="15" customHeight="1">
      <c r="A157" t="inlineStr">
        <is>
          <t>A 35467-2021</t>
        </is>
      </c>
      <c r="B157" s="1" t="n">
        <v>44385</v>
      </c>
      <c r="C157" s="1" t="n">
        <v>46059</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44619-2025</t>
        </is>
      </c>
      <c r="B158" s="1" t="n">
        <v>45917</v>
      </c>
      <c r="C158" s="1" t="n">
        <v>46059</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25977-2024</t>
        </is>
      </c>
      <c r="B159" s="1" t="n">
        <v>45467.69356481481</v>
      </c>
      <c r="C159" s="1" t="n">
        <v>46059</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65927-2021</t>
        </is>
      </c>
      <c r="B160" s="1" t="n">
        <v>44516</v>
      </c>
      <c r="C160" s="1" t="n">
        <v>46059</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49726-2025</t>
        </is>
      </c>
      <c r="B161" s="1" t="n">
        <v>45939.84466435185</v>
      </c>
      <c r="C161" s="1" t="n">
        <v>46059</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20429-2025</t>
        </is>
      </c>
      <c r="B162" s="1" t="n">
        <v>45775.47728009259</v>
      </c>
      <c r="C162" s="1" t="n">
        <v>46059</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61796-2022</t>
        </is>
      </c>
      <c r="B163" s="1" t="n">
        <v>44917</v>
      </c>
      <c r="C163" s="1" t="n">
        <v>46059</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15637-2024</t>
        </is>
      </c>
      <c r="B164" s="1" t="n">
        <v>45403.6684837963</v>
      </c>
      <c r="C164" s="1" t="n">
        <v>46059</v>
      </c>
      <c r="D164" t="inlineStr">
        <is>
          <t>GOTLANDS LÄN</t>
        </is>
      </c>
      <c r="E164" t="inlineStr">
        <is>
          <t>GOTLAND</t>
        </is>
      </c>
      <c r="G164" t="n">
        <v>4.1</v>
      </c>
      <c r="H164" t="n">
        <v>1</v>
      </c>
      <c r="I164" t="n">
        <v>0</v>
      </c>
      <c r="J164" t="n">
        <v>0</v>
      </c>
      <c r="K164" t="n">
        <v>0</v>
      </c>
      <c r="L164" t="n">
        <v>0</v>
      </c>
      <c r="M164" t="n">
        <v>0</v>
      </c>
      <c r="N164" t="n">
        <v>0</v>
      </c>
      <c r="O164" t="n">
        <v>0</v>
      </c>
      <c r="P164" t="n">
        <v>0</v>
      </c>
      <c r="Q164" t="n">
        <v>1</v>
      </c>
      <c r="R164" s="2" t="inlineStr">
        <is>
          <t>Blåsippa</t>
        </is>
      </c>
      <c r="S164">
        <f>HYPERLINK("https://klasma.github.io/Logging_0980/artfynd/A 15637-2024 artfynd.xlsx", "A 15637-2024")</f>
        <v/>
      </c>
      <c r="T164">
        <f>HYPERLINK("https://klasma.github.io/Logging_0980/kartor/A 15637-2024 karta.png", "A 15637-2024")</f>
        <v/>
      </c>
      <c r="V164">
        <f>HYPERLINK("https://klasma.github.io/Logging_0980/klagomål/A 15637-2024 FSC-klagomål.docx", "A 15637-2024")</f>
        <v/>
      </c>
      <c r="W164">
        <f>HYPERLINK("https://klasma.github.io/Logging_0980/klagomålsmail/A 15637-2024 FSC-klagomål mail.docx", "A 15637-2024")</f>
        <v/>
      </c>
      <c r="X164">
        <f>HYPERLINK("https://klasma.github.io/Logging_0980/tillsyn/A 15637-2024 tillsynsbegäran.docx", "A 15637-2024")</f>
        <v/>
      </c>
      <c r="Y164">
        <f>HYPERLINK("https://klasma.github.io/Logging_0980/tillsynsmail/A 15637-2024 tillsynsbegäran mail.docx", "A 15637-2024")</f>
        <v/>
      </c>
    </row>
    <row r="165" ht="15" customHeight="1">
      <c r="A165" t="inlineStr">
        <is>
          <t>A 27589-2023</t>
        </is>
      </c>
      <c r="B165" s="1" t="n">
        <v>45097</v>
      </c>
      <c r="C165" s="1" t="n">
        <v>46059</v>
      </c>
      <c r="D165" t="inlineStr">
        <is>
          <t>GOTLANDS LÄN</t>
        </is>
      </c>
      <c r="E165" t="inlineStr">
        <is>
          <t>GOTLAND</t>
        </is>
      </c>
      <c r="G165" t="n">
        <v>5.4</v>
      </c>
      <c r="H165" t="n">
        <v>0</v>
      </c>
      <c r="I165" t="n">
        <v>0</v>
      </c>
      <c r="J165" t="n">
        <v>0</v>
      </c>
      <c r="K165" t="n">
        <v>0</v>
      </c>
      <c r="L165" t="n">
        <v>0</v>
      </c>
      <c r="M165" t="n">
        <v>1</v>
      </c>
      <c r="N165" t="n">
        <v>0</v>
      </c>
      <c r="O165" t="n">
        <v>1</v>
      </c>
      <c r="P165" t="n">
        <v>1</v>
      </c>
      <c r="Q165" t="n">
        <v>1</v>
      </c>
      <c r="R165" s="2" t="inlineStr">
        <is>
          <t>Skogsalm</t>
        </is>
      </c>
      <c r="S165">
        <f>HYPERLINK("https://klasma.github.io/Logging_0980/artfynd/A 27589-2023 artfynd.xlsx", "A 27589-2023")</f>
        <v/>
      </c>
      <c r="T165">
        <f>HYPERLINK("https://klasma.github.io/Logging_0980/kartor/A 27589-2023 karta.png", "A 27589-2023")</f>
        <v/>
      </c>
      <c r="V165">
        <f>HYPERLINK("https://klasma.github.io/Logging_0980/klagomål/A 27589-2023 FSC-klagomål.docx", "A 27589-2023")</f>
        <v/>
      </c>
      <c r="W165">
        <f>HYPERLINK("https://klasma.github.io/Logging_0980/klagomålsmail/A 27589-2023 FSC-klagomål mail.docx", "A 27589-2023")</f>
        <v/>
      </c>
      <c r="X165">
        <f>HYPERLINK("https://klasma.github.io/Logging_0980/tillsyn/A 27589-2023 tillsynsbegäran.docx", "A 27589-2023")</f>
        <v/>
      </c>
      <c r="Y165">
        <f>HYPERLINK("https://klasma.github.io/Logging_0980/tillsynsmail/A 27589-2023 tillsynsbegäran mail.docx", "A 27589-2023")</f>
        <v/>
      </c>
    </row>
    <row r="166" ht="15" customHeight="1">
      <c r="A166" t="inlineStr">
        <is>
          <t>A 63149-2025</t>
        </is>
      </c>
      <c r="B166" s="1" t="n">
        <v>46010</v>
      </c>
      <c r="C166" s="1" t="n">
        <v>46059</v>
      </c>
      <c r="D166" t="inlineStr">
        <is>
          <t>GOTLANDS LÄN</t>
        </is>
      </c>
      <c r="E166" t="inlineStr">
        <is>
          <t>GOTLAND</t>
        </is>
      </c>
      <c r="G166" t="n">
        <v>4.3</v>
      </c>
      <c r="H166" t="n">
        <v>0</v>
      </c>
      <c r="I166" t="n">
        <v>1</v>
      </c>
      <c r="J166" t="n">
        <v>0</v>
      </c>
      <c r="K166" t="n">
        <v>0</v>
      </c>
      <c r="L166" t="n">
        <v>0</v>
      </c>
      <c r="M166" t="n">
        <v>0</v>
      </c>
      <c r="N166" t="n">
        <v>0</v>
      </c>
      <c r="O166" t="n">
        <v>0</v>
      </c>
      <c r="P166" t="n">
        <v>0</v>
      </c>
      <c r="Q166" t="n">
        <v>1</v>
      </c>
      <c r="R166" s="2" t="inlineStr">
        <is>
          <t>Anisspindling</t>
        </is>
      </c>
      <c r="S166">
        <f>HYPERLINK("https://klasma.github.io/Logging_0980/artfynd/A 63149-2025 artfynd.xlsx", "A 63149-2025")</f>
        <v/>
      </c>
      <c r="T166">
        <f>HYPERLINK("https://klasma.github.io/Logging_0980/kartor/A 63149-2025 karta.png", "A 63149-2025")</f>
        <v/>
      </c>
      <c r="V166">
        <f>HYPERLINK("https://klasma.github.io/Logging_0980/klagomål/A 63149-2025 FSC-klagomål.docx", "A 63149-2025")</f>
        <v/>
      </c>
      <c r="W166">
        <f>HYPERLINK("https://klasma.github.io/Logging_0980/klagomålsmail/A 63149-2025 FSC-klagomål mail.docx", "A 63149-2025")</f>
        <v/>
      </c>
      <c r="X166">
        <f>HYPERLINK("https://klasma.github.io/Logging_0980/tillsyn/A 63149-2025 tillsynsbegäran.docx", "A 63149-2025")</f>
        <v/>
      </c>
      <c r="Y166">
        <f>HYPERLINK("https://klasma.github.io/Logging_0980/tillsynsmail/A 63149-2025 tillsynsbegäran mail.docx", "A 63149-2025")</f>
        <v/>
      </c>
    </row>
    <row r="167" ht="15" customHeight="1">
      <c r="A167" t="inlineStr">
        <is>
          <t>A 1477-2024</t>
        </is>
      </c>
      <c r="B167" s="1" t="n">
        <v>45305.37987268518</v>
      </c>
      <c r="C167" s="1" t="n">
        <v>46059</v>
      </c>
      <c r="D167" t="inlineStr">
        <is>
          <t>GOTLANDS LÄN</t>
        </is>
      </c>
      <c r="E167" t="inlineStr">
        <is>
          <t>GOTLAND</t>
        </is>
      </c>
      <c r="G167" t="n">
        <v>6.9</v>
      </c>
      <c r="H167" t="n">
        <v>0</v>
      </c>
      <c r="I167" t="n">
        <v>0</v>
      </c>
      <c r="J167" t="n">
        <v>1</v>
      </c>
      <c r="K167" t="n">
        <v>0</v>
      </c>
      <c r="L167" t="n">
        <v>0</v>
      </c>
      <c r="M167" t="n">
        <v>0</v>
      </c>
      <c r="N167" t="n">
        <v>0</v>
      </c>
      <c r="O167" t="n">
        <v>1</v>
      </c>
      <c r="P167" t="n">
        <v>0</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35574-2024</t>
        </is>
      </c>
      <c r="B168" s="1" t="n">
        <v>45531</v>
      </c>
      <c r="C168" s="1" t="n">
        <v>46059</v>
      </c>
      <c r="D168" t="inlineStr">
        <is>
          <t>GOTLANDS LÄN</t>
        </is>
      </c>
      <c r="E168" t="inlineStr">
        <is>
          <t>GOTLAND</t>
        </is>
      </c>
      <c r="G168" t="n">
        <v>5.7</v>
      </c>
      <c r="H168" t="n">
        <v>0</v>
      </c>
      <c r="I168" t="n">
        <v>1</v>
      </c>
      <c r="J168" t="n">
        <v>0</v>
      </c>
      <c r="K168" t="n">
        <v>0</v>
      </c>
      <c r="L168" t="n">
        <v>0</v>
      </c>
      <c r="M168" t="n">
        <v>0</v>
      </c>
      <c r="N168" t="n">
        <v>0</v>
      </c>
      <c r="O168" t="n">
        <v>0</v>
      </c>
      <c r="P168" t="n">
        <v>0</v>
      </c>
      <c r="Q168" t="n">
        <v>1</v>
      </c>
      <c r="R168" s="2" t="inlineStr">
        <is>
          <t>Murgröna</t>
        </is>
      </c>
      <c r="S168">
        <f>HYPERLINK("https://klasma.github.io/Logging_0980/artfynd/A 35574-2024 artfynd.xlsx", "A 35574-2024")</f>
        <v/>
      </c>
      <c r="T168">
        <f>HYPERLINK("https://klasma.github.io/Logging_0980/kartor/A 35574-2024 karta.png", "A 35574-2024")</f>
        <v/>
      </c>
      <c r="V168">
        <f>HYPERLINK("https://klasma.github.io/Logging_0980/klagomål/A 35574-2024 FSC-klagomål.docx", "A 35574-2024")</f>
        <v/>
      </c>
      <c r="W168">
        <f>HYPERLINK("https://klasma.github.io/Logging_0980/klagomålsmail/A 35574-2024 FSC-klagomål mail.docx", "A 35574-2024")</f>
        <v/>
      </c>
      <c r="X168">
        <f>HYPERLINK("https://klasma.github.io/Logging_0980/tillsyn/A 35574-2024 tillsynsbegäran.docx", "A 35574-2024")</f>
        <v/>
      </c>
      <c r="Y168">
        <f>HYPERLINK("https://klasma.github.io/Logging_0980/tillsynsmail/A 35574-2024 tillsynsbegäran mail.docx", "A 35574-2024")</f>
        <v/>
      </c>
    </row>
    <row r="169" ht="15" customHeight="1">
      <c r="A169" t="inlineStr">
        <is>
          <t>A 7637-2025</t>
        </is>
      </c>
      <c r="B169" s="1" t="n">
        <v>45705.77181712963</v>
      </c>
      <c r="C169" s="1" t="n">
        <v>46059</v>
      </c>
      <c r="D169" t="inlineStr">
        <is>
          <t>GOTLANDS LÄN</t>
        </is>
      </c>
      <c r="E169" t="inlineStr">
        <is>
          <t>GOTLAND</t>
        </is>
      </c>
      <c r="G169" t="n">
        <v>3.7</v>
      </c>
      <c r="H169" t="n">
        <v>0</v>
      </c>
      <c r="I169" t="n">
        <v>0</v>
      </c>
      <c r="J169" t="n">
        <v>0</v>
      </c>
      <c r="K169" t="n">
        <v>0</v>
      </c>
      <c r="L169" t="n">
        <v>0</v>
      </c>
      <c r="M169" t="n">
        <v>1</v>
      </c>
      <c r="N169" t="n">
        <v>0</v>
      </c>
      <c r="O169" t="n">
        <v>1</v>
      </c>
      <c r="P169" t="n">
        <v>1</v>
      </c>
      <c r="Q169" t="n">
        <v>1</v>
      </c>
      <c r="R169" s="2" t="inlineStr">
        <is>
          <t>Skogsalm</t>
        </is>
      </c>
      <c r="S169">
        <f>HYPERLINK("https://klasma.github.io/Logging_0980/artfynd/A 7637-2025 artfynd.xlsx", "A 7637-2025")</f>
        <v/>
      </c>
      <c r="T169">
        <f>HYPERLINK("https://klasma.github.io/Logging_0980/kartor/A 7637-2025 karta.png", "A 7637-2025")</f>
        <v/>
      </c>
      <c r="V169">
        <f>HYPERLINK("https://klasma.github.io/Logging_0980/klagomål/A 7637-2025 FSC-klagomål.docx", "A 7637-2025")</f>
        <v/>
      </c>
      <c r="W169">
        <f>HYPERLINK("https://klasma.github.io/Logging_0980/klagomålsmail/A 7637-2025 FSC-klagomål mail.docx", "A 7637-2025")</f>
        <v/>
      </c>
      <c r="X169">
        <f>HYPERLINK("https://klasma.github.io/Logging_0980/tillsyn/A 7637-2025 tillsynsbegäran.docx", "A 7637-2025")</f>
        <v/>
      </c>
      <c r="Y169">
        <f>HYPERLINK("https://klasma.github.io/Logging_0980/tillsynsmail/A 7637-2025 tillsynsbegäran mail.docx", "A 7637-2025")</f>
        <v/>
      </c>
    </row>
    <row r="170" ht="15" customHeight="1">
      <c r="A170" t="inlineStr">
        <is>
          <t>A 2476-2025</t>
        </is>
      </c>
      <c r="B170" s="1" t="n">
        <v>45673</v>
      </c>
      <c r="C170" s="1" t="n">
        <v>46059</v>
      </c>
      <c r="D170" t="inlineStr">
        <is>
          <t>GOTLANDS LÄN</t>
        </is>
      </c>
      <c r="E170" t="inlineStr">
        <is>
          <t>GOTLAND</t>
        </is>
      </c>
      <c r="G170" t="n">
        <v>3.1</v>
      </c>
      <c r="H170" t="n">
        <v>0</v>
      </c>
      <c r="I170" t="n">
        <v>1</v>
      </c>
      <c r="J170" t="n">
        <v>0</v>
      </c>
      <c r="K170" t="n">
        <v>0</v>
      </c>
      <c r="L170" t="n">
        <v>0</v>
      </c>
      <c r="M170" t="n">
        <v>0</v>
      </c>
      <c r="N170" t="n">
        <v>0</v>
      </c>
      <c r="O170" t="n">
        <v>0</v>
      </c>
      <c r="P170" t="n">
        <v>0</v>
      </c>
      <c r="Q170" t="n">
        <v>1</v>
      </c>
      <c r="R170" s="2" t="inlineStr">
        <is>
          <t>Kryddspindling</t>
        </is>
      </c>
      <c r="S170">
        <f>HYPERLINK("https://klasma.github.io/Logging_0980/artfynd/A 2476-2025 artfynd.xlsx", "A 2476-2025")</f>
        <v/>
      </c>
      <c r="T170">
        <f>HYPERLINK("https://klasma.github.io/Logging_0980/kartor/A 2476-2025 karta.png", "A 2476-2025")</f>
        <v/>
      </c>
      <c r="V170">
        <f>HYPERLINK("https://klasma.github.io/Logging_0980/klagomål/A 2476-2025 FSC-klagomål.docx", "A 2476-2025")</f>
        <v/>
      </c>
      <c r="W170">
        <f>HYPERLINK("https://klasma.github.io/Logging_0980/klagomålsmail/A 2476-2025 FSC-klagomål mail.docx", "A 2476-2025")</f>
        <v/>
      </c>
      <c r="X170">
        <f>HYPERLINK("https://klasma.github.io/Logging_0980/tillsyn/A 2476-2025 tillsynsbegäran.docx", "A 2476-2025")</f>
        <v/>
      </c>
      <c r="Y170">
        <f>HYPERLINK("https://klasma.github.io/Logging_0980/tillsynsmail/A 2476-2025 tillsynsbegäran mail.docx", "A 2476-2025")</f>
        <v/>
      </c>
    </row>
    <row r="171" ht="15" customHeight="1">
      <c r="A171" t="inlineStr">
        <is>
          <t>A 10995-2023</t>
        </is>
      </c>
      <c r="B171" s="1" t="n">
        <v>44986</v>
      </c>
      <c r="C171" s="1" t="n">
        <v>46059</v>
      </c>
      <c r="D171" t="inlineStr">
        <is>
          <t>GOTLANDS LÄN</t>
        </is>
      </c>
      <c r="E171" t="inlineStr">
        <is>
          <t>GOTLAND</t>
        </is>
      </c>
      <c r="G171" t="n">
        <v>2.8</v>
      </c>
      <c r="H171" t="n">
        <v>0</v>
      </c>
      <c r="I171" t="n">
        <v>0</v>
      </c>
      <c r="J171" t="n">
        <v>0</v>
      </c>
      <c r="K171" t="n">
        <v>1</v>
      </c>
      <c r="L171" t="n">
        <v>0</v>
      </c>
      <c r="M171" t="n">
        <v>0</v>
      </c>
      <c r="N171" t="n">
        <v>0</v>
      </c>
      <c r="O171" t="n">
        <v>1</v>
      </c>
      <c r="P171" t="n">
        <v>1</v>
      </c>
      <c r="Q171" t="n">
        <v>1</v>
      </c>
      <c r="R171" s="2" t="inlineStr">
        <is>
          <t>Violettfläckig spindling</t>
        </is>
      </c>
      <c r="S171">
        <f>HYPERLINK("https://klasma.github.io/Logging_0980/artfynd/A 10995-2023 artfynd.xlsx", "A 10995-2023")</f>
        <v/>
      </c>
      <c r="T171">
        <f>HYPERLINK("https://klasma.github.io/Logging_0980/kartor/A 10995-2023 karta.png", "A 10995-2023")</f>
        <v/>
      </c>
      <c r="V171">
        <f>HYPERLINK("https://klasma.github.io/Logging_0980/klagomål/A 10995-2023 FSC-klagomål.docx", "A 10995-2023")</f>
        <v/>
      </c>
      <c r="W171">
        <f>HYPERLINK("https://klasma.github.io/Logging_0980/klagomålsmail/A 10995-2023 FSC-klagomål mail.docx", "A 10995-2023")</f>
        <v/>
      </c>
      <c r="X171">
        <f>HYPERLINK("https://klasma.github.io/Logging_0980/tillsyn/A 10995-2023 tillsynsbegäran.docx", "A 10995-2023")</f>
        <v/>
      </c>
      <c r="Y171">
        <f>HYPERLINK("https://klasma.github.io/Logging_0980/tillsynsmail/A 10995-2023 tillsynsbegäran mail.docx", "A 10995-2023")</f>
        <v/>
      </c>
    </row>
    <row r="172" ht="15" customHeight="1">
      <c r="A172" t="inlineStr">
        <is>
          <t>A 62552-2022</t>
        </is>
      </c>
      <c r="B172" s="1" t="n">
        <v>44924</v>
      </c>
      <c r="C172" s="1" t="n">
        <v>46059</v>
      </c>
      <c r="D172" t="inlineStr">
        <is>
          <t>GOTLANDS LÄN</t>
        </is>
      </c>
      <c r="E172" t="inlineStr">
        <is>
          <t>GOTLAND</t>
        </is>
      </c>
      <c r="G172" t="n">
        <v>1.6</v>
      </c>
      <c r="H172" t="n">
        <v>0</v>
      </c>
      <c r="I172" t="n">
        <v>0</v>
      </c>
      <c r="J172" t="n">
        <v>1</v>
      </c>
      <c r="K172" t="n">
        <v>0</v>
      </c>
      <c r="L172" t="n">
        <v>0</v>
      </c>
      <c r="M172" t="n">
        <v>0</v>
      </c>
      <c r="N172" t="n">
        <v>0</v>
      </c>
      <c r="O172" t="n">
        <v>1</v>
      </c>
      <c r="P172" t="n">
        <v>0</v>
      </c>
      <c r="Q172" t="n">
        <v>1</v>
      </c>
      <c r="R172" s="2" t="inlineStr">
        <is>
          <t>Äggspindling</t>
        </is>
      </c>
      <c r="S172">
        <f>HYPERLINK("https://klasma.github.io/Logging_0980/artfynd/A 62552-2022 artfynd.xlsx", "A 62552-2022")</f>
        <v/>
      </c>
      <c r="T172">
        <f>HYPERLINK("https://klasma.github.io/Logging_0980/kartor/A 62552-2022 karta.png", "A 62552-2022")</f>
        <v/>
      </c>
      <c r="V172">
        <f>HYPERLINK("https://klasma.github.io/Logging_0980/klagomål/A 62552-2022 FSC-klagomål.docx", "A 62552-2022")</f>
        <v/>
      </c>
      <c r="W172">
        <f>HYPERLINK("https://klasma.github.io/Logging_0980/klagomålsmail/A 62552-2022 FSC-klagomål mail.docx", "A 62552-2022")</f>
        <v/>
      </c>
      <c r="X172">
        <f>HYPERLINK("https://klasma.github.io/Logging_0980/tillsyn/A 62552-2022 tillsynsbegäran.docx", "A 62552-2022")</f>
        <v/>
      </c>
      <c r="Y172">
        <f>HYPERLINK("https://klasma.github.io/Logging_0980/tillsynsmail/A 62552-2022 tillsynsbegäran mail.docx", "A 62552-2022")</f>
        <v/>
      </c>
    </row>
    <row r="173" ht="15" customHeight="1">
      <c r="A173" t="inlineStr">
        <is>
          <t>A 6303-2024</t>
        </is>
      </c>
      <c r="B173" s="1" t="n">
        <v>45338.35376157407</v>
      </c>
      <c r="C173" s="1" t="n">
        <v>46059</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44088-2022</t>
        </is>
      </c>
      <c r="B174" s="1" t="n">
        <v>44839</v>
      </c>
      <c r="C174" s="1" t="n">
        <v>46059</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34809-2024</t>
        </is>
      </c>
      <c r="B175" s="1" t="n">
        <v>45526</v>
      </c>
      <c r="C175" s="1" t="n">
        <v>46059</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61561-2023</t>
        </is>
      </c>
      <c r="B176" s="1" t="n">
        <v>45265</v>
      </c>
      <c r="C176" s="1" t="n">
        <v>46059</v>
      </c>
      <c r="D176" t="inlineStr">
        <is>
          <t>GOTLANDS LÄN</t>
        </is>
      </c>
      <c r="E176" t="inlineStr">
        <is>
          <t>GOTLAND</t>
        </is>
      </c>
      <c r="G176" t="n">
        <v>7.4</v>
      </c>
      <c r="H176" t="n">
        <v>0</v>
      </c>
      <c r="I176" t="n">
        <v>0</v>
      </c>
      <c r="J176" t="n">
        <v>1</v>
      </c>
      <c r="K176" t="n">
        <v>0</v>
      </c>
      <c r="L176" t="n">
        <v>0</v>
      </c>
      <c r="M176" t="n">
        <v>0</v>
      </c>
      <c r="N176" t="n">
        <v>0</v>
      </c>
      <c r="O176" t="n">
        <v>1</v>
      </c>
      <c r="P176" t="n">
        <v>0</v>
      </c>
      <c r="Q176" t="n">
        <v>1</v>
      </c>
      <c r="R176" s="2" t="inlineStr">
        <is>
          <t>Loppstarr</t>
        </is>
      </c>
      <c r="S176">
        <f>HYPERLINK("https://klasma.github.io/Logging_0980/artfynd/A 61561-2023 artfynd.xlsx", "A 61561-2023")</f>
        <v/>
      </c>
      <c r="T176">
        <f>HYPERLINK("https://klasma.github.io/Logging_0980/kartor/A 61561-2023 karta.png", "A 61561-2023")</f>
        <v/>
      </c>
      <c r="V176">
        <f>HYPERLINK("https://klasma.github.io/Logging_0980/klagomål/A 61561-2023 FSC-klagomål.docx", "A 61561-2023")</f>
        <v/>
      </c>
      <c r="W176">
        <f>HYPERLINK("https://klasma.github.io/Logging_0980/klagomålsmail/A 61561-2023 FSC-klagomål mail.docx", "A 61561-2023")</f>
        <v/>
      </c>
      <c r="X176">
        <f>HYPERLINK("https://klasma.github.io/Logging_0980/tillsyn/A 61561-2023 tillsynsbegäran.docx", "A 61561-2023")</f>
        <v/>
      </c>
      <c r="Y176">
        <f>HYPERLINK("https://klasma.github.io/Logging_0980/tillsynsmail/A 61561-2023 tillsynsbegäran mail.docx", "A 61561-2023")</f>
        <v/>
      </c>
    </row>
    <row r="177" ht="15" customHeight="1">
      <c r="A177" t="inlineStr">
        <is>
          <t>A 22782-2023</t>
        </is>
      </c>
      <c r="B177" s="1" t="n">
        <v>45072</v>
      </c>
      <c r="C177" s="1" t="n">
        <v>46059</v>
      </c>
      <c r="D177" t="inlineStr">
        <is>
          <t>GOTLANDS LÄN</t>
        </is>
      </c>
      <c r="E177" t="inlineStr">
        <is>
          <t>GOTLAND</t>
        </is>
      </c>
      <c r="F177" t="inlineStr">
        <is>
          <t>Kyrkan</t>
        </is>
      </c>
      <c r="G177" t="n">
        <v>3.1</v>
      </c>
      <c r="H177" t="n">
        <v>1</v>
      </c>
      <c r="I177" t="n">
        <v>0</v>
      </c>
      <c r="J177" t="n">
        <v>0</v>
      </c>
      <c r="K177" t="n">
        <v>0</v>
      </c>
      <c r="L177" t="n">
        <v>0</v>
      </c>
      <c r="M177" t="n">
        <v>0</v>
      </c>
      <c r="N177" t="n">
        <v>0</v>
      </c>
      <c r="O177" t="n">
        <v>0</v>
      </c>
      <c r="P177" t="n">
        <v>0</v>
      </c>
      <c r="Q177" t="n">
        <v>1</v>
      </c>
      <c r="R177" s="2" t="inlineStr">
        <is>
          <t>Ängsnycklar × skogsnycklar</t>
        </is>
      </c>
      <c r="S177">
        <f>HYPERLINK("https://klasma.github.io/Logging_0980/artfynd/A 22782-2023 artfynd.xlsx", "A 22782-2023")</f>
        <v/>
      </c>
      <c r="T177">
        <f>HYPERLINK("https://klasma.github.io/Logging_0980/kartor/A 22782-2023 karta.png", "A 22782-2023")</f>
        <v/>
      </c>
      <c r="V177">
        <f>HYPERLINK("https://klasma.github.io/Logging_0980/klagomål/A 22782-2023 FSC-klagomål.docx", "A 22782-2023")</f>
        <v/>
      </c>
      <c r="W177">
        <f>HYPERLINK("https://klasma.github.io/Logging_0980/klagomålsmail/A 22782-2023 FSC-klagomål mail.docx", "A 22782-2023")</f>
        <v/>
      </c>
      <c r="X177">
        <f>HYPERLINK("https://klasma.github.io/Logging_0980/tillsyn/A 22782-2023 tillsynsbegäran.docx", "A 22782-2023")</f>
        <v/>
      </c>
      <c r="Y177">
        <f>HYPERLINK("https://klasma.github.io/Logging_0980/tillsynsmail/A 22782-2023 tillsynsbegäran mail.docx", "A 22782-2023")</f>
        <v/>
      </c>
    </row>
    <row r="178" ht="15" customHeight="1">
      <c r="A178" t="inlineStr">
        <is>
          <t>A 22883-2024</t>
        </is>
      </c>
      <c r="B178" s="1" t="n">
        <v>45448.66368055555</v>
      </c>
      <c r="C178" s="1" t="n">
        <v>46059</v>
      </c>
      <c r="D178" t="inlineStr">
        <is>
          <t>GOTLANDS LÄN</t>
        </is>
      </c>
      <c r="E178" t="inlineStr">
        <is>
          <t>GOTLAND</t>
        </is>
      </c>
      <c r="G178" t="n">
        <v>0.5</v>
      </c>
      <c r="H178" t="n">
        <v>0</v>
      </c>
      <c r="I178" t="n">
        <v>0</v>
      </c>
      <c r="J178" t="n">
        <v>0</v>
      </c>
      <c r="K178" t="n">
        <v>1</v>
      </c>
      <c r="L178" t="n">
        <v>0</v>
      </c>
      <c r="M178" t="n">
        <v>0</v>
      </c>
      <c r="N178" t="n">
        <v>0</v>
      </c>
      <c r="O178" t="n">
        <v>1</v>
      </c>
      <c r="P178" t="n">
        <v>1</v>
      </c>
      <c r="Q178" t="n">
        <v>1</v>
      </c>
      <c r="R178" s="2" t="inlineStr">
        <is>
          <t>Gotlandsmåra</t>
        </is>
      </c>
      <c r="S178">
        <f>HYPERLINK("https://klasma.github.io/Logging_0980/artfynd/A 22883-2024 artfynd.xlsx", "A 22883-2024")</f>
        <v/>
      </c>
      <c r="T178">
        <f>HYPERLINK("https://klasma.github.io/Logging_0980/kartor/A 22883-2024 karta.png", "A 22883-2024")</f>
        <v/>
      </c>
      <c r="V178">
        <f>HYPERLINK("https://klasma.github.io/Logging_0980/klagomål/A 22883-2024 FSC-klagomål.docx", "A 22883-2024")</f>
        <v/>
      </c>
      <c r="W178">
        <f>HYPERLINK("https://klasma.github.io/Logging_0980/klagomålsmail/A 22883-2024 FSC-klagomål mail.docx", "A 22883-2024")</f>
        <v/>
      </c>
      <c r="X178">
        <f>HYPERLINK("https://klasma.github.io/Logging_0980/tillsyn/A 22883-2024 tillsynsbegäran.docx", "A 22883-2024")</f>
        <v/>
      </c>
      <c r="Y178">
        <f>HYPERLINK("https://klasma.github.io/Logging_0980/tillsynsmail/A 22883-2024 tillsynsbegäran mail.docx", "A 22883-2024")</f>
        <v/>
      </c>
    </row>
    <row r="179" ht="15" customHeight="1">
      <c r="A179" t="inlineStr">
        <is>
          <t>A 24245-2022</t>
        </is>
      </c>
      <c r="B179" s="1" t="n">
        <v>44725</v>
      </c>
      <c r="C179" s="1" t="n">
        <v>46059</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49847-2023</t>
        </is>
      </c>
      <c r="B180" s="1" t="n">
        <v>45212</v>
      </c>
      <c r="C180" s="1" t="n">
        <v>46059</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46527-2023</t>
        </is>
      </c>
      <c r="B181" s="1" t="n">
        <v>45197</v>
      </c>
      <c r="C181" s="1" t="n">
        <v>46059</v>
      </c>
      <c r="D181" t="inlineStr">
        <is>
          <t>GOTLANDS LÄN</t>
        </is>
      </c>
      <c r="E181" t="inlineStr">
        <is>
          <t>GOTLAND</t>
        </is>
      </c>
      <c r="G181" t="n">
        <v>0.9</v>
      </c>
      <c r="H181" t="n">
        <v>0</v>
      </c>
      <c r="I181" t="n">
        <v>0</v>
      </c>
      <c r="J181" t="n">
        <v>1</v>
      </c>
      <c r="K181" t="n">
        <v>0</v>
      </c>
      <c r="L181" t="n">
        <v>0</v>
      </c>
      <c r="M181" t="n">
        <v>0</v>
      </c>
      <c r="N181" t="n">
        <v>0</v>
      </c>
      <c r="O181" t="n">
        <v>1</v>
      </c>
      <c r="P181" t="n">
        <v>0</v>
      </c>
      <c r="Q181" t="n">
        <v>1</v>
      </c>
      <c r="R181" s="2" t="inlineStr">
        <is>
          <t>Guldgräshoppa</t>
        </is>
      </c>
      <c r="S181">
        <f>HYPERLINK("https://klasma.github.io/Logging_0980/artfynd/A 46527-2023 artfynd.xlsx", "A 46527-2023")</f>
        <v/>
      </c>
      <c r="T181">
        <f>HYPERLINK("https://klasma.github.io/Logging_0980/kartor/A 46527-2023 karta.png", "A 46527-2023")</f>
        <v/>
      </c>
      <c r="V181">
        <f>HYPERLINK("https://klasma.github.io/Logging_0980/klagomål/A 46527-2023 FSC-klagomål.docx", "A 46527-2023")</f>
        <v/>
      </c>
      <c r="W181">
        <f>HYPERLINK("https://klasma.github.io/Logging_0980/klagomålsmail/A 46527-2023 FSC-klagomål mail.docx", "A 46527-2023")</f>
        <v/>
      </c>
      <c r="X181">
        <f>HYPERLINK("https://klasma.github.io/Logging_0980/tillsyn/A 46527-2023 tillsynsbegäran.docx", "A 46527-2023")</f>
        <v/>
      </c>
      <c r="Y181">
        <f>HYPERLINK("https://klasma.github.io/Logging_0980/tillsynsmail/A 46527-2023 tillsynsbegäran mail.docx", "A 46527-2023")</f>
        <v/>
      </c>
    </row>
    <row r="182" ht="15" customHeight="1">
      <c r="A182" t="inlineStr">
        <is>
          <t>A 12324-2025</t>
        </is>
      </c>
      <c r="B182" s="1" t="n">
        <v>45730</v>
      </c>
      <c r="C182" s="1" t="n">
        <v>46059</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46059</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46059</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46059</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46059</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46059</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46059</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19901-2021</t>
        </is>
      </c>
      <c r="B189" s="1" t="n">
        <v>44312</v>
      </c>
      <c r="C189" s="1" t="n">
        <v>46059</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46059</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46059</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46059</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46059</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46059</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46059</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46059</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46059</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46059</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46059</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46059</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46059</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46059</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46059</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46059</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46059</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46059</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46059</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46059</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46059</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46059</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46059</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46059</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46059</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46059</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46059</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46059</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46059</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46059</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46059</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46059</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46059</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46059</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46059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46059</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46059</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46059</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46059</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46059</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46059</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46059</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46059</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46059</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20356-2022</t>
        </is>
      </c>
      <c r="B233" s="1" t="n">
        <v>44699</v>
      </c>
      <c r="C233" s="1" t="n">
        <v>46059</v>
      </c>
      <c r="D233" t="inlineStr">
        <is>
          <t>GOTLANDS LÄN</t>
        </is>
      </c>
      <c r="E233" t="inlineStr">
        <is>
          <t>GOTLAND</t>
        </is>
      </c>
      <c r="F233" t="inlineStr">
        <is>
          <t>Övriga Aktiebolag</t>
        </is>
      </c>
      <c r="G233" t="n">
        <v>4.4</v>
      </c>
      <c r="H233" t="n">
        <v>0</v>
      </c>
      <c r="I233" t="n">
        <v>0</v>
      </c>
      <c r="J233" t="n">
        <v>0</v>
      </c>
      <c r="K233" t="n">
        <v>0</v>
      </c>
      <c r="L233" t="n">
        <v>0</v>
      </c>
      <c r="M233" t="n">
        <v>0</v>
      </c>
      <c r="N233" t="n">
        <v>0</v>
      </c>
      <c r="O233" t="n">
        <v>0</v>
      </c>
      <c r="P233" t="n">
        <v>0</v>
      </c>
      <c r="Q233" t="n">
        <v>0</v>
      </c>
      <c r="R233" s="2" t="inlineStr"/>
    </row>
    <row r="234" ht="15" customHeight="1">
      <c r="A234" t="inlineStr">
        <is>
          <t>A 18742-2025</t>
        </is>
      </c>
      <c r="B234" s="1" t="n">
        <v>45763</v>
      </c>
      <c r="C234" s="1" t="n">
        <v>46059</v>
      </c>
      <c r="D234" t="inlineStr">
        <is>
          <t>GOTLANDS LÄN</t>
        </is>
      </c>
      <c r="E234" t="inlineStr">
        <is>
          <t>GOTLAND</t>
        </is>
      </c>
      <c r="G234" t="n">
        <v>3.4</v>
      </c>
      <c r="H234" t="n">
        <v>0</v>
      </c>
      <c r="I234" t="n">
        <v>0</v>
      </c>
      <c r="J234" t="n">
        <v>0</v>
      </c>
      <c r="K234" t="n">
        <v>0</v>
      </c>
      <c r="L234" t="n">
        <v>0</v>
      </c>
      <c r="M234" t="n">
        <v>0</v>
      </c>
      <c r="N234" t="n">
        <v>0</v>
      </c>
      <c r="O234" t="n">
        <v>0</v>
      </c>
      <c r="P234" t="n">
        <v>0</v>
      </c>
      <c r="Q234" t="n">
        <v>0</v>
      </c>
      <c r="R234" s="2" t="inlineStr"/>
    </row>
    <row r="235" ht="15" customHeight="1">
      <c r="A235" t="inlineStr">
        <is>
          <t>A 35129-2025</t>
        </is>
      </c>
      <c r="B235" s="1" t="n">
        <v>45852.63224537037</v>
      </c>
      <c r="C235" s="1" t="n">
        <v>46059</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17901-2023</t>
        </is>
      </c>
      <c r="B236" s="1" t="n">
        <v>45039</v>
      </c>
      <c r="C236" s="1" t="n">
        <v>46059</v>
      </c>
      <c r="D236" t="inlineStr">
        <is>
          <t>GOTLANDS LÄN</t>
        </is>
      </c>
      <c r="E236" t="inlineStr">
        <is>
          <t>GOTLAND</t>
        </is>
      </c>
      <c r="F236" t="inlineStr">
        <is>
          <t>Kyrkan</t>
        </is>
      </c>
      <c r="G236" t="n">
        <v>0.6</v>
      </c>
      <c r="H236" t="n">
        <v>0</v>
      </c>
      <c r="I236" t="n">
        <v>0</v>
      </c>
      <c r="J236" t="n">
        <v>0</v>
      </c>
      <c r="K236" t="n">
        <v>0</v>
      </c>
      <c r="L236" t="n">
        <v>0</v>
      </c>
      <c r="M236" t="n">
        <v>0</v>
      </c>
      <c r="N236" t="n">
        <v>0</v>
      </c>
      <c r="O236" t="n">
        <v>0</v>
      </c>
      <c r="P236" t="n">
        <v>0</v>
      </c>
      <c r="Q236" t="n">
        <v>0</v>
      </c>
      <c r="R236" s="2" t="inlineStr"/>
    </row>
    <row r="237" ht="15" customHeight="1">
      <c r="A237" t="inlineStr">
        <is>
          <t>A 13498-2022</t>
        </is>
      </c>
      <c r="B237" s="1" t="n">
        <v>44647.78866898148</v>
      </c>
      <c r="C237" s="1" t="n">
        <v>46059</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13500-2022</t>
        </is>
      </c>
      <c r="B238" s="1" t="n">
        <v>44647.79513888889</v>
      </c>
      <c r="C238" s="1" t="n">
        <v>46059</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46059</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46059</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46059</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18993-2025</t>
        </is>
      </c>
      <c r="B242" s="1" t="n">
        <v>45764</v>
      </c>
      <c r="C242" s="1" t="n">
        <v>46059</v>
      </c>
      <c r="D242" t="inlineStr">
        <is>
          <t>GOTLANDS LÄN</t>
        </is>
      </c>
      <c r="E242" t="inlineStr">
        <is>
          <t>GOTLAND</t>
        </is>
      </c>
      <c r="G242" t="n">
        <v>3</v>
      </c>
      <c r="H242" t="n">
        <v>0</v>
      </c>
      <c r="I242" t="n">
        <v>0</v>
      </c>
      <c r="J242" t="n">
        <v>0</v>
      </c>
      <c r="K242" t="n">
        <v>0</v>
      </c>
      <c r="L242" t="n">
        <v>0</v>
      </c>
      <c r="M242" t="n">
        <v>0</v>
      </c>
      <c r="N242" t="n">
        <v>0</v>
      </c>
      <c r="O242" t="n">
        <v>0</v>
      </c>
      <c r="P242" t="n">
        <v>0</v>
      </c>
      <c r="Q242" t="n">
        <v>0</v>
      </c>
      <c r="R242" s="2" t="inlineStr"/>
    </row>
    <row r="243" ht="15" customHeight="1">
      <c r="A243" t="inlineStr">
        <is>
          <t>A 6108-2025</t>
        </is>
      </c>
      <c r="B243" s="1" t="n">
        <v>45698.29880787037</v>
      </c>
      <c r="C243" s="1" t="n">
        <v>46059</v>
      </c>
      <c r="D243" t="inlineStr">
        <is>
          <t>GOTLANDS LÄN</t>
        </is>
      </c>
      <c r="E243" t="inlineStr">
        <is>
          <t>GOTLAND</t>
        </is>
      </c>
      <c r="G243" t="n">
        <v>2.8</v>
      </c>
      <c r="H243" t="n">
        <v>0</v>
      </c>
      <c r="I243" t="n">
        <v>0</v>
      </c>
      <c r="J243" t="n">
        <v>0</v>
      </c>
      <c r="K243" t="n">
        <v>0</v>
      </c>
      <c r="L243" t="n">
        <v>0</v>
      </c>
      <c r="M243" t="n">
        <v>0</v>
      </c>
      <c r="N243" t="n">
        <v>0</v>
      </c>
      <c r="O243" t="n">
        <v>0</v>
      </c>
      <c r="P243" t="n">
        <v>0</v>
      </c>
      <c r="Q243" t="n">
        <v>0</v>
      </c>
      <c r="R243" s="2" t="inlineStr"/>
    </row>
    <row r="244" ht="15" customHeight="1">
      <c r="A244" t="inlineStr">
        <is>
          <t>A 21142-2025</t>
        </is>
      </c>
      <c r="B244" s="1" t="n">
        <v>45779</v>
      </c>
      <c r="C244" s="1" t="n">
        <v>46059</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46396-2023</t>
        </is>
      </c>
      <c r="B245" s="1" t="n">
        <v>45197</v>
      </c>
      <c r="C245" s="1" t="n">
        <v>46059</v>
      </c>
      <c r="D245" t="inlineStr">
        <is>
          <t>GOTLANDS LÄN</t>
        </is>
      </c>
      <c r="E245" t="inlineStr">
        <is>
          <t>GOTLAND</t>
        </is>
      </c>
      <c r="G245" t="n">
        <v>1.4</v>
      </c>
      <c r="H245" t="n">
        <v>0</v>
      </c>
      <c r="I245" t="n">
        <v>0</v>
      </c>
      <c r="J245" t="n">
        <v>0</v>
      </c>
      <c r="K245" t="n">
        <v>0</v>
      </c>
      <c r="L245" t="n">
        <v>0</v>
      </c>
      <c r="M245" t="n">
        <v>0</v>
      </c>
      <c r="N245" t="n">
        <v>0</v>
      </c>
      <c r="O245" t="n">
        <v>0</v>
      </c>
      <c r="P245" t="n">
        <v>0</v>
      </c>
      <c r="Q245" t="n">
        <v>0</v>
      </c>
      <c r="R245" s="2" t="inlineStr"/>
    </row>
    <row r="246" ht="15" customHeight="1">
      <c r="A246" t="inlineStr">
        <is>
          <t>A 17343-2025</t>
        </is>
      </c>
      <c r="B246" s="1" t="n">
        <v>45756.6687037037</v>
      </c>
      <c r="C246" s="1" t="n">
        <v>46059</v>
      </c>
      <c r="D246" t="inlineStr">
        <is>
          <t>GOTLANDS LÄN</t>
        </is>
      </c>
      <c r="E246" t="inlineStr">
        <is>
          <t>GOTLAND</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30135-2025</t>
        </is>
      </c>
      <c r="B247" s="1" t="n">
        <v>45826</v>
      </c>
      <c r="C247" s="1" t="n">
        <v>46059</v>
      </c>
      <c r="D247" t="inlineStr">
        <is>
          <t>GOTLANDS LÄN</t>
        </is>
      </c>
      <c r="E247" t="inlineStr">
        <is>
          <t>GOTLAND</t>
        </is>
      </c>
      <c r="G247" t="n">
        <v>2.7</v>
      </c>
      <c r="H247" t="n">
        <v>0</v>
      </c>
      <c r="I247" t="n">
        <v>0</v>
      </c>
      <c r="J247" t="n">
        <v>0</v>
      </c>
      <c r="K247" t="n">
        <v>0</v>
      </c>
      <c r="L247" t="n">
        <v>0</v>
      </c>
      <c r="M247" t="n">
        <v>0</v>
      </c>
      <c r="N247" t="n">
        <v>0</v>
      </c>
      <c r="O247" t="n">
        <v>0</v>
      </c>
      <c r="P247" t="n">
        <v>0</v>
      </c>
      <c r="Q247" t="n">
        <v>0</v>
      </c>
      <c r="R247" s="2" t="inlineStr"/>
    </row>
    <row r="248" ht="15" customHeight="1">
      <c r="A248" t="inlineStr">
        <is>
          <t>A 30282-2022</t>
        </is>
      </c>
      <c r="B248" s="1" t="n">
        <v>44760</v>
      </c>
      <c r="C248" s="1" t="n">
        <v>46059</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17724-2024</t>
        </is>
      </c>
      <c r="B249" s="1" t="n">
        <v>45418.55096064815</v>
      </c>
      <c r="C249" s="1" t="n">
        <v>46059</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12599-2025</t>
        </is>
      </c>
      <c r="B250" s="1" t="n">
        <v>45733.29546296296</v>
      </c>
      <c r="C250" s="1" t="n">
        <v>46059</v>
      </c>
      <c r="D250" t="inlineStr">
        <is>
          <t>GOTLANDS LÄN</t>
        </is>
      </c>
      <c r="E250" t="inlineStr">
        <is>
          <t>GOTLAND</t>
        </is>
      </c>
      <c r="G250" t="n">
        <v>4.7</v>
      </c>
      <c r="H250" t="n">
        <v>0</v>
      </c>
      <c r="I250" t="n">
        <v>0</v>
      </c>
      <c r="J250" t="n">
        <v>0</v>
      </c>
      <c r="K250" t="n">
        <v>0</v>
      </c>
      <c r="L250" t="n">
        <v>0</v>
      </c>
      <c r="M250" t="n">
        <v>0</v>
      </c>
      <c r="N250" t="n">
        <v>0</v>
      </c>
      <c r="O250" t="n">
        <v>0</v>
      </c>
      <c r="P250" t="n">
        <v>0</v>
      </c>
      <c r="Q250" t="n">
        <v>0</v>
      </c>
      <c r="R250" s="2" t="inlineStr"/>
    </row>
    <row r="251" ht="15" customHeight="1">
      <c r="A251" t="inlineStr">
        <is>
          <t>A 34312-2024</t>
        </is>
      </c>
      <c r="B251" s="1" t="n">
        <v>45524.69703703704</v>
      </c>
      <c r="C251" s="1" t="n">
        <v>46059</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18938-2025</t>
        </is>
      </c>
      <c r="B252" s="1" t="n">
        <v>45764.49172453704</v>
      </c>
      <c r="C252" s="1" t="n">
        <v>46059</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35141-2025</t>
        </is>
      </c>
      <c r="B253" s="1" t="n">
        <v>45852.65206018519</v>
      </c>
      <c r="C253" s="1" t="n">
        <v>46059</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35142-2025</t>
        </is>
      </c>
      <c r="B254" s="1" t="n">
        <v>45852.65532407408</v>
      </c>
      <c r="C254" s="1" t="n">
        <v>46059</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4868-2024</t>
        </is>
      </c>
      <c r="B255" s="1" t="n">
        <v>45329</v>
      </c>
      <c r="C255" s="1" t="n">
        <v>46059</v>
      </c>
      <c r="D255" t="inlineStr">
        <is>
          <t>GOTLANDS LÄN</t>
        </is>
      </c>
      <c r="E255" t="inlineStr">
        <is>
          <t>GOTLAND</t>
        </is>
      </c>
      <c r="G255" t="n">
        <v>7.1</v>
      </c>
      <c r="H255" t="n">
        <v>0</v>
      </c>
      <c r="I255" t="n">
        <v>0</v>
      </c>
      <c r="J255" t="n">
        <v>0</v>
      </c>
      <c r="K255" t="n">
        <v>0</v>
      </c>
      <c r="L255" t="n">
        <v>0</v>
      </c>
      <c r="M255" t="n">
        <v>0</v>
      </c>
      <c r="N255" t="n">
        <v>0</v>
      </c>
      <c r="O255" t="n">
        <v>0</v>
      </c>
      <c r="P255" t="n">
        <v>0</v>
      </c>
      <c r="Q255" t="n">
        <v>0</v>
      </c>
      <c r="R255" s="2" t="inlineStr"/>
    </row>
    <row r="256" ht="15" customHeight="1">
      <c r="A256" t="inlineStr">
        <is>
          <t>A 30489-2025</t>
        </is>
      </c>
      <c r="B256" s="1" t="n">
        <v>45830</v>
      </c>
      <c r="C256" s="1" t="n">
        <v>46059</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69112-2021</t>
        </is>
      </c>
      <c r="B257" s="1" t="n">
        <v>44530</v>
      </c>
      <c r="C257" s="1" t="n">
        <v>46059</v>
      </c>
      <c r="D257" t="inlineStr">
        <is>
          <t>GOTLANDS LÄN</t>
        </is>
      </c>
      <c r="E257" t="inlineStr">
        <is>
          <t>GOTLAND</t>
        </is>
      </c>
      <c r="G257" t="n">
        <v>4.2</v>
      </c>
      <c r="H257" t="n">
        <v>0</v>
      </c>
      <c r="I257" t="n">
        <v>0</v>
      </c>
      <c r="J257" t="n">
        <v>0</v>
      </c>
      <c r="K257" t="n">
        <v>0</v>
      </c>
      <c r="L257" t="n">
        <v>0</v>
      </c>
      <c r="M257" t="n">
        <v>0</v>
      </c>
      <c r="N257" t="n">
        <v>0</v>
      </c>
      <c r="O257" t="n">
        <v>0</v>
      </c>
      <c r="P257" t="n">
        <v>0</v>
      </c>
      <c r="Q257" t="n">
        <v>0</v>
      </c>
      <c r="R257" s="2" t="inlineStr"/>
    </row>
    <row r="258" ht="15" customHeight="1">
      <c r="A258" t="inlineStr">
        <is>
          <t>A 7638-2025</t>
        </is>
      </c>
      <c r="B258" s="1" t="n">
        <v>45705.77306712963</v>
      </c>
      <c r="C258" s="1" t="n">
        <v>46059</v>
      </c>
      <c r="D258" t="inlineStr">
        <is>
          <t>GOTLANDS LÄN</t>
        </is>
      </c>
      <c r="E258" t="inlineStr">
        <is>
          <t>GOTLAND</t>
        </is>
      </c>
      <c r="G258" t="n">
        <v>2.2</v>
      </c>
      <c r="H258" t="n">
        <v>0</v>
      </c>
      <c r="I258" t="n">
        <v>0</v>
      </c>
      <c r="J258" t="n">
        <v>0</v>
      </c>
      <c r="K258" t="n">
        <v>0</v>
      </c>
      <c r="L258" t="n">
        <v>0</v>
      </c>
      <c r="M258" t="n">
        <v>0</v>
      </c>
      <c r="N258" t="n">
        <v>0</v>
      </c>
      <c r="O258" t="n">
        <v>0</v>
      </c>
      <c r="P258" t="n">
        <v>0</v>
      </c>
      <c r="Q258" t="n">
        <v>0</v>
      </c>
      <c r="R258" s="2" t="inlineStr"/>
    </row>
    <row r="259" ht="15" customHeight="1">
      <c r="A259" t="inlineStr">
        <is>
          <t>A 50482-2024</t>
        </is>
      </c>
      <c r="B259" s="1" t="n">
        <v>45601.48114583334</v>
      </c>
      <c r="C259" s="1" t="n">
        <v>46059</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1394-2023</t>
        </is>
      </c>
      <c r="B260" s="1" t="n">
        <v>44936.72997685185</v>
      </c>
      <c r="C260" s="1" t="n">
        <v>46059</v>
      </c>
      <c r="D260" t="inlineStr">
        <is>
          <t>GOTLANDS LÄN</t>
        </is>
      </c>
      <c r="E260" t="inlineStr">
        <is>
          <t>GOTLAND</t>
        </is>
      </c>
      <c r="G260" t="n">
        <v>2.1</v>
      </c>
      <c r="H260" t="n">
        <v>0</v>
      </c>
      <c r="I260" t="n">
        <v>0</v>
      </c>
      <c r="J260" t="n">
        <v>0</v>
      </c>
      <c r="K260" t="n">
        <v>0</v>
      </c>
      <c r="L260" t="n">
        <v>0</v>
      </c>
      <c r="M260" t="n">
        <v>0</v>
      </c>
      <c r="N260" t="n">
        <v>0</v>
      </c>
      <c r="O260" t="n">
        <v>0</v>
      </c>
      <c r="P260" t="n">
        <v>0</v>
      </c>
      <c r="Q260" t="n">
        <v>0</v>
      </c>
      <c r="R260" s="2" t="inlineStr"/>
    </row>
    <row r="261" ht="15" customHeight="1">
      <c r="A261" t="inlineStr">
        <is>
          <t>A 20307-2025</t>
        </is>
      </c>
      <c r="B261" s="1" t="n">
        <v>45774.95546296296</v>
      </c>
      <c r="C261" s="1" t="n">
        <v>46059</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58230-2024</t>
        </is>
      </c>
      <c r="B262" s="1" t="n">
        <v>45632.51625</v>
      </c>
      <c r="C262" s="1" t="n">
        <v>46059</v>
      </c>
      <c r="D262" t="inlineStr">
        <is>
          <t>GOTLANDS LÄN</t>
        </is>
      </c>
      <c r="E262" t="inlineStr">
        <is>
          <t>GOTLAND</t>
        </is>
      </c>
      <c r="G262" t="n">
        <v>7.3</v>
      </c>
      <c r="H262" t="n">
        <v>0</v>
      </c>
      <c r="I262" t="n">
        <v>0</v>
      </c>
      <c r="J262" t="n">
        <v>0</v>
      </c>
      <c r="K262" t="n">
        <v>0</v>
      </c>
      <c r="L262" t="n">
        <v>0</v>
      </c>
      <c r="M262" t="n">
        <v>0</v>
      </c>
      <c r="N262" t="n">
        <v>0</v>
      </c>
      <c r="O262" t="n">
        <v>0</v>
      </c>
      <c r="P262" t="n">
        <v>0</v>
      </c>
      <c r="Q262" t="n">
        <v>0</v>
      </c>
      <c r="R262" s="2" t="inlineStr"/>
    </row>
    <row r="263" ht="15" customHeight="1">
      <c r="A263" t="inlineStr">
        <is>
          <t>A 1462-2025</t>
        </is>
      </c>
      <c r="B263" s="1" t="n">
        <v>45670.36319444444</v>
      </c>
      <c r="C263" s="1" t="n">
        <v>46059</v>
      </c>
      <c r="D263" t="inlineStr">
        <is>
          <t>GOTLANDS LÄN</t>
        </is>
      </c>
      <c r="E263" t="inlineStr">
        <is>
          <t>GOTLAND</t>
        </is>
      </c>
      <c r="G263" t="n">
        <v>2.8</v>
      </c>
      <c r="H263" t="n">
        <v>0</v>
      </c>
      <c r="I263" t="n">
        <v>0</v>
      </c>
      <c r="J263" t="n">
        <v>0</v>
      </c>
      <c r="K263" t="n">
        <v>0</v>
      </c>
      <c r="L263" t="n">
        <v>0</v>
      </c>
      <c r="M263" t="n">
        <v>0</v>
      </c>
      <c r="N263" t="n">
        <v>0</v>
      </c>
      <c r="O263" t="n">
        <v>0</v>
      </c>
      <c r="P263" t="n">
        <v>0</v>
      </c>
      <c r="Q263" t="n">
        <v>0</v>
      </c>
      <c r="R263" s="2" t="inlineStr"/>
    </row>
    <row r="264" ht="15" customHeight="1">
      <c r="A264" t="inlineStr">
        <is>
          <t>A 32330-2024</t>
        </is>
      </c>
      <c r="B264" s="1" t="n">
        <v>45512</v>
      </c>
      <c r="C264" s="1" t="n">
        <v>46059</v>
      </c>
      <c r="D264" t="inlineStr">
        <is>
          <t>GOTLANDS LÄN</t>
        </is>
      </c>
      <c r="E264" t="inlineStr">
        <is>
          <t>GOTLAND</t>
        </is>
      </c>
      <c r="G264" t="n">
        <v>2.6</v>
      </c>
      <c r="H264" t="n">
        <v>0</v>
      </c>
      <c r="I264" t="n">
        <v>0</v>
      </c>
      <c r="J264" t="n">
        <v>0</v>
      </c>
      <c r="K264" t="n">
        <v>0</v>
      </c>
      <c r="L264" t="n">
        <v>0</v>
      </c>
      <c r="M264" t="n">
        <v>0</v>
      </c>
      <c r="N264" t="n">
        <v>0</v>
      </c>
      <c r="O264" t="n">
        <v>0</v>
      </c>
      <c r="P264" t="n">
        <v>0</v>
      </c>
      <c r="Q264" t="n">
        <v>0</v>
      </c>
      <c r="R264" s="2" t="inlineStr"/>
    </row>
    <row r="265" ht="15" customHeight="1">
      <c r="A265" t="inlineStr">
        <is>
          <t>A 25129-2023</t>
        </is>
      </c>
      <c r="B265" s="1" t="n">
        <v>45086.44261574074</v>
      </c>
      <c r="C265" s="1" t="n">
        <v>46059</v>
      </c>
      <c r="D265" t="inlineStr">
        <is>
          <t>GOTLANDS LÄN</t>
        </is>
      </c>
      <c r="E265" t="inlineStr">
        <is>
          <t>GOTLAND</t>
        </is>
      </c>
      <c r="G265" t="n">
        <v>1.5</v>
      </c>
      <c r="H265" t="n">
        <v>0</v>
      </c>
      <c r="I265" t="n">
        <v>0</v>
      </c>
      <c r="J265" t="n">
        <v>0</v>
      </c>
      <c r="K265" t="n">
        <v>0</v>
      </c>
      <c r="L265" t="n">
        <v>0</v>
      </c>
      <c r="M265" t="n">
        <v>0</v>
      </c>
      <c r="N265" t="n">
        <v>0</v>
      </c>
      <c r="O265" t="n">
        <v>0</v>
      </c>
      <c r="P265" t="n">
        <v>0</v>
      </c>
      <c r="Q265" t="n">
        <v>0</v>
      </c>
      <c r="R265" s="2" t="inlineStr"/>
    </row>
    <row r="266" ht="15" customHeight="1">
      <c r="A266" t="inlineStr">
        <is>
          <t>A 24192-2023</t>
        </is>
      </c>
      <c r="B266" s="1" t="n">
        <v>45079</v>
      </c>
      <c r="C266" s="1" t="n">
        <v>46059</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9613-2025</t>
        </is>
      </c>
      <c r="B267" s="1" t="n">
        <v>45715</v>
      </c>
      <c r="C267" s="1" t="n">
        <v>46059</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5386-2023</t>
        </is>
      </c>
      <c r="B268" s="1" t="n">
        <v>44959</v>
      </c>
      <c r="C268" s="1" t="n">
        <v>46059</v>
      </c>
      <c r="D268" t="inlineStr">
        <is>
          <t>GOTLANDS LÄN</t>
        </is>
      </c>
      <c r="E268" t="inlineStr">
        <is>
          <t>GOTLAND</t>
        </is>
      </c>
      <c r="G268" t="n">
        <v>5.4</v>
      </c>
      <c r="H268" t="n">
        <v>0</v>
      </c>
      <c r="I268" t="n">
        <v>0</v>
      </c>
      <c r="J268" t="n">
        <v>0</v>
      </c>
      <c r="K268" t="n">
        <v>0</v>
      </c>
      <c r="L268" t="n">
        <v>0</v>
      </c>
      <c r="M268" t="n">
        <v>0</v>
      </c>
      <c r="N268" t="n">
        <v>0</v>
      </c>
      <c r="O268" t="n">
        <v>0</v>
      </c>
      <c r="P268" t="n">
        <v>0</v>
      </c>
      <c r="Q268" t="n">
        <v>0</v>
      </c>
      <c r="R268" s="2" t="inlineStr"/>
    </row>
    <row r="269" ht="15" customHeight="1">
      <c r="A269" t="inlineStr">
        <is>
          <t>A 7026-2023</t>
        </is>
      </c>
      <c r="B269" s="1" t="n">
        <v>44968.30340277778</v>
      </c>
      <c r="C269" s="1" t="n">
        <v>46059</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20855-2023</t>
        </is>
      </c>
      <c r="B270" s="1" t="n">
        <v>45058.82172453704</v>
      </c>
      <c r="C270" s="1" t="n">
        <v>46059</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1000-2024</t>
        </is>
      </c>
      <c r="B271" s="1" t="n">
        <v>45301.63371527778</v>
      </c>
      <c r="C271" s="1" t="n">
        <v>46059</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1010-2024</t>
        </is>
      </c>
      <c r="B272" s="1" t="n">
        <v>45301</v>
      </c>
      <c r="C272" s="1" t="n">
        <v>46059</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15595-2024</t>
        </is>
      </c>
      <c r="B273" s="1" t="n">
        <v>45401.81480324074</v>
      </c>
      <c r="C273" s="1" t="n">
        <v>46059</v>
      </c>
      <c r="D273" t="inlineStr">
        <is>
          <t>GOTLANDS LÄN</t>
        </is>
      </c>
      <c r="E273" t="inlineStr">
        <is>
          <t>GOTLAND</t>
        </is>
      </c>
      <c r="G273" t="n">
        <v>6.4</v>
      </c>
      <c r="H273" t="n">
        <v>0</v>
      </c>
      <c r="I273" t="n">
        <v>0</v>
      </c>
      <c r="J273" t="n">
        <v>0</v>
      </c>
      <c r="K273" t="n">
        <v>0</v>
      </c>
      <c r="L273" t="n">
        <v>0</v>
      </c>
      <c r="M273" t="n">
        <v>0</v>
      </c>
      <c r="N273" t="n">
        <v>0</v>
      </c>
      <c r="O273" t="n">
        <v>0</v>
      </c>
      <c r="P273" t="n">
        <v>0</v>
      </c>
      <c r="Q273" t="n">
        <v>0</v>
      </c>
      <c r="R273" s="2" t="inlineStr"/>
    </row>
    <row r="274" ht="15" customHeight="1">
      <c r="A274" t="inlineStr">
        <is>
          <t>A 39819-2025</t>
        </is>
      </c>
      <c r="B274" s="1" t="n">
        <v>45891.53418981482</v>
      </c>
      <c r="C274" s="1" t="n">
        <v>46059</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5751-2024</t>
        </is>
      </c>
      <c r="B275" s="1" t="n">
        <v>45335.32702546296</v>
      </c>
      <c r="C275" s="1" t="n">
        <v>46059</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39814-2025</t>
        </is>
      </c>
      <c r="B276" s="1" t="n">
        <v>45891.52694444444</v>
      </c>
      <c r="C276" s="1" t="n">
        <v>46059</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39849-2025</t>
        </is>
      </c>
      <c r="B277" s="1" t="n">
        <v>45891.58502314815</v>
      </c>
      <c r="C277" s="1" t="n">
        <v>46059</v>
      </c>
      <c r="D277" t="inlineStr">
        <is>
          <t>GOTLANDS LÄN</t>
        </is>
      </c>
      <c r="E277" t="inlineStr">
        <is>
          <t>GOTLAND</t>
        </is>
      </c>
      <c r="G277" t="n">
        <v>6.1</v>
      </c>
      <c r="H277" t="n">
        <v>0</v>
      </c>
      <c r="I277" t="n">
        <v>0</v>
      </c>
      <c r="J277" t="n">
        <v>0</v>
      </c>
      <c r="K277" t="n">
        <v>0</v>
      </c>
      <c r="L277" t="n">
        <v>0</v>
      </c>
      <c r="M277" t="n">
        <v>0</v>
      </c>
      <c r="N277" t="n">
        <v>0</v>
      </c>
      <c r="O277" t="n">
        <v>0</v>
      </c>
      <c r="P277" t="n">
        <v>0</v>
      </c>
      <c r="Q277" t="n">
        <v>0</v>
      </c>
      <c r="R277" s="2" t="inlineStr"/>
    </row>
    <row r="278" ht="15" customHeight="1">
      <c r="A278" t="inlineStr">
        <is>
          <t>A 39752-2025</t>
        </is>
      </c>
      <c r="B278" s="1" t="n">
        <v>45891</v>
      </c>
      <c r="C278" s="1" t="n">
        <v>46059</v>
      </c>
      <c r="D278" t="inlineStr">
        <is>
          <t>GOTLANDS LÄN</t>
        </is>
      </c>
      <c r="E278" t="inlineStr">
        <is>
          <t>GOTLAND</t>
        </is>
      </c>
      <c r="G278" t="n">
        <v>5.3</v>
      </c>
      <c r="H278" t="n">
        <v>0</v>
      </c>
      <c r="I278" t="n">
        <v>0</v>
      </c>
      <c r="J278" t="n">
        <v>0</v>
      </c>
      <c r="K278" t="n">
        <v>0</v>
      </c>
      <c r="L278" t="n">
        <v>0</v>
      </c>
      <c r="M278" t="n">
        <v>0</v>
      </c>
      <c r="N278" t="n">
        <v>0</v>
      </c>
      <c r="O278" t="n">
        <v>0</v>
      </c>
      <c r="P278" t="n">
        <v>0</v>
      </c>
      <c r="Q278" t="n">
        <v>0</v>
      </c>
      <c r="R278" s="2" t="inlineStr"/>
    </row>
    <row r="279" ht="15" customHeight="1">
      <c r="A279" t="inlineStr">
        <is>
          <t>A 39816-2025</t>
        </is>
      </c>
      <c r="B279" s="1" t="n">
        <v>45891</v>
      </c>
      <c r="C279" s="1" t="n">
        <v>46059</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40103-2025</t>
        </is>
      </c>
      <c r="B280" s="1" t="n">
        <v>45894.4880324074</v>
      </c>
      <c r="C280" s="1" t="n">
        <v>46059</v>
      </c>
      <c r="D280" t="inlineStr">
        <is>
          <t>GOTLANDS LÄN</t>
        </is>
      </c>
      <c r="E280" t="inlineStr">
        <is>
          <t>GOTLAND</t>
        </is>
      </c>
      <c r="G280" t="n">
        <v>0.9</v>
      </c>
      <c r="H280" t="n">
        <v>0</v>
      </c>
      <c r="I280" t="n">
        <v>0</v>
      </c>
      <c r="J280" t="n">
        <v>0</v>
      </c>
      <c r="K280" t="n">
        <v>0</v>
      </c>
      <c r="L280" t="n">
        <v>0</v>
      </c>
      <c r="M280" t="n">
        <v>0</v>
      </c>
      <c r="N280" t="n">
        <v>0</v>
      </c>
      <c r="O280" t="n">
        <v>0</v>
      </c>
      <c r="P280" t="n">
        <v>0</v>
      </c>
      <c r="Q280" t="n">
        <v>0</v>
      </c>
      <c r="R280" s="2" t="inlineStr"/>
    </row>
    <row r="281" ht="15" customHeight="1">
      <c r="A281" t="inlineStr">
        <is>
          <t>A 47762-2023</t>
        </is>
      </c>
      <c r="B281" s="1" t="n">
        <v>45203.86256944444</v>
      </c>
      <c r="C281" s="1" t="n">
        <v>46059</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40373-2025</t>
        </is>
      </c>
      <c r="B282" s="1" t="n">
        <v>45895.51821759259</v>
      </c>
      <c r="C282" s="1" t="n">
        <v>46059</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40499-2025</t>
        </is>
      </c>
      <c r="B283" s="1" t="n">
        <v>45896.32517361111</v>
      </c>
      <c r="C283" s="1" t="n">
        <v>46059</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40372-2025</t>
        </is>
      </c>
      <c r="B284" s="1" t="n">
        <v>45895.5162037037</v>
      </c>
      <c r="C284" s="1" t="n">
        <v>46059</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46545-2024</t>
        </is>
      </c>
      <c r="B285" s="1" t="n">
        <v>45582.65831018519</v>
      </c>
      <c r="C285" s="1" t="n">
        <v>46059</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24966-2023</t>
        </is>
      </c>
      <c r="B286" s="1" t="n">
        <v>45085</v>
      </c>
      <c r="C286" s="1" t="n">
        <v>46059</v>
      </c>
      <c r="D286" t="inlineStr">
        <is>
          <t>GOTLANDS LÄN</t>
        </is>
      </c>
      <c r="E286" t="inlineStr">
        <is>
          <t>GOTLAND</t>
        </is>
      </c>
      <c r="G286" t="n">
        <v>7</v>
      </c>
      <c r="H286" t="n">
        <v>0</v>
      </c>
      <c r="I286" t="n">
        <v>0</v>
      </c>
      <c r="J286" t="n">
        <v>0</v>
      </c>
      <c r="K286" t="n">
        <v>0</v>
      </c>
      <c r="L286" t="n">
        <v>0</v>
      </c>
      <c r="M286" t="n">
        <v>0</v>
      </c>
      <c r="N286" t="n">
        <v>0</v>
      </c>
      <c r="O286" t="n">
        <v>0</v>
      </c>
      <c r="P286" t="n">
        <v>0</v>
      </c>
      <c r="Q286" t="n">
        <v>0</v>
      </c>
      <c r="R286" s="2" t="inlineStr"/>
    </row>
    <row r="287" ht="15" customHeight="1">
      <c r="A287" t="inlineStr">
        <is>
          <t>A 46189-2022</t>
        </is>
      </c>
      <c r="B287" s="1" t="n">
        <v>44847</v>
      </c>
      <c r="C287" s="1" t="n">
        <v>46059</v>
      </c>
      <c r="D287" t="inlineStr">
        <is>
          <t>GOTLANDS LÄN</t>
        </is>
      </c>
      <c r="E287" t="inlineStr">
        <is>
          <t>GOTLAND</t>
        </is>
      </c>
      <c r="G287" t="n">
        <v>0.4</v>
      </c>
      <c r="H287" t="n">
        <v>0</v>
      </c>
      <c r="I287" t="n">
        <v>0</v>
      </c>
      <c r="J287" t="n">
        <v>0</v>
      </c>
      <c r="K287" t="n">
        <v>0</v>
      </c>
      <c r="L287" t="n">
        <v>0</v>
      </c>
      <c r="M287" t="n">
        <v>0</v>
      </c>
      <c r="N287" t="n">
        <v>0</v>
      </c>
      <c r="O287" t="n">
        <v>0</v>
      </c>
      <c r="P287" t="n">
        <v>0</v>
      </c>
      <c r="Q287" t="n">
        <v>0</v>
      </c>
      <c r="R287" s="2" t="inlineStr"/>
    </row>
    <row r="288" ht="15" customHeight="1">
      <c r="A288" t="inlineStr">
        <is>
          <t>A 60086-2022</t>
        </is>
      </c>
      <c r="B288" s="1" t="n">
        <v>44909</v>
      </c>
      <c r="C288" s="1" t="n">
        <v>46059</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46059</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56688-2025</t>
        </is>
      </c>
      <c r="B290" s="1" t="n">
        <v>45975.84331018518</v>
      </c>
      <c r="C290" s="1" t="n">
        <v>46059</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28480-2023</t>
        </is>
      </c>
      <c r="B291" s="1" t="n">
        <v>45103</v>
      </c>
      <c r="C291" s="1" t="n">
        <v>46059</v>
      </c>
      <c r="D291" t="inlineStr">
        <is>
          <t>GOTLANDS LÄN</t>
        </is>
      </c>
      <c r="E291" t="inlineStr">
        <is>
          <t>GOTLAND</t>
        </is>
      </c>
      <c r="G291" t="n">
        <v>5.7</v>
      </c>
      <c r="H291" t="n">
        <v>0</v>
      </c>
      <c r="I291" t="n">
        <v>0</v>
      </c>
      <c r="J291" t="n">
        <v>0</v>
      </c>
      <c r="K291" t="n">
        <v>0</v>
      </c>
      <c r="L291" t="n">
        <v>0</v>
      </c>
      <c r="M291" t="n">
        <v>0</v>
      </c>
      <c r="N291" t="n">
        <v>0</v>
      </c>
      <c r="O291" t="n">
        <v>0</v>
      </c>
      <c r="P291" t="n">
        <v>0</v>
      </c>
      <c r="Q291" t="n">
        <v>0</v>
      </c>
      <c r="R291" s="2" t="inlineStr"/>
    </row>
    <row r="292" ht="15" customHeight="1">
      <c r="A292" t="inlineStr">
        <is>
          <t>A 28485-2023</t>
        </is>
      </c>
      <c r="B292" s="1" t="n">
        <v>45103.43731481482</v>
      </c>
      <c r="C292" s="1" t="n">
        <v>46059</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22031-2024</t>
        </is>
      </c>
      <c r="B293" s="1" t="n">
        <v>45443.60075231481</v>
      </c>
      <c r="C293" s="1" t="n">
        <v>46059</v>
      </c>
      <c r="D293" t="inlineStr">
        <is>
          <t>GOTLANDS LÄN</t>
        </is>
      </c>
      <c r="E293" t="inlineStr">
        <is>
          <t>GOTLAND</t>
        </is>
      </c>
      <c r="G293" t="n">
        <v>2.3</v>
      </c>
      <c r="H293" t="n">
        <v>0</v>
      </c>
      <c r="I293" t="n">
        <v>0</v>
      </c>
      <c r="J293" t="n">
        <v>0</v>
      </c>
      <c r="K293" t="n">
        <v>0</v>
      </c>
      <c r="L293" t="n">
        <v>0</v>
      </c>
      <c r="M293" t="n">
        <v>0</v>
      </c>
      <c r="N293" t="n">
        <v>0</v>
      </c>
      <c r="O293" t="n">
        <v>0</v>
      </c>
      <c r="P293" t="n">
        <v>0</v>
      </c>
      <c r="Q293" t="n">
        <v>0</v>
      </c>
      <c r="R293" s="2" t="inlineStr"/>
    </row>
    <row r="294" ht="15" customHeight="1">
      <c r="A294" t="inlineStr">
        <is>
          <t>A 49314-2024</t>
        </is>
      </c>
      <c r="B294" s="1" t="n">
        <v>45595.55893518519</v>
      </c>
      <c r="C294" s="1" t="n">
        <v>46059</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44919-2022</t>
        </is>
      </c>
      <c r="B295" s="1" t="n">
        <v>44841</v>
      </c>
      <c r="C295" s="1" t="n">
        <v>46059</v>
      </c>
      <c r="D295" t="inlineStr">
        <is>
          <t>GOTLANDS LÄN</t>
        </is>
      </c>
      <c r="E295" t="inlineStr">
        <is>
          <t>GOTLAND</t>
        </is>
      </c>
      <c r="G295" t="n">
        <v>2.2</v>
      </c>
      <c r="H295" t="n">
        <v>0</v>
      </c>
      <c r="I295" t="n">
        <v>0</v>
      </c>
      <c r="J295" t="n">
        <v>0</v>
      </c>
      <c r="K295" t="n">
        <v>0</v>
      </c>
      <c r="L295" t="n">
        <v>0</v>
      </c>
      <c r="M295" t="n">
        <v>0</v>
      </c>
      <c r="N295" t="n">
        <v>0</v>
      </c>
      <c r="O295" t="n">
        <v>0</v>
      </c>
      <c r="P295" t="n">
        <v>0</v>
      </c>
      <c r="Q295" t="n">
        <v>0</v>
      </c>
      <c r="R295" s="2" t="inlineStr"/>
    </row>
    <row r="296" ht="15" customHeight="1">
      <c r="A296" t="inlineStr">
        <is>
          <t>A 41435-2025</t>
        </is>
      </c>
      <c r="B296" s="1" t="n">
        <v>45901.39974537037</v>
      </c>
      <c r="C296" s="1" t="n">
        <v>46059</v>
      </c>
      <c r="D296" t="inlineStr">
        <is>
          <t>GOTLANDS LÄN</t>
        </is>
      </c>
      <c r="E296" t="inlineStr">
        <is>
          <t>GOTLAND</t>
        </is>
      </c>
      <c r="G296" t="n">
        <v>4.9</v>
      </c>
      <c r="H296" t="n">
        <v>0</v>
      </c>
      <c r="I296" t="n">
        <v>0</v>
      </c>
      <c r="J296" t="n">
        <v>0</v>
      </c>
      <c r="K296" t="n">
        <v>0</v>
      </c>
      <c r="L296" t="n">
        <v>0</v>
      </c>
      <c r="M296" t="n">
        <v>0</v>
      </c>
      <c r="N296" t="n">
        <v>0</v>
      </c>
      <c r="O296" t="n">
        <v>0</v>
      </c>
      <c r="P296" t="n">
        <v>0</v>
      </c>
      <c r="Q296" t="n">
        <v>0</v>
      </c>
      <c r="R296" s="2" t="inlineStr"/>
    </row>
    <row r="297" ht="15" customHeight="1">
      <c r="A297" t="inlineStr">
        <is>
          <t>A 62915-2021</t>
        </is>
      </c>
      <c r="B297" s="1" t="n">
        <v>44504</v>
      </c>
      <c r="C297" s="1" t="n">
        <v>46059</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36-2026</t>
        </is>
      </c>
      <c r="B298" s="1" t="n">
        <v>46024.38886574074</v>
      </c>
      <c r="C298" s="1" t="n">
        <v>46059</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41551-2025</t>
        </is>
      </c>
      <c r="B299" s="1" t="n">
        <v>45901.58854166666</v>
      </c>
      <c r="C299" s="1" t="n">
        <v>46059</v>
      </c>
      <c r="D299" t="inlineStr">
        <is>
          <t>GOTLANDS LÄN</t>
        </is>
      </c>
      <c r="E299" t="inlineStr">
        <is>
          <t>GOTLAND</t>
        </is>
      </c>
      <c r="G299" t="n">
        <v>5.6</v>
      </c>
      <c r="H299" t="n">
        <v>0</v>
      </c>
      <c r="I299" t="n">
        <v>0</v>
      </c>
      <c r="J299" t="n">
        <v>0</v>
      </c>
      <c r="K299" t="n">
        <v>0</v>
      </c>
      <c r="L299" t="n">
        <v>0</v>
      </c>
      <c r="M299" t="n">
        <v>0</v>
      </c>
      <c r="N299" t="n">
        <v>0</v>
      </c>
      <c r="O299" t="n">
        <v>0</v>
      </c>
      <c r="P299" t="n">
        <v>0</v>
      </c>
      <c r="Q299" t="n">
        <v>0</v>
      </c>
      <c r="R299" s="2" t="inlineStr"/>
    </row>
    <row r="300" ht="15" customHeight="1">
      <c r="A300" t="inlineStr">
        <is>
          <t>A 48503-2023</t>
        </is>
      </c>
      <c r="B300" s="1" t="n">
        <v>45207</v>
      </c>
      <c r="C300" s="1" t="n">
        <v>46059</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65901-2021</t>
        </is>
      </c>
      <c r="B301" s="1" t="n">
        <v>44516</v>
      </c>
      <c r="C301" s="1" t="n">
        <v>46059</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44649-2021</t>
        </is>
      </c>
      <c r="B302" s="1" t="n">
        <v>44437</v>
      </c>
      <c r="C302" s="1" t="n">
        <v>46059</v>
      </c>
      <c r="D302" t="inlineStr">
        <is>
          <t>GOTLANDS LÄN</t>
        </is>
      </c>
      <c r="E302" t="inlineStr">
        <is>
          <t>GOTLAND</t>
        </is>
      </c>
      <c r="G302" t="n">
        <v>8.1</v>
      </c>
      <c r="H302" t="n">
        <v>0</v>
      </c>
      <c r="I302" t="n">
        <v>0</v>
      </c>
      <c r="J302" t="n">
        <v>0</v>
      </c>
      <c r="K302" t="n">
        <v>0</v>
      </c>
      <c r="L302" t="n">
        <v>0</v>
      </c>
      <c r="M302" t="n">
        <v>0</v>
      </c>
      <c r="N302" t="n">
        <v>0</v>
      </c>
      <c r="O302" t="n">
        <v>0</v>
      </c>
      <c r="P302" t="n">
        <v>0</v>
      </c>
      <c r="Q302" t="n">
        <v>0</v>
      </c>
      <c r="R302" s="2" t="inlineStr"/>
    </row>
    <row r="303" ht="15" customHeight="1">
      <c r="A303" t="inlineStr">
        <is>
          <t>A 42608-2025</t>
        </is>
      </c>
      <c r="B303" s="1" t="n">
        <v>45905</v>
      </c>
      <c r="C303" s="1" t="n">
        <v>46059</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9947-2024</t>
        </is>
      </c>
      <c r="B304" s="1" t="n">
        <v>45363</v>
      </c>
      <c r="C304" s="1" t="n">
        <v>46059</v>
      </c>
      <c r="D304" t="inlineStr">
        <is>
          <t>GOTLANDS LÄN</t>
        </is>
      </c>
      <c r="E304" t="inlineStr">
        <is>
          <t>GOTLAND</t>
        </is>
      </c>
      <c r="G304" t="n">
        <v>2</v>
      </c>
      <c r="H304" t="n">
        <v>0</v>
      </c>
      <c r="I304" t="n">
        <v>0</v>
      </c>
      <c r="J304" t="n">
        <v>0</v>
      </c>
      <c r="K304" t="n">
        <v>0</v>
      </c>
      <c r="L304" t="n">
        <v>0</v>
      </c>
      <c r="M304" t="n">
        <v>0</v>
      </c>
      <c r="N304" t="n">
        <v>0</v>
      </c>
      <c r="O304" t="n">
        <v>0</v>
      </c>
      <c r="P304" t="n">
        <v>0</v>
      </c>
      <c r="Q304" t="n">
        <v>0</v>
      </c>
      <c r="R304" s="2" t="inlineStr"/>
    </row>
    <row r="305" ht="15" customHeight="1">
      <c r="A305" t="inlineStr">
        <is>
          <t>A 16373-2025</t>
        </is>
      </c>
      <c r="B305" s="1" t="n">
        <v>45751</v>
      </c>
      <c r="C305" s="1" t="n">
        <v>46059</v>
      </c>
      <c r="D305" t="inlineStr">
        <is>
          <t>GOTLANDS LÄN</t>
        </is>
      </c>
      <c r="E305" t="inlineStr">
        <is>
          <t>GOTLAND</t>
        </is>
      </c>
      <c r="G305" t="n">
        <v>1.5</v>
      </c>
      <c r="H305" t="n">
        <v>0</v>
      </c>
      <c r="I305" t="n">
        <v>0</v>
      </c>
      <c r="J305" t="n">
        <v>0</v>
      </c>
      <c r="K305" t="n">
        <v>0</v>
      </c>
      <c r="L305" t="n">
        <v>0</v>
      </c>
      <c r="M305" t="n">
        <v>0</v>
      </c>
      <c r="N305" t="n">
        <v>0</v>
      </c>
      <c r="O305" t="n">
        <v>0</v>
      </c>
      <c r="P305" t="n">
        <v>0</v>
      </c>
      <c r="Q305" t="n">
        <v>0</v>
      </c>
      <c r="R305" s="2" t="inlineStr"/>
    </row>
    <row r="306" ht="15" customHeight="1">
      <c r="A306" t="inlineStr">
        <is>
          <t>A 17682-2024</t>
        </is>
      </c>
      <c r="B306" s="1" t="n">
        <v>45418.42966435185</v>
      </c>
      <c r="C306" s="1" t="n">
        <v>46059</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57522-2022</t>
        </is>
      </c>
      <c r="B307" s="1" t="n">
        <v>44896</v>
      </c>
      <c r="C307" s="1" t="n">
        <v>46059</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44949-2023</t>
        </is>
      </c>
      <c r="B308" s="1" t="n">
        <v>45190.69520833333</v>
      </c>
      <c r="C308" s="1" t="n">
        <v>46059</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59197-2025</t>
        </is>
      </c>
      <c r="B309" s="1" t="n">
        <v>45988.59846064815</v>
      </c>
      <c r="C309" s="1" t="n">
        <v>46059</v>
      </c>
      <c r="D309" t="inlineStr">
        <is>
          <t>GOTLANDS LÄN</t>
        </is>
      </c>
      <c r="E309" t="inlineStr">
        <is>
          <t>GOTLAND</t>
        </is>
      </c>
      <c r="G309" t="n">
        <v>2.3</v>
      </c>
      <c r="H309" t="n">
        <v>0</v>
      </c>
      <c r="I309" t="n">
        <v>0</v>
      </c>
      <c r="J309" t="n">
        <v>0</v>
      </c>
      <c r="K309" t="n">
        <v>0</v>
      </c>
      <c r="L309" t="n">
        <v>0</v>
      </c>
      <c r="M309" t="n">
        <v>0</v>
      </c>
      <c r="N309" t="n">
        <v>0</v>
      </c>
      <c r="O309" t="n">
        <v>0</v>
      </c>
      <c r="P309" t="n">
        <v>0</v>
      </c>
      <c r="Q309" t="n">
        <v>0</v>
      </c>
      <c r="R309" s="2" t="inlineStr"/>
    </row>
    <row r="310" ht="15" customHeight="1">
      <c r="A310" t="inlineStr">
        <is>
          <t>A 27593-2023</t>
        </is>
      </c>
      <c r="B310" s="1" t="n">
        <v>45097</v>
      </c>
      <c r="C310" s="1" t="n">
        <v>46059</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10158-2025</t>
        </is>
      </c>
      <c r="B311" s="1" t="n">
        <v>45719</v>
      </c>
      <c r="C311" s="1" t="n">
        <v>46059</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1355-2026</t>
        </is>
      </c>
      <c r="B312" s="1" t="n">
        <v>46031.59909722222</v>
      </c>
      <c r="C312" s="1" t="n">
        <v>46059</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46059</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44410-2025</t>
        </is>
      </c>
      <c r="B314" s="1" t="n">
        <v>45916.53699074074</v>
      </c>
      <c r="C314" s="1" t="n">
        <v>46059</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43951-2025</t>
        </is>
      </c>
      <c r="B315" s="1" t="n">
        <v>45915.38119212963</v>
      </c>
      <c r="C315" s="1" t="n">
        <v>46059</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63516-2023</t>
        </is>
      </c>
      <c r="B316" s="1" t="n">
        <v>45274</v>
      </c>
      <c r="C316" s="1" t="n">
        <v>46059</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44405-2025</t>
        </is>
      </c>
      <c r="B317" s="1" t="n">
        <v>45916.52405092592</v>
      </c>
      <c r="C317" s="1" t="n">
        <v>46059</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24001-2021</t>
        </is>
      </c>
      <c r="B318" s="1" t="n">
        <v>44335</v>
      </c>
      <c r="C318" s="1" t="n">
        <v>46059</v>
      </c>
      <c r="D318" t="inlineStr">
        <is>
          <t>GOTLANDS LÄN</t>
        </is>
      </c>
      <c r="E318" t="inlineStr">
        <is>
          <t>GOTLAND</t>
        </is>
      </c>
      <c r="G318" t="n">
        <v>3.4</v>
      </c>
      <c r="H318" t="n">
        <v>0</v>
      </c>
      <c r="I318" t="n">
        <v>0</v>
      </c>
      <c r="J318" t="n">
        <v>0</v>
      </c>
      <c r="K318" t="n">
        <v>0</v>
      </c>
      <c r="L318" t="n">
        <v>0</v>
      </c>
      <c r="M318" t="n">
        <v>0</v>
      </c>
      <c r="N318" t="n">
        <v>0</v>
      </c>
      <c r="O318" t="n">
        <v>0</v>
      </c>
      <c r="P318" t="n">
        <v>0</v>
      </c>
      <c r="Q318" t="n">
        <v>0</v>
      </c>
      <c r="R318" s="2" t="inlineStr"/>
    </row>
    <row r="319" ht="15" customHeight="1">
      <c r="A319" t="inlineStr">
        <is>
          <t>A 2415-2026</t>
        </is>
      </c>
      <c r="B319" s="1" t="n">
        <v>46036.76203703704</v>
      </c>
      <c r="C319" s="1" t="n">
        <v>46059</v>
      </c>
      <c r="D319" t="inlineStr">
        <is>
          <t>GOTLANDS LÄN</t>
        </is>
      </c>
      <c r="E319" t="inlineStr">
        <is>
          <t>GOTLAND</t>
        </is>
      </c>
      <c r="G319" t="n">
        <v>6.9</v>
      </c>
      <c r="H319" t="n">
        <v>0</v>
      </c>
      <c r="I319" t="n">
        <v>0</v>
      </c>
      <c r="J319" t="n">
        <v>0</v>
      </c>
      <c r="K319" t="n">
        <v>0</v>
      </c>
      <c r="L319" t="n">
        <v>0</v>
      </c>
      <c r="M319" t="n">
        <v>0</v>
      </c>
      <c r="N319" t="n">
        <v>0</v>
      </c>
      <c r="O319" t="n">
        <v>0</v>
      </c>
      <c r="P319" t="n">
        <v>0</v>
      </c>
      <c r="Q319" t="n">
        <v>0</v>
      </c>
      <c r="R319" s="2" t="inlineStr"/>
    </row>
    <row r="320" ht="15" customHeight="1">
      <c r="A320" t="inlineStr">
        <is>
          <t>A 36319-2025</t>
        </is>
      </c>
      <c r="B320" s="1" t="n">
        <v>45868</v>
      </c>
      <c r="C320" s="1" t="n">
        <v>46059</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1839-2026</t>
        </is>
      </c>
      <c r="B321" s="1" t="n">
        <v>46035.3942824074</v>
      </c>
      <c r="C321" s="1" t="n">
        <v>46059</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1854-2026</t>
        </is>
      </c>
      <c r="B322" s="1" t="n">
        <v>46035.4171875</v>
      </c>
      <c r="C322" s="1" t="n">
        <v>46059</v>
      </c>
      <c r="D322" t="inlineStr">
        <is>
          <t>GOTLANDS LÄN</t>
        </is>
      </c>
      <c r="E322" t="inlineStr">
        <is>
          <t>GOTLAND</t>
        </is>
      </c>
      <c r="G322" t="n">
        <v>3</v>
      </c>
      <c r="H322" t="n">
        <v>0</v>
      </c>
      <c r="I322" t="n">
        <v>0</v>
      </c>
      <c r="J322" t="n">
        <v>0</v>
      </c>
      <c r="K322" t="n">
        <v>0</v>
      </c>
      <c r="L322" t="n">
        <v>0</v>
      </c>
      <c r="M322" t="n">
        <v>0</v>
      </c>
      <c r="N322" t="n">
        <v>0</v>
      </c>
      <c r="O322" t="n">
        <v>0</v>
      </c>
      <c r="P322" t="n">
        <v>0</v>
      </c>
      <c r="Q322" t="n">
        <v>0</v>
      </c>
      <c r="R322" s="2" t="inlineStr"/>
    </row>
    <row r="323" ht="15" customHeight="1">
      <c r="A323" t="inlineStr">
        <is>
          <t>A 30365-2024</t>
        </is>
      </c>
      <c r="B323" s="1" t="n">
        <v>45491.3716087963</v>
      </c>
      <c r="C323" s="1" t="n">
        <v>46059</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1681-2023</t>
        </is>
      </c>
      <c r="B324" s="1" t="n">
        <v>44938.39715277778</v>
      </c>
      <c r="C324" s="1" t="n">
        <v>46059</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2135-2026</t>
        </is>
      </c>
      <c r="B325" s="1" t="n">
        <v>46036</v>
      </c>
      <c r="C325" s="1" t="n">
        <v>46059</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37222-2021</t>
        </is>
      </c>
      <c r="B326" s="1" t="n">
        <v>44396</v>
      </c>
      <c r="C326" s="1" t="n">
        <v>46059</v>
      </c>
      <c r="D326" t="inlineStr">
        <is>
          <t>GOTLANDS LÄN</t>
        </is>
      </c>
      <c r="E326" t="inlineStr">
        <is>
          <t>GOTLAND</t>
        </is>
      </c>
      <c r="G326" t="n">
        <v>3</v>
      </c>
      <c r="H326" t="n">
        <v>0</v>
      </c>
      <c r="I326" t="n">
        <v>0</v>
      </c>
      <c r="J326" t="n">
        <v>0</v>
      </c>
      <c r="K326" t="n">
        <v>0</v>
      </c>
      <c r="L326" t="n">
        <v>0</v>
      </c>
      <c r="M326" t="n">
        <v>0</v>
      </c>
      <c r="N326" t="n">
        <v>0</v>
      </c>
      <c r="O326" t="n">
        <v>0</v>
      </c>
      <c r="P326" t="n">
        <v>0</v>
      </c>
      <c r="Q326" t="n">
        <v>0</v>
      </c>
      <c r="R326" s="2" t="inlineStr"/>
    </row>
    <row r="327" ht="15" customHeight="1">
      <c r="A327" t="inlineStr">
        <is>
          <t>A 2134-2026</t>
        </is>
      </c>
      <c r="B327" s="1" t="n">
        <v>46036</v>
      </c>
      <c r="C327" s="1" t="n">
        <v>46059</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1898-2026</t>
        </is>
      </c>
      <c r="B328" s="1" t="n">
        <v>46035.52024305556</v>
      </c>
      <c r="C328" s="1" t="n">
        <v>46059</v>
      </c>
      <c r="D328" t="inlineStr">
        <is>
          <t>GOTLANDS LÄN</t>
        </is>
      </c>
      <c r="E328" t="inlineStr">
        <is>
          <t>GOTLAND</t>
        </is>
      </c>
      <c r="G328" t="n">
        <v>3.7</v>
      </c>
      <c r="H328" t="n">
        <v>0</v>
      </c>
      <c r="I328" t="n">
        <v>0</v>
      </c>
      <c r="J328" t="n">
        <v>0</v>
      </c>
      <c r="K328" t="n">
        <v>0</v>
      </c>
      <c r="L328" t="n">
        <v>0</v>
      </c>
      <c r="M328" t="n">
        <v>0</v>
      </c>
      <c r="N328" t="n">
        <v>0</v>
      </c>
      <c r="O328" t="n">
        <v>0</v>
      </c>
      <c r="P328" t="n">
        <v>0</v>
      </c>
      <c r="Q328" t="n">
        <v>0</v>
      </c>
      <c r="R328" s="2" t="inlineStr"/>
    </row>
    <row r="329" ht="15" customHeight="1">
      <c r="A329" t="inlineStr">
        <is>
          <t>A 6099-2024</t>
        </is>
      </c>
      <c r="B329" s="1" t="n">
        <v>45337</v>
      </c>
      <c r="C329" s="1" t="n">
        <v>46059</v>
      </c>
      <c r="D329" t="inlineStr">
        <is>
          <t>GOTLANDS LÄN</t>
        </is>
      </c>
      <c r="E329" t="inlineStr">
        <is>
          <t>GOTLAND</t>
        </is>
      </c>
      <c r="G329" t="n">
        <v>12.6</v>
      </c>
      <c r="H329" t="n">
        <v>0</v>
      </c>
      <c r="I329" t="n">
        <v>0</v>
      </c>
      <c r="J329" t="n">
        <v>0</v>
      </c>
      <c r="K329" t="n">
        <v>0</v>
      </c>
      <c r="L329" t="n">
        <v>0</v>
      </c>
      <c r="M329" t="n">
        <v>0</v>
      </c>
      <c r="N329" t="n">
        <v>0</v>
      </c>
      <c r="O329" t="n">
        <v>0</v>
      </c>
      <c r="P329" t="n">
        <v>0</v>
      </c>
      <c r="Q329" t="n">
        <v>0</v>
      </c>
      <c r="R329" s="2" t="inlineStr"/>
    </row>
    <row r="330" ht="15" customHeight="1">
      <c r="A330" t="inlineStr">
        <is>
          <t>A 1273-2023</t>
        </is>
      </c>
      <c r="B330" s="1" t="n">
        <v>44936</v>
      </c>
      <c r="C330" s="1" t="n">
        <v>46059</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58780-2024</t>
        </is>
      </c>
      <c r="B331" s="1" t="n">
        <v>45635.84113425926</v>
      </c>
      <c r="C331" s="1" t="n">
        <v>46059</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26391-2025</t>
        </is>
      </c>
      <c r="B332" s="1" t="n">
        <v>45806</v>
      </c>
      <c r="C332" s="1" t="n">
        <v>46059</v>
      </c>
      <c r="D332" t="inlineStr">
        <is>
          <t>GOTLANDS LÄN</t>
        </is>
      </c>
      <c r="E332" t="inlineStr">
        <is>
          <t>GOTLAND</t>
        </is>
      </c>
      <c r="G332" t="n">
        <v>2</v>
      </c>
      <c r="H332" t="n">
        <v>0</v>
      </c>
      <c r="I332" t="n">
        <v>0</v>
      </c>
      <c r="J332" t="n">
        <v>0</v>
      </c>
      <c r="K332" t="n">
        <v>0</v>
      </c>
      <c r="L332" t="n">
        <v>0</v>
      </c>
      <c r="M332" t="n">
        <v>0</v>
      </c>
      <c r="N332" t="n">
        <v>0</v>
      </c>
      <c r="O332" t="n">
        <v>0</v>
      </c>
      <c r="P332" t="n">
        <v>0</v>
      </c>
      <c r="Q332" t="n">
        <v>0</v>
      </c>
      <c r="R332" s="2" t="inlineStr"/>
    </row>
    <row r="333" ht="15" customHeight="1">
      <c r="A333" t="inlineStr">
        <is>
          <t>A 45692-2023</t>
        </is>
      </c>
      <c r="B333" s="1" t="n">
        <v>45195</v>
      </c>
      <c r="C333" s="1" t="n">
        <v>46059</v>
      </c>
      <c r="D333" t="inlineStr">
        <is>
          <t>GOTLANDS LÄN</t>
        </is>
      </c>
      <c r="E333" t="inlineStr">
        <is>
          <t>GOTLAND</t>
        </is>
      </c>
      <c r="G333" t="n">
        <v>5.3</v>
      </c>
      <c r="H333" t="n">
        <v>0</v>
      </c>
      <c r="I333" t="n">
        <v>0</v>
      </c>
      <c r="J333" t="n">
        <v>0</v>
      </c>
      <c r="K333" t="n">
        <v>0</v>
      </c>
      <c r="L333" t="n">
        <v>0</v>
      </c>
      <c r="M333" t="n">
        <v>0</v>
      </c>
      <c r="N333" t="n">
        <v>0</v>
      </c>
      <c r="O333" t="n">
        <v>0</v>
      </c>
      <c r="P333" t="n">
        <v>0</v>
      </c>
      <c r="Q333" t="n">
        <v>0</v>
      </c>
      <c r="R333" s="2" t="inlineStr"/>
    </row>
    <row r="334" ht="15" customHeight="1">
      <c r="A334" t="inlineStr">
        <is>
          <t>A 33876-2024</t>
        </is>
      </c>
      <c r="B334" s="1" t="n">
        <v>45521.87988425926</v>
      </c>
      <c r="C334" s="1" t="n">
        <v>46059</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46836-2025</t>
        </is>
      </c>
      <c r="B335" s="1" t="n">
        <v>45928.31511574074</v>
      </c>
      <c r="C335" s="1" t="n">
        <v>46059</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28285-2024</t>
        </is>
      </c>
      <c r="B336" s="1" t="n">
        <v>45477</v>
      </c>
      <c r="C336" s="1" t="n">
        <v>46059</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61100-2022</t>
        </is>
      </c>
      <c r="B337" s="1" t="n">
        <v>44915</v>
      </c>
      <c r="C337" s="1" t="n">
        <v>46059</v>
      </c>
      <c r="D337" t="inlineStr">
        <is>
          <t>GOTLANDS LÄN</t>
        </is>
      </c>
      <c r="E337" t="inlineStr">
        <is>
          <t>GOTLAND</t>
        </is>
      </c>
      <c r="G337" t="n">
        <v>1.4</v>
      </c>
      <c r="H337" t="n">
        <v>0</v>
      </c>
      <c r="I337" t="n">
        <v>0</v>
      </c>
      <c r="J337" t="n">
        <v>0</v>
      </c>
      <c r="K337" t="n">
        <v>0</v>
      </c>
      <c r="L337" t="n">
        <v>0</v>
      </c>
      <c r="M337" t="n">
        <v>0</v>
      </c>
      <c r="N337" t="n">
        <v>0</v>
      </c>
      <c r="O337" t="n">
        <v>0</v>
      </c>
      <c r="P337" t="n">
        <v>0</v>
      </c>
      <c r="Q337" t="n">
        <v>0</v>
      </c>
      <c r="R337" s="2" t="inlineStr"/>
    </row>
    <row r="338" ht="15" customHeight="1">
      <c r="A338" t="inlineStr">
        <is>
          <t>A 61682-2024</t>
        </is>
      </c>
      <c r="B338" s="1" t="n">
        <v>45647.48824074074</v>
      </c>
      <c r="C338" s="1" t="n">
        <v>46059</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3067-2026</t>
        </is>
      </c>
      <c r="B339" s="1" t="n">
        <v>46040.59025462963</v>
      </c>
      <c r="C339" s="1" t="n">
        <v>46059</v>
      </c>
      <c r="D339" t="inlineStr">
        <is>
          <t>GOTLANDS LÄN</t>
        </is>
      </c>
      <c r="E339" t="inlineStr">
        <is>
          <t>GOTLAND</t>
        </is>
      </c>
      <c r="G339" t="n">
        <v>7.8</v>
      </c>
      <c r="H339" t="n">
        <v>0</v>
      </c>
      <c r="I339" t="n">
        <v>0</v>
      </c>
      <c r="J339" t="n">
        <v>0</v>
      </c>
      <c r="K339" t="n">
        <v>0</v>
      </c>
      <c r="L339" t="n">
        <v>0</v>
      </c>
      <c r="M339" t="n">
        <v>0</v>
      </c>
      <c r="N339" t="n">
        <v>0</v>
      </c>
      <c r="O339" t="n">
        <v>0</v>
      </c>
      <c r="P339" t="n">
        <v>0</v>
      </c>
      <c r="Q339" t="n">
        <v>0</v>
      </c>
      <c r="R339" s="2" t="inlineStr"/>
    </row>
    <row r="340" ht="15" customHeight="1">
      <c r="A340" t="inlineStr">
        <is>
          <t>A 3253-2026</t>
        </is>
      </c>
      <c r="B340" s="1" t="n">
        <v>46041.58902777778</v>
      </c>
      <c r="C340" s="1" t="n">
        <v>46059</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3964-2024</t>
        </is>
      </c>
      <c r="B341" s="1" t="n">
        <v>45322</v>
      </c>
      <c r="C341" s="1" t="n">
        <v>46059</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45084-2024</t>
        </is>
      </c>
      <c r="B342" s="1" t="n">
        <v>45575</v>
      </c>
      <c r="C342" s="1" t="n">
        <v>46059</v>
      </c>
      <c r="D342" t="inlineStr">
        <is>
          <t>GOTLANDS LÄN</t>
        </is>
      </c>
      <c r="E342" t="inlineStr">
        <is>
          <t>GOTLAND</t>
        </is>
      </c>
      <c r="G342" t="n">
        <v>6.8</v>
      </c>
      <c r="H342" t="n">
        <v>0</v>
      </c>
      <c r="I342" t="n">
        <v>0</v>
      </c>
      <c r="J342" t="n">
        <v>0</v>
      </c>
      <c r="K342" t="n">
        <v>0</v>
      </c>
      <c r="L342" t="n">
        <v>0</v>
      </c>
      <c r="M342" t="n">
        <v>0</v>
      </c>
      <c r="N342" t="n">
        <v>0</v>
      </c>
      <c r="O342" t="n">
        <v>0</v>
      </c>
      <c r="P342" t="n">
        <v>0</v>
      </c>
      <c r="Q342" t="n">
        <v>0</v>
      </c>
      <c r="R342" s="2" t="inlineStr"/>
    </row>
    <row r="343" ht="15" customHeight="1">
      <c r="A343" t="inlineStr">
        <is>
          <t>A 47637-2025</t>
        </is>
      </c>
      <c r="B343" s="1" t="n">
        <v>45931.49753472222</v>
      </c>
      <c r="C343" s="1" t="n">
        <v>46059</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58388-2022</t>
        </is>
      </c>
      <c r="B344" s="1" t="n">
        <v>44894</v>
      </c>
      <c r="C344" s="1" t="n">
        <v>46059</v>
      </c>
      <c r="D344" t="inlineStr">
        <is>
          <t>GOTLANDS LÄN</t>
        </is>
      </c>
      <c r="E344" t="inlineStr">
        <is>
          <t>GOTLAND</t>
        </is>
      </c>
      <c r="F344" t="inlineStr">
        <is>
          <t>Övriga statliga verk och myndigheter</t>
        </is>
      </c>
      <c r="G344" t="n">
        <v>3.1</v>
      </c>
      <c r="H344" t="n">
        <v>0</v>
      </c>
      <c r="I344" t="n">
        <v>0</v>
      </c>
      <c r="J344" t="n">
        <v>0</v>
      </c>
      <c r="K344" t="n">
        <v>0</v>
      </c>
      <c r="L344" t="n">
        <v>0</v>
      </c>
      <c r="M344" t="n">
        <v>0</v>
      </c>
      <c r="N344" t="n">
        <v>0</v>
      </c>
      <c r="O344" t="n">
        <v>0</v>
      </c>
      <c r="P344" t="n">
        <v>0</v>
      </c>
      <c r="Q344" t="n">
        <v>0</v>
      </c>
      <c r="R344" s="2" t="inlineStr"/>
    </row>
    <row r="345" ht="15" customHeight="1">
      <c r="A345" t="inlineStr">
        <is>
          <t>A 21792-2024</t>
        </is>
      </c>
      <c r="B345" s="1" t="n">
        <v>45442.64326388889</v>
      </c>
      <c r="C345" s="1" t="n">
        <v>46059</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46059</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35550-2025</t>
        </is>
      </c>
      <c r="B347" s="1" t="n">
        <v>45856.49324074074</v>
      </c>
      <c r="C347" s="1" t="n">
        <v>46059</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4662-2026</t>
        </is>
      </c>
      <c r="B348" s="1" t="n">
        <v>46048.40949074074</v>
      </c>
      <c r="C348" s="1" t="n">
        <v>46059</v>
      </c>
      <c r="D348" t="inlineStr">
        <is>
          <t>GOTLANDS LÄN</t>
        </is>
      </c>
      <c r="E348" t="inlineStr">
        <is>
          <t>GOTLAND</t>
        </is>
      </c>
      <c r="G348" t="n">
        <v>7.6</v>
      </c>
      <c r="H348" t="n">
        <v>0</v>
      </c>
      <c r="I348" t="n">
        <v>0</v>
      </c>
      <c r="J348" t="n">
        <v>0</v>
      </c>
      <c r="K348" t="n">
        <v>0</v>
      </c>
      <c r="L348" t="n">
        <v>0</v>
      </c>
      <c r="M348" t="n">
        <v>0</v>
      </c>
      <c r="N348" t="n">
        <v>0</v>
      </c>
      <c r="O348" t="n">
        <v>0</v>
      </c>
      <c r="P348" t="n">
        <v>0</v>
      </c>
      <c r="Q348" t="n">
        <v>0</v>
      </c>
      <c r="R348" s="2" t="inlineStr"/>
    </row>
    <row r="349" ht="15" customHeight="1">
      <c r="A349" t="inlineStr">
        <is>
          <t>A 4634-2026</t>
        </is>
      </c>
      <c r="B349" s="1" t="n">
        <v>46048.39304398148</v>
      </c>
      <c r="C349" s="1" t="n">
        <v>46059</v>
      </c>
      <c r="D349" t="inlineStr">
        <is>
          <t>GOTLANDS LÄN</t>
        </is>
      </c>
      <c r="E349" t="inlineStr">
        <is>
          <t>GOTLAND</t>
        </is>
      </c>
      <c r="G349" t="n">
        <v>7.8</v>
      </c>
      <c r="H349" t="n">
        <v>0</v>
      </c>
      <c r="I349" t="n">
        <v>0</v>
      </c>
      <c r="J349" t="n">
        <v>0</v>
      </c>
      <c r="K349" t="n">
        <v>0</v>
      </c>
      <c r="L349" t="n">
        <v>0</v>
      </c>
      <c r="M349" t="n">
        <v>0</v>
      </c>
      <c r="N349" t="n">
        <v>0</v>
      </c>
      <c r="O349" t="n">
        <v>0</v>
      </c>
      <c r="P349" t="n">
        <v>0</v>
      </c>
      <c r="Q349" t="n">
        <v>0</v>
      </c>
      <c r="R349" s="2" t="inlineStr"/>
    </row>
    <row r="350" ht="15" customHeight="1">
      <c r="A350" t="inlineStr">
        <is>
          <t>A 4646-2026</t>
        </is>
      </c>
      <c r="B350" s="1" t="n">
        <v>46048.40357638889</v>
      </c>
      <c r="C350" s="1" t="n">
        <v>46059</v>
      </c>
      <c r="D350" t="inlineStr">
        <is>
          <t>GOTLANDS LÄN</t>
        </is>
      </c>
      <c r="E350" t="inlineStr">
        <is>
          <t>GOTLAND</t>
        </is>
      </c>
      <c r="G350" t="n">
        <v>2.7</v>
      </c>
      <c r="H350" t="n">
        <v>0</v>
      </c>
      <c r="I350" t="n">
        <v>0</v>
      </c>
      <c r="J350" t="n">
        <v>0</v>
      </c>
      <c r="K350" t="n">
        <v>0</v>
      </c>
      <c r="L350" t="n">
        <v>0</v>
      </c>
      <c r="M350" t="n">
        <v>0</v>
      </c>
      <c r="N350" t="n">
        <v>0</v>
      </c>
      <c r="O350" t="n">
        <v>0</v>
      </c>
      <c r="P350" t="n">
        <v>0</v>
      </c>
      <c r="Q350" t="n">
        <v>0</v>
      </c>
      <c r="R350" s="2" t="inlineStr"/>
    </row>
    <row r="351" ht="15" customHeight="1">
      <c r="A351" t="inlineStr">
        <is>
          <t>A 17688-2024</t>
        </is>
      </c>
      <c r="B351" s="1" t="n">
        <v>45418.43575231481</v>
      </c>
      <c r="C351" s="1" t="n">
        <v>46059</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47578-2025</t>
        </is>
      </c>
      <c r="B352" s="1" t="n">
        <v>45931</v>
      </c>
      <c r="C352" s="1" t="n">
        <v>46059</v>
      </c>
      <c r="D352" t="inlineStr">
        <is>
          <t>GOTLANDS LÄN</t>
        </is>
      </c>
      <c r="E352" t="inlineStr">
        <is>
          <t>GOTLAND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7837-2024</t>
        </is>
      </c>
      <c r="B353" s="1" t="n">
        <v>45349.83787037037</v>
      </c>
      <c r="C353" s="1" t="n">
        <v>46059</v>
      </c>
      <c r="D353" t="inlineStr">
        <is>
          <t>GOTLANDS LÄN</t>
        </is>
      </c>
      <c r="E353" t="inlineStr">
        <is>
          <t>GOTLAND</t>
        </is>
      </c>
      <c r="G353" t="n">
        <v>5</v>
      </c>
      <c r="H353" t="n">
        <v>0</v>
      </c>
      <c r="I353" t="n">
        <v>0</v>
      </c>
      <c r="J353" t="n">
        <v>0</v>
      </c>
      <c r="K353" t="n">
        <v>0</v>
      </c>
      <c r="L353" t="n">
        <v>0</v>
      </c>
      <c r="M353" t="n">
        <v>0</v>
      </c>
      <c r="N353" t="n">
        <v>0</v>
      </c>
      <c r="O353" t="n">
        <v>0</v>
      </c>
      <c r="P353" t="n">
        <v>0</v>
      </c>
      <c r="Q353" t="n">
        <v>0</v>
      </c>
      <c r="R353" s="2" t="inlineStr"/>
    </row>
    <row r="354" ht="15" customHeight="1">
      <c r="A354" t="inlineStr">
        <is>
          <t>A 4670-2026</t>
        </is>
      </c>
      <c r="B354" s="1" t="n">
        <v>46048.41733796296</v>
      </c>
      <c r="C354" s="1" t="n">
        <v>46059</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49724-2025</t>
        </is>
      </c>
      <c r="B355" s="1" t="n">
        <v>45939.83730324074</v>
      </c>
      <c r="C355" s="1" t="n">
        <v>46059</v>
      </c>
      <c r="D355" t="inlineStr">
        <is>
          <t>GOTLANDS LÄN</t>
        </is>
      </c>
      <c r="E355" t="inlineStr">
        <is>
          <t>GOTLAND</t>
        </is>
      </c>
      <c r="F355" t="inlineStr">
        <is>
          <t>Kyrkan</t>
        </is>
      </c>
      <c r="G355" t="n">
        <v>3.1</v>
      </c>
      <c r="H355" t="n">
        <v>0</v>
      </c>
      <c r="I355" t="n">
        <v>0</v>
      </c>
      <c r="J355" t="n">
        <v>0</v>
      </c>
      <c r="K355" t="n">
        <v>0</v>
      </c>
      <c r="L355" t="n">
        <v>0</v>
      </c>
      <c r="M355" t="n">
        <v>0</v>
      </c>
      <c r="N355" t="n">
        <v>0</v>
      </c>
      <c r="O355" t="n">
        <v>0</v>
      </c>
      <c r="P355" t="n">
        <v>0</v>
      </c>
      <c r="Q355" t="n">
        <v>0</v>
      </c>
      <c r="R355" s="2" t="inlineStr"/>
    </row>
    <row r="356" ht="15" customHeight="1">
      <c r="A356" t="inlineStr">
        <is>
          <t>A 49730-2025</t>
        </is>
      </c>
      <c r="B356" s="1" t="n">
        <v>45939.87613425926</v>
      </c>
      <c r="C356" s="1" t="n">
        <v>46059</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62066-2025</t>
        </is>
      </c>
      <c r="B357" s="1" t="n">
        <v>46006.34738425926</v>
      </c>
      <c r="C357" s="1" t="n">
        <v>46059</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4639-2026</t>
        </is>
      </c>
      <c r="B358" s="1" t="n">
        <v>46048.39880787037</v>
      </c>
      <c r="C358" s="1" t="n">
        <v>46059</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49690-2025</t>
        </is>
      </c>
      <c r="B359" s="1" t="n">
        <v>45939.66730324074</v>
      </c>
      <c r="C359" s="1" t="n">
        <v>46059</v>
      </c>
      <c r="D359" t="inlineStr">
        <is>
          <t>GOTLANDS LÄN</t>
        </is>
      </c>
      <c r="E359" t="inlineStr">
        <is>
          <t>GOTLAND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33011-2025</t>
        </is>
      </c>
      <c r="B360" s="1" t="n">
        <v>45840</v>
      </c>
      <c r="C360" s="1" t="n">
        <v>46059</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4568-2025</t>
        </is>
      </c>
      <c r="B361" s="1" t="n">
        <v>45687</v>
      </c>
      <c r="C361" s="1" t="n">
        <v>46059</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62103-2025</t>
        </is>
      </c>
      <c r="B362" s="1" t="n">
        <v>46006</v>
      </c>
      <c r="C362" s="1" t="n">
        <v>46059</v>
      </c>
      <c r="D362" t="inlineStr">
        <is>
          <t>GOTLANDS LÄN</t>
        </is>
      </c>
      <c r="E362" t="inlineStr">
        <is>
          <t>GOTLAND</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50421-2025</t>
        </is>
      </c>
      <c r="B363" s="1" t="n">
        <v>45944.66049768519</v>
      </c>
      <c r="C363" s="1" t="n">
        <v>46059</v>
      </c>
      <c r="D363" t="inlineStr">
        <is>
          <t>GOTLANDS LÄN</t>
        </is>
      </c>
      <c r="E363" t="inlineStr">
        <is>
          <t>GOTLAND</t>
        </is>
      </c>
      <c r="G363" t="n">
        <v>3.9</v>
      </c>
      <c r="H363" t="n">
        <v>0</v>
      </c>
      <c r="I363" t="n">
        <v>0</v>
      </c>
      <c r="J363" t="n">
        <v>0</v>
      </c>
      <c r="K363" t="n">
        <v>0</v>
      </c>
      <c r="L363" t="n">
        <v>0</v>
      </c>
      <c r="M363" t="n">
        <v>0</v>
      </c>
      <c r="N363" t="n">
        <v>0</v>
      </c>
      <c r="O363" t="n">
        <v>0</v>
      </c>
      <c r="P363" t="n">
        <v>0</v>
      </c>
      <c r="Q363" t="n">
        <v>0</v>
      </c>
      <c r="R363" s="2" t="inlineStr"/>
    </row>
    <row r="364" ht="15" customHeight="1">
      <c r="A364" t="inlineStr">
        <is>
          <t>A 62751-2025</t>
        </is>
      </c>
      <c r="B364" s="1" t="n">
        <v>46008</v>
      </c>
      <c r="C364" s="1" t="n">
        <v>46059</v>
      </c>
      <c r="D364" t="inlineStr">
        <is>
          <t>GOTLANDS LÄN</t>
        </is>
      </c>
      <c r="E364" t="inlineStr">
        <is>
          <t>GOTLAND</t>
        </is>
      </c>
      <c r="F364" t="inlineStr">
        <is>
          <t>Övriga Aktiebolag</t>
        </is>
      </c>
      <c r="G364" t="n">
        <v>7.8</v>
      </c>
      <c r="H364" t="n">
        <v>0</v>
      </c>
      <c r="I364" t="n">
        <v>0</v>
      </c>
      <c r="J364" t="n">
        <v>0</v>
      </c>
      <c r="K364" t="n">
        <v>0</v>
      </c>
      <c r="L364" t="n">
        <v>0</v>
      </c>
      <c r="M364" t="n">
        <v>0</v>
      </c>
      <c r="N364" t="n">
        <v>0</v>
      </c>
      <c r="O364" t="n">
        <v>0</v>
      </c>
      <c r="P364" t="n">
        <v>0</v>
      </c>
      <c r="Q364" t="n">
        <v>0</v>
      </c>
      <c r="R364" s="2" t="inlineStr"/>
    </row>
    <row r="365" ht="15" customHeight="1">
      <c r="A365" t="inlineStr">
        <is>
          <t>A 50431-2025</t>
        </is>
      </c>
      <c r="B365" s="1" t="n">
        <v>45944.68453703704</v>
      </c>
      <c r="C365" s="1" t="n">
        <v>46059</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62754-2025</t>
        </is>
      </c>
      <c r="B366" s="1" t="n">
        <v>46008</v>
      </c>
      <c r="C366" s="1" t="n">
        <v>46059</v>
      </c>
      <c r="D366" t="inlineStr">
        <is>
          <t>GOTLANDS LÄN</t>
        </is>
      </c>
      <c r="E366" t="inlineStr">
        <is>
          <t>GOTLAND</t>
        </is>
      </c>
      <c r="F366" t="inlineStr">
        <is>
          <t>Övriga Aktiebolag</t>
        </is>
      </c>
      <c r="G366" t="n">
        <v>2.9</v>
      </c>
      <c r="H366" t="n">
        <v>0</v>
      </c>
      <c r="I366" t="n">
        <v>0</v>
      </c>
      <c r="J366" t="n">
        <v>0</v>
      </c>
      <c r="K366" t="n">
        <v>0</v>
      </c>
      <c r="L366" t="n">
        <v>0</v>
      </c>
      <c r="M366" t="n">
        <v>0</v>
      </c>
      <c r="N366" t="n">
        <v>0</v>
      </c>
      <c r="O366" t="n">
        <v>0</v>
      </c>
      <c r="P366" t="n">
        <v>0</v>
      </c>
      <c r="Q366" t="n">
        <v>0</v>
      </c>
      <c r="R366" s="2" t="inlineStr"/>
    </row>
    <row r="367" ht="15" customHeight="1">
      <c r="A367" t="inlineStr">
        <is>
          <t>A 35512-2023</t>
        </is>
      </c>
      <c r="B367" s="1" t="n">
        <v>45147.25623842593</v>
      </c>
      <c r="C367" s="1" t="n">
        <v>46059</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46059</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5905-2024</t>
        </is>
      </c>
      <c r="B369" s="1" t="n">
        <v>45335.88993055555</v>
      </c>
      <c r="C369" s="1" t="n">
        <v>46059</v>
      </c>
      <c r="D369" t="inlineStr">
        <is>
          <t>GOTLANDS LÄN</t>
        </is>
      </c>
      <c r="E369" t="inlineStr">
        <is>
          <t>GOTLAND</t>
        </is>
      </c>
      <c r="G369" t="n">
        <v>3</v>
      </c>
      <c r="H369" t="n">
        <v>0</v>
      </c>
      <c r="I369" t="n">
        <v>0</v>
      </c>
      <c r="J369" t="n">
        <v>0</v>
      </c>
      <c r="K369" t="n">
        <v>0</v>
      </c>
      <c r="L369" t="n">
        <v>0</v>
      </c>
      <c r="M369" t="n">
        <v>0</v>
      </c>
      <c r="N369" t="n">
        <v>0</v>
      </c>
      <c r="O369" t="n">
        <v>0</v>
      </c>
      <c r="P369" t="n">
        <v>0</v>
      </c>
      <c r="Q369" t="n">
        <v>0</v>
      </c>
      <c r="R369" s="2" t="inlineStr"/>
    </row>
    <row r="370" ht="15" customHeight="1">
      <c r="A370" t="inlineStr">
        <is>
          <t>A 1291-2023</t>
        </is>
      </c>
      <c r="B370" s="1" t="n">
        <v>44936.47561342592</v>
      </c>
      <c r="C370" s="1" t="n">
        <v>46059</v>
      </c>
      <c r="D370" t="inlineStr">
        <is>
          <t>GOTLANDS LÄN</t>
        </is>
      </c>
      <c r="E370" t="inlineStr">
        <is>
          <t>GOTLAND</t>
        </is>
      </c>
      <c r="G370" t="n">
        <v>7.4</v>
      </c>
      <c r="H370" t="n">
        <v>0</v>
      </c>
      <c r="I370" t="n">
        <v>0</v>
      </c>
      <c r="J370" t="n">
        <v>0</v>
      </c>
      <c r="K370" t="n">
        <v>0</v>
      </c>
      <c r="L370" t="n">
        <v>0</v>
      </c>
      <c r="M370" t="n">
        <v>0</v>
      </c>
      <c r="N370" t="n">
        <v>0</v>
      </c>
      <c r="O370" t="n">
        <v>0</v>
      </c>
      <c r="P370" t="n">
        <v>0</v>
      </c>
      <c r="Q370" t="n">
        <v>0</v>
      </c>
      <c r="R370" s="2" t="inlineStr"/>
    </row>
    <row r="371" ht="15" customHeight="1">
      <c r="A371" t="inlineStr">
        <is>
          <t>A 57652-2023</t>
        </is>
      </c>
      <c r="B371" s="1" t="n">
        <v>45246</v>
      </c>
      <c r="C371" s="1" t="n">
        <v>46059</v>
      </c>
      <c r="D371" t="inlineStr">
        <is>
          <t>GOTLANDS LÄN</t>
        </is>
      </c>
      <c r="E371" t="inlineStr">
        <is>
          <t>GOTLAND</t>
        </is>
      </c>
      <c r="G371" t="n">
        <v>7.2</v>
      </c>
      <c r="H371" t="n">
        <v>0</v>
      </c>
      <c r="I371" t="n">
        <v>0</v>
      </c>
      <c r="J371" t="n">
        <v>0</v>
      </c>
      <c r="K371" t="n">
        <v>0</v>
      </c>
      <c r="L371" t="n">
        <v>0</v>
      </c>
      <c r="M371" t="n">
        <v>0</v>
      </c>
      <c r="N371" t="n">
        <v>0</v>
      </c>
      <c r="O371" t="n">
        <v>0</v>
      </c>
      <c r="P371" t="n">
        <v>0</v>
      </c>
      <c r="Q371" t="n">
        <v>0</v>
      </c>
      <c r="R371" s="2" t="inlineStr"/>
    </row>
    <row r="372" ht="15" customHeight="1">
      <c r="A372" t="inlineStr">
        <is>
          <t>A 63000-2025</t>
        </is>
      </c>
      <c r="B372" s="1" t="n">
        <v>46009</v>
      </c>
      <c r="C372" s="1" t="n">
        <v>46059</v>
      </c>
      <c r="D372" t="inlineStr">
        <is>
          <t>GOTLANDS LÄN</t>
        </is>
      </c>
      <c r="E372" t="inlineStr">
        <is>
          <t>GOTLAND</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47147-2025</t>
        </is>
      </c>
      <c r="B373" s="1" t="n">
        <v>45929</v>
      </c>
      <c r="C373" s="1" t="n">
        <v>46059</v>
      </c>
      <c r="D373" t="inlineStr">
        <is>
          <t>GOTLANDS LÄN</t>
        </is>
      </c>
      <c r="E373" t="inlineStr">
        <is>
          <t>GOTLAND</t>
        </is>
      </c>
      <c r="G373" t="n">
        <v>2.3</v>
      </c>
      <c r="H373" t="n">
        <v>0</v>
      </c>
      <c r="I373" t="n">
        <v>0</v>
      </c>
      <c r="J373" t="n">
        <v>0</v>
      </c>
      <c r="K373" t="n">
        <v>0</v>
      </c>
      <c r="L373" t="n">
        <v>0</v>
      </c>
      <c r="M373" t="n">
        <v>0</v>
      </c>
      <c r="N373" t="n">
        <v>0</v>
      </c>
      <c r="O373" t="n">
        <v>0</v>
      </c>
      <c r="P373" t="n">
        <v>0</v>
      </c>
      <c r="Q373" t="n">
        <v>0</v>
      </c>
      <c r="R373" s="2" t="inlineStr"/>
    </row>
    <row r="374" ht="15" customHeight="1">
      <c r="A374" t="inlineStr">
        <is>
          <t>A 51262-2025</t>
        </is>
      </c>
      <c r="B374" s="1" t="n">
        <v>45949.49872685185</v>
      </c>
      <c r="C374" s="1" t="n">
        <v>46059</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49315-2024</t>
        </is>
      </c>
      <c r="B375" s="1" t="n">
        <v>45595</v>
      </c>
      <c r="C375" s="1" t="n">
        <v>46059</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45106-2024</t>
        </is>
      </c>
      <c r="B376" s="1" t="n">
        <v>45575</v>
      </c>
      <c r="C376" s="1" t="n">
        <v>46059</v>
      </c>
      <c r="D376" t="inlineStr">
        <is>
          <t>GOTLANDS LÄN</t>
        </is>
      </c>
      <c r="E376" t="inlineStr">
        <is>
          <t>GOTLAND</t>
        </is>
      </c>
      <c r="G376" t="n">
        <v>10</v>
      </c>
      <c r="H376" t="n">
        <v>0</v>
      </c>
      <c r="I376" t="n">
        <v>0</v>
      </c>
      <c r="J376" t="n">
        <v>0</v>
      </c>
      <c r="K376" t="n">
        <v>0</v>
      </c>
      <c r="L376" t="n">
        <v>0</v>
      </c>
      <c r="M376" t="n">
        <v>0</v>
      </c>
      <c r="N376" t="n">
        <v>0</v>
      </c>
      <c r="O376" t="n">
        <v>0</v>
      </c>
      <c r="P376" t="n">
        <v>0</v>
      </c>
      <c r="Q376" t="n">
        <v>0</v>
      </c>
      <c r="R376" s="2" t="inlineStr"/>
    </row>
    <row r="377" ht="15" customHeight="1">
      <c r="A377" t="inlineStr">
        <is>
          <t>A 45112-2024</t>
        </is>
      </c>
      <c r="B377" s="1" t="n">
        <v>45575</v>
      </c>
      <c r="C377" s="1" t="n">
        <v>46059</v>
      </c>
      <c r="D377" t="inlineStr">
        <is>
          <t>GOTLANDS LÄN</t>
        </is>
      </c>
      <c r="E377" t="inlineStr">
        <is>
          <t>GOTLAND</t>
        </is>
      </c>
      <c r="G377" t="n">
        <v>5.1</v>
      </c>
      <c r="H377" t="n">
        <v>0</v>
      </c>
      <c r="I377" t="n">
        <v>0</v>
      </c>
      <c r="J377" t="n">
        <v>0</v>
      </c>
      <c r="K377" t="n">
        <v>0</v>
      </c>
      <c r="L377" t="n">
        <v>0</v>
      </c>
      <c r="M377" t="n">
        <v>0</v>
      </c>
      <c r="N377" t="n">
        <v>0</v>
      </c>
      <c r="O377" t="n">
        <v>0</v>
      </c>
      <c r="P377" t="n">
        <v>0</v>
      </c>
      <c r="Q377" t="n">
        <v>0</v>
      </c>
      <c r="R377" s="2" t="inlineStr"/>
    </row>
    <row r="378" ht="15" customHeight="1">
      <c r="A378" t="inlineStr">
        <is>
          <t>A 2676-2023</t>
        </is>
      </c>
      <c r="B378" s="1" t="n">
        <v>44944</v>
      </c>
      <c r="C378" s="1" t="n">
        <v>46059</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52249-2025</t>
        </is>
      </c>
      <c r="B379" s="1" t="n">
        <v>45953.48637731482</v>
      </c>
      <c r="C379" s="1" t="n">
        <v>46059</v>
      </c>
      <c r="D379" t="inlineStr">
        <is>
          <t>GOTLANDS LÄN</t>
        </is>
      </c>
      <c r="E379" t="inlineStr">
        <is>
          <t>GOTLAND</t>
        </is>
      </c>
      <c r="F379" t="inlineStr">
        <is>
          <t>Övriga Aktiebolag</t>
        </is>
      </c>
      <c r="G379" t="n">
        <v>1</v>
      </c>
      <c r="H379" t="n">
        <v>0</v>
      </c>
      <c r="I379" t="n">
        <v>0</v>
      </c>
      <c r="J379" t="n">
        <v>0</v>
      </c>
      <c r="K379" t="n">
        <v>0</v>
      </c>
      <c r="L379" t="n">
        <v>0</v>
      </c>
      <c r="M379" t="n">
        <v>0</v>
      </c>
      <c r="N379" t="n">
        <v>0</v>
      </c>
      <c r="O379" t="n">
        <v>0</v>
      </c>
      <c r="P379" t="n">
        <v>0</v>
      </c>
      <c r="Q379" t="n">
        <v>0</v>
      </c>
      <c r="R379" s="2" t="inlineStr"/>
    </row>
    <row r="380" ht="15" customHeight="1">
      <c r="A380" t="inlineStr">
        <is>
          <t>A 3150-2025</t>
        </is>
      </c>
      <c r="B380" s="1" t="n">
        <v>45679.28974537037</v>
      </c>
      <c r="C380" s="1" t="n">
        <v>46059</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5863-2026</t>
        </is>
      </c>
      <c r="B381" s="1" t="n">
        <v>46052.36697916667</v>
      </c>
      <c r="C381" s="1" t="n">
        <v>46059</v>
      </c>
      <c r="D381" t="inlineStr">
        <is>
          <t>GOTLANDS LÄN</t>
        </is>
      </c>
      <c r="E381" t="inlineStr">
        <is>
          <t>GOTLAND</t>
        </is>
      </c>
      <c r="G381" t="n">
        <v>1.8</v>
      </c>
      <c r="H381" t="n">
        <v>0</v>
      </c>
      <c r="I381" t="n">
        <v>0</v>
      </c>
      <c r="J381" t="n">
        <v>0</v>
      </c>
      <c r="K381" t="n">
        <v>0</v>
      </c>
      <c r="L381" t="n">
        <v>0</v>
      </c>
      <c r="M381" t="n">
        <v>0</v>
      </c>
      <c r="N381" t="n">
        <v>0</v>
      </c>
      <c r="O381" t="n">
        <v>0</v>
      </c>
      <c r="P381" t="n">
        <v>0</v>
      </c>
      <c r="Q381" t="n">
        <v>0</v>
      </c>
      <c r="R381" s="2" t="inlineStr"/>
    </row>
    <row r="382" ht="15" customHeight="1">
      <c r="A382" t="inlineStr">
        <is>
          <t>A 8484-2025</t>
        </is>
      </c>
      <c r="B382" s="1" t="n">
        <v>45709</v>
      </c>
      <c r="C382" s="1" t="n">
        <v>46059</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63002-2025</t>
        </is>
      </c>
      <c r="B383" s="1" t="n">
        <v>46009.56564814815</v>
      </c>
      <c r="C383" s="1" t="n">
        <v>46059</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7635-2025</t>
        </is>
      </c>
      <c r="B384" s="1" t="n">
        <v>45705</v>
      </c>
      <c r="C384" s="1" t="n">
        <v>46059</v>
      </c>
      <c r="D384" t="inlineStr">
        <is>
          <t>GOTLANDS LÄN</t>
        </is>
      </c>
      <c r="E384" t="inlineStr">
        <is>
          <t>GOTLAND</t>
        </is>
      </c>
      <c r="G384" t="n">
        <v>0.9</v>
      </c>
      <c r="H384" t="n">
        <v>0</v>
      </c>
      <c r="I384" t="n">
        <v>0</v>
      </c>
      <c r="J384" t="n">
        <v>0</v>
      </c>
      <c r="K384" t="n">
        <v>0</v>
      </c>
      <c r="L384" t="n">
        <v>0</v>
      </c>
      <c r="M384" t="n">
        <v>0</v>
      </c>
      <c r="N384" t="n">
        <v>0</v>
      </c>
      <c r="O384" t="n">
        <v>0</v>
      </c>
      <c r="P384" t="n">
        <v>0</v>
      </c>
      <c r="Q384" t="n">
        <v>0</v>
      </c>
      <c r="R384" s="2" t="inlineStr"/>
    </row>
    <row r="385" ht="15" customHeight="1">
      <c r="A385" t="inlineStr">
        <is>
          <t>A 7636-2025</t>
        </is>
      </c>
      <c r="B385" s="1" t="n">
        <v>45705.7687962963</v>
      </c>
      <c r="C385" s="1" t="n">
        <v>46059</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7639-2025</t>
        </is>
      </c>
      <c r="B386" s="1" t="n">
        <v>45705.77465277778</v>
      </c>
      <c r="C386" s="1" t="n">
        <v>46059</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6218-2026</t>
        </is>
      </c>
      <c r="B387" s="1" t="n">
        <v>46055.42859953704</v>
      </c>
      <c r="C387" s="1" t="n">
        <v>46059</v>
      </c>
      <c r="D387" t="inlineStr">
        <is>
          <t>GOTLANDS LÄN</t>
        </is>
      </c>
      <c r="E387" t="inlineStr">
        <is>
          <t>GOTLAND</t>
        </is>
      </c>
      <c r="G387" t="n">
        <v>4.3</v>
      </c>
      <c r="H387" t="n">
        <v>0</v>
      </c>
      <c r="I387" t="n">
        <v>0</v>
      </c>
      <c r="J387" t="n">
        <v>0</v>
      </c>
      <c r="K387" t="n">
        <v>0</v>
      </c>
      <c r="L387" t="n">
        <v>0</v>
      </c>
      <c r="M387" t="n">
        <v>0</v>
      </c>
      <c r="N387" t="n">
        <v>0</v>
      </c>
      <c r="O387" t="n">
        <v>0</v>
      </c>
      <c r="P387" t="n">
        <v>0</v>
      </c>
      <c r="Q387" t="n">
        <v>0</v>
      </c>
      <c r="R387" s="2" t="inlineStr"/>
    </row>
    <row r="388" ht="15" customHeight="1">
      <c r="A388" t="inlineStr">
        <is>
          <t>A 20356-2022</t>
        </is>
      </c>
      <c r="B388" s="1" t="n">
        <v>44699</v>
      </c>
      <c r="C388" s="1" t="n">
        <v>46059</v>
      </c>
      <c r="D388" t="inlineStr">
        <is>
          <t>GOTLANDS LÄN</t>
        </is>
      </c>
      <c r="E388" t="inlineStr">
        <is>
          <t>GOTLAND</t>
        </is>
      </c>
      <c r="F388" t="inlineStr">
        <is>
          <t>Övriga Aktiebolag</t>
        </is>
      </c>
      <c r="G388" t="n">
        <v>4.4</v>
      </c>
      <c r="H388" t="n">
        <v>0</v>
      </c>
      <c r="I388" t="n">
        <v>0</v>
      </c>
      <c r="J388" t="n">
        <v>0</v>
      </c>
      <c r="K388" t="n">
        <v>0</v>
      </c>
      <c r="L388" t="n">
        <v>0</v>
      </c>
      <c r="M388" t="n">
        <v>0</v>
      </c>
      <c r="N388" t="n">
        <v>0</v>
      </c>
      <c r="O388" t="n">
        <v>0</v>
      </c>
      <c r="P388" t="n">
        <v>0</v>
      </c>
      <c r="Q388" t="n">
        <v>0</v>
      </c>
      <c r="R388" s="2" t="inlineStr"/>
    </row>
    <row r="389" ht="15" customHeight="1">
      <c r="A389" t="inlineStr">
        <is>
          <t>A 48734-2022</t>
        </is>
      </c>
      <c r="B389" s="1" t="n">
        <v>44855</v>
      </c>
      <c r="C389" s="1" t="n">
        <v>46059</v>
      </c>
      <c r="D389" t="inlineStr">
        <is>
          <t>GOTLANDS LÄN</t>
        </is>
      </c>
      <c r="E389" t="inlineStr">
        <is>
          <t>GOTLAND</t>
        </is>
      </c>
      <c r="G389" t="n">
        <v>1.6</v>
      </c>
      <c r="H389" t="n">
        <v>0</v>
      </c>
      <c r="I389" t="n">
        <v>0</v>
      </c>
      <c r="J389" t="n">
        <v>0</v>
      </c>
      <c r="K389" t="n">
        <v>0</v>
      </c>
      <c r="L389" t="n">
        <v>0</v>
      </c>
      <c r="M389" t="n">
        <v>0</v>
      </c>
      <c r="N389" t="n">
        <v>0</v>
      </c>
      <c r="O389" t="n">
        <v>0</v>
      </c>
      <c r="P389" t="n">
        <v>0</v>
      </c>
      <c r="Q389" t="n">
        <v>0</v>
      </c>
      <c r="R389" s="2" t="inlineStr"/>
    </row>
    <row r="390" ht="15" customHeight="1">
      <c r="A390" t="inlineStr">
        <is>
          <t>A 52637-2025</t>
        </is>
      </c>
      <c r="B390" s="1" t="n">
        <v>45954.75099537037</v>
      </c>
      <c r="C390" s="1" t="n">
        <v>46059</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14141-2024</t>
        </is>
      </c>
      <c r="B391" s="1" t="n">
        <v>45392.85193287037</v>
      </c>
      <c r="C391" s="1" t="n">
        <v>46059</v>
      </c>
      <c r="D391" t="inlineStr">
        <is>
          <t>GOTLANDS LÄN</t>
        </is>
      </c>
      <c r="E391" t="inlineStr">
        <is>
          <t>GOTLAND</t>
        </is>
      </c>
      <c r="G391" t="n">
        <v>5.3</v>
      </c>
      <c r="H391" t="n">
        <v>0</v>
      </c>
      <c r="I391" t="n">
        <v>0</v>
      </c>
      <c r="J391" t="n">
        <v>0</v>
      </c>
      <c r="K391" t="n">
        <v>0</v>
      </c>
      <c r="L391" t="n">
        <v>0</v>
      </c>
      <c r="M391" t="n">
        <v>0</v>
      </c>
      <c r="N391" t="n">
        <v>0</v>
      </c>
      <c r="O391" t="n">
        <v>0</v>
      </c>
      <c r="P391" t="n">
        <v>0</v>
      </c>
      <c r="Q391" t="n">
        <v>0</v>
      </c>
      <c r="R391" s="2" t="inlineStr"/>
    </row>
    <row r="392" ht="15" customHeight="1">
      <c r="A392" t="inlineStr">
        <is>
          <t>A 29809-2022</t>
        </is>
      </c>
      <c r="B392" s="1" t="n">
        <v>44755.8713425926</v>
      </c>
      <c r="C392" s="1" t="n">
        <v>46059</v>
      </c>
      <c r="D392" t="inlineStr">
        <is>
          <t>GOTLANDS LÄN</t>
        </is>
      </c>
      <c r="E392" t="inlineStr">
        <is>
          <t>GOTLAND</t>
        </is>
      </c>
      <c r="G392" t="n">
        <v>11.5</v>
      </c>
      <c r="H392" t="n">
        <v>0</v>
      </c>
      <c r="I392" t="n">
        <v>0</v>
      </c>
      <c r="J392" t="n">
        <v>0</v>
      </c>
      <c r="K392" t="n">
        <v>0</v>
      </c>
      <c r="L392" t="n">
        <v>0</v>
      </c>
      <c r="M392" t="n">
        <v>0</v>
      </c>
      <c r="N392" t="n">
        <v>0</v>
      </c>
      <c r="O392" t="n">
        <v>0</v>
      </c>
      <c r="P392" t="n">
        <v>0</v>
      </c>
      <c r="Q392" t="n">
        <v>0</v>
      </c>
      <c r="R392" s="2" t="inlineStr"/>
    </row>
    <row r="393" ht="15" customHeight="1">
      <c r="A393" t="inlineStr">
        <is>
          <t>A 5217-2023</t>
        </is>
      </c>
      <c r="B393" s="1" t="n">
        <v>44959.39582175926</v>
      </c>
      <c r="C393" s="1" t="n">
        <v>46059</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54584-2025</t>
        </is>
      </c>
      <c r="B394" s="1" t="n">
        <v>45965.71788194445</v>
      </c>
      <c r="C394" s="1" t="n">
        <v>46059</v>
      </c>
      <c r="D394" t="inlineStr">
        <is>
          <t>GOTLANDS LÄN</t>
        </is>
      </c>
      <c r="E394" t="inlineStr">
        <is>
          <t>GOTLAND</t>
        </is>
      </c>
      <c r="G394" t="n">
        <v>3.5</v>
      </c>
      <c r="H394" t="n">
        <v>0</v>
      </c>
      <c r="I394" t="n">
        <v>0</v>
      </c>
      <c r="J394" t="n">
        <v>0</v>
      </c>
      <c r="K394" t="n">
        <v>0</v>
      </c>
      <c r="L394" t="n">
        <v>0</v>
      </c>
      <c r="M394" t="n">
        <v>0</v>
      </c>
      <c r="N394" t="n">
        <v>0</v>
      </c>
      <c r="O394" t="n">
        <v>0</v>
      </c>
      <c r="P394" t="n">
        <v>0</v>
      </c>
      <c r="Q394" t="n">
        <v>0</v>
      </c>
      <c r="R394" s="2" t="inlineStr"/>
    </row>
    <row r="395" ht="15" customHeight="1">
      <c r="A395" t="inlineStr">
        <is>
          <t>A 6207-2026</t>
        </is>
      </c>
      <c r="B395" s="1" t="n">
        <v>46055.42083333333</v>
      </c>
      <c r="C395" s="1" t="n">
        <v>46059</v>
      </c>
      <c r="D395" t="inlineStr">
        <is>
          <t>GOTLANDS LÄN</t>
        </is>
      </c>
      <c r="E395" t="inlineStr">
        <is>
          <t>GOTLAND</t>
        </is>
      </c>
      <c r="G395" t="n">
        <v>7.6</v>
      </c>
      <c r="H395" t="n">
        <v>0</v>
      </c>
      <c r="I395" t="n">
        <v>0</v>
      </c>
      <c r="J395" t="n">
        <v>0</v>
      </c>
      <c r="K395" t="n">
        <v>0</v>
      </c>
      <c r="L395" t="n">
        <v>0</v>
      </c>
      <c r="M395" t="n">
        <v>0</v>
      </c>
      <c r="N395" t="n">
        <v>0</v>
      </c>
      <c r="O395" t="n">
        <v>0</v>
      </c>
      <c r="P395" t="n">
        <v>0</v>
      </c>
      <c r="Q395" t="n">
        <v>0</v>
      </c>
      <c r="R395" s="2" t="inlineStr"/>
    </row>
    <row r="396" ht="15" customHeight="1">
      <c r="A396" t="inlineStr">
        <is>
          <t>A 53569-2025</t>
        </is>
      </c>
      <c r="B396" s="1" t="n">
        <v>45960.41155092593</v>
      </c>
      <c r="C396" s="1" t="n">
        <v>46059</v>
      </c>
      <c r="D396" t="inlineStr">
        <is>
          <t>GOTLANDS LÄN</t>
        </is>
      </c>
      <c r="E396" t="inlineStr">
        <is>
          <t>GOTLAND</t>
        </is>
      </c>
      <c r="F396" t="inlineStr">
        <is>
          <t>Övriga Aktiebolag</t>
        </is>
      </c>
      <c r="G396" t="n">
        <v>11.3</v>
      </c>
      <c r="H396" t="n">
        <v>0</v>
      </c>
      <c r="I396" t="n">
        <v>0</v>
      </c>
      <c r="J396" t="n">
        <v>0</v>
      </c>
      <c r="K396" t="n">
        <v>0</v>
      </c>
      <c r="L396" t="n">
        <v>0</v>
      </c>
      <c r="M396" t="n">
        <v>0</v>
      </c>
      <c r="N396" t="n">
        <v>0</v>
      </c>
      <c r="O396" t="n">
        <v>0</v>
      </c>
      <c r="P396" t="n">
        <v>0</v>
      </c>
      <c r="Q396" t="n">
        <v>0</v>
      </c>
      <c r="R396" s="2" t="inlineStr"/>
    </row>
    <row r="397" ht="15" customHeight="1">
      <c r="A397" t="inlineStr">
        <is>
          <t>A 60384-2025</t>
        </is>
      </c>
      <c r="B397" s="1" t="n">
        <v>45995</v>
      </c>
      <c r="C397" s="1" t="n">
        <v>46059</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53577-2025</t>
        </is>
      </c>
      <c r="B398" s="1" t="n">
        <v>45960.42224537037</v>
      </c>
      <c r="C398" s="1" t="n">
        <v>46059</v>
      </c>
      <c r="D398" t="inlineStr">
        <is>
          <t>GOTLANDS LÄN</t>
        </is>
      </c>
      <c r="E398" t="inlineStr">
        <is>
          <t>GOTLAND</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6960-2026</t>
        </is>
      </c>
      <c r="B399" s="1" t="n">
        <v>46057.58105324074</v>
      </c>
      <c r="C399" s="1" t="n">
        <v>46059</v>
      </c>
      <c r="D399" t="inlineStr">
        <is>
          <t>GOTLANDS LÄN</t>
        </is>
      </c>
      <c r="E399" t="inlineStr">
        <is>
          <t>GOTLAND</t>
        </is>
      </c>
      <c r="F399" t="inlineStr">
        <is>
          <t>Kyrkan</t>
        </is>
      </c>
      <c r="G399" t="n">
        <v>2.4</v>
      </c>
      <c r="H399" t="n">
        <v>0</v>
      </c>
      <c r="I399" t="n">
        <v>0</v>
      </c>
      <c r="J399" t="n">
        <v>0</v>
      </c>
      <c r="K399" t="n">
        <v>0</v>
      </c>
      <c r="L399" t="n">
        <v>0</v>
      </c>
      <c r="M399" t="n">
        <v>0</v>
      </c>
      <c r="N399" t="n">
        <v>0</v>
      </c>
      <c r="O399" t="n">
        <v>0</v>
      </c>
      <c r="P399" t="n">
        <v>0</v>
      </c>
      <c r="Q399" t="n">
        <v>0</v>
      </c>
      <c r="R399" s="2" t="inlineStr"/>
    </row>
    <row r="400" ht="15" customHeight="1">
      <c r="A400" t="inlineStr">
        <is>
          <t>A 57685-2022</t>
        </is>
      </c>
      <c r="B400" s="1" t="n">
        <v>44897.4777662037</v>
      </c>
      <c r="C400" s="1" t="n">
        <v>46059</v>
      </c>
      <c r="D400" t="inlineStr">
        <is>
          <t>GOTLANDS LÄN</t>
        </is>
      </c>
      <c r="E400" t="inlineStr">
        <is>
          <t>GOTLAND</t>
        </is>
      </c>
      <c r="G400" t="n">
        <v>3.7</v>
      </c>
      <c r="H400" t="n">
        <v>0</v>
      </c>
      <c r="I400" t="n">
        <v>0</v>
      </c>
      <c r="J400" t="n">
        <v>0</v>
      </c>
      <c r="K400" t="n">
        <v>0</v>
      </c>
      <c r="L400" t="n">
        <v>0</v>
      </c>
      <c r="M400" t="n">
        <v>0</v>
      </c>
      <c r="N400" t="n">
        <v>0</v>
      </c>
      <c r="O400" t="n">
        <v>0</v>
      </c>
      <c r="P400" t="n">
        <v>0</v>
      </c>
      <c r="Q400" t="n">
        <v>0</v>
      </c>
      <c r="R400" s="2" t="inlineStr"/>
    </row>
    <row r="401" ht="15" customHeight="1">
      <c r="A401" t="inlineStr">
        <is>
          <t>A 61078-2025</t>
        </is>
      </c>
      <c r="B401" s="1" t="n">
        <v>46000</v>
      </c>
      <c r="C401" s="1" t="n">
        <v>46059</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6959-2026</t>
        </is>
      </c>
      <c r="B402" s="1" t="n">
        <v>46057.580625</v>
      </c>
      <c r="C402" s="1" t="n">
        <v>46059</v>
      </c>
      <c r="D402" t="inlineStr">
        <is>
          <t>GOTLANDS LÄN</t>
        </is>
      </c>
      <c r="E402" t="inlineStr">
        <is>
          <t>GOTLAND</t>
        </is>
      </c>
      <c r="F402" t="inlineStr">
        <is>
          <t>Kyrkan</t>
        </is>
      </c>
      <c r="G402" t="n">
        <v>1.2</v>
      </c>
      <c r="H402" t="n">
        <v>0</v>
      </c>
      <c r="I402" t="n">
        <v>0</v>
      </c>
      <c r="J402" t="n">
        <v>0</v>
      </c>
      <c r="K402" t="n">
        <v>0</v>
      </c>
      <c r="L402" t="n">
        <v>0</v>
      </c>
      <c r="M402" t="n">
        <v>0</v>
      </c>
      <c r="N402" t="n">
        <v>0</v>
      </c>
      <c r="O402" t="n">
        <v>0</v>
      </c>
      <c r="P402" t="n">
        <v>0</v>
      </c>
      <c r="Q402" t="n">
        <v>0</v>
      </c>
      <c r="R402" s="2" t="inlineStr"/>
    </row>
    <row r="403" ht="15" customHeight="1">
      <c r="A403" t="inlineStr">
        <is>
          <t>A 38649-2025</t>
        </is>
      </c>
      <c r="B403" s="1" t="n">
        <v>45884</v>
      </c>
      <c r="C403" s="1" t="n">
        <v>46059</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30815-2023</t>
        </is>
      </c>
      <c r="B404" s="1" t="n">
        <v>45112</v>
      </c>
      <c r="C404" s="1" t="n">
        <v>46059</v>
      </c>
      <c r="D404" t="inlineStr">
        <is>
          <t>GOTLANDS LÄN</t>
        </is>
      </c>
      <c r="E404" t="inlineStr">
        <is>
          <t>GOTLAND</t>
        </is>
      </c>
      <c r="G404" t="n">
        <v>6</v>
      </c>
      <c r="H404" t="n">
        <v>0</v>
      </c>
      <c r="I404" t="n">
        <v>0</v>
      </c>
      <c r="J404" t="n">
        <v>0</v>
      </c>
      <c r="K404" t="n">
        <v>0</v>
      </c>
      <c r="L404" t="n">
        <v>0</v>
      </c>
      <c r="M404" t="n">
        <v>0</v>
      </c>
      <c r="N404" t="n">
        <v>0</v>
      </c>
      <c r="O404" t="n">
        <v>0</v>
      </c>
      <c r="P404" t="n">
        <v>0</v>
      </c>
      <c r="Q404" t="n">
        <v>0</v>
      </c>
      <c r="R404" s="2" t="inlineStr"/>
    </row>
    <row r="405" ht="15" customHeight="1">
      <c r="A405" t="inlineStr">
        <is>
          <t>A 62836-2025</t>
        </is>
      </c>
      <c r="B405" s="1" t="n">
        <v>46008</v>
      </c>
      <c r="C405" s="1" t="n">
        <v>46059</v>
      </c>
      <c r="D405" t="inlineStr">
        <is>
          <t>GOTLANDS LÄN</t>
        </is>
      </c>
      <c r="E405" t="inlineStr">
        <is>
          <t>GOTLAND</t>
        </is>
      </c>
      <c r="G405" t="n">
        <v>6.5</v>
      </c>
      <c r="H405" t="n">
        <v>0</v>
      </c>
      <c r="I405" t="n">
        <v>0</v>
      </c>
      <c r="J405" t="n">
        <v>0</v>
      </c>
      <c r="K405" t="n">
        <v>0</v>
      </c>
      <c r="L405" t="n">
        <v>0</v>
      </c>
      <c r="M405" t="n">
        <v>0</v>
      </c>
      <c r="N405" t="n">
        <v>0</v>
      </c>
      <c r="O405" t="n">
        <v>0</v>
      </c>
      <c r="P405" t="n">
        <v>0</v>
      </c>
      <c r="Q405" t="n">
        <v>0</v>
      </c>
      <c r="R405" s="2" t="inlineStr"/>
    </row>
    <row r="406" ht="15" customHeight="1">
      <c r="A406" t="inlineStr">
        <is>
          <t>A 61080-2025</t>
        </is>
      </c>
      <c r="B406" s="1" t="n">
        <v>46000</v>
      </c>
      <c r="C406" s="1" t="n">
        <v>46059</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62674-2025</t>
        </is>
      </c>
      <c r="B407" s="1" t="n">
        <v>46008</v>
      </c>
      <c r="C407" s="1" t="n">
        <v>46059</v>
      </c>
      <c r="D407" t="inlineStr">
        <is>
          <t>GOTLANDS LÄN</t>
        </is>
      </c>
      <c r="E407" t="inlineStr">
        <is>
          <t>GOTLAND</t>
        </is>
      </c>
      <c r="G407" t="n">
        <v>5</v>
      </c>
      <c r="H407" t="n">
        <v>0</v>
      </c>
      <c r="I407" t="n">
        <v>0</v>
      </c>
      <c r="J407" t="n">
        <v>0</v>
      </c>
      <c r="K407" t="n">
        <v>0</v>
      </c>
      <c r="L407" t="n">
        <v>0</v>
      </c>
      <c r="M407" t="n">
        <v>0</v>
      </c>
      <c r="N407" t="n">
        <v>0</v>
      </c>
      <c r="O407" t="n">
        <v>0</v>
      </c>
      <c r="P407" t="n">
        <v>0</v>
      </c>
      <c r="Q407" t="n">
        <v>0</v>
      </c>
      <c r="R407" s="2" t="inlineStr"/>
    </row>
    <row r="408" ht="15" customHeight="1">
      <c r="A408" t="inlineStr">
        <is>
          <t>A 53561-2025</t>
        </is>
      </c>
      <c r="B408" s="1" t="n">
        <v>45960.4059375</v>
      </c>
      <c r="C408" s="1" t="n">
        <v>46059</v>
      </c>
      <c r="D408" t="inlineStr">
        <is>
          <t>GOTLANDS LÄN</t>
        </is>
      </c>
      <c r="E408" t="inlineStr">
        <is>
          <t>GOTLAND</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7034-2023</t>
        </is>
      </c>
      <c r="B409" s="1" t="n">
        <v>44968.32108796296</v>
      </c>
      <c r="C409" s="1" t="n">
        <v>46059</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7042-2023</t>
        </is>
      </c>
      <c r="B410" s="1" t="n">
        <v>44968</v>
      </c>
      <c r="C410" s="1" t="n">
        <v>46059</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23516-2023</t>
        </is>
      </c>
      <c r="B411" s="1" t="n">
        <v>45076.93391203704</v>
      </c>
      <c r="C411" s="1" t="n">
        <v>46059</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53587-2025</t>
        </is>
      </c>
      <c r="B412" s="1" t="n">
        <v>45960.43681712963</v>
      </c>
      <c r="C412" s="1" t="n">
        <v>46059</v>
      </c>
      <c r="D412" t="inlineStr">
        <is>
          <t>GOTLANDS LÄN</t>
        </is>
      </c>
      <c r="E412" t="inlineStr">
        <is>
          <t>GOTLAND</t>
        </is>
      </c>
      <c r="F412" t="inlineStr">
        <is>
          <t>Övriga Aktiebolag</t>
        </is>
      </c>
      <c r="G412" t="n">
        <v>1.7</v>
      </c>
      <c r="H412" t="n">
        <v>0</v>
      </c>
      <c r="I412" t="n">
        <v>0</v>
      </c>
      <c r="J412" t="n">
        <v>0</v>
      </c>
      <c r="K412" t="n">
        <v>0</v>
      </c>
      <c r="L412" t="n">
        <v>0</v>
      </c>
      <c r="M412" t="n">
        <v>0</v>
      </c>
      <c r="N412" t="n">
        <v>0</v>
      </c>
      <c r="O412" t="n">
        <v>0</v>
      </c>
      <c r="P412" t="n">
        <v>0</v>
      </c>
      <c r="Q412" t="n">
        <v>0</v>
      </c>
      <c r="R412" s="2" t="inlineStr"/>
    </row>
    <row r="413" ht="15" customHeight="1">
      <c r="A413" t="inlineStr">
        <is>
          <t>A 63105-2025</t>
        </is>
      </c>
      <c r="B413" s="1" t="n">
        <v>46009</v>
      </c>
      <c r="C413" s="1" t="n">
        <v>46059</v>
      </c>
      <c r="D413" t="inlineStr">
        <is>
          <t>GOTLANDS LÄN</t>
        </is>
      </c>
      <c r="E413" t="inlineStr">
        <is>
          <t>GOTLAND</t>
        </is>
      </c>
      <c r="G413" t="n">
        <v>2.6</v>
      </c>
      <c r="H413" t="n">
        <v>0</v>
      </c>
      <c r="I413" t="n">
        <v>0</v>
      </c>
      <c r="J413" t="n">
        <v>0</v>
      </c>
      <c r="K413" t="n">
        <v>0</v>
      </c>
      <c r="L413" t="n">
        <v>0</v>
      </c>
      <c r="M413" t="n">
        <v>0</v>
      </c>
      <c r="N413" t="n">
        <v>0</v>
      </c>
      <c r="O413" t="n">
        <v>0</v>
      </c>
      <c r="P413" t="n">
        <v>0</v>
      </c>
      <c r="Q413" t="n">
        <v>0</v>
      </c>
      <c r="R413" s="2" t="inlineStr"/>
    </row>
    <row r="414" ht="15" customHeight="1">
      <c r="A414" t="inlineStr">
        <is>
          <t>A 63152-2025</t>
        </is>
      </c>
      <c r="B414" s="1" t="n">
        <v>46010</v>
      </c>
      <c r="C414" s="1" t="n">
        <v>46059</v>
      </c>
      <c r="D414" t="inlineStr">
        <is>
          <t>GOTLANDS LÄN</t>
        </is>
      </c>
      <c r="E414" t="inlineStr">
        <is>
          <t>GOTLAND</t>
        </is>
      </c>
      <c r="G414" t="n">
        <v>1.5</v>
      </c>
      <c r="H414" t="n">
        <v>0</v>
      </c>
      <c r="I414" t="n">
        <v>0</v>
      </c>
      <c r="J414" t="n">
        <v>0</v>
      </c>
      <c r="K414" t="n">
        <v>0</v>
      </c>
      <c r="L414" t="n">
        <v>0</v>
      </c>
      <c r="M414" t="n">
        <v>0</v>
      </c>
      <c r="N414" t="n">
        <v>0</v>
      </c>
      <c r="O414" t="n">
        <v>0</v>
      </c>
      <c r="P414" t="n">
        <v>0</v>
      </c>
      <c r="Q414" t="n">
        <v>0</v>
      </c>
      <c r="R414" s="2" t="inlineStr"/>
    </row>
    <row r="415" ht="15" customHeight="1">
      <c r="A415" t="inlineStr">
        <is>
          <t>A 64660-2023</t>
        </is>
      </c>
      <c r="B415" s="1" t="n">
        <v>45281.60122685185</v>
      </c>
      <c r="C415" s="1" t="n">
        <v>46059</v>
      </c>
      <c r="D415" t="inlineStr">
        <is>
          <t>GOTLANDS LÄN</t>
        </is>
      </c>
      <c r="E415" t="inlineStr">
        <is>
          <t>GOTLAND</t>
        </is>
      </c>
      <c r="G415" t="n">
        <v>6.3</v>
      </c>
      <c r="H415" t="n">
        <v>0</v>
      </c>
      <c r="I415" t="n">
        <v>0</v>
      </c>
      <c r="J415" t="n">
        <v>0</v>
      </c>
      <c r="K415" t="n">
        <v>0</v>
      </c>
      <c r="L415" t="n">
        <v>0</v>
      </c>
      <c r="M415" t="n">
        <v>0</v>
      </c>
      <c r="N415" t="n">
        <v>0</v>
      </c>
      <c r="O415" t="n">
        <v>0</v>
      </c>
      <c r="P415" t="n">
        <v>0</v>
      </c>
      <c r="Q415" t="n">
        <v>0</v>
      </c>
      <c r="R415" s="2" t="inlineStr"/>
    </row>
    <row r="416" ht="15" customHeight="1">
      <c r="A416" t="inlineStr">
        <is>
          <t>A 63763-2023</t>
        </is>
      </c>
      <c r="B416" s="1" t="n">
        <v>45278.33944444444</v>
      </c>
      <c r="C416" s="1" t="n">
        <v>46059</v>
      </c>
      <c r="D416" t="inlineStr">
        <is>
          <t>GOTLANDS LÄN</t>
        </is>
      </c>
      <c r="E416" t="inlineStr">
        <is>
          <t>GOTLAND</t>
        </is>
      </c>
      <c r="G416" t="n">
        <v>0.5</v>
      </c>
      <c r="H416" t="n">
        <v>0</v>
      </c>
      <c r="I416" t="n">
        <v>0</v>
      </c>
      <c r="J416" t="n">
        <v>0</v>
      </c>
      <c r="K416" t="n">
        <v>0</v>
      </c>
      <c r="L416" t="n">
        <v>0</v>
      </c>
      <c r="M416" t="n">
        <v>0</v>
      </c>
      <c r="N416" t="n">
        <v>0</v>
      </c>
      <c r="O416" t="n">
        <v>0</v>
      </c>
      <c r="P416" t="n">
        <v>0</v>
      </c>
      <c r="Q416" t="n">
        <v>0</v>
      </c>
      <c r="R416" s="2" t="inlineStr"/>
    </row>
    <row r="417" ht="15" customHeight="1">
      <c r="A417" t="inlineStr">
        <is>
          <t>A 1677-2023</t>
        </is>
      </c>
      <c r="B417" s="1" t="n">
        <v>44938</v>
      </c>
      <c r="C417" s="1" t="n">
        <v>46059</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63229-2021</t>
        </is>
      </c>
      <c r="B418" s="1" t="n">
        <v>44508.34518518519</v>
      </c>
      <c r="C418" s="1" t="n">
        <v>46059</v>
      </c>
      <c r="D418" t="inlineStr">
        <is>
          <t>GOTLANDS LÄN</t>
        </is>
      </c>
      <c r="E418" t="inlineStr">
        <is>
          <t>GOTLAND</t>
        </is>
      </c>
      <c r="F418" t="inlineStr">
        <is>
          <t>Kyrkan</t>
        </is>
      </c>
      <c r="G418" t="n">
        <v>3.8</v>
      </c>
      <c r="H418" t="n">
        <v>0</v>
      </c>
      <c r="I418" t="n">
        <v>0</v>
      </c>
      <c r="J418" t="n">
        <v>0</v>
      </c>
      <c r="K418" t="n">
        <v>0</v>
      </c>
      <c r="L418" t="n">
        <v>0</v>
      </c>
      <c r="M418" t="n">
        <v>0</v>
      </c>
      <c r="N418" t="n">
        <v>0</v>
      </c>
      <c r="O418" t="n">
        <v>0</v>
      </c>
      <c r="P418" t="n">
        <v>0</v>
      </c>
      <c r="Q418" t="n">
        <v>0</v>
      </c>
      <c r="R418" s="2" t="inlineStr"/>
    </row>
    <row r="419" ht="15" customHeight="1">
      <c r="A419" t="inlineStr">
        <is>
          <t>A 46375-2024</t>
        </is>
      </c>
      <c r="B419" s="1" t="n">
        <v>45582</v>
      </c>
      <c r="C419" s="1" t="n">
        <v>46059</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45244-2024</t>
        </is>
      </c>
      <c r="B420" s="1" t="n">
        <v>45576</v>
      </c>
      <c r="C420" s="1" t="n">
        <v>46059</v>
      </c>
      <c r="D420" t="inlineStr">
        <is>
          <t>GOTLANDS LÄN</t>
        </is>
      </c>
      <c r="E420" t="inlineStr">
        <is>
          <t>GOTLAND</t>
        </is>
      </c>
      <c r="G420" t="n">
        <v>2.4</v>
      </c>
      <c r="H420" t="n">
        <v>0</v>
      </c>
      <c r="I420" t="n">
        <v>0</v>
      </c>
      <c r="J420" t="n">
        <v>0</v>
      </c>
      <c r="K420" t="n">
        <v>0</v>
      </c>
      <c r="L420" t="n">
        <v>0</v>
      </c>
      <c r="M420" t="n">
        <v>0</v>
      </c>
      <c r="N420" t="n">
        <v>0</v>
      </c>
      <c r="O420" t="n">
        <v>0</v>
      </c>
      <c r="P420" t="n">
        <v>0</v>
      </c>
      <c r="Q420" t="n">
        <v>0</v>
      </c>
      <c r="R420" s="2" t="inlineStr"/>
    </row>
    <row r="421" ht="15" customHeight="1">
      <c r="A421" t="inlineStr">
        <is>
          <t>A 8260-2023</t>
        </is>
      </c>
      <c r="B421" s="1" t="n">
        <v>44974.61608796296</v>
      </c>
      <c r="C421" s="1" t="n">
        <v>46059</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64969-2023</t>
        </is>
      </c>
      <c r="B422" s="1" t="n">
        <v>45284.54009259259</v>
      </c>
      <c r="C422" s="1" t="n">
        <v>46059</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1734-2025</t>
        </is>
      </c>
      <c r="B423" s="1" t="n">
        <v>45671.3840625</v>
      </c>
      <c r="C423" s="1" t="n">
        <v>46059</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48843-2024</t>
        </is>
      </c>
      <c r="B424" s="1" t="n">
        <v>45593</v>
      </c>
      <c r="C424" s="1" t="n">
        <v>46059</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17541-2024</t>
        </is>
      </c>
      <c r="B425" s="1" t="n">
        <v>45415</v>
      </c>
      <c r="C425" s="1" t="n">
        <v>46059</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20993-2023</t>
        </is>
      </c>
      <c r="B426" s="1" t="n">
        <v>45056</v>
      </c>
      <c r="C426" s="1" t="n">
        <v>46059</v>
      </c>
      <c r="D426" t="inlineStr">
        <is>
          <t>GOTLANDS LÄN</t>
        </is>
      </c>
      <c r="E426" t="inlineStr">
        <is>
          <t>GOTLAND</t>
        </is>
      </c>
      <c r="G426" t="n">
        <v>7.1</v>
      </c>
      <c r="H426" t="n">
        <v>0</v>
      </c>
      <c r="I426" t="n">
        <v>0</v>
      </c>
      <c r="J426" t="n">
        <v>0</v>
      </c>
      <c r="K426" t="n">
        <v>0</v>
      </c>
      <c r="L426" t="n">
        <v>0</v>
      </c>
      <c r="M426" t="n">
        <v>0</v>
      </c>
      <c r="N426" t="n">
        <v>0</v>
      </c>
      <c r="O426" t="n">
        <v>0</v>
      </c>
      <c r="P426" t="n">
        <v>0</v>
      </c>
      <c r="Q426" t="n">
        <v>0</v>
      </c>
      <c r="R426" s="2" t="inlineStr"/>
    </row>
    <row r="427" ht="15" customHeight="1">
      <c r="A427" t="inlineStr">
        <is>
          <t>A 12596-2023</t>
        </is>
      </c>
      <c r="B427" s="1" t="n">
        <v>45000.43310185185</v>
      </c>
      <c r="C427" s="1" t="n">
        <v>46059</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2125-2025</t>
        </is>
      </c>
      <c r="B428" s="1" t="n">
        <v>45672.64940972222</v>
      </c>
      <c r="C428" s="1" t="n">
        <v>46059</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2241-2025</t>
        </is>
      </c>
      <c r="B429" s="1" t="n">
        <v>45673.48710648148</v>
      </c>
      <c r="C429" s="1" t="n">
        <v>46059</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12155-2023</t>
        </is>
      </c>
      <c r="B430" s="1" t="n">
        <v>44998.49106481481</v>
      </c>
      <c r="C430" s="1" t="n">
        <v>46059</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457-2023</t>
        </is>
      </c>
      <c r="B431" s="1" t="n">
        <v>44929.87238425926</v>
      </c>
      <c r="C431" s="1" t="n">
        <v>46059</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459-2023</t>
        </is>
      </c>
      <c r="B432" s="1" t="n">
        <v>44929.87423611111</v>
      </c>
      <c r="C432" s="1" t="n">
        <v>46059</v>
      </c>
      <c r="D432" t="inlineStr">
        <is>
          <t>GOTLANDS LÄN</t>
        </is>
      </c>
      <c r="E432" t="inlineStr">
        <is>
          <t>GOTLAND</t>
        </is>
      </c>
      <c r="G432" t="n">
        <v>4.2</v>
      </c>
      <c r="H432" t="n">
        <v>0</v>
      </c>
      <c r="I432" t="n">
        <v>0</v>
      </c>
      <c r="J432" t="n">
        <v>0</v>
      </c>
      <c r="K432" t="n">
        <v>0</v>
      </c>
      <c r="L432" t="n">
        <v>0</v>
      </c>
      <c r="M432" t="n">
        <v>0</v>
      </c>
      <c r="N432" t="n">
        <v>0</v>
      </c>
      <c r="O432" t="n">
        <v>0</v>
      </c>
      <c r="P432" t="n">
        <v>0</v>
      </c>
      <c r="Q432" t="n">
        <v>0</v>
      </c>
      <c r="R432" s="2" t="inlineStr"/>
    </row>
    <row r="433" ht="15" customHeight="1">
      <c r="A433" t="inlineStr">
        <is>
          <t>A 38234-2023</t>
        </is>
      </c>
      <c r="B433" s="1" t="n">
        <v>45161.56663194444</v>
      </c>
      <c r="C433" s="1" t="n">
        <v>46059</v>
      </c>
      <c r="D433" t="inlineStr">
        <is>
          <t>GOTLANDS LÄN</t>
        </is>
      </c>
      <c r="E433" t="inlineStr">
        <is>
          <t>GOTLAND</t>
        </is>
      </c>
      <c r="G433" t="n">
        <v>1.3</v>
      </c>
      <c r="H433" t="n">
        <v>0</v>
      </c>
      <c r="I433" t="n">
        <v>0</v>
      </c>
      <c r="J433" t="n">
        <v>0</v>
      </c>
      <c r="K433" t="n">
        <v>0</v>
      </c>
      <c r="L433" t="n">
        <v>0</v>
      </c>
      <c r="M433" t="n">
        <v>0</v>
      </c>
      <c r="N433" t="n">
        <v>0</v>
      </c>
      <c r="O433" t="n">
        <v>0</v>
      </c>
      <c r="P433" t="n">
        <v>0</v>
      </c>
      <c r="Q433" t="n">
        <v>0</v>
      </c>
      <c r="R433" s="2" t="inlineStr"/>
    </row>
    <row r="434" ht="15" customHeight="1">
      <c r="A434" t="inlineStr">
        <is>
          <t>A 50744-2024</t>
        </is>
      </c>
      <c r="B434" s="1" t="n">
        <v>45602.4187037037</v>
      </c>
      <c r="C434" s="1" t="n">
        <v>46059</v>
      </c>
      <c r="D434" t="inlineStr">
        <is>
          <t>GOTLANDS LÄN</t>
        </is>
      </c>
      <c r="E434" t="inlineStr">
        <is>
          <t>GOTLAND</t>
        </is>
      </c>
      <c r="G434" t="n">
        <v>3.2</v>
      </c>
      <c r="H434" t="n">
        <v>0</v>
      </c>
      <c r="I434" t="n">
        <v>0</v>
      </c>
      <c r="J434" t="n">
        <v>0</v>
      </c>
      <c r="K434" t="n">
        <v>0</v>
      </c>
      <c r="L434" t="n">
        <v>0</v>
      </c>
      <c r="M434" t="n">
        <v>0</v>
      </c>
      <c r="N434" t="n">
        <v>0</v>
      </c>
      <c r="O434" t="n">
        <v>0</v>
      </c>
      <c r="P434" t="n">
        <v>0</v>
      </c>
      <c r="Q434" t="n">
        <v>0</v>
      </c>
      <c r="R434" s="2" t="inlineStr"/>
    </row>
    <row r="435" ht="15" customHeight="1">
      <c r="A435" t="inlineStr">
        <is>
          <t>A 56799-2025</t>
        </is>
      </c>
      <c r="B435" s="1" t="n">
        <v>45978.43392361111</v>
      </c>
      <c r="C435" s="1" t="n">
        <v>46059</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53934-2024</t>
        </is>
      </c>
      <c r="B436" s="1" t="n">
        <v>45615</v>
      </c>
      <c r="C436" s="1" t="n">
        <v>46059</v>
      </c>
      <c r="D436" t="inlineStr">
        <is>
          <t>GOTLANDS LÄN</t>
        </is>
      </c>
      <c r="E436" t="inlineStr">
        <is>
          <t>GOTLAND</t>
        </is>
      </c>
      <c r="G436" t="n">
        <v>5</v>
      </c>
      <c r="H436" t="n">
        <v>0</v>
      </c>
      <c r="I436" t="n">
        <v>0</v>
      </c>
      <c r="J436" t="n">
        <v>0</v>
      </c>
      <c r="K436" t="n">
        <v>0</v>
      </c>
      <c r="L436" t="n">
        <v>0</v>
      </c>
      <c r="M436" t="n">
        <v>0</v>
      </c>
      <c r="N436" t="n">
        <v>0</v>
      </c>
      <c r="O436" t="n">
        <v>0</v>
      </c>
      <c r="P436" t="n">
        <v>0</v>
      </c>
      <c r="Q436" t="n">
        <v>0</v>
      </c>
      <c r="R436" s="2" t="inlineStr"/>
    </row>
    <row r="437" ht="15" customHeight="1">
      <c r="A437" t="inlineStr">
        <is>
          <t>A 15434-2024</t>
        </is>
      </c>
      <c r="B437" s="1" t="n">
        <v>45401.38836805556</v>
      </c>
      <c r="C437" s="1" t="n">
        <v>46059</v>
      </c>
      <c r="D437" t="inlineStr">
        <is>
          <t>GOTLANDS LÄN</t>
        </is>
      </c>
      <c r="E437" t="inlineStr">
        <is>
          <t>GOTLAND</t>
        </is>
      </c>
      <c r="G437" t="n">
        <v>2.5</v>
      </c>
      <c r="H437" t="n">
        <v>0</v>
      </c>
      <c r="I437" t="n">
        <v>0</v>
      </c>
      <c r="J437" t="n">
        <v>0</v>
      </c>
      <c r="K437" t="n">
        <v>0</v>
      </c>
      <c r="L437" t="n">
        <v>0</v>
      </c>
      <c r="M437" t="n">
        <v>0</v>
      </c>
      <c r="N437" t="n">
        <v>0</v>
      </c>
      <c r="O437" t="n">
        <v>0</v>
      </c>
      <c r="P437" t="n">
        <v>0</v>
      </c>
      <c r="Q437" t="n">
        <v>0</v>
      </c>
      <c r="R437" s="2" t="inlineStr"/>
    </row>
    <row r="438" ht="15" customHeight="1">
      <c r="A438" t="inlineStr">
        <is>
          <t>A 5943-2024</t>
        </is>
      </c>
      <c r="B438" s="1" t="n">
        <v>45336</v>
      </c>
      <c r="C438" s="1" t="n">
        <v>46059</v>
      </c>
      <c r="D438" t="inlineStr">
        <is>
          <t>GOTLANDS LÄN</t>
        </is>
      </c>
      <c r="E438" t="inlineStr">
        <is>
          <t>GOTLAND</t>
        </is>
      </c>
      <c r="G438" t="n">
        <v>4.3</v>
      </c>
      <c r="H438" t="n">
        <v>0</v>
      </c>
      <c r="I438" t="n">
        <v>0</v>
      </c>
      <c r="J438" t="n">
        <v>0</v>
      </c>
      <c r="K438" t="n">
        <v>0</v>
      </c>
      <c r="L438" t="n">
        <v>0</v>
      </c>
      <c r="M438" t="n">
        <v>0</v>
      </c>
      <c r="N438" t="n">
        <v>0</v>
      </c>
      <c r="O438" t="n">
        <v>0</v>
      </c>
      <c r="P438" t="n">
        <v>0</v>
      </c>
      <c r="Q438" t="n">
        <v>0</v>
      </c>
      <c r="R438" s="2" t="inlineStr"/>
    </row>
    <row r="439" ht="15" customHeight="1">
      <c r="A439" t="inlineStr">
        <is>
          <t>A 54073-2022</t>
        </is>
      </c>
      <c r="B439" s="1" t="n">
        <v>44881.50380787037</v>
      </c>
      <c r="C439" s="1" t="n">
        <v>46059</v>
      </c>
      <c r="D439" t="inlineStr">
        <is>
          <t>GOTLANDS LÄN</t>
        </is>
      </c>
      <c r="E439" t="inlineStr">
        <is>
          <t>GOTLAND</t>
        </is>
      </c>
      <c r="G439" t="n">
        <v>3.8</v>
      </c>
      <c r="H439" t="n">
        <v>0</v>
      </c>
      <c r="I439" t="n">
        <v>0</v>
      </c>
      <c r="J439" t="n">
        <v>0</v>
      </c>
      <c r="K439" t="n">
        <v>0</v>
      </c>
      <c r="L439" t="n">
        <v>0</v>
      </c>
      <c r="M439" t="n">
        <v>0</v>
      </c>
      <c r="N439" t="n">
        <v>0</v>
      </c>
      <c r="O439" t="n">
        <v>0</v>
      </c>
      <c r="P439" t="n">
        <v>0</v>
      </c>
      <c r="Q439" t="n">
        <v>0</v>
      </c>
      <c r="R439" s="2" t="inlineStr"/>
    </row>
    <row r="440" ht="15" customHeight="1">
      <c r="A440" t="inlineStr">
        <is>
          <t>A 16361-2024</t>
        </is>
      </c>
      <c r="B440" s="1" t="n">
        <v>45407</v>
      </c>
      <c r="C440" s="1" t="n">
        <v>46059</v>
      </c>
      <c r="D440" t="inlineStr">
        <is>
          <t>GOTLANDS LÄN</t>
        </is>
      </c>
      <c r="E440" t="inlineStr">
        <is>
          <t>GOTLAND</t>
        </is>
      </c>
      <c r="G440" t="n">
        <v>6</v>
      </c>
      <c r="H440" t="n">
        <v>0</v>
      </c>
      <c r="I440" t="n">
        <v>0</v>
      </c>
      <c r="J440" t="n">
        <v>0</v>
      </c>
      <c r="K440" t="n">
        <v>0</v>
      </c>
      <c r="L440" t="n">
        <v>0</v>
      </c>
      <c r="M440" t="n">
        <v>0</v>
      </c>
      <c r="N440" t="n">
        <v>0</v>
      </c>
      <c r="O440" t="n">
        <v>0</v>
      </c>
      <c r="P440" t="n">
        <v>0</v>
      </c>
      <c r="Q440" t="n">
        <v>0</v>
      </c>
      <c r="R440" s="2" t="inlineStr"/>
    </row>
    <row r="441" ht="15" customHeight="1">
      <c r="A441" t="inlineStr">
        <is>
          <t>A 41038-2023</t>
        </is>
      </c>
      <c r="B441" s="1" t="n">
        <v>45173.60959490741</v>
      </c>
      <c r="C441" s="1" t="n">
        <v>46059</v>
      </c>
      <c r="D441" t="inlineStr">
        <is>
          <t>GOTLANDS LÄN</t>
        </is>
      </c>
      <c r="E441" t="inlineStr">
        <is>
          <t>GOTLAND</t>
        </is>
      </c>
      <c r="G441" t="n">
        <v>2.7</v>
      </c>
      <c r="H441" t="n">
        <v>0</v>
      </c>
      <c r="I441" t="n">
        <v>0</v>
      </c>
      <c r="J441" t="n">
        <v>0</v>
      </c>
      <c r="K441" t="n">
        <v>0</v>
      </c>
      <c r="L441" t="n">
        <v>0</v>
      </c>
      <c r="M441" t="n">
        <v>0</v>
      </c>
      <c r="N441" t="n">
        <v>0</v>
      </c>
      <c r="O441" t="n">
        <v>0</v>
      </c>
      <c r="P441" t="n">
        <v>0</v>
      </c>
      <c r="Q441" t="n">
        <v>0</v>
      </c>
      <c r="R441" s="2" t="inlineStr"/>
    </row>
    <row r="442" ht="15" customHeight="1">
      <c r="A442" t="inlineStr">
        <is>
          <t>A 1446-2025</t>
        </is>
      </c>
      <c r="B442" s="1" t="n">
        <v>45669.86035879629</v>
      </c>
      <c r="C442" s="1" t="n">
        <v>46059</v>
      </c>
      <c r="D442" t="inlineStr">
        <is>
          <t>GOTLANDS LÄN</t>
        </is>
      </c>
      <c r="E442" t="inlineStr">
        <is>
          <t>GOTLAND</t>
        </is>
      </c>
      <c r="G442" t="n">
        <v>3.1</v>
      </c>
      <c r="H442" t="n">
        <v>0</v>
      </c>
      <c r="I442" t="n">
        <v>0</v>
      </c>
      <c r="J442" t="n">
        <v>0</v>
      </c>
      <c r="K442" t="n">
        <v>0</v>
      </c>
      <c r="L442" t="n">
        <v>0</v>
      </c>
      <c r="M442" t="n">
        <v>0</v>
      </c>
      <c r="N442" t="n">
        <v>0</v>
      </c>
      <c r="O442" t="n">
        <v>0</v>
      </c>
      <c r="P442" t="n">
        <v>0</v>
      </c>
      <c r="Q442" t="n">
        <v>0</v>
      </c>
      <c r="R442" s="2" t="inlineStr"/>
    </row>
    <row r="443" ht="15" customHeight="1">
      <c r="A443" t="inlineStr">
        <is>
          <t>A 31264-2021</t>
        </is>
      </c>
      <c r="B443" s="1" t="n">
        <v>44368</v>
      </c>
      <c r="C443" s="1" t="n">
        <v>46059</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43901-2023</t>
        </is>
      </c>
      <c r="B444" s="1" t="n">
        <v>45187</v>
      </c>
      <c r="C444" s="1" t="n">
        <v>46059</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14427-2024</t>
        </is>
      </c>
      <c r="B445" s="1" t="n">
        <v>45394</v>
      </c>
      <c r="C445" s="1" t="n">
        <v>46059</v>
      </c>
      <c r="D445" t="inlineStr">
        <is>
          <t>GOTLANDS LÄN</t>
        </is>
      </c>
      <c r="E445" t="inlineStr">
        <is>
          <t>GOTLAND</t>
        </is>
      </c>
      <c r="G445" t="n">
        <v>1.3</v>
      </c>
      <c r="H445" t="n">
        <v>0</v>
      </c>
      <c r="I445" t="n">
        <v>0</v>
      </c>
      <c r="J445" t="n">
        <v>0</v>
      </c>
      <c r="K445" t="n">
        <v>0</v>
      </c>
      <c r="L445" t="n">
        <v>0</v>
      </c>
      <c r="M445" t="n">
        <v>0</v>
      </c>
      <c r="N445" t="n">
        <v>0</v>
      </c>
      <c r="O445" t="n">
        <v>0</v>
      </c>
      <c r="P445" t="n">
        <v>0</v>
      </c>
      <c r="Q445" t="n">
        <v>0</v>
      </c>
      <c r="R445" s="2" t="inlineStr"/>
    </row>
    <row r="446" ht="15" customHeight="1">
      <c r="A446" t="inlineStr">
        <is>
          <t>A 10746-2025</t>
        </is>
      </c>
      <c r="B446" s="1" t="n">
        <v>45722.42766203704</v>
      </c>
      <c r="C446" s="1" t="n">
        <v>46059</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16501-2023</t>
        </is>
      </c>
      <c r="B447" s="1" t="n">
        <v>45029</v>
      </c>
      <c r="C447" s="1" t="n">
        <v>46059</v>
      </c>
      <c r="D447" t="inlineStr">
        <is>
          <t>GOTLANDS LÄN</t>
        </is>
      </c>
      <c r="E447" t="inlineStr">
        <is>
          <t>GOTLAND</t>
        </is>
      </c>
      <c r="G447" t="n">
        <v>3.1</v>
      </c>
      <c r="H447" t="n">
        <v>0</v>
      </c>
      <c r="I447" t="n">
        <v>0</v>
      </c>
      <c r="J447" t="n">
        <v>0</v>
      </c>
      <c r="K447" t="n">
        <v>0</v>
      </c>
      <c r="L447" t="n">
        <v>0</v>
      </c>
      <c r="M447" t="n">
        <v>0</v>
      </c>
      <c r="N447" t="n">
        <v>0</v>
      </c>
      <c r="O447" t="n">
        <v>0</v>
      </c>
      <c r="P447" t="n">
        <v>0</v>
      </c>
      <c r="Q447" t="n">
        <v>0</v>
      </c>
      <c r="R447" s="2" t="inlineStr"/>
    </row>
    <row r="448" ht="15" customHeight="1">
      <c r="A448" t="inlineStr">
        <is>
          <t>A 31802-2024</t>
        </is>
      </c>
      <c r="B448" s="1" t="n">
        <v>45509</v>
      </c>
      <c r="C448" s="1" t="n">
        <v>46059</v>
      </c>
      <c r="D448" t="inlineStr">
        <is>
          <t>GOTLANDS LÄN</t>
        </is>
      </c>
      <c r="E448" t="inlineStr">
        <is>
          <t>GOTLAND</t>
        </is>
      </c>
      <c r="G448" t="n">
        <v>2.8</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46059</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61962-2024</t>
        </is>
      </c>
      <c r="B450" s="1" t="n">
        <v>45653.54340277778</v>
      </c>
      <c r="C450" s="1" t="n">
        <v>46059</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8036-2022</t>
        </is>
      </c>
      <c r="B451" s="1" t="n">
        <v>44609.44362268518</v>
      </c>
      <c r="C451" s="1" t="n">
        <v>46059</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12846-2025</t>
        </is>
      </c>
      <c r="B452" s="1" t="n">
        <v>45733.65049768519</v>
      </c>
      <c r="C452" s="1" t="n">
        <v>46059</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10492-2023</t>
        </is>
      </c>
      <c r="B453" s="1" t="n">
        <v>44987</v>
      </c>
      <c r="C453" s="1" t="n">
        <v>46059</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46949-2024</t>
        </is>
      </c>
      <c r="B454" s="1" t="n">
        <v>45585</v>
      </c>
      <c r="C454" s="1" t="n">
        <v>46059</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10650-2022</t>
        </is>
      </c>
      <c r="B455" s="1" t="n">
        <v>44624.57945601852</v>
      </c>
      <c r="C455" s="1" t="n">
        <v>46059</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5909-2025</t>
        </is>
      </c>
      <c r="B456" s="1" t="n">
        <v>45695.40634259259</v>
      </c>
      <c r="C456" s="1" t="n">
        <v>46059</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10653-2023</t>
        </is>
      </c>
      <c r="B457" s="1" t="n">
        <v>44988.48859953704</v>
      </c>
      <c r="C457" s="1" t="n">
        <v>46059</v>
      </c>
      <c r="D457" t="inlineStr">
        <is>
          <t>GOTLANDS LÄN</t>
        </is>
      </c>
      <c r="E457" t="inlineStr">
        <is>
          <t>GOTLAND</t>
        </is>
      </c>
      <c r="F457" t="inlineStr">
        <is>
          <t>Kyrkan</t>
        </is>
      </c>
      <c r="G457" t="n">
        <v>3</v>
      </c>
      <c r="H457" t="n">
        <v>0</v>
      </c>
      <c r="I457" t="n">
        <v>0</v>
      </c>
      <c r="J457" t="n">
        <v>0</v>
      </c>
      <c r="K457" t="n">
        <v>0</v>
      </c>
      <c r="L457" t="n">
        <v>0</v>
      </c>
      <c r="M457" t="n">
        <v>0</v>
      </c>
      <c r="N457" t="n">
        <v>0</v>
      </c>
      <c r="O457" t="n">
        <v>0</v>
      </c>
      <c r="P457" t="n">
        <v>0</v>
      </c>
      <c r="Q457" t="n">
        <v>0</v>
      </c>
      <c r="R457" s="2" t="inlineStr"/>
    </row>
    <row r="458" ht="15" customHeight="1">
      <c r="A458" t="inlineStr">
        <is>
          <t>A 4990-2025</t>
        </is>
      </c>
      <c r="B458" s="1" t="n">
        <v>45691</v>
      </c>
      <c r="C458" s="1" t="n">
        <v>46059</v>
      </c>
      <c r="D458" t="inlineStr">
        <is>
          <t>GOTLANDS LÄN</t>
        </is>
      </c>
      <c r="E458" t="inlineStr">
        <is>
          <t>GOTLAND</t>
        </is>
      </c>
      <c r="G458" t="n">
        <v>7.7</v>
      </c>
      <c r="H458" t="n">
        <v>0</v>
      </c>
      <c r="I458" t="n">
        <v>0</v>
      </c>
      <c r="J458" t="n">
        <v>0</v>
      </c>
      <c r="K458" t="n">
        <v>0</v>
      </c>
      <c r="L458" t="n">
        <v>0</v>
      </c>
      <c r="M458" t="n">
        <v>0</v>
      </c>
      <c r="N458" t="n">
        <v>0</v>
      </c>
      <c r="O458" t="n">
        <v>0</v>
      </c>
      <c r="P458" t="n">
        <v>0</v>
      </c>
      <c r="Q458" t="n">
        <v>0</v>
      </c>
      <c r="R458" s="2" t="inlineStr"/>
    </row>
    <row r="459" ht="15" customHeight="1">
      <c r="A459" t="inlineStr">
        <is>
          <t>A 11634-2024</t>
        </is>
      </c>
      <c r="B459" s="1" t="n">
        <v>45373</v>
      </c>
      <c r="C459" s="1" t="n">
        <v>46059</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46059</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1351-2025</t>
        </is>
      </c>
      <c r="B461" s="1" t="n">
        <v>45667.62246527777</v>
      </c>
      <c r="C461" s="1" t="n">
        <v>46059</v>
      </c>
      <c r="D461" t="inlineStr">
        <is>
          <t>GOTLANDS LÄN</t>
        </is>
      </c>
      <c r="E461" t="inlineStr">
        <is>
          <t>GOTLAND</t>
        </is>
      </c>
      <c r="G461" t="n">
        <v>1.3</v>
      </c>
      <c r="H461" t="n">
        <v>0</v>
      </c>
      <c r="I461" t="n">
        <v>0</v>
      </c>
      <c r="J461" t="n">
        <v>0</v>
      </c>
      <c r="K461" t="n">
        <v>0</v>
      </c>
      <c r="L461" t="n">
        <v>0</v>
      </c>
      <c r="M461" t="n">
        <v>0</v>
      </c>
      <c r="N461" t="n">
        <v>0</v>
      </c>
      <c r="O461" t="n">
        <v>0</v>
      </c>
      <c r="P461" t="n">
        <v>0</v>
      </c>
      <c r="Q461" t="n">
        <v>0</v>
      </c>
      <c r="R461" s="2" t="inlineStr"/>
    </row>
    <row r="462" ht="15" customHeight="1">
      <c r="A462" t="inlineStr">
        <is>
          <t>A 39496-2022</t>
        </is>
      </c>
      <c r="B462" s="1" t="n">
        <v>44818</v>
      </c>
      <c r="C462" s="1" t="n">
        <v>46059</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32958-2021</t>
        </is>
      </c>
      <c r="B463" s="1" t="n">
        <v>44376</v>
      </c>
      <c r="C463" s="1" t="n">
        <v>46059</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5884-2025</t>
        </is>
      </c>
      <c r="B464" s="1" t="n">
        <v>45695.37482638889</v>
      </c>
      <c r="C464" s="1" t="n">
        <v>46059</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5897-2025</t>
        </is>
      </c>
      <c r="B465" s="1" t="n">
        <v>45695.39273148148</v>
      </c>
      <c r="C465" s="1" t="n">
        <v>46059</v>
      </c>
      <c r="D465" t="inlineStr">
        <is>
          <t>GOTLANDS LÄN</t>
        </is>
      </c>
      <c r="E465" t="inlineStr">
        <is>
          <t>GOTLAND</t>
        </is>
      </c>
      <c r="G465" t="n">
        <v>3.7</v>
      </c>
      <c r="H465" t="n">
        <v>0</v>
      </c>
      <c r="I465" t="n">
        <v>0</v>
      </c>
      <c r="J465" t="n">
        <v>0</v>
      </c>
      <c r="K465" t="n">
        <v>0</v>
      </c>
      <c r="L465" t="n">
        <v>0</v>
      </c>
      <c r="M465" t="n">
        <v>0</v>
      </c>
      <c r="N465" t="n">
        <v>0</v>
      </c>
      <c r="O465" t="n">
        <v>0</v>
      </c>
      <c r="P465" t="n">
        <v>0</v>
      </c>
      <c r="Q465" t="n">
        <v>0</v>
      </c>
      <c r="R465" s="2" t="inlineStr"/>
    </row>
    <row r="466" ht="15" customHeight="1">
      <c r="A466" t="inlineStr">
        <is>
          <t>A 49874-2024</t>
        </is>
      </c>
      <c r="B466" s="1" t="n">
        <v>45597.49274305555</v>
      </c>
      <c r="C466" s="1" t="n">
        <v>46059</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49693-2023</t>
        </is>
      </c>
      <c r="B467" s="1" t="n">
        <v>45212.38138888889</v>
      </c>
      <c r="C467" s="1" t="n">
        <v>46059</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49697-2023</t>
        </is>
      </c>
      <c r="B468" s="1" t="n">
        <v>45212.38909722222</v>
      </c>
      <c r="C468" s="1" t="n">
        <v>46059</v>
      </c>
      <c r="D468" t="inlineStr">
        <is>
          <t>GOTLANDS LÄN</t>
        </is>
      </c>
      <c r="E468" t="inlineStr">
        <is>
          <t>GOTLAND</t>
        </is>
      </c>
      <c r="G468" t="n">
        <v>4.4</v>
      </c>
      <c r="H468" t="n">
        <v>0</v>
      </c>
      <c r="I468" t="n">
        <v>0</v>
      </c>
      <c r="J468" t="n">
        <v>0</v>
      </c>
      <c r="K468" t="n">
        <v>0</v>
      </c>
      <c r="L468" t="n">
        <v>0</v>
      </c>
      <c r="M468" t="n">
        <v>0</v>
      </c>
      <c r="N468" t="n">
        <v>0</v>
      </c>
      <c r="O468" t="n">
        <v>0</v>
      </c>
      <c r="P468" t="n">
        <v>0</v>
      </c>
      <c r="Q468" t="n">
        <v>0</v>
      </c>
      <c r="R468" s="2" t="inlineStr"/>
    </row>
    <row r="469" ht="15" customHeight="1">
      <c r="A469" t="inlineStr">
        <is>
          <t>A 42201-2023</t>
        </is>
      </c>
      <c r="B469" s="1" t="n">
        <v>45179</v>
      </c>
      <c r="C469" s="1" t="n">
        <v>46059</v>
      </c>
      <c r="D469" t="inlineStr">
        <is>
          <t>GOTLANDS LÄN</t>
        </is>
      </c>
      <c r="E469" t="inlineStr">
        <is>
          <t>GOTLAND</t>
        </is>
      </c>
      <c r="G469" t="n">
        <v>11.9</v>
      </c>
      <c r="H469" t="n">
        <v>0</v>
      </c>
      <c r="I469" t="n">
        <v>0</v>
      </c>
      <c r="J469" t="n">
        <v>0</v>
      </c>
      <c r="K469" t="n">
        <v>0</v>
      </c>
      <c r="L469" t="n">
        <v>0</v>
      </c>
      <c r="M469" t="n">
        <v>0</v>
      </c>
      <c r="N469" t="n">
        <v>0</v>
      </c>
      <c r="O469" t="n">
        <v>0</v>
      </c>
      <c r="P469" t="n">
        <v>0</v>
      </c>
      <c r="Q469" t="n">
        <v>0</v>
      </c>
      <c r="R469" s="2" t="inlineStr"/>
    </row>
    <row r="470" ht="15" customHeight="1">
      <c r="A470" t="inlineStr">
        <is>
          <t>A 46400-2023</t>
        </is>
      </c>
      <c r="B470" s="1" t="n">
        <v>45197.49290509259</v>
      </c>
      <c r="C470" s="1" t="n">
        <v>46059</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9875-2025</t>
        </is>
      </c>
      <c r="B471" s="1" t="n">
        <v>45716</v>
      </c>
      <c r="C471" s="1" t="n">
        <v>46059</v>
      </c>
      <c r="D471" t="inlineStr">
        <is>
          <t>GOTLANDS LÄN</t>
        </is>
      </c>
      <c r="E471" t="inlineStr">
        <is>
          <t>GOTLAND</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21164-2024</t>
        </is>
      </c>
      <c r="B472" s="1" t="n">
        <v>45440</v>
      </c>
      <c r="C472" s="1" t="n">
        <v>46059</v>
      </c>
      <c r="D472" t="inlineStr">
        <is>
          <t>GOTLANDS LÄN</t>
        </is>
      </c>
      <c r="E472" t="inlineStr">
        <is>
          <t>GOTLAND</t>
        </is>
      </c>
      <c r="G472" t="n">
        <v>6.3</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46059</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22897-2023</t>
        </is>
      </c>
      <c r="B474" s="1" t="n">
        <v>45072.55239583334</v>
      </c>
      <c r="C474" s="1" t="n">
        <v>46059</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61897-2024</t>
        </is>
      </c>
      <c r="B475" s="1" t="n">
        <v>45652.75685185185</v>
      </c>
      <c r="C475" s="1" t="n">
        <v>46059</v>
      </c>
      <c r="D475" t="inlineStr">
        <is>
          <t>GOTLANDS LÄN</t>
        </is>
      </c>
      <c r="E475" t="inlineStr">
        <is>
          <t>GOTLAND</t>
        </is>
      </c>
      <c r="G475" t="n">
        <v>6.4</v>
      </c>
      <c r="H475" t="n">
        <v>0</v>
      </c>
      <c r="I475" t="n">
        <v>0</v>
      </c>
      <c r="J475" t="n">
        <v>0</v>
      </c>
      <c r="K475" t="n">
        <v>0</v>
      </c>
      <c r="L475" t="n">
        <v>0</v>
      </c>
      <c r="M475" t="n">
        <v>0</v>
      </c>
      <c r="N475" t="n">
        <v>0</v>
      </c>
      <c r="O475" t="n">
        <v>0</v>
      </c>
      <c r="P475" t="n">
        <v>0</v>
      </c>
      <c r="Q475" t="n">
        <v>0</v>
      </c>
      <c r="R475" s="2" t="inlineStr"/>
    </row>
    <row r="476" ht="15" customHeight="1">
      <c r="A476" t="inlineStr">
        <is>
          <t>A 49962-2023</t>
        </is>
      </c>
      <c r="B476" s="1" t="n">
        <v>45215.38775462963</v>
      </c>
      <c r="C476" s="1" t="n">
        <v>46059</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44698.49854166667</v>
      </c>
      <c r="C477" s="1" t="n">
        <v>46059</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40294-2022</t>
        </is>
      </c>
      <c r="B478" s="1" t="n">
        <v>44821</v>
      </c>
      <c r="C478" s="1" t="n">
        <v>46059</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12032-2025</t>
        </is>
      </c>
      <c r="B479" s="1" t="n">
        <v>45728.64472222222</v>
      </c>
      <c r="C479" s="1" t="n">
        <v>46059</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38787-2023</t>
        </is>
      </c>
      <c r="B480" s="1" t="n">
        <v>45163</v>
      </c>
      <c r="C480" s="1" t="n">
        <v>46059</v>
      </c>
      <c r="D480" t="inlineStr">
        <is>
          <t>GOTLANDS LÄN</t>
        </is>
      </c>
      <c r="E480" t="inlineStr">
        <is>
          <t>GOTLAND</t>
        </is>
      </c>
      <c r="G480" t="n">
        <v>0.4</v>
      </c>
      <c r="H480" t="n">
        <v>0</v>
      </c>
      <c r="I480" t="n">
        <v>0</v>
      </c>
      <c r="J480" t="n">
        <v>0</v>
      </c>
      <c r="K480" t="n">
        <v>0</v>
      </c>
      <c r="L480" t="n">
        <v>0</v>
      </c>
      <c r="M480" t="n">
        <v>0</v>
      </c>
      <c r="N480" t="n">
        <v>0</v>
      </c>
      <c r="O480" t="n">
        <v>0</v>
      </c>
      <c r="P480" t="n">
        <v>0</v>
      </c>
      <c r="Q480" t="n">
        <v>0</v>
      </c>
      <c r="R480" s="2" t="inlineStr"/>
    </row>
    <row r="481" ht="15" customHeight="1">
      <c r="A481" t="inlineStr">
        <is>
          <t>A 43231-2023</t>
        </is>
      </c>
      <c r="B481" s="1" t="n">
        <v>45183.47025462963</v>
      </c>
      <c r="C481" s="1" t="n">
        <v>46059</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17532-2024</t>
        </is>
      </c>
      <c r="B482" s="1" t="n">
        <v>45415</v>
      </c>
      <c r="C482" s="1" t="n">
        <v>46059</v>
      </c>
      <c r="D482" t="inlineStr">
        <is>
          <t>GOTLANDS LÄN</t>
        </is>
      </c>
      <c r="E482" t="inlineStr">
        <is>
          <t>GOTLAND</t>
        </is>
      </c>
      <c r="G482" t="n">
        <v>4.3</v>
      </c>
      <c r="H482" t="n">
        <v>0</v>
      </c>
      <c r="I482" t="n">
        <v>0</v>
      </c>
      <c r="J482" t="n">
        <v>0</v>
      </c>
      <c r="K482" t="n">
        <v>0</v>
      </c>
      <c r="L482" t="n">
        <v>0</v>
      </c>
      <c r="M482" t="n">
        <v>0</v>
      </c>
      <c r="N482" t="n">
        <v>0</v>
      </c>
      <c r="O482" t="n">
        <v>0</v>
      </c>
      <c r="P482" t="n">
        <v>0</v>
      </c>
      <c r="Q482" t="n">
        <v>0</v>
      </c>
      <c r="R482" s="2" t="inlineStr"/>
    </row>
    <row r="483" ht="15" customHeight="1">
      <c r="A483" t="inlineStr">
        <is>
          <t>A 3935-2025</t>
        </is>
      </c>
      <c r="B483" s="1" t="n">
        <v>45684.46070601852</v>
      </c>
      <c r="C483" s="1" t="n">
        <v>46059</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20225-2025</t>
        </is>
      </c>
      <c r="B484" s="1" t="n">
        <v>45772.65802083333</v>
      </c>
      <c r="C484" s="1" t="n">
        <v>46059</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883-2025</t>
        </is>
      </c>
      <c r="B485" s="1" t="n">
        <v>45665</v>
      </c>
      <c r="C485" s="1" t="n">
        <v>46059</v>
      </c>
      <c r="D485" t="inlineStr">
        <is>
          <t>GOTLANDS LÄN</t>
        </is>
      </c>
      <c r="E485" t="inlineStr">
        <is>
          <t>GOTLAND</t>
        </is>
      </c>
      <c r="G485" t="n">
        <v>1.3</v>
      </c>
      <c r="H485" t="n">
        <v>0</v>
      </c>
      <c r="I485" t="n">
        <v>0</v>
      </c>
      <c r="J485" t="n">
        <v>0</v>
      </c>
      <c r="K485" t="n">
        <v>0</v>
      </c>
      <c r="L485" t="n">
        <v>0</v>
      </c>
      <c r="M485" t="n">
        <v>0</v>
      </c>
      <c r="N485" t="n">
        <v>0</v>
      </c>
      <c r="O485" t="n">
        <v>0</v>
      </c>
      <c r="P485" t="n">
        <v>0</v>
      </c>
      <c r="Q485" t="n">
        <v>0</v>
      </c>
      <c r="R485" s="2" t="inlineStr"/>
    </row>
    <row r="486" ht="15" customHeight="1">
      <c r="A486" t="inlineStr">
        <is>
          <t>A 1066-2024</t>
        </is>
      </c>
      <c r="B486" s="1" t="n">
        <v>45302.285</v>
      </c>
      <c r="C486" s="1" t="n">
        <v>46059</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17144-2025</t>
        </is>
      </c>
      <c r="B487" s="1" t="n">
        <v>45755.9499537037</v>
      </c>
      <c r="C487" s="1" t="n">
        <v>46059</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56009-2024</t>
        </is>
      </c>
      <c r="B488" s="1" t="n">
        <v>45623.80864583333</v>
      </c>
      <c r="C488" s="1" t="n">
        <v>46059</v>
      </c>
      <c r="D488" t="inlineStr">
        <is>
          <t>GOTLANDS LÄN</t>
        </is>
      </c>
      <c r="E488" t="inlineStr">
        <is>
          <t>GOTLAND</t>
        </is>
      </c>
      <c r="G488" t="n">
        <v>2.8</v>
      </c>
      <c r="H488" t="n">
        <v>0</v>
      </c>
      <c r="I488" t="n">
        <v>0</v>
      </c>
      <c r="J488" t="n">
        <v>0</v>
      </c>
      <c r="K488" t="n">
        <v>0</v>
      </c>
      <c r="L488" t="n">
        <v>0</v>
      </c>
      <c r="M488" t="n">
        <v>0</v>
      </c>
      <c r="N488" t="n">
        <v>0</v>
      </c>
      <c r="O488" t="n">
        <v>0</v>
      </c>
      <c r="P488" t="n">
        <v>0</v>
      </c>
      <c r="Q488" t="n">
        <v>0</v>
      </c>
      <c r="R488" s="2" t="inlineStr"/>
    </row>
    <row r="489" ht="15" customHeight="1">
      <c r="A489" t="inlineStr">
        <is>
          <t>A 42338-2023</t>
        </is>
      </c>
      <c r="B489" s="1" t="n">
        <v>45180</v>
      </c>
      <c r="C489" s="1" t="n">
        <v>46059</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581-2023</t>
        </is>
      </c>
      <c r="B490" s="1" t="n">
        <v>44930</v>
      </c>
      <c r="C490" s="1" t="n">
        <v>46059</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61386-2023</t>
        </is>
      </c>
      <c r="B491" s="1" t="n">
        <v>45264</v>
      </c>
      <c r="C491" s="1" t="n">
        <v>46059</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873-2024</t>
        </is>
      </c>
      <c r="B492" s="1" t="n">
        <v>45301</v>
      </c>
      <c r="C492" s="1" t="n">
        <v>46059</v>
      </c>
      <c r="D492" t="inlineStr">
        <is>
          <t>GOTLANDS LÄN</t>
        </is>
      </c>
      <c r="E492" t="inlineStr">
        <is>
          <t>GOTLAND</t>
        </is>
      </c>
      <c r="G492" t="n">
        <v>2.7</v>
      </c>
      <c r="H492" t="n">
        <v>0</v>
      </c>
      <c r="I492" t="n">
        <v>0</v>
      </c>
      <c r="J492" t="n">
        <v>0</v>
      </c>
      <c r="K492" t="n">
        <v>0</v>
      </c>
      <c r="L492" t="n">
        <v>0</v>
      </c>
      <c r="M492" t="n">
        <v>0</v>
      </c>
      <c r="N492" t="n">
        <v>0</v>
      </c>
      <c r="O492" t="n">
        <v>0</v>
      </c>
      <c r="P492" t="n">
        <v>0</v>
      </c>
      <c r="Q492" t="n">
        <v>0</v>
      </c>
      <c r="R492" s="2" t="inlineStr"/>
    </row>
    <row r="493" ht="15" customHeight="1">
      <c r="A493" t="inlineStr">
        <is>
          <t>A 49411-2023</t>
        </is>
      </c>
      <c r="B493" s="1" t="n">
        <v>45205</v>
      </c>
      <c r="C493" s="1" t="n">
        <v>46059</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22275-2023</t>
        </is>
      </c>
      <c r="B494" s="1" t="n">
        <v>45070.39875</v>
      </c>
      <c r="C494" s="1" t="n">
        <v>46059</v>
      </c>
      <c r="D494" t="inlineStr">
        <is>
          <t>GOTLANDS LÄN</t>
        </is>
      </c>
      <c r="E494" t="inlineStr">
        <is>
          <t>GOTLAND</t>
        </is>
      </c>
      <c r="G494" t="n">
        <v>7.2</v>
      </c>
      <c r="H494" t="n">
        <v>0</v>
      </c>
      <c r="I494" t="n">
        <v>0</v>
      </c>
      <c r="J494" t="n">
        <v>0</v>
      </c>
      <c r="K494" t="n">
        <v>0</v>
      </c>
      <c r="L494" t="n">
        <v>0</v>
      </c>
      <c r="M494" t="n">
        <v>0</v>
      </c>
      <c r="N494" t="n">
        <v>0</v>
      </c>
      <c r="O494" t="n">
        <v>0</v>
      </c>
      <c r="P494" t="n">
        <v>0</v>
      </c>
      <c r="Q494" t="n">
        <v>0</v>
      </c>
      <c r="R494" s="2" t="inlineStr"/>
    </row>
    <row r="495" ht="15" customHeight="1">
      <c r="A495" t="inlineStr">
        <is>
          <t>A 12322-2025</t>
        </is>
      </c>
      <c r="B495" s="1" t="n">
        <v>45730</v>
      </c>
      <c r="C495" s="1" t="n">
        <v>46059</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14797-2024</t>
        </is>
      </c>
      <c r="B496" s="1" t="n">
        <v>45397.87030092593</v>
      </c>
      <c r="C496" s="1" t="n">
        <v>46059</v>
      </c>
      <c r="D496" t="inlineStr">
        <is>
          <t>GOTLANDS LÄN</t>
        </is>
      </c>
      <c r="E496" t="inlineStr">
        <is>
          <t>GOTLAND</t>
        </is>
      </c>
      <c r="G496" t="n">
        <v>8.1</v>
      </c>
      <c r="H496" t="n">
        <v>0</v>
      </c>
      <c r="I496" t="n">
        <v>0</v>
      </c>
      <c r="J496" t="n">
        <v>0</v>
      </c>
      <c r="K496" t="n">
        <v>0</v>
      </c>
      <c r="L496" t="n">
        <v>0</v>
      </c>
      <c r="M496" t="n">
        <v>0</v>
      </c>
      <c r="N496" t="n">
        <v>0</v>
      </c>
      <c r="O496" t="n">
        <v>0</v>
      </c>
      <c r="P496" t="n">
        <v>0</v>
      </c>
      <c r="Q496" t="n">
        <v>0</v>
      </c>
      <c r="R496" s="2" t="inlineStr"/>
    </row>
    <row r="497" ht="15" customHeight="1">
      <c r="A497" t="inlineStr">
        <is>
          <t>A 999-2024</t>
        </is>
      </c>
      <c r="B497" s="1" t="n">
        <v>45301</v>
      </c>
      <c r="C497" s="1" t="n">
        <v>46059</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61596-2023</t>
        </is>
      </c>
      <c r="B498" s="1" t="n">
        <v>45265</v>
      </c>
      <c r="C498" s="1" t="n">
        <v>46059</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14638-2025</t>
        </is>
      </c>
      <c r="B499" s="1" t="n">
        <v>45742</v>
      </c>
      <c r="C499" s="1" t="n">
        <v>46059</v>
      </c>
      <c r="D499" t="inlineStr">
        <is>
          <t>GOTLANDS LÄN</t>
        </is>
      </c>
      <c r="E499" t="inlineStr">
        <is>
          <t>GOTLAND</t>
        </is>
      </c>
      <c r="G499" t="n">
        <v>13.4</v>
      </c>
      <c r="H499" t="n">
        <v>0</v>
      </c>
      <c r="I499" t="n">
        <v>0</v>
      </c>
      <c r="J499" t="n">
        <v>0</v>
      </c>
      <c r="K499" t="n">
        <v>0</v>
      </c>
      <c r="L499" t="n">
        <v>0</v>
      </c>
      <c r="M499" t="n">
        <v>0</v>
      </c>
      <c r="N499" t="n">
        <v>0</v>
      </c>
      <c r="O499" t="n">
        <v>0</v>
      </c>
      <c r="P499" t="n">
        <v>0</v>
      </c>
      <c r="Q499" t="n">
        <v>0</v>
      </c>
      <c r="R499" s="2" t="inlineStr"/>
    </row>
    <row r="500" ht="15" customHeight="1">
      <c r="A500" t="inlineStr">
        <is>
          <t>A 60675-2021</t>
        </is>
      </c>
      <c r="B500" s="1" t="n">
        <v>44496.64855324074</v>
      </c>
      <c r="C500" s="1" t="n">
        <v>46059</v>
      </c>
      <c r="D500" t="inlineStr">
        <is>
          <t>GOTLANDS LÄN</t>
        </is>
      </c>
      <c r="E500" t="inlineStr">
        <is>
          <t>GOTLAND</t>
        </is>
      </c>
      <c r="G500" t="n">
        <v>4.6</v>
      </c>
      <c r="H500" t="n">
        <v>0</v>
      </c>
      <c r="I500" t="n">
        <v>0</v>
      </c>
      <c r="J500" t="n">
        <v>0</v>
      </c>
      <c r="K500" t="n">
        <v>0</v>
      </c>
      <c r="L500" t="n">
        <v>0</v>
      </c>
      <c r="M500" t="n">
        <v>0</v>
      </c>
      <c r="N500" t="n">
        <v>0</v>
      </c>
      <c r="O500" t="n">
        <v>0</v>
      </c>
      <c r="P500" t="n">
        <v>0</v>
      </c>
      <c r="Q500" t="n">
        <v>0</v>
      </c>
      <c r="R500" s="2" t="inlineStr"/>
    </row>
    <row r="501" ht="15" customHeight="1">
      <c r="A501" t="inlineStr">
        <is>
          <t>A 37728-2024</t>
        </is>
      </c>
      <c r="B501" s="1" t="n">
        <v>45541</v>
      </c>
      <c r="C501" s="1" t="n">
        <v>46059</v>
      </c>
      <c r="D501" t="inlineStr">
        <is>
          <t>GOTLANDS LÄN</t>
        </is>
      </c>
      <c r="E501" t="inlineStr">
        <is>
          <t>GOTLAND</t>
        </is>
      </c>
      <c r="G501" t="n">
        <v>0.4</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46059</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46059</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65249-2023</t>
        </is>
      </c>
      <c r="B504" s="1" t="n">
        <v>45290</v>
      </c>
      <c r="C504" s="1" t="n">
        <v>46059</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13910-2025</t>
        </is>
      </c>
      <c r="B505" s="1" t="n">
        <v>45737</v>
      </c>
      <c r="C505" s="1" t="n">
        <v>46059</v>
      </c>
      <c r="D505" t="inlineStr">
        <is>
          <t>GOTLANDS LÄN</t>
        </is>
      </c>
      <c r="E505" t="inlineStr">
        <is>
          <t>GOTLAND</t>
        </is>
      </c>
      <c r="F505" t="inlineStr">
        <is>
          <t>Kommuner</t>
        </is>
      </c>
      <c r="G505" t="n">
        <v>3.2</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44682.82622685185</v>
      </c>
      <c r="C506" s="1" t="n">
        <v>46059</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59986-2022</t>
        </is>
      </c>
      <c r="B507" s="1" t="n">
        <v>44909</v>
      </c>
      <c r="C507" s="1" t="n">
        <v>46059</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14536-2021</t>
        </is>
      </c>
      <c r="B508" s="1" t="n">
        <v>44279.66168981481</v>
      </c>
      <c r="C508" s="1" t="n">
        <v>46059</v>
      </c>
      <c r="D508" t="inlineStr">
        <is>
          <t>GOTLANDS LÄN</t>
        </is>
      </c>
      <c r="E508" t="inlineStr">
        <is>
          <t>GOTLAND</t>
        </is>
      </c>
      <c r="G508" t="n">
        <v>8.5</v>
      </c>
      <c r="H508" t="n">
        <v>0</v>
      </c>
      <c r="I508" t="n">
        <v>0</v>
      </c>
      <c r="J508" t="n">
        <v>0</v>
      </c>
      <c r="K508" t="n">
        <v>0</v>
      </c>
      <c r="L508" t="n">
        <v>0</v>
      </c>
      <c r="M508" t="n">
        <v>0</v>
      </c>
      <c r="N508" t="n">
        <v>0</v>
      </c>
      <c r="O508" t="n">
        <v>0</v>
      </c>
      <c r="P508" t="n">
        <v>0</v>
      </c>
      <c r="Q508" t="n">
        <v>0</v>
      </c>
      <c r="R508" s="2" t="inlineStr"/>
    </row>
    <row r="509" ht="15" customHeight="1">
      <c r="A509" t="inlineStr">
        <is>
          <t>A 11874-2024</t>
        </is>
      </c>
      <c r="B509" s="1" t="n">
        <v>45376.46956018519</v>
      </c>
      <c r="C509" s="1" t="n">
        <v>46059</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42041-2024</t>
        </is>
      </c>
      <c r="B510" s="1" t="n">
        <v>45561</v>
      </c>
      <c r="C510" s="1" t="n">
        <v>46059</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61694-2023</t>
        </is>
      </c>
      <c r="B511" s="1" t="n">
        <v>45264</v>
      </c>
      <c r="C511" s="1" t="n">
        <v>46059</v>
      </c>
      <c r="D511" t="inlineStr">
        <is>
          <t>GOTLANDS LÄN</t>
        </is>
      </c>
      <c r="E511" t="inlineStr">
        <is>
          <t>GOTLAND</t>
        </is>
      </c>
      <c r="G511" t="n">
        <v>4.6</v>
      </c>
      <c r="H511" t="n">
        <v>0</v>
      </c>
      <c r="I511" t="n">
        <v>0</v>
      </c>
      <c r="J511" t="n">
        <v>0</v>
      </c>
      <c r="K511" t="n">
        <v>0</v>
      </c>
      <c r="L511" t="n">
        <v>0</v>
      </c>
      <c r="M511" t="n">
        <v>0</v>
      </c>
      <c r="N511" t="n">
        <v>0</v>
      </c>
      <c r="O511" t="n">
        <v>0</v>
      </c>
      <c r="P511" t="n">
        <v>0</v>
      </c>
      <c r="Q511" t="n">
        <v>0</v>
      </c>
      <c r="R511" s="2" t="inlineStr"/>
    </row>
    <row r="512" ht="15" customHeight="1">
      <c r="A512" t="inlineStr">
        <is>
          <t>A 64555-2023</t>
        </is>
      </c>
      <c r="B512" s="1" t="n">
        <v>45281</v>
      </c>
      <c r="C512" s="1" t="n">
        <v>46059</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64831-2023</t>
        </is>
      </c>
      <c r="B513" s="1" t="n">
        <v>45282.44924768519</v>
      </c>
      <c r="C513" s="1" t="n">
        <v>46059</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14804-2021</t>
        </is>
      </c>
      <c r="B514" s="1" t="n">
        <v>44280</v>
      </c>
      <c r="C514" s="1" t="n">
        <v>46059</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999-2023</t>
        </is>
      </c>
      <c r="B515" s="1" t="n">
        <v>44935</v>
      </c>
      <c r="C515" s="1" t="n">
        <v>46059</v>
      </c>
      <c r="D515" t="inlineStr">
        <is>
          <t>GOTLANDS LÄN</t>
        </is>
      </c>
      <c r="E515" t="inlineStr">
        <is>
          <t>GOTLAND</t>
        </is>
      </c>
      <c r="G515" t="n">
        <v>4.7</v>
      </c>
      <c r="H515" t="n">
        <v>0</v>
      </c>
      <c r="I515" t="n">
        <v>0</v>
      </c>
      <c r="J515" t="n">
        <v>0</v>
      </c>
      <c r="K515" t="n">
        <v>0</v>
      </c>
      <c r="L515" t="n">
        <v>0</v>
      </c>
      <c r="M515" t="n">
        <v>0</v>
      </c>
      <c r="N515" t="n">
        <v>0</v>
      </c>
      <c r="O515" t="n">
        <v>0</v>
      </c>
      <c r="P515" t="n">
        <v>0</v>
      </c>
      <c r="Q515" t="n">
        <v>0</v>
      </c>
      <c r="R515" s="2" t="inlineStr"/>
    </row>
    <row r="516" ht="15" customHeight="1">
      <c r="A516" t="inlineStr">
        <is>
          <t>A 27602-2023</t>
        </is>
      </c>
      <c r="B516" s="1" t="n">
        <v>45097</v>
      </c>
      <c r="C516" s="1" t="n">
        <v>46059</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4377-2023</t>
        </is>
      </c>
      <c r="B517" s="1" t="n">
        <v>44955.5502662037</v>
      </c>
      <c r="C517" s="1" t="n">
        <v>46059</v>
      </c>
      <c r="D517" t="inlineStr">
        <is>
          <t>GOTLANDS LÄN</t>
        </is>
      </c>
      <c r="E517" t="inlineStr">
        <is>
          <t>GOTLAND</t>
        </is>
      </c>
      <c r="F517" t="inlineStr">
        <is>
          <t>Kyrkan</t>
        </is>
      </c>
      <c r="G517" t="n">
        <v>0.6</v>
      </c>
      <c r="H517" t="n">
        <v>0</v>
      </c>
      <c r="I517" t="n">
        <v>0</v>
      </c>
      <c r="J517" t="n">
        <v>0</v>
      </c>
      <c r="K517" t="n">
        <v>0</v>
      </c>
      <c r="L517" t="n">
        <v>0</v>
      </c>
      <c r="M517" t="n">
        <v>0</v>
      </c>
      <c r="N517" t="n">
        <v>0</v>
      </c>
      <c r="O517" t="n">
        <v>0</v>
      </c>
      <c r="P517" t="n">
        <v>0</v>
      </c>
      <c r="Q517" t="n">
        <v>0</v>
      </c>
      <c r="R517" s="2" t="inlineStr"/>
    </row>
    <row r="518" ht="15" customHeight="1">
      <c r="A518" t="inlineStr">
        <is>
          <t>A 4387-2023</t>
        </is>
      </c>
      <c r="B518" s="1" t="n">
        <v>44955.73359953704</v>
      </c>
      <c r="C518" s="1" t="n">
        <v>46059</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39479-2022</t>
        </is>
      </c>
      <c r="B519" s="1" t="n">
        <v>44818</v>
      </c>
      <c r="C519" s="1" t="n">
        <v>46059</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51963-2024</t>
        </is>
      </c>
      <c r="B520" s="1" t="n">
        <v>45607.64833333333</v>
      </c>
      <c r="C520" s="1" t="n">
        <v>46059</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811-2023</t>
        </is>
      </c>
      <c r="B521" s="1" t="n">
        <v>44931</v>
      </c>
      <c r="C521" s="1" t="n">
        <v>46059</v>
      </c>
      <c r="D521" t="inlineStr">
        <is>
          <t>GOTLANDS LÄN</t>
        </is>
      </c>
      <c r="E521" t="inlineStr">
        <is>
          <t>GOTLAND</t>
        </is>
      </c>
      <c r="G521" t="n">
        <v>0.6</v>
      </c>
      <c r="H521" t="n">
        <v>0</v>
      </c>
      <c r="I521" t="n">
        <v>0</v>
      </c>
      <c r="J521" t="n">
        <v>0</v>
      </c>
      <c r="K521" t="n">
        <v>0</v>
      </c>
      <c r="L521" t="n">
        <v>0</v>
      </c>
      <c r="M521" t="n">
        <v>0</v>
      </c>
      <c r="N521" t="n">
        <v>0</v>
      </c>
      <c r="O521" t="n">
        <v>0</v>
      </c>
      <c r="P521" t="n">
        <v>0</v>
      </c>
      <c r="Q521" t="n">
        <v>0</v>
      </c>
      <c r="R521" s="2" t="inlineStr"/>
    </row>
    <row r="522" ht="15" customHeight="1">
      <c r="A522" t="inlineStr">
        <is>
          <t>A 46389-2021</t>
        </is>
      </c>
      <c r="B522" s="1" t="n">
        <v>44443</v>
      </c>
      <c r="C522" s="1" t="n">
        <v>46059</v>
      </c>
      <c r="D522" t="inlineStr">
        <is>
          <t>GOTLANDS LÄN</t>
        </is>
      </c>
      <c r="E522" t="inlineStr">
        <is>
          <t>GOTLAND</t>
        </is>
      </c>
      <c r="F522" t="inlineStr">
        <is>
          <t>Kyrkan</t>
        </is>
      </c>
      <c r="G522" t="n">
        <v>2.1</v>
      </c>
      <c r="H522" t="n">
        <v>0</v>
      </c>
      <c r="I522" t="n">
        <v>0</v>
      </c>
      <c r="J522" t="n">
        <v>0</v>
      </c>
      <c r="K522" t="n">
        <v>0</v>
      </c>
      <c r="L522" t="n">
        <v>0</v>
      </c>
      <c r="M522" t="n">
        <v>0</v>
      </c>
      <c r="N522" t="n">
        <v>0</v>
      </c>
      <c r="O522" t="n">
        <v>0</v>
      </c>
      <c r="P522" t="n">
        <v>0</v>
      </c>
      <c r="Q522" t="n">
        <v>0</v>
      </c>
      <c r="R522" s="2" t="inlineStr"/>
    </row>
    <row r="523" ht="15" customHeight="1">
      <c r="A523" t="inlineStr">
        <is>
          <t>A 26810-2021</t>
        </is>
      </c>
      <c r="B523" s="1" t="n">
        <v>44349.55087962963</v>
      </c>
      <c r="C523" s="1" t="n">
        <v>46059</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5923-2023</t>
        </is>
      </c>
      <c r="B524" s="1" t="n">
        <v>44963.69503472222</v>
      </c>
      <c r="C524" s="1" t="n">
        <v>46059</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33853-2024</t>
        </is>
      </c>
      <c r="B525" s="1" t="n">
        <v>45520.64298611111</v>
      </c>
      <c r="C525" s="1" t="n">
        <v>46059</v>
      </c>
      <c r="D525" t="inlineStr">
        <is>
          <t>GOTLANDS LÄN</t>
        </is>
      </c>
      <c r="E525" t="inlineStr">
        <is>
          <t>GOTLAND</t>
        </is>
      </c>
      <c r="G525" t="n">
        <v>3.9</v>
      </c>
      <c r="H525" t="n">
        <v>0</v>
      </c>
      <c r="I525" t="n">
        <v>0</v>
      </c>
      <c r="J525" t="n">
        <v>0</v>
      </c>
      <c r="K525" t="n">
        <v>0</v>
      </c>
      <c r="L525" t="n">
        <v>0</v>
      </c>
      <c r="M525" t="n">
        <v>0</v>
      </c>
      <c r="N525" t="n">
        <v>0</v>
      </c>
      <c r="O525" t="n">
        <v>0</v>
      </c>
      <c r="P525" t="n">
        <v>0</v>
      </c>
      <c r="Q525" t="n">
        <v>0</v>
      </c>
      <c r="R525" s="2" t="inlineStr"/>
    </row>
    <row r="526" ht="15" customHeight="1">
      <c r="A526" t="inlineStr">
        <is>
          <t>A 18918-2025</t>
        </is>
      </c>
      <c r="B526" s="1" t="n">
        <v>45764</v>
      </c>
      <c r="C526" s="1" t="n">
        <v>46059</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2674-2023</t>
        </is>
      </c>
      <c r="B527" s="1" t="n">
        <v>44944</v>
      </c>
      <c r="C527" s="1" t="n">
        <v>46059</v>
      </c>
      <c r="D527" t="inlineStr">
        <is>
          <t>GOTLANDS LÄN</t>
        </is>
      </c>
      <c r="E527" t="inlineStr">
        <is>
          <t>GOTLAND</t>
        </is>
      </c>
      <c r="G527" t="n">
        <v>2.5</v>
      </c>
      <c r="H527" t="n">
        <v>0</v>
      </c>
      <c r="I527" t="n">
        <v>0</v>
      </c>
      <c r="J527" t="n">
        <v>0</v>
      </c>
      <c r="K527" t="n">
        <v>0</v>
      </c>
      <c r="L527" t="n">
        <v>0</v>
      </c>
      <c r="M527" t="n">
        <v>0</v>
      </c>
      <c r="N527" t="n">
        <v>0</v>
      </c>
      <c r="O527" t="n">
        <v>0</v>
      </c>
      <c r="P527" t="n">
        <v>0</v>
      </c>
      <c r="Q527" t="n">
        <v>0</v>
      </c>
      <c r="R527" s="2" t="inlineStr"/>
    </row>
    <row r="528" ht="15" customHeight="1">
      <c r="A528" t="inlineStr">
        <is>
          <t>A 10655-2023</t>
        </is>
      </c>
      <c r="B528" s="1" t="n">
        <v>44988.49543981482</v>
      </c>
      <c r="C528" s="1" t="n">
        <v>46059</v>
      </c>
      <c r="D528" t="inlineStr">
        <is>
          <t>GOTLANDS LÄN</t>
        </is>
      </c>
      <c r="E528" t="inlineStr">
        <is>
          <t>GOTLAND</t>
        </is>
      </c>
      <c r="F528" t="inlineStr">
        <is>
          <t>Kyrkan</t>
        </is>
      </c>
      <c r="G528" t="n">
        <v>2</v>
      </c>
      <c r="H528" t="n">
        <v>0</v>
      </c>
      <c r="I528" t="n">
        <v>0</v>
      </c>
      <c r="J528" t="n">
        <v>0</v>
      </c>
      <c r="K528" t="n">
        <v>0</v>
      </c>
      <c r="L528" t="n">
        <v>0</v>
      </c>
      <c r="M528" t="n">
        <v>0</v>
      </c>
      <c r="N528" t="n">
        <v>0</v>
      </c>
      <c r="O528" t="n">
        <v>0</v>
      </c>
      <c r="P528" t="n">
        <v>0</v>
      </c>
      <c r="Q528" t="n">
        <v>0</v>
      </c>
      <c r="R528" s="2" t="inlineStr"/>
    </row>
    <row r="529" ht="15" customHeight="1">
      <c r="A529" t="inlineStr">
        <is>
          <t>A 2719-2023</t>
        </is>
      </c>
      <c r="B529" s="1" t="n">
        <v>44944.55361111111</v>
      </c>
      <c r="C529" s="1" t="n">
        <v>46059</v>
      </c>
      <c r="D529" t="inlineStr">
        <is>
          <t>GOTLANDS LÄN</t>
        </is>
      </c>
      <c r="E529" t="inlineStr">
        <is>
          <t>GOTLAND</t>
        </is>
      </c>
      <c r="G529" t="n">
        <v>0.5</v>
      </c>
      <c r="H529" t="n">
        <v>0</v>
      </c>
      <c r="I529" t="n">
        <v>0</v>
      </c>
      <c r="J529" t="n">
        <v>0</v>
      </c>
      <c r="K529" t="n">
        <v>0</v>
      </c>
      <c r="L529" t="n">
        <v>0</v>
      </c>
      <c r="M529" t="n">
        <v>0</v>
      </c>
      <c r="N529" t="n">
        <v>0</v>
      </c>
      <c r="O529" t="n">
        <v>0</v>
      </c>
      <c r="P529" t="n">
        <v>0</v>
      </c>
      <c r="Q529" t="n">
        <v>0</v>
      </c>
      <c r="R529" s="2" t="inlineStr"/>
    </row>
    <row r="530" ht="15" customHeight="1">
      <c r="A530" t="inlineStr">
        <is>
          <t>A 26891-2024</t>
        </is>
      </c>
      <c r="B530" s="1" t="n">
        <v>45470.65540509259</v>
      </c>
      <c r="C530" s="1" t="n">
        <v>46059</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42007-2023</t>
        </is>
      </c>
      <c r="B531" s="1" t="n">
        <v>45177</v>
      </c>
      <c r="C531" s="1" t="n">
        <v>46059</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9887-2025</t>
        </is>
      </c>
      <c r="B532" s="1" t="n">
        <v>45716</v>
      </c>
      <c r="C532" s="1" t="n">
        <v>46059</v>
      </c>
      <c r="D532" t="inlineStr">
        <is>
          <t>GOTLANDS LÄN</t>
        </is>
      </c>
      <c r="E532" t="inlineStr">
        <is>
          <t>GOTLAND</t>
        </is>
      </c>
      <c r="G532" t="n">
        <v>7.5</v>
      </c>
      <c r="H532" t="n">
        <v>0</v>
      </c>
      <c r="I532" t="n">
        <v>0</v>
      </c>
      <c r="J532" t="n">
        <v>0</v>
      </c>
      <c r="K532" t="n">
        <v>0</v>
      </c>
      <c r="L532" t="n">
        <v>0</v>
      </c>
      <c r="M532" t="n">
        <v>0</v>
      </c>
      <c r="N532" t="n">
        <v>0</v>
      </c>
      <c r="O532" t="n">
        <v>0</v>
      </c>
      <c r="P532" t="n">
        <v>0</v>
      </c>
      <c r="Q532" t="n">
        <v>0</v>
      </c>
      <c r="R532" s="2" t="inlineStr"/>
    </row>
    <row r="533" ht="15" customHeight="1">
      <c r="A533" t="inlineStr">
        <is>
          <t>A 38165-2023</t>
        </is>
      </c>
      <c r="B533" s="1" t="n">
        <v>45161</v>
      </c>
      <c r="C533" s="1" t="n">
        <v>46059</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27596-2023</t>
        </is>
      </c>
      <c r="B534" s="1" t="n">
        <v>45097</v>
      </c>
      <c r="C534" s="1" t="n">
        <v>46059</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24825-2024</t>
        </is>
      </c>
      <c r="B535" s="1" t="n">
        <v>45461</v>
      </c>
      <c r="C535" s="1" t="n">
        <v>46059</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6696-2023</t>
        </is>
      </c>
      <c r="B536" s="1" t="n">
        <v>44966.66425925926</v>
      </c>
      <c r="C536" s="1" t="n">
        <v>46059</v>
      </c>
      <c r="D536" t="inlineStr">
        <is>
          <t>GOTLANDS LÄN</t>
        </is>
      </c>
      <c r="E536" t="inlineStr">
        <is>
          <t>GOTLAND</t>
        </is>
      </c>
      <c r="G536" t="n">
        <v>1.5</v>
      </c>
      <c r="H536" t="n">
        <v>0</v>
      </c>
      <c r="I536" t="n">
        <v>0</v>
      </c>
      <c r="J536" t="n">
        <v>0</v>
      </c>
      <c r="K536" t="n">
        <v>0</v>
      </c>
      <c r="L536" t="n">
        <v>0</v>
      </c>
      <c r="M536" t="n">
        <v>0</v>
      </c>
      <c r="N536" t="n">
        <v>0</v>
      </c>
      <c r="O536" t="n">
        <v>0</v>
      </c>
      <c r="P536" t="n">
        <v>0</v>
      </c>
      <c r="Q536" t="n">
        <v>0</v>
      </c>
      <c r="R536" s="2" t="inlineStr"/>
    </row>
    <row r="537" ht="15" customHeight="1">
      <c r="A537" t="inlineStr">
        <is>
          <t>A 21247-2022</t>
        </is>
      </c>
      <c r="B537" s="1" t="n">
        <v>44705.38832175926</v>
      </c>
      <c r="C537" s="1" t="n">
        <v>46059</v>
      </c>
      <c r="D537" t="inlineStr">
        <is>
          <t>GOTLANDS LÄN</t>
        </is>
      </c>
      <c r="E537" t="inlineStr">
        <is>
          <t>GOTLAND</t>
        </is>
      </c>
      <c r="G537" t="n">
        <v>16.2</v>
      </c>
      <c r="H537" t="n">
        <v>0</v>
      </c>
      <c r="I537" t="n">
        <v>0</v>
      </c>
      <c r="J537" t="n">
        <v>0</v>
      </c>
      <c r="K537" t="n">
        <v>0</v>
      </c>
      <c r="L537" t="n">
        <v>0</v>
      </c>
      <c r="M537" t="n">
        <v>0</v>
      </c>
      <c r="N537" t="n">
        <v>0</v>
      </c>
      <c r="O537" t="n">
        <v>0</v>
      </c>
      <c r="P537" t="n">
        <v>0</v>
      </c>
      <c r="Q537" t="n">
        <v>0</v>
      </c>
      <c r="R537" s="2" t="inlineStr"/>
    </row>
    <row r="538" ht="15" customHeight="1">
      <c r="A538" t="inlineStr">
        <is>
          <t>A 456-2023</t>
        </is>
      </c>
      <c r="B538" s="1" t="n">
        <v>44929.87122685185</v>
      </c>
      <c r="C538" s="1" t="n">
        <v>46059</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2714-2023</t>
        </is>
      </c>
      <c r="B539" s="1" t="n">
        <v>44944.54896990741</v>
      </c>
      <c r="C539" s="1" t="n">
        <v>46059</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4421-2024</t>
        </is>
      </c>
      <c r="B540" s="1" t="n">
        <v>45327.45173611111</v>
      </c>
      <c r="C540" s="1" t="n">
        <v>46059</v>
      </c>
      <c r="D540" t="inlineStr">
        <is>
          <t>GOTLANDS LÄN</t>
        </is>
      </c>
      <c r="E540" t="inlineStr">
        <is>
          <t>GOTLAND</t>
        </is>
      </c>
      <c r="G540" t="n">
        <v>5.1</v>
      </c>
      <c r="H540" t="n">
        <v>0</v>
      </c>
      <c r="I540" t="n">
        <v>0</v>
      </c>
      <c r="J540" t="n">
        <v>0</v>
      </c>
      <c r="K540" t="n">
        <v>0</v>
      </c>
      <c r="L540" t="n">
        <v>0</v>
      </c>
      <c r="M540" t="n">
        <v>0</v>
      </c>
      <c r="N540" t="n">
        <v>0</v>
      </c>
      <c r="O540" t="n">
        <v>0</v>
      </c>
      <c r="P540" t="n">
        <v>0</v>
      </c>
      <c r="Q540" t="n">
        <v>0</v>
      </c>
      <c r="R540" s="2" t="inlineStr"/>
    </row>
    <row r="541" ht="15" customHeight="1">
      <c r="A541" t="inlineStr">
        <is>
          <t>A 51782-2023</t>
        </is>
      </c>
      <c r="B541" s="1" t="n">
        <v>45222.80952546297</v>
      </c>
      <c r="C541" s="1" t="n">
        <v>46059</v>
      </c>
      <c r="D541" t="inlineStr">
        <is>
          <t>GOTLANDS LÄN</t>
        </is>
      </c>
      <c r="E541" t="inlineStr">
        <is>
          <t>GOTLAND</t>
        </is>
      </c>
      <c r="G541" t="n">
        <v>1.2</v>
      </c>
      <c r="H541" t="n">
        <v>0</v>
      </c>
      <c r="I541" t="n">
        <v>0</v>
      </c>
      <c r="J541" t="n">
        <v>0</v>
      </c>
      <c r="K541" t="n">
        <v>0</v>
      </c>
      <c r="L541" t="n">
        <v>0</v>
      </c>
      <c r="M541" t="n">
        <v>0</v>
      </c>
      <c r="N541" t="n">
        <v>0</v>
      </c>
      <c r="O541" t="n">
        <v>0</v>
      </c>
      <c r="P541" t="n">
        <v>0</v>
      </c>
      <c r="Q541" t="n">
        <v>0</v>
      </c>
      <c r="R541" s="2" t="inlineStr"/>
    </row>
    <row r="542" ht="15" customHeight="1">
      <c r="A542" t="inlineStr">
        <is>
          <t>A 54268-2022</t>
        </is>
      </c>
      <c r="B542" s="1" t="n">
        <v>44882</v>
      </c>
      <c r="C542" s="1" t="n">
        <v>46059</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57534-2022</t>
        </is>
      </c>
      <c r="B543" s="1" t="n">
        <v>44896</v>
      </c>
      <c r="C543" s="1" t="n">
        <v>46059</v>
      </c>
      <c r="D543" t="inlineStr">
        <is>
          <t>GOTLANDS LÄN</t>
        </is>
      </c>
      <c r="E543" t="inlineStr">
        <is>
          <t>GOTLAND</t>
        </is>
      </c>
      <c r="G543" t="n">
        <v>0.6</v>
      </c>
      <c r="H543" t="n">
        <v>0</v>
      </c>
      <c r="I543" t="n">
        <v>0</v>
      </c>
      <c r="J543" t="n">
        <v>0</v>
      </c>
      <c r="K543" t="n">
        <v>0</v>
      </c>
      <c r="L543" t="n">
        <v>0</v>
      </c>
      <c r="M543" t="n">
        <v>0</v>
      </c>
      <c r="N543" t="n">
        <v>0</v>
      </c>
      <c r="O543" t="n">
        <v>0</v>
      </c>
      <c r="P543" t="n">
        <v>0</v>
      </c>
      <c r="Q543" t="n">
        <v>0</v>
      </c>
      <c r="R543" s="2" t="inlineStr"/>
    </row>
    <row r="544" ht="15" customHeight="1">
      <c r="A544" t="inlineStr">
        <is>
          <t>A 25866-2022</t>
        </is>
      </c>
      <c r="B544" s="1" t="n">
        <v>44733</v>
      </c>
      <c r="C544" s="1" t="n">
        <v>46059</v>
      </c>
      <c r="D544" t="inlineStr">
        <is>
          <t>GOTLANDS LÄN</t>
        </is>
      </c>
      <c r="E544" t="inlineStr">
        <is>
          <t>GOTLAND</t>
        </is>
      </c>
      <c r="G544" t="n">
        <v>2.9</v>
      </c>
      <c r="H544" t="n">
        <v>0</v>
      </c>
      <c r="I544" t="n">
        <v>0</v>
      </c>
      <c r="J544" t="n">
        <v>0</v>
      </c>
      <c r="K544" t="n">
        <v>0</v>
      </c>
      <c r="L544" t="n">
        <v>0</v>
      </c>
      <c r="M544" t="n">
        <v>0</v>
      </c>
      <c r="N544" t="n">
        <v>0</v>
      </c>
      <c r="O544" t="n">
        <v>0</v>
      </c>
      <c r="P544" t="n">
        <v>0</v>
      </c>
      <c r="Q544" t="n">
        <v>0</v>
      </c>
      <c r="R544" s="2" t="inlineStr"/>
    </row>
    <row r="545" ht="15" customHeight="1">
      <c r="A545" t="inlineStr">
        <is>
          <t>A 43229-2023</t>
        </is>
      </c>
      <c r="B545" s="1" t="n">
        <v>45183.46704861111</v>
      </c>
      <c r="C545" s="1" t="n">
        <v>46059</v>
      </c>
      <c r="D545" t="inlineStr">
        <is>
          <t>GOTLANDS LÄN</t>
        </is>
      </c>
      <c r="E545" t="inlineStr">
        <is>
          <t>GOTLAND</t>
        </is>
      </c>
      <c r="G545" t="n">
        <v>7.1</v>
      </c>
      <c r="H545" t="n">
        <v>0</v>
      </c>
      <c r="I545" t="n">
        <v>0</v>
      </c>
      <c r="J545" t="n">
        <v>0</v>
      </c>
      <c r="K545" t="n">
        <v>0</v>
      </c>
      <c r="L545" t="n">
        <v>0</v>
      </c>
      <c r="M545" t="n">
        <v>0</v>
      </c>
      <c r="N545" t="n">
        <v>0</v>
      </c>
      <c r="O545" t="n">
        <v>0</v>
      </c>
      <c r="P545" t="n">
        <v>0</v>
      </c>
      <c r="Q545" t="n">
        <v>0</v>
      </c>
      <c r="R545" s="2" t="inlineStr"/>
    </row>
    <row r="546" ht="15" customHeight="1">
      <c r="A546" t="inlineStr">
        <is>
          <t>A 1175-2025</t>
        </is>
      </c>
      <c r="B546" s="1" t="n">
        <v>45667.34449074074</v>
      </c>
      <c r="C546" s="1" t="n">
        <v>46059</v>
      </c>
      <c r="D546" t="inlineStr">
        <is>
          <t>GOTLANDS LÄN</t>
        </is>
      </c>
      <c r="E546" t="inlineStr">
        <is>
          <t>GOTLAND</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27095-2022</t>
        </is>
      </c>
      <c r="B547" s="1" t="n">
        <v>44741</v>
      </c>
      <c r="C547" s="1" t="n">
        <v>46059</v>
      </c>
      <c r="D547" t="inlineStr">
        <is>
          <t>GOTLANDS LÄN</t>
        </is>
      </c>
      <c r="E547" t="inlineStr">
        <is>
          <t>GOTLAND</t>
        </is>
      </c>
      <c r="F547" t="inlineStr">
        <is>
          <t>Övriga Aktiebolag</t>
        </is>
      </c>
      <c r="G547" t="n">
        <v>2.9</v>
      </c>
      <c r="H547" t="n">
        <v>0</v>
      </c>
      <c r="I547" t="n">
        <v>0</v>
      </c>
      <c r="J547" t="n">
        <v>0</v>
      </c>
      <c r="K547" t="n">
        <v>0</v>
      </c>
      <c r="L547" t="n">
        <v>0</v>
      </c>
      <c r="M547" t="n">
        <v>0</v>
      </c>
      <c r="N547" t="n">
        <v>0</v>
      </c>
      <c r="O547" t="n">
        <v>0</v>
      </c>
      <c r="P547" t="n">
        <v>0</v>
      </c>
      <c r="Q547" t="n">
        <v>0</v>
      </c>
      <c r="R547" s="2" t="inlineStr"/>
    </row>
    <row r="548" ht="15" customHeight="1">
      <c r="A548" t="inlineStr">
        <is>
          <t>A 22899-2023</t>
        </is>
      </c>
      <c r="B548" s="1" t="n">
        <v>45072</v>
      </c>
      <c r="C548" s="1" t="n">
        <v>46059</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23978-2023</t>
        </is>
      </c>
      <c r="B549" s="1" t="n">
        <v>45078</v>
      </c>
      <c r="C549" s="1" t="n">
        <v>46059</v>
      </c>
      <c r="D549" t="inlineStr">
        <is>
          <t>GOTLANDS LÄN</t>
        </is>
      </c>
      <c r="E549" t="inlineStr">
        <is>
          <t>GOTLAND</t>
        </is>
      </c>
      <c r="F549" t="inlineStr">
        <is>
          <t>Naturvårdsverket</t>
        </is>
      </c>
      <c r="G549" t="n">
        <v>1.7</v>
      </c>
      <c r="H549" t="n">
        <v>0</v>
      </c>
      <c r="I549" t="n">
        <v>0</v>
      </c>
      <c r="J549" t="n">
        <v>0</v>
      </c>
      <c r="K549" t="n">
        <v>0</v>
      </c>
      <c r="L549" t="n">
        <v>0</v>
      </c>
      <c r="M549" t="n">
        <v>0</v>
      </c>
      <c r="N549" t="n">
        <v>0</v>
      </c>
      <c r="O549" t="n">
        <v>0</v>
      </c>
      <c r="P549" t="n">
        <v>0</v>
      </c>
      <c r="Q549" t="n">
        <v>0</v>
      </c>
      <c r="R549" s="2" t="inlineStr"/>
    </row>
    <row r="550" ht="15" customHeight="1">
      <c r="A550" t="inlineStr">
        <is>
          <t>A 34407-2023</t>
        </is>
      </c>
      <c r="B550" s="1" t="n">
        <v>45132</v>
      </c>
      <c r="C550" s="1" t="n">
        <v>46059</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11013-2024</t>
        </is>
      </c>
      <c r="B551" s="1" t="n">
        <v>45370</v>
      </c>
      <c r="C551" s="1" t="n">
        <v>46059</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27694-2024</t>
        </is>
      </c>
      <c r="B552" s="1" t="n">
        <v>45475</v>
      </c>
      <c r="C552" s="1" t="n">
        <v>46059</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15083-2025</t>
        </is>
      </c>
      <c r="B553" s="1" t="n">
        <v>45743</v>
      </c>
      <c r="C553" s="1" t="n">
        <v>46059</v>
      </c>
      <c r="D553" t="inlineStr">
        <is>
          <t>GOTLANDS LÄN</t>
        </is>
      </c>
      <c r="E553" t="inlineStr">
        <is>
          <t>GOTLAND</t>
        </is>
      </c>
      <c r="G553" t="n">
        <v>2.3</v>
      </c>
      <c r="H553" t="n">
        <v>0</v>
      </c>
      <c r="I553" t="n">
        <v>0</v>
      </c>
      <c r="J553" t="n">
        <v>0</v>
      </c>
      <c r="K553" t="n">
        <v>0</v>
      </c>
      <c r="L553" t="n">
        <v>0</v>
      </c>
      <c r="M553" t="n">
        <v>0</v>
      </c>
      <c r="N553" t="n">
        <v>0</v>
      </c>
      <c r="O553" t="n">
        <v>0</v>
      </c>
      <c r="P553" t="n">
        <v>0</v>
      </c>
      <c r="Q553" t="n">
        <v>0</v>
      </c>
      <c r="R553" s="2" t="inlineStr"/>
    </row>
    <row r="554" ht="15" customHeight="1">
      <c r="A554" t="inlineStr">
        <is>
          <t>A 13037-2025</t>
        </is>
      </c>
      <c r="B554" s="1" t="n">
        <v>45734</v>
      </c>
      <c r="C554" s="1" t="n">
        <v>46059</v>
      </c>
      <c r="D554" t="inlineStr">
        <is>
          <t>GOTLANDS LÄN</t>
        </is>
      </c>
      <c r="E554" t="inlineStr">
        <is>
          <t>GOTLAND</t>
        </is>
      </c>
      <c r="G554" t="n">
        <v>9.5</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46059</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44228-2022</t>
        </is>
      </c>
      <c r="B556" s="1" t="n">
        <v>44839.51599537037</v>
      </c>
      <c r="C556" s="1" t="n">
        <v>46059</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58132-2023</t>
        </is>
      </c>
      <c r="B557" s="1" t="n">
        <v>45250</v>
      </c>
      <c r="C557" s="1" t="n">
        <v>46059</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49884-2023</t>
        </is>
      </c>
      <c r="B558" s="1" t="n">
        <v>45213</v>
      </c>
      <c r="C558" s="1" t="n">
        <v>46059</v>
      </c>
      <c r="D558" t="inlineStr">
        <is>
          <t>GOTLANDS LÄN</t>
        </is>
      </c>
      <c r="E558" t="inlineStr">
        <is>
          <t>GOTLAND</t>
        </is>
      </c>
      <c r="G558" t="n">
        <v>8.9</v>
      </c>
      <c r="H558" t="n">
        <v>0</v>
      </c>
      <c r="I558" t="n">
        <v>0</v>
      </c>
      <c r="J558" t="n">
        <v>0</v>
      </c>
      <c r="K558" t="n">
        <v>0</v>
      </c>
      <c r="L558" t="n">
        <v>0</v>
      </c>
      <c r="M558" t="n">
        <v>0</v>
      </c>
      <c r="N558" t="n">
        <v>0</v>
      </c>
      <c r="O558" t="n">
        <v>0</v>
      </c>
      <c r="P558" t="n">
        <v>0</v>
      </c>
      <c r="Q558" t="n">
        <v>0</v>
      </c>
      <c r="R558" s="2" t="inlineStr"/>
    </row>
    <row r="559" ht="15" customHeight="1">
      <c r="A559" t="inlineStr">
        <is>
          <t>A 876-2024</t>
        </is>
      </c>
      <c r="B559" s="1" t="n">
        <v>45301</v>
      </c>
      <c r="C559" s="1" t="n">
        <v>46059</v>
      </c>
      <c r="D559" t="inlineStr">
        <is>
          <t>GOTLANDS LÄN</t>
        </is>
      </c>
      <c r="E559" t="inlineStr">
        <is>
          <t>GOTLAND</t>
        </is>
      </c>
      <c r="G559" t="n">
        <v>5.3</v>
      </c>
      <c r="H559" t="n">
        <v>0</v>
      </c>
      <c r="I559" t="n">
        <v>0</v>
      </c>
      <c r="J559" t="n">
        <v>0</v>
      </c>
      <c r="K559" t="n">
        <v>0</v>
      </c>
      <c r="L559" t="n">
        <v>0</v>
      </c>
      <c r="M559" t="n">
        <v>0</v>
      </c>
      <c r="N559" t="n">
        <v>0</v>
      </c>
      <c r="O559" t="n">
        <v>0</v>
      </c>
      <c r="P559" t="n">
        <v>0</v>
      </c>
      <c r="Q559" t="n">
        <v>0</v>
      </c>
      <c r="R559" s="2" t="inlineStr"/>
    </row>
    <row r="560" ht="15" customHeight="1">
      <c r="A560" t="inlineStr">
        <is>
          <t>A 22704-2023</t>
        </is>
      </c>
      <c r="B560" s="1" t="n">
        <v>45071</v>
      </c>
      <c r="C560" s="1" t="n">
        <v>46059</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28425-2023</t>
        </is>
      </c>
      <c r="B561" s="1" t="n">
        <v>45102</v>
      </c>
      <c r="C561" s="1" t="n">
        <v>46059</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46059</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43200-2023</t>
        </is>
      </c>
      <c r="B563" s="1" t="n">
        <v>45183</v>
      </c>
      <c r="C563" s="1" t="n">
        <v>46059</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43223-2023</t>
        </is>
      </c>
      <c r="B564" s="1" t="n">
        <v>45183.45642361111</v>
      </c>
      <c r="C564" s="1" t="n">
        <v>46059</v>
      </c>
      <c r="D564" t="inlineStr">
        <is>
          <t>GOTLANDS LÄN</t>
        </is>
      </c>
      <c r="E564" t="inlineStr">
        <is>
          <t>GOTLAND</t>
        </is>
      </c>
      <c r="G564" t="n">
        <v>1.8</v>
      </c>
      <c r="H564" t="n">
        <v>0</v>
      </c>
      <c r="I564" t="n">
        <v>0</v>
      </c>
      <c r="J564" t="n">
        <v>0</v>
      </c>
      <c r="K564" t="n">
        <v>0</v>
      </c>
      <c r="L564" t="n">
        <v>0</v>
      </c>
      <c r="M564" t="n">
        <v>0</v>
      </c>
      <c r="N564" t="n">
        <v>0</v>
      </c>
      <c r="O564" t="n">
        <v>0</v>
      </c>
      <c r="P564" t="n">
        <v>0</v>
      </c>
      <c r="Q564" t="n">
        <v>0</v>
      </c>
      <c r="R564" s="2" t="inlineStr"/>
    </row>
    <row r="565" ht="15" customHeight="1">
      <c r="A565" t="inlineStr">
        <is>
          <t>A 12327-2025</t>
        </is>
      </c>
      <c r="B565" s="1" t="n">
        <v>45730</v>
      </c>
      <c r="C565" s="1" t="n">
        <v>46059</v>
      </c>
      <c r="D565" t="inlineStr">
        <is>
          <t>GOTLANDS LÄN</t>
        </is>
      </c>
      <c r="E565" t="inlineStr">
        <is>
          <t>GOTLAND</t>
        </is>
      </c>
      <c r="G565" t="n">
        <v>1.8</v>
      </c>
      <c r="H565" t="n">
        <v>0</v>
      </c>
      <c r="I565" t="n">
        <v>0</v>
      </c>
      <c r="J565" t="n">
        <v>0</v>
      </c>
      <c r="K565" t="n">
        <v>0</v>
      </c>
      <c r="L565" t="n">
        <v>0</v>
      </c>
      <c r="M565" t="n">
        <v>0</v>
      </c>
      <c r="N565" t="n">
        <v>0</v>
      </c>
      <c r="O565" t="n">
        <v>0</v>
      </c>
      <c r="P565" t="n">
        <v>0</v>
      </c>
      <c r="Q565" t="n">
        <v>0</v>
      </c>
      <c r="R565" s="2" t="inlineStr"/>
    </row>
    <row r="566" ht="15" customHeight="1">
      <c r="A566" t="inlineStr">
        <is>
          <t>A 3431-2025</t>
        </is>
      </c>
      <c r="B566" s="1" t="n">
        <v>45680.42935185185</v>
      </c>
      <c r="C566" s="1" t="n">
        <v>46059</v>
      </c>
      <c r="D566" t="inlineStr">
        <is>
          <t>GOTLANDS LÄN</t>
        </is>
      </c>
      <c r="E566" t="inlineStr">
        <is>
          <t>GOTLAND</t>
        </is>
      </c>
      <c r="G566" t="n">
        <v>4.8</v>
      </c>
      <c r="H566" t="n">
        <v>0</v>
      </c>
      <c r="I566" t="n">
        <v>0</v>
      </c>
      <c r="J566" t="n">
        <v>0</v>
      </c>
      <c r="K566" t="n">
        <v>0</v>
      </c>
      <c r="L566" t="n">
        <v>0</v>
      </c>
      <c r="M566" t="n">
        <v>0</v>
      </c>
      <c r="N566" t="n">
        <v>0</v>
      </c>
      <c r="O566" t="n">
        <v>0</v>
      </c>
      <c r="P566" t="n">
        <v>0</v>
      </c>
      <c r="Q566" t="n">
        <v>0</v>
      </c>
      <c r="R566" s="2" t="inlineStr"/>
    </row>
    <row r="567" ht="15" customHeight="1">
      <c r="A567" t="inlineStr">
        <is>
          <t>A 12209-2024</t>
        </is>
      </c>
      <c r="B567" s="1" t="n">
        <v>45378</v>
      </c>
      <c r="C567" s="1" t="n">
        <v>46059</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12210-2024</t>
        </is>
      </c>
      <c r="B568" s="1" t="n">
        <v>45378</v>
      </c>
      <c r="C568" s="1" t="n">
        <v>46059</v>
      </c>
      <c r="D568" t="inlineStr">
        <is>
          <t>GOTLANDS LÄN</t>
        </is>
      </c>
      <c r="E568" t="inlineStr">
        <is>
          <t>GOTLAND</t>
        </is>
      </c>
      <c r="G568" t="n">
        <v>4.1</v>
      </c>
      <c r="H568" t="n">
        <v>0</v>
      </c>
      <c r="I568" t="n">
        <v>0</v>
      </c>
      <c r="J568" t="n">
        <v>0</v>
      </c>
      <c r="K568" t="n">
        <v>0</v>
      </c>
      <c r="L568" t="n">
        <v>0</v>
      </c>
      <c r="M568" t="n">
        <v>0</v>
      </c>
      <c r="N568" t="n">
        <v>0</v>
      </c>
      <c r="O568" t="n">
        <v>0</v>
      </c>
      <c r="P568" t="n">
        <v>0</v>
      </c>
      <c r="Q568" t="n">
        <v>0</v>
      </c>
      <c r="R568" s="2" t="inlineStr"/>
    </row>
    <row r="569" ht="15" customHeight="1">
      <c r="A569" t="inlineStr">
        <is>
          <t>A 1364-2025</t>
        </is>
      </c>
      <c r="B569" s="1" t="n">
        <v>45667.63929398148</v>
      </c>
      <c r="C569" s="1" t="n">
        <v>46059</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15042-2025</t>
        </is>
      </c>
      <c r="B570" s="1" t="n">
        <v>45743</v>
      </c>
      <c r="C570" s="1" t="n">
        <v>46059</v>
      </c>
      <c r="D570" t="inlineStr">
        <is>
          <t>GOTLANDS LÄN</t>
        </is>
      </c>
      <c r="E570" t="inlineStr">
        <is>
          <t>GOTLAND</t>
        </is>
      </c>
      <c r="G570" t="n">
        <v>8.5</v>
      </c>
      <c r="H570" t="n">
        <v>0</v>
      </c>
      <c r="I570" t="n">
        <v>0</v>
      </c>
      <c r="J570" t="n">
        <v>0</v>
      </c>
      <c r="K570" t="n">
        <v>0</v>
      </c>
      <c r="L570" t="n">
        <v>0</v>
      </c>
      <c r="M570" t="n">
        <v>0</v>
      </c>
      <c r="N570" t="n">
        <v>0</v>
      </c>
      <c r="O570" t="n">
        <v>0</v>
      </c>
      <c r="P570" t="n">
        <v>0</v>
      </c>
      <c r="Q570" t="n">
        <v>0</v>
      </c>
      <c r="R570" s="2" t="inlineStr"/>
    </row>
    <row r="571" ht="15" customHeight="1">
      <c r="A571" t="inlineStr">
        <is>
          <t>A 2180-2025</t>
        </is>
      </c>
      <c r="B571" s="1" t="n">
        <v>45673</v>
      </c>
      <c r="C571" s="1" t="n">
        <v>46059</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15436-2025</t>
        </is>
      </c>
      <c r="B572" s="1" t="n">
        <v>45747.47462962963</v>
      </c>
      <c r="C572" s="1" t="n">
        <v>46059</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49257-2024</t>
        </is>
      </c>
      <c r="B573" s="1" t="n">
        <v>45595.47627314815</v>
      </c>
      <c r="C573" s="1" t="n">
        <v>46059</v>
      </c>
      <c r="D573" t="inlineStr">
        <is>
          <t>GOTLANDS LÄN</t>
        </is>
      </c>
      <c r="E573" t="inlineStr">
        <is>
          <t>GOTLAND</t>
        </is>
      </c>
      <c r="G573" t="n">
        <v>6.3</v>
      </c>
      <c r="H573" t="n">
        <v>0</v>
      </c>
      <c r="I573" t="n">
        <v>0</v>
      </c>
      <c r="J573" t="n">
        <v>0</v>
      </c>
      <c r="K573" t="n">
        <v>0</v>
      </c>
      <c r="L573" t="n">
        <v>0</v>
      </c>
      <c r="M573" t="n">
        <v>0</v>
      </c>
      <c r="N573" t="n">
        <v>0</v>
      </c>
      <c r="O573" t="n">
        <v>0</v>
      </c>
      <c r="P573" t="n">
        <v>0</v>
      </c>
      <c r="Q573" t="n">
        <v>0</v>
      </c>
      <c r="R573" s="2" t="inlineStr"/>
    </row>
    <row r="574" ht="15" customHeight="1">
      <c r="A574" t="inlineStr">
        <is>
          <t>A 37202-2024</t>
        </is>
      </c>
      <c r="B574" s="1" t="n">
        <v>45539.67310185185</v>
      </c>
      <c r="C574" s="1" t="n">
        <v>46059</v>
      </c>
      <c r="D574" t="inlineStr">
        <is>
          <t>GOTLANDS LÄN</t>
        </is>
      </c>
      <c r="E574" t="inlineStr">
        <is>
          <t>GOTLAND</t>
        </is>
      </c>
      <c r="G574" t="n">
        <v>0.3</v>
      </c>
      <c r="H574" t="n">
        <v>0</v>
      </c>
      <c r="I574" t="n">
        <v>0</v>
      </c>
      <c r="J574" t="n">
        <v>0</v>
      </c>
      <c r="K574" t="n">
        <v>0</v>
      </c>
      <c r="L574" t="n">
        <v>0</v>
      </c>
      <c r="M574" t="n">
        <v>0</v>
      </c>
      <c r="N574" t="n">
        <v>0</v>
      </c>
      <c r="O574" t="n">
        <v>0</v>
      </c>
      <c r="P574" t="n">
        <v>0</v>
      </c>
      <c r="Q574" t="n">
        <v>0</v>
      </c>
      <c r="R574" s="2" t="inlineStr"/>
    </row>
    <row r="575" ht="15" customHeight="1">
      <c r="A575" t="inlineStr">
        <is>
          <t>A 56115-2023</t>
        </is>
      </c>
      <c r="B575" s="1" t="n">
        <v>45236</v>
      </c>
      <c r="C575" s="1" t="n">
        <v>46059</v>
      </c>
      <c r="D575" t="inlineStr">
        <is>
          <t>GOTLANDS LÄN</t>
        </is>
      </c>
      <c r="E575" t="inlineStr">
        <is>
          <t>GOTLAND</t>
        </is>
      </c>
      <c r="G575" t="n">
        <v>2</v>
      </c>
      <c r="H575" t="n">
        <v>0</v>
      </c>
      <c r="I575" t="n">
        <v>0</v>
      </c>
      <c r="J575" t="n">
        <v>0</v>
      </c>
      <c r="K575" t="n">
        <v>0</v>
      </c>
      <c r="L575" t="n">
        <v>0</v>
      </c>
      <c r="M575" t="n">
        <v>0</v>
      </c>
      <c r="N575" t="n">
        <v>0</v>
      </c>
      <c r="O575" t="n">
        <v>0</v>
      </c>
      <c r="P575" t="n">
        <v>0</v>
      </c>
      <c r="Q575" t="n">
        <v>0</v>
      </c>
      <c r="R575" s="2" t="inlineStr"/>
    </row>
    <row r="576" ht="15" customHeight="1">
      <c r="A576" t="inlineStr">
        <is>
          <t>A 2774-2024</t>
        </is>
      </c>
      <c r="B576" s="1" t="n">
        <v>45314.62375</v>
      </c>
      <c r="C576" s="1" t="n">
        <v>46059</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60709-2023</t>
        </is>
      </c>
      <c r="B577" s="1" t="n">
        <v>45260</v>
      </c>
      <c r="C577" s="1" t="n">
        <v>46059</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64208-2021</t>
        </is>
      </c>
      <c r="B578" s="1" t="n">
        <v>44510</v>
      </c>
      <c r="C578" s="1" t="n">
        <v>46059</v>
      </c>
      <c r="D578" t="inlineStr">
        <is>
          <t>GOTLANDS LÄN</t>
        </is>
      </c>
      <c r="E578" t="inlineStr">
        <is>
          <t>GOTLAND</t>
        </is>
      </c>
      <c r="G578" t="n">
        <v>4.7</v>
      </c>
      <c r="H578" t="n">
        <v>0</v>
      </c>
      <c r="I578" t="n">
        <v>0</v>
      </c>
      <c r="J578" t="n">
        <v>0</v>
      </c>
      <c r="K578" t="n">
        <v>0</v>
      </c>
      <c r="L578" t="n">
        <v>0</v>
      </c>
      <c r="M578" t="n">
        <v>0</v>
      </c>
      <c r="N578" t="n">
        <v>0</v>
      </c>
      <c r="O578" t="n">
        <v>0</v>
      </c>
      <c r="P578" t="n">
        <v>0</v>
      </c>
      <c r="Q578" t="n">
        <v>0</v>
      </c>
      <c r="R578" s="2" t="inlineStr"/>
    </row>
    <row r="579" ht="15" customHeight="1">
      <c r="A579" t="inlineStr">
        <is>
          <t>A 39764-2022</t>
        </is>
      </c>
      <c r="B579" s="1" t="n">
        <v>44819</v>
      </c>
      <c r="C579" s="1" t="n">
        <v>46059</v>
      </c>
      <c r="D579" t="inlineStr">
        <is>
          <t>GOTLANDS LÄN</t>
        </is>
      </c>
      <c r="E579" t="inlineStr">
        <is>
          <t>GOTLAND</t>
        </is>
      </c>
      <c r="F579" t="inlineStr">
        <is>
          <t>Kyrkan</t>
        </is>
      </c>
      <c r="G579" t="n">
        <v>3.7</v>
      </c>
      <c r="H579" t="n">
        <v>0</v>
      </c>
      <c r="I579" t="n">
        <v>0</v>
      </c>
      <c r="J579" t="n">
        <v>0</v>
      </c>
      <c r="K579" t="n">
        <v>0</v>
      </c>
      <c r="L579" t="n">
        <v>0</v>
      </c>
      <c r="M579" t="n">
        <v>0</v>
      </c>
      <c r="N579" t="n">
        <v>0</v>
      </c>
      <c r="O579" t="n">
        <v>0</v>
      </c>
      <c r="P579" t="n">
        <v>0</v>
      </c>
      <c r="Q579" t="n">
        <v>0</v>
      </c>
      <c r="R579" s="2" t="inlineStr"/>
    </row>
    <row r="580" ht="15" customHeight="1">
      <c r="A580" t="inlineStr">
        <is>
          <t>A 58211-2024</t>
        </is>
      </c>
      <c r="B580" s="1" t="n">
        <v>45632.49292824074</v>
      </c>
      <c r="C580" s="1" t="n">
        <v>46059</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30956-2024</t>
        </is>
      </c>
      <c r="B581" s="1" t="n">
        <v>45499.42527777778</v>
      </c>
      <c r="C581" s="1" t="n">
        <v>46059</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30892-2024</t>
        </is>
      </c>
      <c r="B582" s="1" t="n">
        <v>45491</v>
      </c>
      <c r="C582" s="1" t="n">
        <v>46059</v>
      </c>
      <c r="D582" t="inlineStr">
        <is>
          <t>GOTLANDS LÄN</t>
        </is>
      </c>
      <c r="E582" t="inlineStr">
        <is>
          <t>GOTLAND</t>
        </is>
      </c>
      <c r="G582" t="n">
        <v>6.1</v>
      </c>
      <c r="H582" t="n">
        <v>0</v>
      </c>
      <c r="I582" t="n">
        <v>0</v>
      </c>
      <c r="J582" t="n">
        <v>0</v>
      </c>
      <c r="K582" t="n">
        <v>0</v>
      </c>
      <c r="L582" t="n">
        <v>0</v>
      </c>
      <c r="M582" t="n">
        <v>0</v>
      </c>
      <c r="N582" t="n">
        <v>0</v>
      </c>
      <c r="O582" t="n">
        <v>0</v>
      </c>
      <c r="P582" t="n">
        <v>0</v>
      </c>
      <c r="Q582" t="n">
        <v>0</v>
      </c>
      <c r="R582" s="2" t="inlineStr"/>
    </row>
    <row r="583" ht="15" customHeight="1">
      <c r="A583" t="inlineStr">
        <is>
          <t>A 14635-2023</t>
        </is>
      </c>
      <c r="B583" s="1" t="n">
        <v>45013.69365740741</v>
      </c>
      <c r="C583" s="1" t="n">
        <v>46059</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59469-2024</t>
        </is>
      </c>
      <c r="B584" s="1" t="n">
        <v>45638</v>
      </c>
      <c r="C584" s="1" t="n">
        <v>46059</v>
      </c>
      <c r="D584" t="inlineStr">
        <is>
          <t>GOTLANDS LÄN</t>
        </is>
      </c>
      <c r="E584" t="inlineStr">
        <is>
          <t>GOTLAND</t>
        </is>
      </c>
      <c r="G584" t="n">
        <v>0.4</v>
      </c>
      <c r="H584" t="n">
        <v>0</v>
      </c>
      <c r="I584" t="n">
        <v>0</v>
      </c>
      <c r="J584" t="n">
        <v>0</v>
      </c>
      <c r="K584" t="n">
        <v>0</v>
      </c>
      <c r="L584" t="n">
        <v>0</v>
      </c>
      <c r="M584" t="n">
        <v>0</v>
      </c>
      <c r="N584" t="n">
        <v>0</v>
      </c>
      <c r="O584" t="n">
        <v>0</v>
      </c>
      <c r="P584" t="n">
        <v>0</v>
      </c>
      <c r="Q584" t="n">
        <v>0</v>
      </c>
      <c r="R584" s="2" t="inlineStr"/>
    </row>
    <row r="585" ht="15" customHeight="1">
      <c r="A585" t="inlineStr">
        <is>
          <t>A 7858-2025</t>
        </is>
      </c>
      <c r="B585" s="1" t="n">
        <v>45706.68633101852</v>
      </c>
      <c r="C585" s="1" t="n">
        <v>46059</v>
      </c>
      <c r="D585" t="inlineStr">
        <is>
          <t>GOTLANDS LÄN</t>
        </is>
      </c>
      <c r="E585" t="inlineStr">
        <is>
          <t>GOTLAND</t>
        </is>
      </c>
      <c r="G585" t="n">
        <v>3</v>
      </c>
      <c r="H585" t="n">
        <v>0</v>
      </c>
      <c r="I585" t="n">
        <v>0</v>
      </c>
      <c r="J585" t="n">
        <v>0</v>
      </c>
      <c r="K585" t="n">
        <v>0</v>
      </c>
      <c r="L585" t="n">
        <v>0</v>
      </c>
      <c r="M585" t="n">
        <v>0</v>
      </c>
      <c r="N585" t="n">
        <v>0</v>
      </c>
      <c r="O585" t="n">
        <v>0</v>
      </c>
      <c r="P585" t="n">
        <v>0</v>
      </c>
      <c r="Q585" t="n">
        <v>0</v>
      </c>
      <c r="R585" s="2" t="inlineStr"/>
    </row>
    <row r="586" ht="15" customHeight="1">
      <c r="A586" t="inlineStr">
        <is>
          <t>A 53935-2024</t>
        </is>
      </c>
      <c r="B586" s="1" t="n">
        <v>45615</v>
      </c>
      <c r="C586" s="1" t="n">
        <v>46059</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18223-2025</t>
        </is>
      </c>
      <c r="B587" s="1" t="n">
        <v>45761</v>
      </c>
      <c r="C587" s="1" t="n">
        <v>46059</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4420-2025</t>
        </is>
      </c>
      <c r="B588" s="1" t="n">
        <v>45686.47157407407</v>
      </c>
      <c r="C588" s="1" t="n">
        <v>46059</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5891-2025</t>
        </is>
      </c>
      <c r="B589" s="1" t="n">
        <v>45695.38327546296</v>
      </c>
      <c r="C589" s="1" t="n">
        <v>46059</v>
      </c>
      <c r="D589" t="inlineStr">
        <is>
          <t>GOTLANDS LÄN</t>
        </is>
      </c>
      <c r="E589" t="inlineStr">
        <is>
          <t>GOTLAND</t>
        </is>
      </c>
      <c r="G589" t="n">
        <v>0.8</v>
      </c>
      <c r="H589" t="n">
        <v>0</v>
      </c>
      <c r="I589" t="n">
        <v>0</v>
      </c>
      <c r="J589" t="n">
        <v>0</v>
      </c>
      <c r="K589" t="n">
        <v>0</v>
      </c>
      <c r="L589" t="n">
        <v>0</v>
      </c>
      <c r="M589" t="n">
        <v>0</v>
      </c>
      <c r="N589" t="n">
        <v>0</v>
      </c>
      <c r="O589" t="n">
        <v>0</v>
      </c>
      <c r="P589" t="n">
        <v>0</v>
      </c>
      <c r="Q589" t="n">
        <v>0</v>
      </c>
      <c r="R589" s="2" t="inlineStr"/>
    </row>
    <row r="590" ht="15" customHeight="1">
      <c r="A590" t="inlineStr">
        <is>
          <t>A 7835-2024</t>
        </is>
      </c>
      <c r="B590" s="1" t="n">
        <v>45349.83138888889</v>
      </c>
      <c r="C590" s="1" t="n">
        <v>46059</v>
      </c>
      <c r="D590" t="inlineStr">
        <is>
          <t>GOTLANDS LÄN</t>
        </is>
      </c>
      <c r="E590" t="inlineStr">
        <is>
          <t>GOTLAND</t>
        </is>
      </c>
      <c r="G590" t="n">
        <v>3.8</v>
      </c>
      <c r="H590" t="n">
        <v>0</v>
      </c>
      <c r="I590" t="n">
        <v>0</v>
      </c>
      <c r="J590" t="n">
        <v>0</v>
      </c>
      <c r="K590" t="n">
        <v>0</v>
      </c>
      <c r="L590" t="n">
        <v>0</v>
      </c>
      <c r="M590" t="n">
        <v>0</v>
      </c>
      <c r="N590" t="n">
        <v>0</v>
      </c>
      <c r="O590" t="n">
        <v>0</v>
      </c>
      <c r="P590" t="n">
        <v>0</v>
      </c>
      <c r="Q590" t="n">
        <v>0</v>
      </c>
      <c r="R590" s="2" t="inlineStr"/>
    </row>
    <row r="591" ht="15" customHeight="1">
      <c r="A591" t="inlineStr">
        <is>
          <t>A 20794-2025</t>
        </is>
      </c>
      <c r="B591" s="1" t="n">
        <v>45776</v>
      </c>
      <c r="C591" s="1" t="n">
        <v>46059</v>
      </c>
      <c r="D591" t="inlineStr">
        <is>
          <t>GOTLANDS LÄN</t>
        </is>
      </c>
      <c r="E591" t="inlineStr">
        <is>
          <t>GOTLAND</t>
        </is>
      </c>
      <c r="G591" t="n">
        <v>6</v>
      </c>
      <c r="H591" t="n">
        <v>0</v>
      </c>
      <c r="I591" t="n">
        <v>0</v>
      </c>
      <c r="J591" t="n">
        <v>0</v>
      </c>
      <c r="K591" t="n">
        <v>0</v>
      </c>
      <c r="L591" t="n">
        <v>0</v>
      </c>
      <c r="M591" t="n">
        <v>0</v>
      </c>
      <c r="N591" t="n">
        <v>0</v>
      </c>
      <c r="O591" t="n">
        <v>0</v>
      </c>
      <c r="P591" t="n">
        <v>0</v>
      </c>
      <c r="Q591" t="n">
        <v>0</v>
      </c>
      <c r="R591" s="2" t="inlineStr"/>
    </row>
    <row r="592" ht="15" customHeight="1">
      <c r="A592" t="inlineStr">
        <is>
          <t>A 20805-2025</t>
        </is>
      </c>
      <c r="B592" s="1" t="n">
        <v>45776</v>
      </c>
      <c r="C592" s="1" t="n">
        <v>46059</v>
      </c>
      <c r="D592" t="inlineStr">
        <is>
          <t>GOTLANDS LÄN</t>
        </is>
      </c>
      <c r="E592" t="inlineStr">
        <is>
          <t>GOTLAND</t>
        </is>
      </c>
      <c r="G592" t="n">
        <v>3.1</v>
      </c>
      <c r="H592" t="n">
        <v>0</v>
      </c>
      <c r="I592" t="n">
        <v>0</v>
      </c>
      <c r="J592" t="n">
        <v>0</v>
      </c>
      <c r="K592" t="n">
        <v>0</v>
      </c>
      <c r="L592" t="n">
        <v>0</v>
      </c>
      <c r="M592" t="n">
        <v>0</v>
      </c>
      <c r="N592" t="n">
        <v>0</v>
      </c>
      <c r="O592" t="n">
        <v>0</v>
      </c>
      <c r="P592" t="n">
        <v>0</v>
      </c>
      <c r="Q592" t="n">
        <v>0</v>
      </c>
      <c r="R592" s="2" t="inlineStr"/>
    </row>
    <row r="593" ht="15" customHeight="1">
      <c r="A593" t="inlineStr">
        <is>
          <t>A 21389-2025</t>
        </is>
      </c>
      <c r="B593" s="1" t="n">
        <v>45782</v>
      </c>
      <c r="C593" s="1" t="n">
        <v>46059</v>
      </c>
      <c r="D593" t="inlineStr">
        <is>
          <t>GOTLANDS LÄN</t>
        </is>
      </c>
      <c r="E593" t="inlineStr">
        <is>
          <t>GOTLAND</t>
        </is>
      </c>
      <c r="G593" t="n">
        <v>4.1</v>
      </c>
      <c r="H593" t="n">
        <v>0</v>
      </c>
      <c r="I593" t="n">
        <v>0</v>
      </c>
      <c r="J593" t="n">
        <v>0</v>
      </c>
      <c r="K593" t="n">
        <v>0</v>
      </c>
      <c r="L593" t="n">
        <v>0</v>
      </c>
      <c r="M593" t="n">
        <v>0</v>
      </c>
      <c r="N593" t="n">
        <v>0</v>
      </c>
      <c r="O593" t="n">
        <v>0</v>
      </c>
      <c r="P593" t="n">
        <v>0</v>
      </c>
      <c r="Q593" t="n">
        <v>0</v>
      </c>
      <c r="R593" s="2" t="inlineStr"/>
    </row>
    <row r="594" ht="15" customHeight="1">
      <c r="A594" t="inlineStr">
        <is>
          <t>A 21651-2025</t>
        </is>
      </c>
      <c r="B594" s="1" t="n">
        <v>45783</v>
      </c>
      <c r="C594" s="1" t="n">
        <v>46059</v>
      </c>
      <c r="D594" t="inlineStr">
        <is>
          <t>GOTLANDS LÄN</t>
        </is>
      </c>
      <c r="E594" t="inlineStr">
        <is>
          <t>GOTLAND</t>
        </is>
      </c>
      <c r="G594" t="n">
        <v>4.2</v>
      </c>
      <c r="H594" t="n">
        <v>0</v>
      </c>
      <c r="I594" t="n">
        <v>0</v>
      </c>
      <c r="J594" t="n">
        <v>0</v>
      </c>
      <c r="K594" t="n">
        <v>0</v>
      </c>
      <c r="L594" t="n">
        <v>0</v>
      </c>
      <c r="M594" t="n">
        <v>0</v>
      </c>
      <c r="N594" t="n">
        <v>0</v>
      </c>
      <c r="O594" t="n">
        <v>0</v>
      </c>
      <c r="P594" t="n">
        <v>0</v>
      </c>
      <c r="Q594" t="n">
        <v>0</v>
      </c>
      <c r="R594" s="2" t="inlineStr"/>
    </row>
    <row r="595" ht="15" customHeight="1">
      <c r="A595" t="inlineStr">
        <is>
          <t>A 57356-2023</t>
        </is>
      </c>
      <c r="B595" s="1" t="n">
        <v>45240</v>
      </c>
      <c r="C595" s="1" t="n">
        <v>46059</v>
      </c>
      <c r="D595" t="inlineStr">
        <is>
          <t>GOTLANDS LÄN</t>
        </is>
      </c>
      <c r="E595" t="inlineStr">
        <is>
          <t>GOTLAND</t>
        </is>
      </c>
      <c r="G595" t="n">
        <v>6.4</v>
      </c>
      <c r="H595" t="n">
        <v>0</v>
      </c>
      <c r="I595" t="n">
        <v>0</v>
      </c>
      <c r="J595" t="n">
        <v>0</v>
      </c>
      <c r="K595" t="n">
        <v>0</v>
      </c>
      <c r="L595" t="n">
        <v>0</v>
      </c>
      <c r="M595" t="n">
        <v>0</v>
      </c>
      <c r="N595" t="n">
        <v>0</v>
      </c>
      <c r="O595" t="n">
        <v>0</v>
      </c>
      <c r="P595" t="n">
        <v>0</v>
      </c>
      <c r="Q595" t="n">
        <v>0</v>
      </c>
      <c r="R595" s="2" t="inlineStr"/>
    </row>
    <row r="596" ht="15" customHeight="1">
      <c r="A596" t="inlineStr">
        <is>
          <t>A 10656-2024</t>
        </is>
      </c>
      <c r="B596" s="1" t="n">
        <v>45368</v>
      </c>
      <c r="C596" s="1" t="n">
        <v>46059</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28506-2023</t>
        </is>
      </c>
      <c r="B597" s="1" t="n">
        <v>45103</v>
      </c>
      <c r="C597" s="1" t="n">
        <v>46059</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21420-2024</t>
        </is>
      </c>
      <c r="B598" s="1" t="n">
        <v>45441.38293981482</v>
      </c>
      <c r="C598" s="1" t="n">
        <v>46059</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23188-2025</t>
        </is>
      </c>
      <c r="B599" s="1" t="n">
        <v>45791</v>
      </c>
      <c r="C599" s="1" t="n">
        <v>46059</v>
      </c>
      <c r="D599" t="inlineStr">
        <is>
          <t>GOTLANDS LÄN</t>
        </is>
      </c>
      <c r="E599" t="inlineStr">
        <is>
          <t>GOTLAND</t>
        </is>
      </c>
      <c r="G599" t="n">
        <v>6.2</v>
      </c>
      <c r="H599" t="n">
        <v>0</v>
      </c>
      <c r="I599" t="n">
        <v>0</v>
      </c>
      <c r="J599" t="n">
        <v>0</v>
      </c>
      <c r="K599" t="n">
        <v>0</v>
      </c>
      <c r="L599" t="n">
        <v>0</v>
      </c>
      <c r="M599" t="n">
        <v>0</v>
      </c>
      <c r="N599" t="n">
        <v>0</v>
      </c>
      <c r="O599" t="n">
        <v>0</v>
      </c>
      <c r="P599" t="n">
        <v>0</v>
      </c>
      <c r="Q599" t="n">
        <v>0</v>
      </c>
      <c r="R599" s="2" t="inlineStr"/>
    </row>
    <row r="600" ht="15" customHeight="1">
      <c r="A600" t="inlineStr">
        <is>
          <t>A 23473-2025</t>
        </is>
      </c>
      <c r="B600" s="1" t="n">
        <v>45792</v>
      </c>
      <c r="C600" s="1" t="n">
        <v>46059</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23856-2025</t>
        </is>
      </c>
      <c r="B601" s="1" t="n">
        <v>45793</v>
      </c>
      <c r="C601" s="1" t="n">
        <v>46059</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15073-2025</t>
        </is>
      </c>
      <c r="B602" s="1" t="n">
        <v>45743</v>
      </c>
      <c r="C602" s="1" t="n">
        <v>46059</v>
      </c>
      <c r="D602" t="inlineStr">
        <is>
          <t>GOTLANDS LÄN</t>
        </is>
      </c>
      <c r="E602" t="inlineStr">
        <is>
          <t>GOTLAND</t>
        </is>
      </c>
      <c r="G602" t="n">
        <v>12.1</v>
      </c>
      <c r="H602" t="n">
        <v>0</v>
      </c>
      <c r="I602" t="n">
        <v>0</v>
      </c>
      <c r="J602" t="n">
        <v>0</v>
      </c>
      <c r="K602" t="n">
        <v>0</v>
      </c>
      <c r="L602" t="n">
        <v>0</v>
      </c>
      <c r="M602" t="n">
        <v>0</v>
      </c>
      <c r="N602" t="n">
        <v>0</v>
      </c>
      <c r="O602" t="n">
        <v>0</v>
      </c>
      <c r="P602" t="n">
        <v>0</v>
      </c>
      <c r="Q602" t="n">
        <v>0</v>
      </c>
      <c r="R602" s="2" t="inlineStr"/>
    </row>
    <row r="603" ht="15" customHeight="1">
      <c r="A603" t="inlineStr">
        <is>
          <t>A 6749-2025</t>
        </is>
      </c>
      <c r="B603" s="1" t="n">
        <v>45700</v>
      </c>
      <c r="C603" s="1" t="n">
        <v>46059</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row r="604" ht="15" customHeight="1">
      <c r="A604" t="inlineStr">
        <is>
          <t>A 23698-2025</t>
        </is>
      </c>
      <c r="B604" s="1" t="n">
        <v>45793</v>
      </c>
      <c r="C604" s="1" t="n">
        <v>46059</v>
      </c>
      <c r="D604" t="inlineStr">
        <is>
          <t>GOTLANDS LÄN</t>
        </is>
      </c>
      <c r="E604" t="inlineStr">
        <is>
          <t>GOTLAND</t>
        </is>
      </c>
      <c r="G604" t="n">
        <v>0.8</v>
      </c>
      <c r="H604" t="n">
        <v>0</v>
      </c>
      <c r="I604" t="n">
        <v>0</v>
      </c>
      <c r="J604" t="n">
        <v>0</v>
      </c>
      <c r="K604" t="n">
        <v>0</v>
      </c>
      <c r="L604" t="n">
        <v>0</v>
      </c>
      <c r="M604" t="n">
        <v>0</v>
      </c>
      <c r="N604" t="n">
        <v>0</v>
      </c>
      <c r="O604" t="n">
        <v>0</v>
      </c>
      <c r="P604" t="n">
        <v>0</v>
      </c>
      <c r="Q604" t="n">
        <v>0</v>
      </c>
      <c r="R604" s="2" t="inlineStr"/>
    </row>
    <row r="605" ht="15" customHeight="1">
      <c r="A605" t="inlineStr">
        <is>
          <t>A 5462-2025</t>
        </is>
      </c>
      <c r="B605" s="1" t="n">
        <v>45693.29331018519</v>
      </c>
      <c r="C605" s="1" t="n">
        <v>46059</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25796-2025</t>
        </is>
      </c>
      <c r="B606" s="1" t="n">
        <v>45804.39543981481</v>
      </c>
      <c r="C606" s="1" t="n">
        <v>46059</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26457-2025</t>
        </is>
      </c>
      <c r="B607" s="1" t="n">
        <v>45807.42773148148</v>
      </c>
      <c r="C607" s="1" t="n">
        <v>46059</v>
      </c>
      <c r="D607" t="inlineStr">
        <is>
          <t>GOTLANDS LÄN</t>
        </is>
      </c>
      <c r="E607" t="inlineStr">
        <is>
          <t>GOTLAND</t>
        </is>
      </c>
      <c r="G607" t="n">
        <v>5.7</v>
      </c>
      <c r="H607" t="n">
        <v>0</v>
      </c>
      <c r="I607" t="n">
        <v>0</v>
      </c>
      <c r="J607" t="n">
        <v>0</v>
      </c>
      <c r="K607" t="n">
        <v>0</v>
      </c>
      <c r="L607" t="n">
        <v>0</v>
      </c>
      <c r="M607" t="n">
        <v>0</v>
      </c>
      <c r="N607" t="n">
        <v>0</v>
      </c>
      <c r="O607" t="n">
        <v>0</v>
      </c>
      <c r="P607" t="n">
        <v>0</v>
      </c>
      <c r="Q607" t="n">
        <v>0</v>
      </c>
      <c r="R607" s="2" t="inlineStr"/>
    </row>
    <row r="608" ht="15" customHeight="1">
      <c r="A608" t="inlineStr">
        <is>
          <t>A 26467-2025</t>
        </is>
      </c>
      <c r="B608" s="1" t="n">
        <v>45807.44640046296</v>
      </c>
      <c r="C608" s="1" t="n">
        <v>46059</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26465-2025</t>
        </is>
      </c>
      <c r="B609" s="1" t="n">
        <v>45807.44377314814</v>
      </c>
      <c r="C609" s="1" t="n">
        <v>46059</v>
      </c>
      <c r="D609" t="inlineStr">
        <is>
          <t>GOTLANDS LÄN</t>
        </is>
      </c>
      <c r="E609" t="inlineStr">
        <is>
          <t>GOTLAND</t>
        </is>
      </c>
      <c r="G609" t="n">
        <v>4.5</v>
      </c>
      <c r="H609" t="n">
        <v>0</v>
      </c>
      <c r="I609" t="n">
        <v>0</v>
      </c>
      <c r="J609" t="n">
        <v>0</v>
      </c>
      <c r="K609" t="n">
        <v>0</v>
      </c>
      <c r="L609" t="n">
        <v>0</v>
      </c>
      <c r="M609" t="n">
        <v>0</v>
      </c>
      <c r="N609" t="n">
        <v>0</v>
      </c>
      <c r="O609" t="n">
        <v>0</v>
      </c>
      <c r="P609" t="n">
        <v>0</v>
      </c>
      <c r="Q609" t="n">
        <v>0</v>
      </c>
      <c r="R609" s="2" t="inlineStr"/>
    </row>
    <row r="610" ht="15" customHeight="1">
      <c r="A610" t="inlineStr">
        <is>
          <t>A 26660-2025</t>
        </is>
      </c>
      <c r="B610" s="1" t="n">
        <v>45810.39737268518</v>
      </c>
      <c r="C610" s="1" t="n">
        <v>46059</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27371-2025</t>
        </is>
      </c>
      <c r="B611" s="1" t="n">
        <v>45812</v>
      </c>
      <c r="C611" s="1" t="n">
        <v>46059</v>
      </c>
      <c r="D611" t="inlineStr">
        <is>
          <t>GOTLANDS LÄN</t>
        </is>
      </c>
      <c r="E611" t="inlineStr">
        <is>
          <t>GOTLAND</t>
        </is>
      </c>
      <c r="G611" t="n">
        <v>8</v>
      </c>
      <c r="H611" t="n">
        <v>0</v>
      </c>
      <c r="I611" t="n">
        <v>0</v>
      </c>
      <c r="J611" t="n">
        <v>0</v>
      </c>
      <c r="K611" t="n">
        <v>0</v>
      </c>
      <c r="L611" t="n">
        <v>0</v>
      </c>
      <c r="M611" t="n">
        <v>0</v>
      </c>
      <c r="N611" t="n">
        <v>0</v>
      </c>
      <c r="O611" t="n">
        <v>0</v>
      </c>
      <c r="P611" t="n">
        <v>0</v>
      </c>
      <c r="Q611" t="n">
        <v>0</v>
      </c>
      <c r="R611" s="2" t="inlineStr"/>
    </row>
    <row r="612" ht="15" customHeight="1">
      <c r="A612" t="inlineStr">
        <is>
          <t>A 27355-2025</t>
        </is>
      </c>
      <c r="B612" s="1" t="n">
        <v>45812</v>
      </c>
      <c r="C612" s="1" t="n">
        <v>46059</v>
      </c>
      <c r="D612" t="inlineStr">
        <is>
          <t>GOTLANDS LÄN</t>
        </is>
      </c>
      <c r="E612" t="inlineStr">
        <is>
          <t>GOTLAND</t>
        </is>
      </c>
      <c r="G612" t="n">
        <v>1.1</v>
      </c>
      <c r="H612" t="n">
        <v>0</v>
      </c>
      <c r="I612" t="n">
        <v>0</v>
      </c>
      <c r="J612" t="n">
        <v>0</v>
      </c>
      <c r="K612" t="n">
        <v>0</v>
      </c>
      <c r="L612" t="n">
        <v>0</v>
      </c>
      <c r="M612" t="n">
        <v>0</v>
      </c>
      <c r="N612" t="n">
        <v>0</v>
      </c>
      <c r="O612" t="n">
        <v>0</v>
      </c>
      <c r="P612" t="n">
        <v>0</v>
      </c>
      <c r="Q612" t="n">
        <v>0</v>
      </c>
      <c r="R612" s="2" t="inlineStr"/>
    </row>
    <row r="613" ht="15" customHeight="1">
      <c r="A613" t="inlineStr">
        <is>
          <t>A 6739-2025</t>
        </is>
      </c>
      <c r="B613" s="1" t="n">
        <v>45700</v>
      </c>
      <c r="C613" s="1" t="n">
        <v>46059</v>
      </c>
      <c r="D613" t="inlineStr">
        <is>
          <t>GOTLANDS LÄN</t>
        </is>
      </c>
      <c r="E613" t="inlineStr">
        <is>
          <t>GOTLAND</t>
        </is>
      </c>
      <c r="G613" t="n">
        <v>4.5</v>
      </c>
      <c r="H613" t="n">
        <v>0</v>
      </c>
      <c r="I613" t="n">
        <v>0</v>
      </c>
      <c r="J613" t="n">
        <v>0</v>
      </c>
      <c r="K613" t="n">
        <v>0</v>
      </c>
      <c r="L613" t="n">
        <v>0</v>
      </c>
      <c r="M613" t="n">
        <v>0</v>
      </c>
      <c r="N613" t="n">
        <v>0</v>
      </c>
      <c r="O613" t="n">
        <v>0</v>
      </c>
      <c r="P613" t="n">
        <v>0</v>
      </c>
      <c r="Q613" t="n">
        <v>0</v>
      </c>
      <c r="R613" s="2" t="inlineStr"/>
    </row>
    <row r="614" ht="15" customHeight="1">
      <c r="A614" t="inlineStr">
        <is>
          <t>A 7850-2025</t>
        </is>
      </c>
      <c r="B614" s="1" t="n">
        <v>45706</v>
      </c>
      <c r="C614" s="1" t="n">
        <v>46059</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8444-2025</t>
        </is>
      </c>
      <c r="B615" s="1" t="n">
        <v>45709</v>
      </c>
      <c r="C615" s="1" t="n">
        <v>46059</v>
      </c>
      <c r="D615" t="inlineStr">
        <is>
          <t>GOTLANDS LÄN</t>
        </is>
      </c>
      <c r="E615" t="inlineStr">
        <is>
          <t>GOTLAND</t>
        </is>
      </c>
      <c r="G615" t="n">
        <v>5.2</v>
      </c>
      <c r="H615" t="n">
        <v>0</v>
      </c>
      <c r="I615" t="n">
        <v>0</v>
      </c>
      <c r="J615" t="n">
        <v>0</v>
      </c>
      <c r="K615" t="n">
        <v>0</v>
      </c>
      <c r="L615" t="n">
        <v>0</v>
      </c>
      <c r="M615" t="n">
        <v>0</v>
      </c>
      <c r="N615" t="n">
        <v>0</v>
      </c>
      <c r="O615" t="n">
        <v>0</v>
      </c>
      <c r="P615" t="n">
        <v>0</v>
      </c>
      <c r="Q615" t="n">
        <v>0</v>
      </c>
      <c r="R615" s="2" t="inlineStr"/>
    </row>
    <row r="616" ht="15" customHeight="1">
      <c r="A616" t="inlineStr">
        <is>
          <t>A 19905-2025</t>
        </is>
      </c>
      <c r="B616" s="1" t="n">
        <v>45771</v>
      </c>
      <c r="C616" s="1" t="n">
        <v>46059</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29196-2025</t>
        </is>
      </c>
      <c r="B617" s="1" t="n">
        <v>45822</v>
      </c>
      <c r="C617" s="1" t="n">
        <v>46059</v>
      </c>
      <c r="D617" t="inlineStr">
        <is>
          <t>GOTLANDS LÄN</t>
        </is>
      </c>
      <c r="E617" t="inlineStr">
        <is>
          <t>GOTLAND</t>
        </is>
      </c>
      <c r="G617" t="n">
        <v>0.5</v>
      </c>
      <c r="H617" t="n">
        <v>0</v>
      </c>
      <c r="I617" t="n">
        <v>0</v>
      </c>
      <c r="J617" t="n">
        <v>0</v>
      </c>
      <c r="K617" t="n">
        <v>0</v>
      </c>
      <c r="L617" t="n">
        <v>0</v>
      </c>
      <c r="M617" t="n">
        <v>0</v>
      </c>
      <c r="N617" t="n">
        <v>0</v>
      </c>
      <c r="O617" t="n">
        <v>0</v>
      </c>
      <c r="P617" t="n">
        <v>0</v>
      </c>
      <c r="Q617" t="n">
        <v>0</v>
      </c>
      <c r="R617" s="2" t="inlineStr"/>
    </row>
    <row r="618" ht="15" customHeight="1">
      <c r="A618" t="inlineStr">
        <is>
          <t>A 29207-2025</t>
        </is>
      </c>
      <c r="B618" s="1" t="n">
        <v>45823</v>
      </c>
      <c r="C618" s="1" t="n">
        <v>46059</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30061-2025</t>
        </is>
      </c>
      <c r="B619" s="1" t="n">
        <v>45826.61488425926</v>
      </c>
      <c r="C619" s="1" t="n">
        <v>46059</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58160-2024</t>
        </is>
      </c>
      <c r="B620" s="1" t="n">
        <v>45632.44927083333</v>
      </c>
      <c r="C620" s="1" t="n">
        <v>46059</v>
      </c>
      <c r="D620" t="inlineStr">
        <is>
          <t>GOTLANDS LÄN</t>
        </is>
      </c>
      <c r="E620" t="inlineStr">
        <is>
          <t>GOTLAND</t>
        </is>
      </c>
      <c r="G620" t="n">
        <v>5.6</v>
      </c>
      <c r="H620" t="n">
        <v>0</v>
      </c>
      <c r="I620" t="n">
        <v>0</v>
      </c>
      <c r="J620" t="n">
        <v>0</v>
      </c>
      <c r="K620" t="n">
        <v>0</v>
      </c>
      <c r="L620" t="n">
        <v>0</v>
      </c>
      <c r="M620" t="n">
        <v>0</v>
      </c>
      <c r="N620" t="n">
        <v>0</v>
      </c>
      <c r="O620" t="n">
        <v>0</v>
      </c>
      <c r="P620" t="n">
        <v>0</v>
      </c>
      <c r="Q620" t="n">
        <v>0</v>
      </c>
      <c r="R620" s="2" t="inlineStr"/>
    </row>
    <row r="621" ht="15" customHeight="1">
      <c r="A621" t="inlineStr">
        <is>
          <t>A 32379-2025</t>
        </is>
      </c>
      <c r="B621" s="1" t="n">
        <v>45837</v>
      </c>
      <c r="C621" s="1" t="n">
        <v>46059</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32467-2025</t>
        </is>
      </c>
      <c r="B622" s="1" t="n">
        <v>45838.42111111111</v>
      </c>
      <c r="C622" s="1" t="n">
        <v>46059</v>
      </c>
      <c r="D622" t="inlineStr">
        <is>
          <t>GOTLANDS LÄN</t>
        </is>
      </c>
      <c r="E622" t="inlineStr">
        <is>
          <t>GOTLAND</t>
        </is>
      </c>
      <c r="G622" t="n">
        <v>4.3</v>
      </c>
      <c r="H622" t="n">
        <v>0</v>
      </c>
      <c r="I622" t="n">
        <v>0</v>
      </c>
      <c r="J622" t="n">
        <v>0</v>
      </c>
      <c r="K622" t="n">
        <v>0</v>
      </c>
      <c r="L622" t="n">
        <v>0</v>
      </c>
      <c r="M622" t="n">
        <v>0</v>
      </c>
      <c r="N622" t="n">
        <v>0</v>
      </c>
      <c r="O622" t="n">
        <v>0</v>
      </c>
      <c r="P622" t="n">
        <v>0</v>
      </c>
      <c r="Q622" t="n">
        <v>0</v>
      </c>
      <c r="R622" s="2" t="inlineStr"/>
    </row>
    <row r="623" ht="15" customHeight="1">
      <c r="A623" t="inlineStr">
        <is>
          <t>A 16109-2025</t>
        </is>
      </c>
      <c r="B623" s="1" t="n">
        <v>45750</v>
      </c>
      <c r="C623" s="1" t="n">
        <v>46059</v>
      </c>
      <c r="D623" t="inlineStr">
        <is>
          <t>GOTLANDS LÄN</t>
        </is>
      </c>
      <c r="E623" t="inlineStr">
        <is>
          <t>GOTLAND</t>
        </is>
      </c>
      <c r="G623" t="n">
        <v>4.9</v>
      </c>
      <c r="H623" t="n">
        <v>0</v>
      </c>
      <c r="I623" t="n">
        <v>0</v>
      </c>
      <c r="J623" t="n">
        <v>0</v>
      </c>
      <c r="K623" t="n">
        <v>0</v>
      </c>
      <c r="L623" t="n">
        <v>0</v>
      </c>
      <c r="M623" t="n">
        <v>0</v>
      </c>
      <c r="N623" t="n">
        <v>0</v>
      </c>
      <c r="O623" t="n">
        <v>0</v>
      </c>
      <c r="P623" t="n">
        <v>0</v>
      </c>
      <c r="Q623" t="n">
        <v>0</v>
      </c>
      <c r="R623" s="2" t="inlineStr"/>
    </row>
    <row r="624" ht="15" customHeight="1">
      <c r="A624" t="inlineStr">
        <is>
          <t>A 33007-2025</t>
        </is>
      </c>
      <c r="B624" s="1" t="n">
        <v>45840</v>
      </c>
      <c r="C624" s="1" t="n">
        <v>46059</v>
      </c>
      <c r="D624" t="inlineStr">
        <is>
          <t>GOTLANDS LÄN</t>
        </is>
      </c>
      <c r="E624" t="inlineStr">
        <is>
          <t>GOTLAND</t>
        </is>
      </c>
      <c r="G624" t="n">
        <v>4.9</v>
      </c>
      <c r="H624" t="n">
        <v>0</v>
      </c>
      <c r="I624" t="n">
        <v>0</v>
      </c>
      <c r="J624" t="n">
        <v>0</v>
      </c>
      <c r="K624" t="n">
        <v>0</v>
      </c>
      <c r="L624" t="n">
        <v>0</v>
      </c>
      <c r="M624" t="n">
        <v>0</v>
      </c>
      <c r="N624" t="n">
        <v>0</v>
      </c>
      <c r="O624" t="n">
        <v>0</v>
      </c>
      <c r="P624" t="n">
        <v>0</v>
      </c>
      <c r="Q624" t="n">
        <v>0</v>
      </c>
      <c r="R624" s="2" t="inlineStr"/>
    </row>
    <row r="625" ht="15" customHeight="1">
      <c r="A625" t="inlineStr">
        <is>
          <t>A 15413-2025</t>
        </is>
      </c>
      <c r="B625" s="1" t="n">
        <v>45747.451875</v>
      </c>
      <c r="C625" s="1" t="n">
        <v>46059</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35123-2025</t>
        </is>
      </c>
      <c r="B626" s="1" t="n">
        <v>45852.614375</v>
      </c>
      <c r="C626" s="1" t="n">
        <v>46059</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35096-2025</t>
        </is>
      </c>
      <c r="B627" s="1" t="n">
        <v>45852.54356481481</v>
      </c>
      <c r="C627" s="1" t="n">
        <v>46059</v>
      </c>
      <c r="D627" t="inlineStr">
        <is>
          <t>GOTLANDS LÄN</t>
        </is>
      </c>
      <c r="E627" t="inlineStr">
        <is>
          <t>GOTLAND</t>
        </is>
      </c>
      <c r="F627" t="inlineStr">
        <is>
          <t>Kyrkan</t>
        </is>
      </c>
      <c r="G627" t="n">
        <v>1</v>
      </c>
      <c r="H627" t="n">
        <v>0</v>
      </c>
      <c r="I627" t="n">
        <v>0</v>
      </c>
      <c r="J627" t="n">
        <v>0</v>
      </c>
      <c r="K627" t="n">
        <v>0</v>
      </c>
      <c r="L627" t="n">
        <v>0</v>
      </c>
      <c r="M627" t="n">
        <v>0</v>
      </c>
      <c r="N627" t="n">
        <v>0</v>
      </c>
      <c r="O627" t="n">
        <v>0</v>
      </c>
      <c r="P627" t="n">
        <v>0</v>
      </c>
      <c r="Q627" t="n">
        <v>0</v>
      </c>
      <c r="R627" s="2" t="inlineStr"/>
    </row>
    <row r="628" ht="15" customHeight="1">
      <c r="A628" t="inlineStr">
        <is>
          <t>A 30104-2025</t>
        </is>
      </c>
      <c r="B628" s="1" t="n">
        <v>45826.68806712963</v>
      </c>
      <c r="C628" s="1" t="n">
        <v>46059</v>
      </c>
      <c r="D628" t="inlineStr">
        <is>
          <t>GOTLANDS LÄN</t>
        </is>
      </c>
      <c r="E628" t="inlineStr">
        <is>
          <t>GOTLAND</t>
        </is>
      </c>
      <c r="G628" t="n">
        <v>15.4</v>
      </c>
      <c r="H628" t="n">
        <v>0</v>
      </c>
      <c r="I628" t="n">
        <v>0</v>
      </c>
      <c r="J628" t="n">
        <v>0</v>
      </c>
      <c r="K628" t="n">
        <v>0</v>
      </c>
      <c r="L628" t="n">
        <v>0</v>
      </c>
      <c r="M628" t="n">
        <v>0</v>
      </c>
      <c r="N628" t="n">
        <v>0</v>
      </c>
      <c r="O628" t="n">
        <v>0</v>
      </c>
      <c r="P628" t="n">
        <v>0</v>
      </c>
      <c r="Q628" t="n">
        <v>0</v>
      </c>
      <c r="R628" s="2" t="inlineStr"/>
    </row>
    <row r="629" ht="15" customHeight="1">
      <c r="A629" t="inlineStr">
        <is>
          <t>A 35290-2025</t>
        </is>
      </c>
      <c r="B629" s="1" t="n">
        <v>45854.38502314815</v>
      </c>
      <c r="C629" s="1" t="n">
        <v>46059</v>
      </c>
      <c r="D629" t="inlineStr">
        <is>
          <t>GOTLANDS LÄN</t>
        </is>
      </c>
      <c r="E629" t="inlineStr">
        <is>
          <t>GOTLAND</t>
        </is>
      </c>
      <c r="G629" t="n">
        <v>5.4</v>
      </c>
      <c r="H629" t="n">
        <v>0</v>
      </c>
      <c r="I629" t="n">
        <v>0</v>
      </c>
      <c r="J629" t="n">
        <v>0</v>
      </c>
      <c r="K629" t="n">
        <v>0</v>
      </c>
      <c r="L629" t="n">
        <v>0</v>
      </c>
      <c r="M629" t="n">
        <v>0</v>
      </c>
      <c r="N629" t="n">
        <v>0</v>
      </c>
      <c r="O629" t="n">
        <v>0</v>
      </c>
      <c r="P629" t="n">
        <v>0</v>
      </c>
      <c r="Q629" t="n">
        <v>0</v>
      </c>
      <c r="R629" s="2" t="inlineStr"/>
    </row>
    <row r="630" ht="15" customHeight="1">
      <c r="A630" t="inlineStr">
        <is>
          <t>A 32669-2024</t>
        </is>
      </c>
      <c r="B630" s="1" t="n">
        <v>45514</v>
      </c>
      <c r="C630" s="1" t="n">
        <v>46059</v>
      </c>
      <c r="D630" t="inlineStr">
        <is>
          <t>GOTLANDS LÄN</t>
        </is>
      </c>
      <c r="E630" t="inlineStr">
        <is>
          <t>GOTLAND</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35537-2025</t>
        </is>
      </c>
      <c r="B631" s="1" t="n">
        <v>45856</v>
      </c>
      <c r="C631" s="1" t="n">
        <v>46059</v>
      </c>
      <c r="D631" t="inlineStr">
        <is>
          <t>GOTLANDS LÄN</t>
        </is>
      </c>
      <c r="E631" t="inlineStr">
        <is>
          <t>GOTLAND</t>
        </is>
      </c>
      <c r="G631" t="n">
        <v>16.8</v>
      </c>
      <c r="H631" t="n">
        <v>0</v>
      </c>
      <c r="I631" t="n">
        <v>0</v>
      </c>
      <c r="J631" t="n">
        <v>0</v>
      </c>
      <c r="K631" t="n">
        <v>0</v>
      </c>
      <c r="L631" t="n">
        <v>0</v>
      </c>
      <c r="M631" t="n">
        <v>0</v>
      </c>
      <c r="N631" t="n">
        <v>0</v>
      </c>
      <c r="O631" t="n">
        <v>0</v>
      </c>
      <c r="P631" t="n">
        <v>0</v>
      </c>
      <c r="Q631" t="n">
        <v>0</v>
      </c>
      <c r="R631" s="2" t="inlineStr"/>
    </row>
    <row r="632" ht="15" customHeight="1">
      <c r="A632" t="inlineStr">
        <is>
          <t>A 15216-2025</t>
        </is>
      </c>
      <c r="B632" s="1" t="n">
        <v>45744</v>
      </c>
      <c r="C632" s="1" t="n">
        <v>46059</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43790-2024</t>
        </is>
      </c>
      <c r="B633" s="1" t="n">
        <v>45571</v>
      </c>
      <c r="C633" s="1" t="n">
        <v>46059</v>
      </c>
      <c r="D633" t="inlineStr">
        <is>
          <t>GOTLANDS LÄN</t>
        </is>
      </c>
      <c r="E633" t="inlineStr">
        <is>
          <t>GOTLAND</t>
        </is>
      </c>
      <c r="G633" t="n">
        <v>3.5</v>
      </c>
      <c r="H633" t="n">
        <v>0</v>
      </c>
      <c r="I633" t="n">
        <v>0</v>
      </c>
      <c r="J633" t="n">
        <v>0</v>
      </c>
      <c r="K633" t="n">
        <v>0</v>
      </c>
      <c r="L633" t="n">
        <v>0</v>
      </c>
      <c r="M633" t="n">
        <v>0</v>
      </c>
      <c r="N633" t="n">
        <v>0</v>
      </c>
      <c r="O633" t="n">
        <v>0</v>
      </c>
      <c r="P633" t="n">
        <v>0</v>
      </c>
      <c r="Q633" t="n">
        <v>0</v>
      </c>
      <c r="R633" s="2" t="inlineStr"/>
    </row>
    <row r="634" ht="15" customHeight="1">
      <c r="A634" t="inlineStr">
        <is>
          <t>A 15001-2025</t>
        </is>
      </c>
      <c r="B634" s="1" t="n">
        <v>45743</v>
      </c>
      <c r="C634" s="1" t="n">
        <v>46059</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30488-2025</t>
        </is>
      </c>
      <c r="B635" s="1" t="n">
        <v>45830</v>
      </c>
      <c r="C635" s="1" t="n">
        <v>46059</v>
      </c>
      <c r="D635" t="inlineStr">
        <is>
          <t>GOTLANDS LÄN</t>
        </is>
      </c>
      <c r="E635" t="inlineStr">
        <is>
          <t>GOTLAND</t>
        </is>
      </c>
      <c r="F635" t="inlineStr">
        <is>
          <t>Kyrkan</t>
        </is>
      </c>
      <c r="G635" t="n">
        <v>3.9</v>
      </c>
      <c r="H635" t="n">
        <v>0</v>
      </c>
      <c r="I635" t="n">
        <v>0</v>
      </c>
      <c r="J635" t="n">
        <v>0</v>
      </c>
      <c r="K635" t="n">
        <v>0</v>
      </c>
      <c r="L635" t="n">
        <v>0</v>
      </c>
      <c r="M635" t="n">
        <v>0</v>
      </c>
      <c r="N635" t="n">
        <v>0</v>
      </c>
      <c r="O635" t="n">
        <v>0</v>
      </c>
      <c r="P635" t="n">
        <v>0</v>
      </c>
      <c r="Q635" t="n">
        <v>0</v>
      </c>
      <c r="R635" s="2" t="inlineStr"/>
    </row>
    <row r="636">
      <c r="A636" t="inlineStr">
        <is>
          <t>A 17847-2025</t>
        </is>
      </c>
      <c r="B636" s="1" t="n">
        <v>45758</v>
      </c>
      <c r="C636" s="1" t="n">
        <v>46059</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2026-02-06T11:07:52Z</dcterms:created>
  <dcterms:modified xmlns:dcterms="http://purl.org/dc/terms/" xmlns:xsi="http://www.w3.org/2001/XMLSchema-instance" xsi:type="dcterms:W3CDTF">2026-02-06T11:07:52Z</dcterms:modified>
</cp:coreProperties>
</file>