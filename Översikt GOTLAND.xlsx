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46217</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46217</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46217</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46217</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Y5">
        <f>HYPERLINK("https://klasma.github.io/Logging_0980/klagomål/A 14450-2023 FSC-klagomål.docx", "A 14450-2023")</f>
        <v/>
      </c>
      <c r="Z5">
        <f>HYPERLINK("https://klasma.github.io/Logging_0980/klagomålsmail/A 14450-2023 FSC-klagomål mail.docx", "A 14450-2023")</f>
        <v/>
      </c>
      <c r="AA5">
        <f>HYPERLINK("https://klasma.github.io/Logging_0980/tillsyn/A 14450-2023 tillsynsbegäran.docx", "A 14450-2023")</f>
        <v/>
      </c>
      <c r="AB5">
        <f>HYPERLINK("https://klasma.github.io/Logging_0980/tillsynsmail/A 14450-2023 tillsynsbegäran mail.docx", "A 14450-2023")</f>
        <v/>
      </c>
      <c r="AC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46217</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46217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Y7">
        <f>HYPERLINK("https://klasma.github.io/Logging_0980/klagomål/A 9921-2023 FSC-klagomål.docx", "A 9921-2023")</f>
        <v/>
      </c>
      <c r="Z7">
        <f>HYPERLINK("https://klasma.github.io/Logging_0980/klagomålsmail/A 9921-2023 FSC-klagomål mail.docx", "A 9921-2023")</f>
        <v/>
      </c>
      <c r="AA7">
        <f>HYPERLINK("https://klasma.github.io/Logging_0980/tillsyn/A 9921-2023 tillsynsbegäran.docx", "A 9921-2023")</f>
        <v/>
      </c>
      <c r="AB7">
        <f>HYPERLINK("https://klasma.github.io/Logging_0980/tillsynsmail/A 9921-2023 tillsynsbegäran mail.docx", "A 9921-2023")</f>
        <v/>
      </c>
      <c r="AC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46217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8">
        <f>HYPERLINK("https://klasma.github.io/Logging_0980/artfynd/A 30542-2025 artfynd.xlsx", "A 30542-2025")</f>
        <v/>
      </c>
      <c r="W8">
        <f>HYPERLINK("https://klasma.github.io/Logging_0980/kartor/A 30542-2025 karta.png", "A 30542-2025")</f>
        <v/>
      </c>
      <c r="Y8">
        <f>HYPERLINK("https://klasma.github.io/Logging_0980/klagomål/A 30542-2025 FSC-klagomål.docx", "A 30542-2025")</f>
        <v/>
      </c>
      <c r="Z8">
        <f>HYPERLINK("https://klasma.github.io/Logging_0980/klagomålsmail/A 30542-2025 FSC-klagomål mail.docx", "A 30542-2025")</f>
        <v/>
      </c>
      <c r="AA8">
        <f>HYPERLINK("https://klasma.github.io/Logging_0980/tillsyn/A 30542-2025 tillsynsbegäran.docx", "A 30542-2025")</f>
        <v/>
      </c>
      <c r="AB8">
        <f>HYPERLINK("https://klasma.github.io/Logging_0980/tillsynsmail/A 30542-2025 tillsynsbegäran mail.docx", "A 30542-2025")</f>
        <v/>
      </c>
      <c r="AC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46217</v>
      </c>
      <c r="F9" t="inlineStr">
        <is>
          <t>GOTLANDS LÄN</t>
        </is>
      </c>
      <c r="G9" t="inlineStr">
        <is>
          <t>GOTLAND</t>
        </is>
      </c>
      <c r="I9" t="n">
        <v>13.6</v>
      </c>
      <c r="J9" t="n">
        <v>10</v>
      </c>
      <c r="K9" t="n">
        <v>11</v>
      </c>
      <c r="L9" t="n">
        <v>9</v>
      </c>
      <c r="M9" t="n">
        <v>10</v>
      </c>
      <c r="N9" t="n">
        <v>0</v>
      </c>
      <c r="O9" t="n">
        <v>0</v>
      </c>
      <c r="P9" t="n">
        <v>0</v>
      </c>
      <c r="Q9" t="n">
        <v>19</v>
      </c>
      <c r="R9" t="n">
        <v>10</v>
      </c>
      <c r="S9" t="n">
        <v>34</v>
      </c>
      <c r="T9" t="n">
        <v>151</v>
      </c>
      <c r="U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9">
        <f>HYPERLINK("https://klasma.github.io/Logging_0980/artfynd/A 30236-2025 artfynd.xlsx", "A 30236-2025")</f>
        <v/>
      </c>
      <c r="W9">
        <f>HYPERLINK("https://klasma.github.io/Logging_0980/kartor/A 30236-2025 karta.png", "A 30236-2025")</f>
        <v/>
      </c>
      <c r="Y9">
        <f>HYPERLINK("https://klasma.github.io/Logging_0980/klagomål/A 30236-2025 FSC-klagomål.docx", "A 30236-2025")</f>
        <v/>
      </c>
      <c r="Z9">
        <f>HYPERLINK("https://klasma.github.io/Logging_0980/klagomålsmail/A 30236-2025 FSC-klagomål mail.docx", "A 30236-2025")</f>
        <v/>
      </c>
      <c r="AA9">
        <f>HYPERLINK("https://klasma.github.io/Logging_0980/tillsyn/A 30236-2025 tillsynsbegäran.docx", "A 30236-2025")</f>
        <v/>
      </c>
      <c r="AB9">
        <f>HYPERLINK("https://klasma.github.io/Logging_0980/tillsynsmail/A 30236-2025 tillsynsbegäran mail.docx", "A 30236-2025")</f>
        <v/>
      </c>
      <c r="AC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46217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46217</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46217</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46217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46217</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s="2" t="inlineStr">
        <is>
          <t>Ask
Knärot
Axveronika
Backtimjan
Dårgräsfjäril
Jordtistel
Månlåsbräken
Reliktbock
Solvända
Svinrot
Sårläka
Ängsstarr
Grönpyrola
Nästrot
Skogsknipprot
Tvåblad
Vit skogslilja
Ormbär
Spillkråka
Fläcknycklar
Nattviol
Sankt pers nycklar</t>
        </is>
      </c>
      <c r="V20">
        <f>HYPERLINK("https://klasma.github.io/Logging_0980/artfynd/A 24575-2025 artfynd.xlsx", "A 24575-2025")</f>
        <v/>
      </c>
      <c r="W20">
        <f>HYPERLINK("https://klasma.github.io/Logging_0980/kartor/A 24575-2025 karta.png", "A 24575-2025")</f>
        <v/>
      </c>
      <c r="X20">
        <f>HYPERLINK("https://klasma.github.io/Logging_0980/knärot/A 24575-2025 karta knärot.png", "A 24575-2025")</f>
        <v/>
      </c>
      <c r="Y20">
        <f>HYPERLINK("https://klasma.github.io/Logging_0980/klagomål/A 24575-2025 FSC-klagomål.docx", "A 24575-2025")</f>
        <v/>
      </c>
      <c r="Z20">
        <f>HYPERLINK("https://klasma.github.io/Logging_0980/klagomålsmail/A 24575-2025 FSC-klagomål mail.docx", "A 24575-2025")</f>
        <v/>
      </c>
      <c r="AA20">
        <f>HYPERLINK("https://klasma.github.io/Logging_0980/tillsyn/A 24575-2025 tillsynsbegäran.docx", "A 24575-2025")</f>
        <v/>
      </c>
      <c r="AB20">
        <f>HYPERLINK("https://klasma.github.io/Logging_0980/tillsynsmail/A 24575-2025 tillsynsbegäran mail.docx", "A 24575-2025")</f>
        <v/>
      </c>
      <c r="AC20">
        <f>HYPERLINK("https://klasma.github.io/Logging_0980/fåglar/A 24575-2025 prioriterade fågelarter.docx", "A 24575-2025")</f>
        <v/>
      </c>
    </row>
    <row r="21" ht="15" customHeight="1">
      <c r="A21" t="inlineStr">
        <is>
          <t>A 2222-2024</t>
        </is>
      </c>
      <c r="B21" t="inlineStr">
        <is>
          <t>avverkningsanmälan</t>
        </is>
      </c>
      <c r="C21" t="inlineStr">
        <is>
          <t>Föryngringsavverkning</t>
        </is>
      </c>
      <c r="D21" s="1" t="n">
        <v>45309</v>
      </c>
      <c r="E21" s="1" t="n">
        <v>46217</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1">
        <f>HYPERLINK("https://klasma.github.io/Logging_0980/artfynd/A 2222-2024 artfynd.xlsx", "A 2222-2024")</f>
        <v/>
      </c>
      <c r="W21">
        <f>HYPERLINK("https://klasma.github.io/Logging_0980/kartor/A 2222-2024 karta.png", "A 2222-2024")</f>
        <v/>
      </c>
      <c r="Y21">
        <f>HYPERLINK("https://klasma.github.io/Logging_0980/klagomål/A 2222-2024 FSC-klagomål.docx", "A 2222-2024")</f>
        <v/>
      </c>
      <c r="Z21">
        <f>HYPERLINK("https://klasma.github.io/Logging_0980/klagomålsmail/A 2222-2024 FSC-klagomål mail.docx", "A 2222-2024")</f>
        <v/>
      </c>
      <c r="AA21">
        <f>HYPERLINK("https://klasma.github.io/Logging_0980/tillsyn/A 2222-2024 tillsynsbegäran.docx", "A 2222-2024")</f>
        <v/>
      </c>
      <c r="AB21">
        <f>HYPERLINK("https://klasma.github.io/Logging_0980/tillsynsmail/A 2222-2024 tillsynsbegäran mail.docx", "A 2222-2024")</f>
        <v/>
      </c>
      <c r="AC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46217</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2">
        <f>HYPERLINK("https://klasma.github.io/Logging_0980/artfynd/A 15850-2025 artfynd.xlsx", "A 15850-2025")</f>
        <v/>
      </c>
      <c r="W22">
        <f>HYPERLINK("https://klasma.github.io/Logging_0980/kartor/A 15850-2025 karta.png", "A 15850-2025")</f>
        <v/>
      </c>
      <c r="Y22">
        <f>HYPERLINK("https://klasma.github.io/Logging_0980/klagomål/A 15850-2025 FSC-klagomål.docx", "A 15850-2025")</f>
        <v/>
      </c>
      <c r="Z22">
        <f>HYPERLINK("https://klasma.github.io/Logging_0980/klagomålsmail/A 15850-2025 FSC-klagomål mail.docx", "A 15850-2025")</f>
        <v/>
      </c>
      <c r="AA22">
        <f>HYPERLINK("https://klasma.github.io/Logging_0980/tillsyn/A 15850-2025 tillsynsbegäran.docx", "A 15850-2025")</f>
        <v/>
      </c>
      <c r="AB22">
        <f>HYPERLINK("https://klasma.github.io/Logging_0980/tillsynsmail/A 15850-2025 tillsynsbegäran mail.docx", "A 15850-2025")</f>
        <v/>
      </c>
      <c r="AC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46217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15068-2025</t>
        </is>
      </c>
      <c r="B24" t="inlineStr">
        <is>
          <t>avverkningsanmälan</t>
        </is>
      </c>
      <c r="C24" t="inlineStr">
        <is>
          <t>Avverkning för annat ändamål</t>
        </is>
      </c>
      <c r="D24" s="1" t="n">
        <v>45743</v>
      </c>
      <c r="E24" s="1" t="n">
        <v>46217</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46217</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46217</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15629-2024</t>
        </is>
      </c>
      <c r="B27" t="inlineStr">
        <is>
          <t>avverkningsanmälan</t>
        </is>
      </c>
      <c r="C27" t="inlineStr">
        <is>
          <t>Föryngringsavverkning</t>
        </is>
      </c>
      <c r="D27" s="1" t="n">
        <v>45402</v>
      </c>
      <c r="E27" s="1" t="n">
        <v>46217</v>
      </c>
      <c r="F27" t="inlineStr">
        <is>
          <t>GOTLANDS LÄN</t>
        </is>
      </c>
      <c r="G27" t="inlineStr">
        <is>
          <t>GOTLAND</t>
        </is>
      </c>
      <c r="I27" t="n">
        <v>6.3</v>
      </c>
      <c r="J27" t="n">
        <v>6</v>
      </c>
      <c r="K27" t="n">
        <v>2</v>
      </c>
      <c r="L27" t="n">
        <v>10</v>
      </c>
      <c r="M27" t="n">
        <v>2</v>
      </c>
      <c r="N27" t="n">
        <v>0</v>
      </c>
      <c r="O27" t="n">
        <v>0</v>
      </c>
      <c r="P27" t="n">
        <v>0</v>
      </c>
      <c r="Q27" t="n">
        <v>12</v>
      </c>
      <c r="R27" t="n">
        <v>2</v>
      </c>
      <c r="S27" t="n">
        <v>18</v>
      </c>
      <c r="T27" t="n">
        <v>100</v>
      </c>
      <c r="U27" s="2" t="inlineStr">
        <is>
          <t>Jordhår
Solvändesäckmal
Apollofjäril
Axveronika
Backtimjan
Crepis tectorum subsp. tectorum
Jordtistel
Kalkkoppmossa
Kattfotslav
Orellia scorzonerae
Solvända
Svinrot
Blåmossa
Nästrot
Blåsippa
Spillkråka
Sankt pers nycklar
Gullviva</t>
        </is>
      </c>
      <c r="V27">
        <f>HYPERLINK("https://klasma.github.io/Logging_0980/artfynd/A 15629-2024 artfynd.xlsx", "A 15629-2024")</f>
        <v/>
      </c>
      <c r="W27">
        <f>HYPERLINK("https://klasma.github.io/Logging_0980/kartor/A 15629-2024 karta.png", "A 15629-2024")</f>
        <v/>
      </c>
      <c r="Y27">
        <f>HYPERLINK("https://klasma.github.io/Logging_0980/klagomål/A 15629-2024 FSC-klagomål.docx", "A 15629-2024")</f>
        <v/>
      </c>
      <c r="Z27">
        <f>HYPERLINK("https://klasma.github.io/Logging_0980/klagomålsmail/A 15629-2024 FSC-klagomål mail.docx", "A 15629-2024")</f>
        <v/>
      </c>
      <c r="AA27">
        <f>HYPERLINK("https://klasma.github.io/Logging_0980/tillsyn/A 15629-2024 tillsynsbegäran.docx", "A 15629-2024")</f>
        <v/>
      </c>
      <c r="AB27">
        <f>HYPERLINK("https://klasma.github.io/Logging_0980/tillsynsmail/A 15629-2024 tillsynsbegäran mail.docx", "A 15629-2024")</f>
        <v/>
      </c>
      <c r="AC27">
        <f>HYPERLINK("https://klasma.github.io/Logging_0980/fåglar/A 15629-2024 prioriterade fågelarter.docx", "A 15629-2024")</f>
        <v/>
      </c>
    </row>
    <row r="28" ht="15" customHeight="1">
      <c r="A28" t="inlineStr">
        <is>
          <t>A 59132-2024</t>
        </is>
      </c>
      <c r="B28" t="inlineStr">
        <is>
          <t>avverkningsanmälan</t>
        </is>
      </c>
      <c r="C28" t="inlineStr">
        <is>
          <t>Föryngringsavverkning</t>
        </is>
      </c>
      <c r="D28" s="1" t="n">
        <v>45637</v>
      </c>
      <c r="E28" s="1" t="n">
        <v>46217</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s="2" t="inlineStr">
        <is>
          <t>Almlav
Ask
Mörk kraterlav
Pälsticka
Klasefibbla
Korkmusslingsmal
Korskovall
Slåtterfibbla
Solvända
Svinrot
Vippärt
Vårärt
Amphisphaeria umbrina
Myskmadra
Skogsknipprot
Tvåblad
Underviol
Sankt pers nycklar</t>
        </is>
      </c>
      <c r="V28">
        <f>HYPERLINK("https://klasma.github.io/Logging_0980/artfynd/A 59132-2024 artfynd.xlsx", "A 59132-2024")</f>
        <v/>
      </c>
      <c r="W28">
        <f>HYPERLINK("https://klasma.github.io/Logging_0980/kartor/A 59132-2024 karta.png", "A 59132-2024")</f>
        <v/>
      </c>
      <c r="Y28">
        <f>HYPERLINK("https://klasma.github.io/Logging_0980/klagomål/A 59132-2024 FSC-klagomål.docx", "A 59132-2024")</f>
        <v/>
      </c>
      <c r="Z28">
        <f>HYPERLINK("https://klasma.github.io/Logging_0980/klagomålsmail/A 59132-2024 FSC-klagomål mail.docx", "A 59132-2024")</f>
        <v/>
      </c>
      <c r="AA28">
        <f>HYPERLINK("https://klasma.github.io/Logging_0980/tillsyn/A 59132-2024 tillsynsbegäran.docx", "A 59132-2024")</f>
        <v/>
      </c>
      <c r="AB28">
        <f>HYPERLINK("https://klasma.github.io/Logging_0980/tillsynsmail/A 59132-2024 tillsynsbegäran mail.docx", "A 59132-2024")</f>
        <v/>
      </c>
    </row>
    <row r="29" ht="15" customHeight="1">
      <c r="A29" t="inlineStr">
        <is>
          <t>A 26987-2026</t>
        </is>
      </c>
      <c r="B29" t="inlineStr">
        <is>
          <t>avverkningsanmälan</t>
        </is>
      </c>
      <c r="C29" t="inlineStr">
        <is>
          <t>Föryngringsavverkning</t>
        </is>
      </c>
      <c r="D29" s="1" t="n">
        <v>46185</v>
      </c>
      <c r="E29" s="1" t="n">
        <v>46217</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s="2" t="inlineStr">
        <is>
          <t>Ask
Granrotspindling
Backtimjan
Blå slemspindling
Dårgräsfjäril
Grönsångare
Odörspindling
Reliktbock
Röd skogslilja
Solvända
Svinrot
Sårläka
Ängsstarr
Skogsknipprot
Svavelriska
Ormbär
Spillkråka
Halsbandsflugsnappare</t>
        </is>
      </c>
      <c r="V29">
        <f>HYPERLINK("https://klasma.github.io/Logging_0980/artfynd/A 26987-2026 artfynd.xlsx", "A 26987-2026")</f>
        <v/>
      </c>
      <c r="W29">
        <f>HYPERLINK("https://klasma.github.io/Logging_0980/kartor/A 26987-2026 karta.png", "A 26987-2026")</f>
        <v/>
      </c>
      <c r="Y29">
        <f>HYPERLINK("https://klasma.github.io/Logging_0980/klagomål/A 26987-2026 FSC-klagomål.docx", "A 26987-2026")</f>
        <v/>
      </c>
      <c r="Z29">
        <f>HYPERLINK("https://klasma.github.io/Logging_0980/klagomålsmail/A 26987-2026 FSC-klagomål mail.docx", "A 26987-2026")</f>
        <v/>
      </c>
      <c r="AA29">
        <f>HYPERLINK("https://klasma.github.io/Logging_0980/tillsyn/A 26987-2026 tillsynsbegäran.docx", "A 26987-2026")</f>
        <v/>
      </c>
      <c r="AB29">
        <f>HYPERLINK("https://klasma.github.io/Logging_0980/tillsynsmail/A 26987-2026 tillsynsbegäran mail.docx", "A 26987-2026")</f>
        <v/>
      </c>
      <c r="AC29">
        <f>HYPERLINK("https://klasma.github.io/Logging_0980/fåglar/A 26987-2026 prioriterade fågelarter.docx", "A 26987-2026")</f>
        <v/>
      </c>
    </row>
    <row r="30" ht="15" customHeight="1">
      <c r="A30" t="inlineStr">
        <is>
          <t>A 17762-2024</t>
        </is>
      </c>
      <c r="B30" t="inlineStr">
        <is>
          <t>avverkningsanmälan</t>
        </is>
      </c>
      <c r="C30" t="inlineStr">
        <is>
          <t>Föryngringsavverkning</t>
        </is>
      </c>
      <c r="D30" s="1" t="n">
        <v>45418</v>
      </c>
      <c r="E30" s="1" t="n">
        <v>46217</v>
      </c>
      <c r="F30" t="inlineStr">
        <is>
          <t>GOTLANDS LÄN</t>
        </is>
      </c>
      <c r="G30" t="inlineStr">
        <is>
          <t>GOTLAND</t>
        </is>
      </c>
      <c r="I30" t="n">
        <v>5.8</v>
      </c>
      <c r="J30" t="n">
        <v>3</v>
      </c>
      <c r="K30" t="n">
        <v>2</v>
      </c>
      <c r="L30" t="n">
        <v>9</v>
      </c>
      <c r="M30" t="n">
        <v>2</v>
      </c>
      <c r="N30" t="n">
        <v>0</v>
      </c>
      <c r="O30" t="n">
        <v>1</v>
      </c>
      <c r="P30" t="n">
        <v>0</v>
      </c>
      <c r="Q30" t="n">
        <v>12</v>
      </c>
      <c r="R30" t="n">
        <v>3</v>
      </c>
      <c r="S30" t="n">
        <v>17</v>
      </c>
      <c r="T30" t="n">
        <v>92</v>
      </c>
      <c r="U30" s="2" t="inlineStr">
        <is>
          <t>Järnek
Gråfingerört
Naveljordstjärna
Axveronika
Backstarr
Backtimjan
Crepis tectorum subsp. tectorum
Grönnopping
Kalkvaxing
Odörspindling
Solvända
Svinrot
Anisspindling
Mindre märgborre
Blåsippa
Nattviol
Sankt pers nycklar</t>
        </is>
      </c>
      <c r="V30">
        <f>HYPERLINK("https://klasma.github.io/Logging_0980/artfynd/A 17762-2024 artfynd.xlsx", "A 17762-2024")</f>
        <v/>
      </c>
      <c r="W30">
        <f>HYPERLINK("https://klasma.github.io/Logging_0980/kartor/A 17762-2024 karta.png", "A 17762-2024")</f>
        <v/>
      </c>
      <c r="Y30">
        <f>HYPERLINK("https://klasma.github.io/Logging_0980/klagomål/A 17762-2024 FSC-klagomål.docx", "A 17762-2024")</f>
        <v/>
      </c>
      <c r="Z30">
        <f>HYPERLINK("https://klasma.github.io/Logging_0980/klagomålsmail/A 17762-2024 FSC-klagomål mail.docx", "A 17762-2024")</f>
        <v/>
      </c>
      <c r="AA30">
        <f>HYPERLINK("https://klasma.github.io/Logging_0980/tillsyn/A 17762-2024 tillsynsbegäran.docx", "A 17762-2024")</f>
        <v/>
      </c>
      <c r="AB30">
        <f>HYPERLINK("https://klasma.github.io/Logging_0980/tillsynsmail/A 17762-2024 tillsynsbegäran mail.docx", "A 17762-2024")</f>
        <v/>
      </c>
    </row>
    <row r="31" ht="15" customHeight="1">
      <c r="A31" t="inlineStr">
        <is>
          <t>A 62132-2023</t>
        </is>
      </c>
      <c r="B31" t="inlineStr">
        <is>
          <t>avverkningsanmälan</t>
        </is>
      </c>
      <c r="C31" t="inlineStr">
        <is>
          <t>Föryngringsavverkning</t>
        </is>
      </c>
      <c r="D31" s="1" t="n">
        <v>45267</v>
      </c>
      <c r="E31" s="1" t="n">
        <v>46217</v>
      </c>
      <c r="F31" t="inlineStr">
        <is>
          <t>GOTLANDS LÄN</t>
        </is>
      </c>
      <c r="G31" t="inlineStr">
        <is>
          <t>GOTLAND</t>
        </is>
      </c>
      <c r="I31" t="n">
        <v>13.9</v>
      </c>
      <c r="J31" t="n">
        <v>5</v>
      </c>
      <c r="K31" t="n">
        <v>4</v>
      </c>
      <c r="L31" t="n">
        <v>7</v>
      </c>
      <c r="M31" t="n">
        <v>4</v>
      </c>
      <c r="N31" t="n">
        <v>0</v>
      </c>
      <c r="O31" t="n">
        <v>0</v>
      </c>
      <c r="P31" t="n">
        <v>0</v>
      </c>
      <c r="Q31" t="n">
        <v>11</v>
      </c>
      <c r="R31" t="n">
        <v>4</v>
      </c>
      <c r="S31" t="n">
        <v>17</v>
      </c>
      <c r="T31" t="n">
        <v>32</v>
      </c>
      <c r="U31" s="2" t="inlineStr">
        <is>
          <t>Granrotspindling
Gulsträngad fagerspindling
Källnate
Vit taggsvamp
Backtimjan
Blå slemspindling
Dårgräsfjäril
Jordtistel
Odörspindling
Solvända
Äggspindling
Blåmossa
Mindre märgborre
Nästrot
Skogsknipprot
Spillkråka
Sankt pers nycklar</t>
        </is>
      </c>
      <c r="V31">
        <f>HYPERLINK("https://klasma.github.io/Logging_0980/artfynd/A 62132-2023 artfynd.xlsx", "A 62132-2023")</f>
        <v/>
      </c>
      <c r="W31">
        <f>HYPERLINK("https://klasma.github.io/Logging_0980/kartor/A 62132-2023 karta.png", "A 62132-2023")</f>
        <v/>
      </c>
      <c r="Y31">
        <f>HYPERLINK("https://klasma.github.io/Logging_0980/klagomål/A 62132-2023 FSC-klagomål.docx", "A 62132-2023")</f>
        <v/>
      </c>
      <c r="Z31">
        <f>HYPERLINK("https://klasma.github.io/Logging_0980/klagomålsmail/A 62132-2023 FSC-klagomål mail.docx", "A 62132-2023")</f>
        <v/>
      </c>
      <c r="AA31">
        <f>HYPERLINK("https://klasma.github.io/Logging_0980/tillsyn/A 62132-2023 tillsynsbegäran.docx", "A 62132-2023")</f>
        <v/>
      </c>
      <c r="AB31">
        <f>HYPERLINK("https://klasma.github.io/Logging_0980/tillsynsmail/A 62132-2023 tillsynsbegäran mail.docx", "A 62132-2023")</f>
        <v/>
      </c>
      <c r="AC31">
        <f>HYPERLINK("https://klasma.github.io/Logging_0980/fåglar/A 62132-2023 prioriterade fågelarter.docx", "A 62132-2023")</f>
        <v/>
      </c>
    </row>
    <row r="32" ht="15" customHeight="1">
      <c r="A32" t="inlineStr">
        <is>
          <t>A 61697-2023</t>
        </is>
      </c>
      <c r="B32" t="inlineStr">
        <is>
          <t>avverkningsanmälan</t>
        </is>
      </c>
      <c r="C32" t="inlineStr">
        <is>
          <t>Föryngringsavverkning</t>
        </is>
      </c>
      <c r="D32" s="1" t="n">
        <v>45265</v>
      </c>
      <c r="E32" s="1" t="n">
        <v>46217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S 7747-2021</t>
        </is>
      </c>
      <c r="B33" t="inlineStr">
        <is>
          <t>samrådsanmälan</t>
        </is>
      </c>
      <c r="C33" t="inlineStr">
        <is>
          <t>Annan skogsbruksåtgärd</t>
        </is>
      </c>
      <c r="D33" s="1" t="n">
        <v>44480</v>
      </c>
      <c r="E33" s="1" t="n">
        <v>46217</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s="2" t="inlineStr">
        <is>
          <t>Loppstarr
Luktsporre
Majviva
Ängsstarr
Axag
Flugblomster
Gräsull
Kalkkällmossa
Kamtuffmossa
Klotuffmossa
Kärrlilja
Brudsporre
Dubbelnycklar
Fläcknycklar
Kärrknipprot
Vanliga ängsnycklar
Äkta ängsnycklar × sumpnycklar</t>
        </is>
      </c>
      <c r="V33">
        <f>HYPERLINK("https://klasma.github.io/Logging_0980/artfynd/S 7747-2021 artfynd.xlsx", "S 7747-2021")</f>
        <v/>
      </c>
      <c r="W33">
        <f>HYPERLINK("https://klasma.github.io/Logging_0980/kartor/S 7747-2021 karta.png", "S 7747-2021")</f>
        <v/>
      </c>
      <c r="Y33">
        <f>HYPERLINK("https://klasma.github.io/Logging_0980/klagomål/S 7747-2021 FSC-klagomål.docx", "S 7747-2021")</f>
        <v/>
      </c>
      <c r="Z33">
        <f>HYPERLINK("https://klasma.github.io/Logging_0980/klagomålsmail/S 7747-2021 FSC-klagomål mail.docx", "S 7747-2021")</f>
        <v/>
      </c>
      <c r="AA33">
        <f>HYPERLINK("https://klasma.github.io/Logging_0980/tillsyn/S 7747-2021 tillsynsbegäran.docx", "S 7747-2021")</f>
        <v/>
      </c>
      <c r="AB33">
        <f>HYPERLINK("https://klasma.github.io/Logging_0980/tillsynsmail/S 7747-2021 tillsynsbegäran mail.docx", "S 7747-2021")</f>
        <v/>
      </c>
    </row>
    <row r="34" ht="15" customHeight="1">
      <c r="A34" t="inlineStr">
        <is>
          <t>A 44204-2022</t>
        </is>
      </c>
      <c r="B34" t="inlineStr">
        <is>
          <t>avverkningsanmälan</t>
        </is>
      </c>
      <c r="C34" t="inlineStr">
        <is>
          <t>Föryngringsavverkning</t>
        </is>
      </c>
      <c r="D34" s="1" t="n">
        <v>44839</v>
      </c>
      <c r="E34" s="1" t="n">
        <v>46217</v>
      </c>
      <c r="F34" t="inlineStr">
        <is>
          <t>GOTLANDS LÄN</t>
        </is>
      </c>
      <c r="G34" t="inlineStr">
        <is>
          <t>GOTLAND</t>
        </is>
      </c>
      <c r="I34" t="n">
        <v>2.3</v>
      </c>
      <c r="J34" t="n">
        <v>4</v>
      </c>
      <c r="K34" t="n">
        <v>3</v>
      </c>
      <c r="L34" t="n">
        <v>6</v>
      </c>
      <c r="M34" t="n">
        <v>3</v>
      </c>
      <c r="N34" t="n">
        <v>2</v>
      </c>
      <c r="O34" t="n">
        <v>0</v>
      </c>
      <c r="P34" t="n">
        <v>0</v>
      </c>
      <c r="Q34" t="n">
        <v>11</v>
      </c>
      <c r="R34" t="n">
        <v>5</v>
      </c>
      <c r="S34" t="n">
        <v>16</v>
      </c>
      <c r="T34" t="n">
        <v>104</v>
      </c>
      <c r="U3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4">
        <f>HYPERLINK("https://klasma.github.io/Logging_0980/artfynd/A 44204-2022 artfynd.xlsx", "A 44204-2022")</f>
        <v/>
      </c>
      <c r="W34">
        <f>HYPERLINK("https://klasma.github.io/Logging_0980/kartor/A 44204-2022 karta.png", "A 44204-2022")</f>
        <v/>
      </c>
      <c r="Y34">
        <f>HYPERLINK("https://klasma.github.io/Logging_0980/klagomål/A 44204-2022 FSC-klagomål.docx", "A 44204-2022")</f>
        <v/>
      </c>
      <c r="Z34">
        <f>HYPERLINK("https://klasma.github.io/Logging_0980/klagomålsmail/A 44204-2022 FSC-klagomål mail.docx", "A 44204-2022")</f>
        <v/>
      </c>
      <c r="AA34">
        <f>HYPERLINK("https://klasma.github.io/Logging_0980/tillsyn/A 44204-2022 tillsynsbegäran.docx", "A 44204-2022")</f>
        <v/>
      </c>
      <c r="AB34">
        <f>HYPERLINK("https://klasma.github.io/Logging_0980/tillsynsmail/A 44204-2022 tillsynsbegäran mail.docx", "A 44204-2022")</f>
        <v/>
      </c>
      <c r="AC34">
        <f>HYPERLINK("https://klasma.github.io/Logging_0980/fåglar/A 44204-2022 prioriterade fågelarter.docx", "A 44204-2022")</f>
        <v/>
      </c>
    </row>
    <row r="35" ht="15" customHeight="1">
      <c r="A35" t="inlineStr">
        <is>
          <t>A 35141-2022</t>
        </is>
      </c>
      <c r="B35" t="inlineStr">
        <is>
          <t>avverkningsanmälan</t>
        </is>
      </c>
      <c r="C35" t="inlineStr">
        <is>
          <t>Föryngringsavverkning</t>
        </is>
      </c>
      <c r="D35" s="1" t="n">
        <v>44797</v>
      </c>
      <c r="E35" s="1" t="n">
        <v>46217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46217</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6">
        <f>HYPERLINK("https://klasma.github.io/Logging_0980/artfynd/A 2213-2023 artfynd.xlsx", "A 2213-2023")</f>
        <v/>
      </c>
      <c r="W36">
        <f>HYPERLINK("https://klasma.github.io/Logging_0980/kartor/A 2213-2023 karta.png", "A 2213-2023")</f>
        <v/>
      </c>
      <c r="Y36">
        <f>HYPERLINK("https://klasma.github.io/Logging_0980/klagomål/A 2213-2023 FSC-klagomål.docx", "A 2213-2023")</f>
        <v/>
      </c>
      <c r="Z36">
        <f>HYPERLINK("https://klasma.github.io/Logging_0980/klagomålsmail/A 2213-2023 FSC-klagomål mail.docx", "A 2213-2023")</f>
        <v/>
      </c>
      <c r="AA36">
        <f>HYPERLINK("https://klasma.github.io/Logging_0980/tillsyn/A 2213-2023 tillsynsbegäran.docx", "A 2213-2023")</f>
        <v/>
      </c>
      <c r="AB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46217</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s="2" t="inlineStr">
        <is>
          <t>Ruttaggsvamp
Duvspindling
Knärot
Blå slemspindling
Flattoppad klubbsvamp
Jordtistel
Odörspindling
Solvända
Nästrot
Rödgul trumpetsvamp
Skogsknipprot
Strimspindling
Strävlosta
Svavelriska
Vit skogslilja
Zontaggsvamp</t>
        </is>
      </c>
      <c r="V37">
        <f>HYPERLINK("https://klasma.github.io/Logging_0980/artfynd/A 25779-2022 artfynd.xlsx", "A 25779-2022")</f>
        <v/>
      </c>
      <c r="W37">
        <f>HYPERLINK("https://klasma.github.io/Logging_0980/kartor/A 25779-2022 karta.png", "A 25779-2022")</f>
        <v/>
      </c>
      <c r="X37">
        <f>HYPERLINK("https://klasma.github.io/Logging_0980/knärot/A 25779-2022 karta knärot.png", "A 25779-2022")</f>
        <v/>
      </c>
      <c r="Y37">
        <f>HYPERLINK("https://klasma.github.io/Logging_0980/klagomål/A 25779-2022 FSC-klagomål.docx", "A 25779-2022")</f>
        <v/>
      </c>
      <c r="Z37">
        <f>HYPERLINK("https://klasma.github.io/Logging_0980/klagomålsmail/A 25779-2022 FSC-klagomål mail.docx", "A 25779-2022")</f>
        <v/>
      </c>
      <c r="AA37">
        <f>HYPERLINK("https://klasma.github.io/Logging_0980/tillsyn/A 25779-2022 tillsynsbegäran.docx", "A 25779-2022")</f>
        <v/>
      </c>
      <c r="AB37">
        <f>HYPERLINK("https://klasma.github.io/Logging_0980/tillsynsmail/A 25779-2022 tillsynsbegäran mail.docx", "A 25779-2022")</f>
        <v/>
      </c>
    </row>
    <row r="38" ht="15" customHeight="1">
      <c r="A38" t="inlineStr">
        <is>
          <t>A 63872-2021</t>
        </is>
      </c>
      <c r="B38" t="inlineStr">
        <is>
          <t>avverkningsanmälan</t>
        </is>
      </c>
      <c r="C38" t="inlineStr">
        <is>
          <t>Föryngringsavverkning</t>
        </is>
      </c>
      <c r="D38" s="1" t="n">
        <v>44509</v>
      </c>
      <c r="E38" s="1" t="n">
        <v>46217</v>
      </c>
      <c r="F38" t="inlineStr">
        <is>
          <t>GOTLANDS LÄN</t>
        </is>
      </c>
      <c r="G38" t="inlineStr">
        <is>
          <t>GOTLAND</t>
        </is>
      </c>
      <c r="I38" t="n">
        <v>20.5</v>
      </c>
      <c r="J38" t="n">
        <v>3</v>
      </c>
      <c r="K38" t="n">
        <v>1</v>
      </c>
      <c r="L38" t="n">
        <v>5</v>
      </c>
      <c r="M38" t="n">
        <v>6</v>
      </c>
      <c r="N38" t="n">
        <v>0</v>
      </c>
      <c r="O38" t="n">
        <v>0</v>
      </c>
      <c r="P38" t="n">
        <v>0</v>
      </c>
      <c r="Q38" t="n">
        <v>11</v>
      </c>
      <c r="R38" t="n">
        <v>6</v>
      </c>
      <c r="S38" t="n">
        <v>15</v>
      </c>
      <c r="T38" t="n">
        <v>23</v>
      </c>
      <c r="U38" s="2" t="inlineStr">
        <is>
          <t>Duvspindling
Gulsträngad fagerspindling
Lundvaxskivling
Narrspindling
Svartgrön spindling
Tallpraktspindling
Barrfagerspindling
Jordtistel
Jungfrulin
Kristallporing
Odörspindling
Fransig jordstjärna
Blåsippa
Spillkråka
Sankt pers nycklar</t>
        </is>
      </c>
      <c r="V38">
        <f>HYPERLINK("https://klasma.github.io/Logging_0980/artfynd/A 63872-2021 artfynd.xlsx", "A 63872-2021")</f>
        <v/>
      </c>
      <c r="W38">
        <f>HYPERLINK("https://klasma.github.io/Logging_0980/kartor/A 63872-2021 karta.png", "A 63872-2021")</f>
        <v/>
      </c>
      <c r="Y38">
        <f>HYPERLINK("https://klasma.github.io/Logging_0980/klagomål/A 63872-2021 FSC-klagomål.docx", "A 63872-2021")</f>
        <v/>
      </c>
      <c r="Z38">
        <f>HYPERLINK("https://klasma.github.io/Logging_0980/klagomålsmail/A 63872-2021 FSC-klagomål mail.docx", "A 63872-2021")</f>
        <v/>
      </c>
      <c r="AA38">
        <f>HYPERLINK("https://klasma.github.io/Logging_0980/tillsyn/A 63872-2021 tillsynsbegäran.docx", "A 63872-2021")</f>
        <v/>
      </c>
      <c r="AB38">
        <f>HYPERLINK("https://klasma.github.io/Logging_0980/tillsynsmail/A 63872-2021 tillsynsbegäran mail.docx", "A 63872-2021")</f>
        <v/>
      </c>
      <c r="AC38">
        <f>HYPERLINK("https://klasma.github.io/Logging_0980/fåglar/A 63872-2021 prioriterade fågelarter.docx", "A 63872-2021")</f>
        <v/>
      </c>
    </row>
    <row r="39" ht="15" customHeight="1">
      <c r="A39" t="inlineStr">
        <is>
          <t>A 43201-2023</t>
        </is>
      </c>
      <c r="B39" t="inlineStr">
        <is>
          <t>avverkningsanmälan</t>
        </is>
      </c>
      <c r="C39" t="inlineStr">
        <is>
          <t>Avverkning för annat ändamål</t>
        </is>
      </c>
      <c r="D39" s="1" t="n">
        <v>45183</v>
      </c>
      <c r="E39" s="1" t="n">
        <v>46217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46217</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s="2" t="inlineStr">
        <is>
          <t>Barkkvastmossa
Gulsträngad fagerspindling
Mörk kraterlav
Tvillingspindling
Blå slemspindling
Kattfotslav
Odörspindling
Puderspindling
Ängsstarr
Frostig asplav
Anisspindling
Axag
Kärrlilja
Svavelriska</t>
        </is>
      </c>
      <c r="V40">
        <f>HYPERLINK("https://klasma.github.io/Logging_0980/artfynd/A 44928-2022 artfynd.xlsx", "A 44928-2022")</f>
        <v/>
      </c>
      <c r="W40">
        <f>HYPERLINK("https://klasma.github.io/Logging_0980/kartor/A 44928-2022 karta.png", "A 44928-2022")</f>
        <v/>
      </c>
      <c r="Y40">
        <f>HYPERLINK("https://klasma.github.io/Logging_0980/klagomål/A 44928-2022 FSC-klagomål.docx", "A 44928-2022")</f>
        <v/>
      </c>
      <c r="Z40">
        <f>HYPERLINK("https://klasma.github.io/Logging_0980/klagomålsmail/A 44928-2022 FSC-klagomål mail.docx", "A 44928-2022")</f>
        <v/>
      </c>
      <c r="AA40">
        <f>HYPERLINK("https://klasma.github.io/Logging_0980/tillsyn/A 44928-2022 tillsynsbegäran.docx", "A 44928-2022")</f>
        <v/>
      </c>
      <c r="AB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46217</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s="2" t="inlineStr">
        <is>
          <t>Granrotspindling
Gul lammticka
Gulsträngad fagerspindling
Svartgrön spindling
Tvillingspindling
Violettfläckig spindling
Vit taggsvamp
Bittermusseron
Blå slemspindling
Odörspindling
Anisspindling
Olivspindling
Rödbrun jordstjärna
Svavelriska</t>
        </is>
      </c>
      <c r="V41">
        <f>HYPERLINK("https://klasma.github.io/Logging_0980/artfynd/A 11176-2024 artfynd.xlsx", "A 11176-2024")</f>
        <v/>
      </c>
      <c r="W41">
        <f>HYPERLINK("https://klasma.github.io/Logging_0980/kartor/A 11176-2024 karta.png", "A 11176-2024")</f>
        <v/>
      </c>
      <c r="Y41">
        <f>HYPERLINK("https://klasma.github.io/Logging_0980/klagomål/A 11176-2024 FSC-klagomål.docx", "A 11176-2024")</f>
        <v/>
      </c>
      <c r="Z41">
        <f>HYPERLINK("https://klasma.github.io/Logging_0980/klagomålsmail/A 11176-2024 FSC-klagomål mail.docx", "A 11176-2024")</f>
        <v/>
      </c>
      <c r="AA41">
        <f>HYPERLINK("https://klasma.github.io/Logging_0980/tillsyn/A 11176-2024 tillsynsbegäran.docx", "A 11176-2024")</f>
        <v/>
      </c>
      <c r="AB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46217</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s="2" t="inlineStr">
        <is>
          <t>Dårgräsfjäril
Entita
Grönsångare
Smedbock
Svinrot
Ängsskära
Blåmossa
Nästrot
Skogsknipprot
Tvåblad
Blåsippa
Spillkråka
Fläcknycklar
Nattviol</t>
        </is>
      </c>
      <c r="V42">
        <f>HYPERLINK("https://klasma.github.io/Logging_0980/artfynd/A 14354-2024 artfynd.xlsx", "A 14354-2024")</f>
        <v/>
      </c>
      <c r="W42">
        <f>HYPERLINK("https://klasma.github.io/Logging_0980/kartor/A 14354-2024 karta.png", "A 14354-2024")</f>
        <v/>
      </c>
      <c r="Y42">
        <f>HYPERLINK("https://klasma.github.io/Logging_0980/klagomål/A 14354-2024 FSC-klagomål.docx", "A 14354-2024")</f>
        <v/>
      </c>
      <c r="Z42">
        <f>HYPERLINK("https://klasma.github.io/Logging_0980/klagomålsmail/A 14354-2024 FSC-klagomål mail.docx", "A 14354-2024")</f>
        <v/>
      </c>
      <c r="AA42">
        <f>HYPERLINK("https://klasma.github.io/Logging_0980/tillsyn/A 14354-2024 tillsynsbegäran.docx", "A 14354-2024")</f>
        <v/>
      </c>
      <c r="AB42">
        <f>HYPERLINK("https://klasma.github.io/Logging_0980/tillsynsmail/A 14354-2024 tillsynsbegäran mail.docx", "A 14354-2024")</f>
        <v/>
      </c>
      <c r="AC42">
        <f>HYPERLINK("https://klasma.github.io/Logging_0980/fåglar/A 14354-2024 prioriterade fågelarter.docx", "A 14354-2024")</f>
        <v/>
      </c>
    </row>
    <row r="43" ht="15" customHeight="1">
      <c r="A43" t="inlineStr">
        <is>
          <t>A 10274-2026</t>
        </is>
      </c>
      <c r="B43" t="inlineStr">
        <is>
          <t>avverkningsanmälan</t>
        </is>
      </c>
      <c r="C43" t="inlineStr">
        <is>
          <t>Föryngringsavverkning</t>
        </is>
      </c>
      <c r="D43" s="1" t="n">
        <v>46076</v>
      </c>
      <c r="E43" s="1" t="n">
        <v>46217</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46217</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s="2" t="inlineStr">
        <is>
          <t>Duvspindling
Blå slemspindling
Flattoppad klubbsvamp
Jordtistel
Odörspindling
Solvända
Nästrot
Rödgul trumpetsvamp
Skogsknipprot
Strimspindling
Strävlosta
Svavelriska
Vit skogslilja
Zontaggsvamp</t>
        </is>
      </c>
      <c r="V44">
        <f>HYPERLINK("https://klasma.github.io/Logging_0980/artfynd/A 33153-2024 artfynd.xlsx", "A 33153-2024")</f>
        <v/>
      </c>
      <c r="W44">
        <f>HYPERLINK("https://klasma.github.io/Logging_0980/kartor/A 33153-2024 karta.png", "A 33153-2024")</f>
        <v/>
      </c>
      <c r="X44">
        <f>HYPERLINK("https://klasma.github.io/Logging_0980/knärot/A 33153-2024 karta knärot.png", "A 33153-2024")</f>
        <v/>
      </c>
      <c r="Y44">
        <f>HYPERLINK("https://klasma.github.io/Logging_0980/klagomål/A 33153-2024 FSC-klagomål.docx", "A 33153-2024")</f>
        <v/>
      </c>
      <c r="Z44">
        <f>HYPERLINK("https://klasma.github.io/Logging_0980/klagomålsmail/A 33153-2024 FSC-klagomål mail.docx", "A 33153-2024")</f>
        <v/>
      </c>
      <c r="AA44">
        <f>HYPERLINK("https://klasma.github.io/Logging_0980/tillsyn/A 33153-2024 tillsynsbegäran.docx", "A 33153-2024")</f>
        <v/>
      </c>
      <c r="AB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46217</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s="2" t="inlineStr">
        <is>
          <t>Backtimjan
Berggräsfjäril
Dårgräsfjäril
Gulsparv
Solvända
Svinrot
Anisspindling
Skogsknipprot
Ormbär
Spillkråka
Fläcknycklar
Nattviol
Sankt pers nycklar</t>
        </is>
      </c>
      <c r="V45">
        <f>HYPERLINK("https://klasma.github.io/Logging_0980/artfynd/A 63149-2025 artfynd.xlsx", "A 63149-2025")</f>
        <v/>
      </c>
      <c r="W45">
        <f>HYPERLINK("https://klasma.github.io/Logging_0980/kartor/A 63149-2025 karta.png", "A 63149-2025")</f>
        <v/>
      </c>
      <c r="Y45">
        <f>HYPERLINK("https://klasma.github.io/Logging_0980/klagomål/A 63149-2025 FSC-klagomål.docx", "A 63149-2025")</f>
        <v/>
      </c>
      <c r="Z45">
        <f>HYPERLINK("https://klasma.github.io/Logging_0980/klagomålsmail/A 63149-2025 FSC-klagomål mail.docx", "A 63149-2025")</f>
        <v/>
      </c>
      <c r="AA45">
        <f>HYPERLINK("https://klasma.github.io/Logging_0980/tillsyn/A 63149-2025 tillsynsbegäran.docx", "A 63149-2025")</f>
        <v/>
      </c>
      <c r="AB45">
        <f>HYPERLINK("https://klasma.github.io/Logging_0980/tillsynsmail/A 63149-2025 tillsynsbegäran mail.docx", "A 63149-2025")</f>
        <v/>
      </c>
      <c r="AC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46217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s="2" t="inlineStr">
        <is>
          <t>Bredbrämad bastardsvärmare
Gotlandsmåra
Solvända
Svinrot
Purpurknipprot
Skogsknipprot
Tvåblad
Vit skogslilja
Citronfläckad kärrtrollslända
Brudsporre
Fläcknycklar
Kärrknipprot
Nattviol</t>
        </is>
      </c>
      <c r="V46">
        <f>HYPERLINK("https://klasma.github.io/Logging_0980/artfynd/A 27168-2022 artfynd.xlsx", "A 27168-2022")</f>
        <v/>
      </c>
      <c r="W46">
        <f>HYPERLINK("https://klasma.github.io/Logging_0980/kartor/A 27168-2022 karta.png", "A 27168-2022")</f>
        <v/>
      </c>
      <c r="Y46">
        <f>HYPERLINK("https://klasma.github.io/Logging_0980/klagomål/A 27168-2022 FSC-klagomål.docx", "A 27168-2022")</f>
        <v/>
      </c>
      <c r="Z46">
        <f>HYPERLINK("https://klasma.github.io/Logging_0980/klagomålsmail/A 27168-2022 FSC-klagomål mail.docx", "A 27168-2022")</f>
        <v/>
      </c>
      <c r="AA46">
        <f>HYPERLINK("https://klasma.github.io/Logging_0980/tillsyn/A 27168-2022 tillsynsbegäran.docx", "A 27168-2022")</f>
        <v/>
      </c>
      <c r="AB46">
        <f>HYPERLINK("https://klasma.github.io/Logging_0980/tillsynsmail/A 27168-2022 tillsynsbegäran mail.docx", "A 27168-2022")</f>
        <v/>
      </c>
    </row>
    <row r="47" ht="15" customHeight="1">
      <c r="A47" t="inlineStr">
        <is>
          <t>A 37037-2021</t>
        </is>
      </c>
      <c r="B47" t="inlineStr">
        <is>
          <t>avverkningsanmälan</t>
        </is>
      </c>
      <c r="C47" t="inlineStr">
        <is>
          <t>Föryngringsavverkning</t>
        </is>
      </c>
      <c r="D47" s="1" t="n">
        <v>44393</v>
      </c>
      <c r="E47" s="1" t="n">
        <v>46217</v>
      </c>
      <c r="F47" t="inlineStr">
        <is>
          <t>GOTLANDS LÄN</t>
        </is>
      </c>
      <c r="G47" t="inlineStr">
        <is>
          <t>GOTLAND</t>
        </is>
      </c>
      <c r="I47" t="n">
        <v>10.2</v>
      </c>
      <c r="J47" t="n">
        <v>1</v>
      </c>
      <c r="K47" t="n">
        <v>4</v>
      </c>
      <c r="L47" t="n">
        <v>4</v>
      </c>
      <c r="M47" t="n">
        <v>4</v>
      </c>
      <c r="N47" t="n">
        <v>0</v>
      </c>
      <c r="O47" t="n">
        <v>0</v>
      </c>
      <c r="P47" t="n">
        <v>0</v>
      </c>
      <c r="Q47" t="n">
        <v>8</v>
      </c>
      <c r="R47" t="n">
        <v>4</v>
      </c>
      <c r="S47" t="n">
        <v>12</v>
      </c>
      <c r="T47" t="n">
        <v>28</v>
      </c>
      <c r="U47" s="2" t="inlineStr">
        <is>
          <t>Gulsträngad fagerspindling
Svartgrön spindling
Trollspindling
Vit taggsvamp
Apollofjäril
Blå slemspindling
Kattfotslav
Odörspindling
Anisspindling
Olivspindling
Svavelriska
Zontaggsvamp</t>
        </is>
      </c>
      <c r="V47">
        <f>HYPERLINK("https://klasma.github.io/Logging_0980/artfynd/A 37037-2021 artfynd.xlsx", "A 37037-2021")</f>
        <v/>
      </c>
      <c r="W47">
        <f>HYPERLINK("https://klasma.github.io/Logging_0980/kartor/A 37037-2021 karta.png", "A 37037-2021")</f>
        <v/>
      </c>
      <c r="Y47">
        <f>HYPERLINK("https://klasma.github.io/Logging_0980/klagomål/A 37037-2021 FSC-klagomål.docx", "A 37037-2021")</f>
        <v/>
      </c>
      <c r="Z47">
        <f>HYPERLINK("https://klasma.github.io/Logging_0980/klagomålsmail/A 37037-2021 FSC-klagomål mail.docx", "A 37037-2021")</f>
        <v/>
      </c>
      <c r="AA47">
        <f>HYPERLINK("https://klasma.github.io/Logging_0980/tillsyn/A 37037-2021 tillsynsbegäran.docx", "A 37037-2021")</f>
        <v/>
      </c>
      <c r="AB47">
        <f>HYPERLINK("https://klasma.github.io/Logging_0980/tillsynsmail/A 37037-2021 tillsynsbegäran mail.docx", "A 37037-2021")</f>
        <v/>
      </c>
    </row>
    <row r="48" ht="15" customHeight="1">
      <c r="A48" t="inlineStr">
        <is>
          <t>A 3324-2023</t>
        </is>
      </c>
      <c r="B48" t="inlineStr">
        <is>
          <t>avverkningsanmälan</t>
        </is>
      </c>
      <c r="C48" t="inlineStr">
        <is>
          <t>Avverkning för annat ändamål</t>
        </is>
      </c>
      <c r="D48" s="1" t="n">
        <v>44949</v>
      </c>
      <c r="E48" s="1" t="n">
        <v>46217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46217</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46217</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Y50">
        <f>HYPERLINK("https://klasma.github.io/Logging_0980/klagomål/A 17766-2024 FSC-klagomål.docx", "A 17766-2024")</f>
        <v/>
      </c>
      <c r="Z50">
        <f>HYPERLINK("https://klasma.github.io/Logging_0980/klagomålsmail/A 17766-2024 FSC-klagomål mail.docx", "A 17766-2024")</f>
        <v/>
      </c>
      <c r="AA50">
        <f>HYPERLINK("https://klasma.github.io/Logging_0980/tillsyn/A 17766-2024 tillsynsbegäran.docx", "A 17766-2024")</f>
        <v/>
      </c>
      <c r="AB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46217</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Y51">
        <f>HYPERLINK("https://klasma.github.io/Logging_0980/klagomål/A 28287-2024 FSC-klagomål.docx", "A 28287-2024")</f>
        <v/>
      </c>
      <c r="Z51">
        <f>HYPERLINK("https://klasma.github.io/Logging_0980/klagomålsmail/A 28287-2024 FSC-klagomål mail.docx", "A 28287-2024")</f>
        <v/>
      </c>
      <c r="AA51">
        <f>HYPERLINK("https://klasma.github.io/Logging_0980/tillsyn/A 28287-2024 tillsynsbegäran.docx", "A 28287-2024")</f>
        <v/>
      </c>
      <c r="AB51">
        <f>HYPERLINK("https://klasma.github.io/Logging_0980/tillsynsmail/A 28287-2024 tillsynsbegäran mail.docx", "A 28287-2024")</f>
        <v/>
      </c>
      <c r="AC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46217</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s="2" t="inlineStr">
        <is>
          <t>Sommargylling
Stare
Björktrast
Mindre hackspett
Skogsknipprot
Tvåblad
Spillkråka
Brudsporre
Fläcknycklar
Grönvit nattviol
Nattviol</t>
        </is>
      </c>
      <c r="V52">
        <f>HYPERLINK("https://klasma.github.io/Logging_0980/artfynd/A 27280-2023 artfynd.xlsx", "A 27280-2023")</f>
        <v/>
      </c>
      <c r="W52">
        <f>HYPERLINK("https://klasma.github.io/Logging_0980/kartor/A 27280-2023 karta.png", "A 27280-2023")</f>
        <v/>
      </c>
      <c r="Y52">
        <f>HYPERLINK("https://klasma.github.io/Logging_0980/klagomål/A 27280-2023 FSC-klagomål.docx", "A 27280-2023")</f>
        <v/>
      </c>
      <c r="Z52">
        <f>HYPERLINK("https://klasma.github.io/Logging_0980/klagomålsmail/A 27280-2023 FSC-klagomål mail.docx", "A 27280-2023")</f>
        <v/>
      </c>
      <c r="AA52">
        <f>HYPERLINK("https://klasma.github.io/Logging_0980/tillsyn/A 27280-2023 tillsynsbegäran.docx", "A 27280-2023")</f>
        <v/>
      </c>
      <c r="AB52">
        <f>HYPERLINK("https://klasma.github.io/Logging_0980/tillsynsmail/A 27280-2023 tillsynsbegäran mail.docx", "A 27280-2023")</f>
        <v/>
      </c>
      <c r="AC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46217</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s="2" t="inlineStr">
        <is>
          <t>Garderönn
Granrotspindling
Backtimjan
Denisespindling
Dårgräsfjäril
Jungfrulin
Solvända
Vippärt
Rödgul trumpetsvamp
Vågbandad barkbock
Sankt pers nycklar</t>
        </is>
      </c>
      <c r="V53">
        <f>HYPERLINK("https://klasma.github.io/Logging_0980/artfynd/A 584-2023 artfynd.xlsx", "A 584-2023")</f>
        <v/>
      </c>
      <c r="W53">
        <f>HYPERLINK("https://klasma.github.io/Logging_0980/kartor/A 584-2023 karta.png", "A 584-2023")</f>
        <v/>
      </c>
      <c r="Y53">
        <f>HYPERLINK("https://klasma.github.io/Logging_0980/klagomål/A 584-2023 FSC-klagomål.docx", "A 584-2023")</f>
        <v/>
      </c>
      <c r="Z53">
        <f>HYPERLINK("https://klasma.github.io/Logging_0980/klagomålsmail/A 584-2023 FSC-klagomål mail.docx", "A 584-2023")</f>
        <v/>
      </c>
      <c r="AA53">
        <f>HYPERLINK("https://klasma.github.io/Logging_0980/tillsyn/A 584-2023 tillsynsbegäran.docx", "A 584-2023")</f>
        <v/>
      </c>
      <c r="AB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46217</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s="2" t="inlineStr">
        <is>
          <t>Duvspindling
Garderönn
Granrotspindling
Gul lammticka
Gulsträngad fagerspindling
Svartgrön spindling
Violettfläckig spindling
Blå slemspindling
Svinrot
Anisspindling
Olivspindling</t>
        </is>
      </c>
      <c r="V54">
        <f>HYPERLINK("https://klasma.github.io/Logging_0980/artfynd/A 2649-2023 artfynd.xlsx", "A 2649-2023")</f>
        <v/>
      </c>
      <c r="W54">
        <f>HYPERLINK("https://klasma.github.io/Logging_0980/kartor/A 2649-2023 karta.png", "A 2649-2023")</f>
        <v/>
      </c>
      <c r="Y54">
        <f>HYPERLINK("https://klasma.github.io/Logging_0980/klagomål/A 2649-2023 FSC-klagomål.docx", "A 2649-2023")</f>
        <v/>
      </c>
      <c r="Z54">
        <f>HYPERLINK("https://klasma.github.io/Logging_0980/klagomålsmail/A 2649-2023 FSC-klagomål mail.docx", "A 2649-2023")</f>
        <v/>
      </c>
      <c r="AA54">
        <f>HYPERLINK("https://klasma.github.io/Logging_0980/tillsyn/A 2649-2023 tillsynsbegäran.docx", "A 2649-2023")</f>
        <v/>
      </c>
      <c r="AB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46217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46217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46217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Y57">
        <f>HYPERLINK("https://klasma.github.io/Logging_0980/klagomål/A 4984-2025 FSC-klagomål.docx", "A 4984-2025")</f>
        <v/>
      </c>
      <c r="Z57">
        <f>HYPERLINK("https://klasma.github.io/Logging_0980/klagomålsmail/A 4984-2025 FSC-klagomål mail.docx", "A 4984-2025")</f>
        <v/>
      </c>
      <c r="AA57">
        <f>HYPERLINK("https://klasma.github.io/Logging_0980/tillsyn/A 4984-2025 tillsynsbegäran.docx", "A 4984-2025")</f>
        <v/>
      </c>
      <c r="AB57">
        <f>HYPERLINK("https://klasma.github.io/Logging_0980/tillsynsmail/A 4984-2025 tillsynsbegäran mail.docx", "A 4984-2025")</f>
        <v/>
      </c>
      <c r="AC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46217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46217</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s="2" t="inlineStr">
        <is>
          <t>Sienamusseron
Bredbrämad bastardsvärmare
Gotlandsmåra
Axveronika
Denisespindling
Fjällig taggsvamp s.str.
Odörspindling
Anisspindling
Olivspindling
Rödgul trumpetsvamp</t>
        </is>
      </c>
      <c r="V59">
        <f>HYPERLINK("https://klasma.github.io/Logging_0980/artfynd/A 44944-2022 artfynd.xlsx", "A 44944-2022")</f>
        <v/>
      </c>
      <c r="W59">
        <f>HYPERLINK("https://klasma.github.io/Logging_0980/kartor/A 44944-2022 karta.png", "A 44944-2022")</f>
        <v/>
      </c>
      <c r="Y59">
        <f>HYPERLINK("https://klasma.github.io/Logging_0980/klagomål/A 44944-2022 FSC-klagomål.docx", "A 44944-2022")</f>
        <v/>
      </c>
      <c r="Z59">
        <f>HYPERLINK("https://klasma.github.io/Logging_0980/klagomålsmail/A 44944-2022 FSC-klagomål mail.docx", "A 44944-2022")</f>
        <v/>
      </c>
      <c r="AA59">
        <f>HYPERLINK("https://klasma.github.io/Logging_0980/tillsyn/A 44944-2022 tillsynsbegäran.docx", "A 44944-2022")</f>
        <v/>
      </c>
      <c r="AB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46217</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s="2" t="inlineStr">
        <is>
          <t>Ask
Lundalm
Blå slemspindling
Mjölspindling
Oxtungssvamp
Bolmörtsskivling
Myskmadra
Stinkbrosking
Toppvaxing
Underviol</t>
        </is>
      </c>
      <c r="V60">
        <f>HYPERLINK("https://klasma.github.io/Logging_0980/artfynd/A 45248-2024 artfynd.xlsx", "A 45248-2024")</f>
        <v/>
      </c>
      <c r="W60">
        <f>HYPERLINK("https://klasma.github.io/Logging_0980/kartor/A 45248-2024 karta.png", "A 45248-2024")</f>
        <v/>
      </c>
      <c r="Y60">
        <f>HYPERLINK("https://klasma.github.io/Logging_0980/klagomål/A 45248-2024 FSC-klagomål.docx", "A 45248-2024")</f>
        <v/>
      </c>
      <c r="Z60">
        <f>HYPERLINK("https://klasma.github.io/Logging_0980/klagomålsmail/A 45248-2024 FSC-klagomål mail.docx", "A 45248-2024")</f>
        <v/>
      </c>
      <c r="AA60">
        <f>HYPERLINK("https://klasma.github.io/Logging_0980/tillsyn/A 45248-2024 tillsynsbegäran.docx", "A 45248-2024")</f>
        <v/>
      </c>
      <c r="AB60">
        <f>HYPERLINK("https://klasma.github.io/Logging_0980/tillsynsmail/A 45248-2024 tillsynsbegäran mail.docx", "A 45248-2024")</f>
        <v/>
      </c>
    </row>
    <row r="61" ht="15" customHeight="1">
      <c r="A61" t="inlineStr">
        <is>
          <t>A 55649-2024</t>
        </is>
      </c>
      <c r="B61" t="inlineStr">
        <is>
          <t>avverkningsanmälan</t>
        </is>
      </c>
      <c r="C61" t="inlineStr">
        <is>
          <t>Föryngringsavverkning</t>
        </is>
      </c>
      <c r="D61" s="1" t="n">
        <v>45622</v>
      </c>
      <c r="E61" s="1" t="n">
        <v>46217</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Y61">
        <f>HYPERLINK("https://klasma.github.io/Logging_0980/klagomål/A 55649-2024 FSC-klagomål.docx", "A 55649-2024")</f>
        <v/>
      </c>
      <c r="Z61">
        <f>HYPERLINK("https://klasma.github.io/Logging_0980/klagomålsmail/A 55649-2024 FSC-klagomål mail.docx", "A 55649-2024")</f>
        <v/>
      </c>
      <c r="AA61">
        <f>HYPERLINK("https://klasma.github.io/Logging_0980/tillsyn/A 55649-2024 tillsynsbegäran.docx", "A 55649-2024")</f>
        <v/>
      </c>
      <c r="AB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46217</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46217</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46217</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46217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Y65">
        <f>HYPERLINK("https://klasma.github.io/Logging_0980/klagomål/A 1769-2022 FSC-klagomål.docx", "A 1769-2022")</f>
        <v/>
      </c>
      <c r="Z65">
        <f>HYPERLINK("https://klasma.github.io/Logging_0980/klagomålsmail/A 1769-2022 FSC-klagomål mail.docx", "A 1769-2022")</f>
        <v/>
      </c>
      <c r="AA65">
        <f>HYPERLINK("https://klasma.github.io/Logging_0980/tillsyn/A 1769-2022 tillsynsbegäran.docx", "A 1769-2022")</f>
        <v/>
      </c>
      <c r="AB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46217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Y66">
        <f>HYPERLINK("https://klasma.github.io/Logging_0980/klagomål/A 39376-2023 FSC-klagomål.docx", "A 39376-2023")</f>
        <v/>
      </c>
      <c r="Z66">
        <f>HYPERLINK("https://klasma.github.io/Logging_0980/klagomålsmail/A 39376-2023 FSC-klagomål mail.docx", "A 39376-2023")</f>
        <v/>
      </c>
      <c r="AA66">
        <f>HYPERLINK("https://klasma.github.io/Logging_0980/tillsyn/A 39376-2023 tillsynsbegäran.docx", "A 39376-2023")</f>
        <v/>
      </c>
      <c r="AB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46217</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s="2" t="inlineStr">
        <is>
          <t>Svartfläckig blåvinge
Backtimjan
Dårgräsfjäril
Jordtistel
Solvända
Svinrot
Skogsknipprot
Tvåblad
Spillkråka</t>
        </is>
      </c>
      <c r="V67">
        <f>HYPERLINK("https://klasma.github.io/Logging_0980/artfynd/A 20833-2024 artfynd.xlsx", "A 20833-2024")</f>
        <v/>
      </c>
      <c r="W67">
        <f>HYPERLINK("https://klasma.github.io/Logging_0980/kartor/A 20833-2024 karta.png", "A 20833-2024")</f>
        <v/>
      </c>
      <c r="Y67">
        <f>HYPERLINK("https://klasma.github.io/Logging_0980/klagomål/A 20833-2024 FSC-klagomål.docx", "A 20833-2024")</f>
        <v/>
      </c>
      <c r="Z67">
        <f>HYPERLINK("https://klasma.github.io/Logging_0980/klagomålsmail/A 20833-2024 FSC-klagomål mail.docx", "A 20833-2024")</f>
        <v/>
      </c>
      <c r="AA67">
        <f>HYPERLINK("https://klasma.github.io/Logging_0980/tillsyn/A 20833-2024 tillsynsbegäran.docx", "A 20833-2024")</f>
        <v/>
      </c>
      <c r="AB67">
        <f>HYPERLINK("https://klasma.github.io/Logging_0980/tillsynsmail/A 20833-2024 tillsynsbegäran mail.docx", "A 20833-2024")</f>
        <v/>
      </c>
      <c r="AC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46217</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s="2" t="inlineStr">
        <is>
          <t>Ask
Garderönn
Backtimjan
Bergjohannesört
Dårgräsfjäril
Jordtistel
Solvända
Svinrot
Spillkråka</t>
        </is>
      </c>
      <c r="V68">
        <f>HYPERLINK("https://klasma.github.io/Logging_0980/artfynd/A 17328-2026 artfynd.xlsx", "A 17328-2026")</f>
        <v/>
      </c>
      <c r="W68">
        <f>HYPERLINK("https://klasma.github.io/Logging_0980/kartor/A 17328-2026 karta.png", "A 17328-2026")</f>
        <v/>
      </c>
      <c r="Y68">
        <f>HYPERLINK("https://klasma.github.io/Logging_0980/klagomål/A 17328-2026 FSC-klagomål.docx", "A 17328-2026")</f>
        <v/>
      </c>
      <c r="Z68">
        <f>HYPERLINK("https://klasma.github.io/Logging_0980/klagomålsmail/A 17328-2026 FSC-klagomål mail.docx", "A 17328-2026")</f>
        <v/>
      </c>
      <c r="AA68">
        <f>HYPERLINK("https://klasma.github.io/Logging_0980/tillsyn/A 17328-2026 tillsynsbegäran.docx", "A 17328-2026")</f>
        <v/>
      </c>
      <c r="AB68">
        <f>HYPERLINK("https://klasma.github.io/Logging_0980/tillsynsmail/A 17328-2026 tillsynsbegäran mail.docx", "A 17328-2026")</f>
        <v/>
      </c>
      <c r="AC68">
        <f>HYPERLINK("https://klasma.github.io/Logging_0980/fåglar/A 17328-2026 prioriterade fågelarter.docx", "A 17328-2026")</f>
        <v/>
      </c>
    </row>
    <row r="69" ht="15" customHeight="1">
      <c r="A69" t="inlineStr">
        <is>
          <t>A 7039-2023</t>
        </is>
      </c>
      <c r="B69" t="inlineStr">
        <is>
          <t>avverkningsanmälan</t>
        </is>
      </c>
      <c r="C69" t="inlineStr">
        <is>
          <t>Föryngringsavverkning</t>
        </is>
      </c>
      <c r="D69" s="1" t="n">
        <v>44968</v>
      </c>
      <c r="E69" s="1" t="n">
        <v>46217</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s="2" t="inlineStr">
        <is>
          <t>Stor blanklav
Mörk kraterlav
Ädellav
Dårgräsfjäril
Svinrot
Frostig asplav
Havstulpanlav
Klippfrullania
Stubbspretmossa</t>
        </is>
      </c>
      <c r="V69">
        <f>HYPERLINK("https://klasma.github.io/Logging_0980/artfynd/A 7039-2023 artfynd.xlsx", "A 7039-2023")</f>
        <v/>
      </c>
      <c r="W69">
        <f>HYPERLINK("https://klasma.github.io/Logging_0980/kartor/A 7039-2023 karta.png", "A 7039-2023")</f>
        <v/>
      </c>
      <c r="Y69">
        <f>HYPERLINK("https://klasma.github.io/Logging_0980/klagomål/A 7039-2023 FSC-klagomål.docx", "A 7039-2023")</f>
        <v/>
      </c>
      <c r="Z69">
        <f>HYPERLINK("https://klasma.github.io/Logging_0980/klagomålsmail/A 7039-2023 FSC-klagomål mail.docx", "A 7039-2023")</f>
        <v/>
      </c>
      <c r="AA69">
        <f>HYPERLINK("https://klasma.github.io/Logging_0980/tillsyn/A 7039-2023 tillsynsbegäran.docx", "A 7039-2023")</f>
        <v/>
      </c>
      <c r="AB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46217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46217</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Y71">
        <f>HYPERLINK("https://klasma.github.io/Logging_0980/klagomål/A 1971-2023 FSC-klagomål.docx", "A 1971-2023")</f>
        <v/>
      </c>
      <c r="Z71">
        <f>HYPERLINK("https://klasma.github.io/Logging_0980/klagomålsmail/A 1971-2023 FSC-klagomål mail.docx", "A 1971-2023")</f>
        <v/>
      </c>
      <c r="AA71">
        <f>HYPERLINK("https://klasma.github.io/Logging_0980/tillsyn/A 1971-2023 tillsynsbegäran.docx", "A 1971-2023")</f>
        <v/>
      </c>
      <c r="AB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46217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46217</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46217</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Y74">
        <f>HYPERLINK("https://klasma.github.io/Logging_0980/klagomål/A 54527-2023 FSC-klagomål.docx", "A 54527-2023")</f>
        <v/>
      </c>
      <c r="Z74">
        <f>HYPERLINK("https://klasma.github.io/Logging_0980/klagomålsmail/A 54527-2023 FSC-klagomål mail.docx", "A 54527-2023")</f>
        <v/>
      </c>
      <c r="AA74">
        <f>HYPERLINK("https://klasma.github.io/Logging_0980/tillsyn/A 54527-2023 tillsynsbegäran.docx", "A 54527-2023")</f>
        <v/>
      </c>
      <c r="AB74">
        <f>HYPERLINK("https://klasma.github.io/Logging_0980/tillsynsmail/A 54527-2023 tillsynsbegäran mail.docx", "A 54527-2023")</f>
        <v/>
      </c>
      <c r="AC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46217</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Y75">
        <f>HYPERLINK("https://klasma.github.io/Logging_0980/klagomål/A 27170-2026 FSC-klagomål.docx", "A 27170-2026")</f>
        <v/>
      </c>
      <c r="Z75">
        <f>HYPERLINK("https://klasma.github.io/Logging_0980/klagomålsmail/A 27170-2026 FSC-klagomål mail.docx", "A 27170-2026")</f>
        <v/>
      </c>
      <c r="AA75">
        <f>HYPERLINK("https://klasma.github.io/Logging_0980/tillsyn/A 27170-2026 tillsynsbegäran.docx", "A 27170-2026")</f>
        <v/>
      </c>
      <c r="AB75">
        <f>HYPERLINK("https://klasma.github.io/Logging_0980/tillsynsmail/A 27170-2026 tillsynsbegäran mail.docx", "A 27170-2026")</f>
        <v/>
      </c>
    </row>
    <row r="76" ht="15" customHeight="1">
      <c r="A76" t="inlineStr">
        <is>
          <t>A 20831-2024</t>
        </is>
      </c>
      <c r="B76" t="inlineStr">
        <is>
          <t>avverkningsanmälan</t>
        </is>
      </c>
      <c r="C76" t="inlineStr">
        <is>
          <t>Föryngringsavverkning</t>
        </is>
      </c>
      <c r="D76" s="1" t="n">
        <v>45439</v>
      </c>
      <c r="E76" s="1" t="n">
        <v>46217</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s="2" t="inlineStr">
        <is>
          <t>Vit taggsvamp
Axveronika
Backtimjan
Dårgräsfjäril
Jordtistel
Solvända
Svinrot
Skogsknipprot</t>
        </is>
      </c>
      <c r="V76">
        <f>HYPERLINK("https://klasma.github.io/Logging_0980/artfynd/A 20831-2024 artfynd.xlsx", "A 20831-2024")</f>
        <v/>
      </c>
      <c r="W76">
        <f>HYPERLINK("https://klasma.github.io/Logging_0980/kartor/A 20831-2024 karta.png", "A 20831-2024")</f>
        <v/>
      </c>
      <c r="Y76">
        <f>HYPERLINK("https://klasma.github.io/Logging_0980/klagomål/A 20831-2024 FSC-klagomål.docx", "A 20831-2024")</f>
        <v/>
      </c>
      <c r="Z76">
        <f>HYPERLINK("https://klasma.github.io/Logging_0980/klagomålsmail/A 20831-2024 FSC-klagomål mail.docx", "A 20831-2024")</f>
        <v/>
      </c>
      <c r="AA76">
        <f>HYPERLINK("https://klasma.github.io/Logging_0980/tillsyn/A 20831-2024 tillsynsbegäran.docx", "A 20831-2024")</f>
        <v/>
      </c>
      <c r="AB76">
        <f>HYPERLINK("https://klasma.github.io/Logging_0980/tillsynsmail/A 20831-2024 tillsynsbegäran mail.docx", "A 20831-2024")</f>
        <v/>
      </c>
    </row>
    <row r="77" ht="15" customHeight="1">
      <c r="A77" t="inlineStr">
        <is>
          <t>A 446-2023</t>
        </is>
      </c>
      <c r="B77" t="inlineStr">
        <is>
          <t>avverkningsanmälan</t>
        </is>
      </c>
      <c r="C77" t="inlineStr">
        <is>
          <t>Föryngringsavverkning</t>
        </is>
      </c>
      <c r="D77" s="1" t="n">
        <v>44929</v>
      </c>
      <c r="E77" s="1" t="n">
        <v>46217</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s="2" t="inlineStr">
        <is>
          <t>Svartgrön spindling
Backtimjan
Dårgräsfjäril
Äggspindling
Nästrot
Skogsknipprot
Svavelriska
Spillkråka</t>
        </is>
      </c>
      <c r="V77">
        <f>HYPERLINK("https://klasma.github.io/Logging_0980/artfynd/A 446-2023 artfynd.xlsx", "A 446-2023")</f>
        <v/>
      </c>
      <c r="W77">
        <f>HYPERLINK("https://klasma.github.io/Logging_0980/kartor/A 446-2023 karta.png", "A 446-2023")</f>
        <v/>
      </c>
      <c r="Y77">
        <f>HYPERLINK("https://klasma.github.io/Logging_0980/klagomål/A 446-2023 FSC-klagomål.docx", "A 446-2023")</f>
        <v/>
      </c>
      <c r="Z77">
        <f>HYPERLINK("https://klasma.github.io/Logging_0980/klagomålsmail/A 446-2023 FSC-klagomål mail.docx", "A 446-2023")</f>
        <v/>
      </c>
      <c r="AA77">
        <f>HYPERLINK("https://klasma.github.io/Logging_0980/tillsyn/A 446-2023 tillsynsbegäran.docx", "A 446-2023")</f>
        <v/>
      </c>
      <c r="AB77">
        <f>HYPERLINK("https://klasma.github.io/Logging_0980/tillsynsmail/A 446-2023 tillsynsbegäran mail.docx", "A 446-2023")</f>
        <v/>
      </c>
      <c r="AC77">
        <f>HYPERLINK("https://klasma.github.io/Logging_0980/fåglar/A 446-2023 prioriterade fågelarter.docx", "A 446-2023")</f>
        <v/>
      </c>
    </row>
    <row r="78" ht="15" customHeight="1">
      <c r="A78" t="inlineStr">
        <is>
          <t>A 57773-2025</t>
        </is>
      </c>
      <c r="B78" t="inlineStr">
        <is>
          <t>avverkningsanmälan</t>
        </is>
      </c>
      <c r="C78" t="inlineStr">
        <is>
          <t>Föryngringsavverkning</t>
        </is>
      </c>
      <c r="D78" s="1" t="n">
        <v>45981</v>
      </c>
      <c r="E78" s="1" t="n">
        <v>46217</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s="2" t="inlineStr">
        <is>
          <t>Duvspindling
Mörkfjällig olivspindling
Backklöver
Besk kastanjemusseron
Brun klibbskivling
Olivspindling
Rödgul trumpetsvamp
Strimspindling</t>
        </is>
      </c>
      <c r="V78">
        <f>HYPERLINK("https://klasma.github.io/Logging_0980/artfynd/A 57773-2025 artfynd.xlsx", "A 57773-2025")</f>
        <v/>
      </c>
      <c r="W78">
        <f>HYPERLINK("https://klasma.github.io/Logging_0980/kartor/A 57773-2025 karta.png", "A 57773-2025")</f>
        <v/>
      </c>
      <c r="Y78">
        <f>HYPERLINK("https://klasma.github.io/Logging_0980/klagomål/A 57773-2025 FSC-klagomål.docx", "A 57773-2025")</f>
        <v/>
      </c>
      <c r="Z78">
        <f>HYPERLINK("https://klasma.github.io/Logging_0980/klagomålsmail/A 57773-2025 FSC-klagomål mail.docx", "A 57773-2025")</f>
        <v/>
      </c>
      <c r="AA78">
        <f>HYPERLINK("https://klasma.github.io/Logging_0980/tillsyn/A 57773-2025 tillsynsbegäran.docx", "A 57773-2025")</f>
        <v/>
      </c>
      <c r="AB78">
        <f>HYPERLINK("https://klasma.github.io/Logging_0980/tillsynsmail/A 57773-2025 tillsynsbegäran mail.docx", "A 57773-2025")</f>
        <v/>
      </c>
    </row>
    <row r="79" ht="15" customHeight="1">
      <c r="A79" t="inlineStr">
        <is>
          <t>A 7038-2023</t>
        </is>
      </c>
      <c r="B79" t="inlineStr">
        <is>
          <t>avverkningsanmälan</t>
        </is>
      </c>
      <c r="C79" t="inlineStr">
        <is>
          <t>Föryngringsavverkning</t>
        </is>
      </c>
      <c r="D79" s="1" t="n">
        <v>44968</v>
      </c>
      <c r="E79" s="1" t="n">
        <v>46217</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s="2" t="inlineStr">
        <is>
          <t>Liten ädellav
Tät korallorangelav
Ädellav
Dårgräsfjäril
Blemlavsklotter
Frostig asplav
Guldlockmossa
Havstulpanlav</t>
        </is>
      </c>
      <c r="V79">
        <f>HYPERLINK("https://klasma.github.io/Logging_0980/artfynd/A 7038-2023 artfynd.xlsx", "A 7038-2023")</f>
        <v/>
      </c>
      <c r="W79">
        <f>HYPERLINK("https://klasma.github.io/Logging_0980/kartor/A 7038-2023 karta.png", "A 7038-2023")</f>
        <v/>
      </c>
      <c r="Y79">
        <f>HYPERLINK("https://klasma.github.io/Logging_0980/klagomål/A 7038-2023 FSC-klagomål.docx", "A 7038-2023")</f>
        <v/>
      </c>
      <c r="Z79">
        <f>HYPERLINK("https://klasma.github.io/Logging_0980/klagomålsmail/A 7038-2023 FSC-klagomål mail.docx", "A 7038-2023")</f>
        <v/>
      </c>
      <c r="AA79">
        <f>HYPERLINK("https://klasma.github.io/Logging_0980/tillsyn/A 7038-2023 tillsynsbegäran.docx", "A 7038-2023")</f>
        <v/>
      </c>
      <c r="AB79">
        <f>HYPERLINK("https://klasma.github.io/Logging_0980/tillsynsmail/A 7038-2023 tillsynsbegäran mail.docx", "A 7038-2023")</f>
        <v/>
      </c>
    </row>
    <row r="80" ht="15" customHeight="1">
      <c r="A80" t="inlineStr">
        <is>
          <t>A 6836-2026</t>
        </is>
      </c>
      <c r="B80" t="inlineStr">
        <is>
          <t>avverkningsanmälan</t>
        </is>
      </c>
      <c r="C80" t="inlineStr">
        <is>
          <t>Föryngringsavverkning</t>
        </is>
      </c>
      <c r="D80" s="1" t="n">
        <v>46057</v>
      </c>
      <c r="E80" s="1" t="n">
        <v>46217</v>
      </c>
      <c r="F80" t="inlineStr">
        <is>
          <t>GOTLANDS LÄN</t>
        </is>
      </c>
      <c r="G80" t="inlineStr">
        <is>
          <t>GOTLAND</t>
        </is>
      </c>
      <c r="I80" t="n">
        <v>3.8</v>
      </c>
      <c r="J80" t="n">
        <v>1</v>
      </c>
      <c r="K80" t="n">
        <v>3</v>
      </c>
      <c r="L80" t="n">
        <v>2</v>
      </c>
      <c r="M80" t="n">
        <v>3</v>
      </c>
      <c r="N80" t="n">
        <v>0</v>
      </c>
      <c r="O80" t="n">
        <v>0</v>
      </c>
      <c r="P80" t="n">
        <v>0</v>
      </c>
      <c r="Q80" t="n">
        <v>5</v>
      </c>
      <c r="R80" t="n">
        <v>3</v>
      </c>
      <c r="S80" t="n">
        <v>8</v>
      </c>
      <c r="T80" t="n">
        <v>10</v>
      </c>
      <c r="U80" s="2" t="inlineStr">
        <is>
          <t>Knärot
Svartgrön spindling
Violettfläckig spindling
Odörspindling
Skarp dropptaggsvamp
Fransig jordstjärna
Rödgul trumpetsvamp
Svavelriska</t>
        </is>
      </c>
      <c r="V80">
        <f>HYPERLINK("https://klasma.github.io/Logging_0980/artfynd/A 6836-2026 artfynd.xlsx", "A 6836-2026")</f>
        <v/>
      </c>
      <c r="W80">
        <f>HYPERLINK("https://klasma.github.io/Logging_0980/kartor/A 6836-2026 karta.png", "A 6836-2026")</f>
        <v/>
      </c>
      <c r="X80">
        <f>HYPERLINK("https://klasma.github.io/Logging_0980/knärot/A 6836-2026 karta knärot.png", "A 6836-2026")</f>
        <v/>
      </c>
      <c r="Y80">
        <f>HYPERLINK("https://klasma.github.io/Logging_0980/klagomål/A 6836-2026 FSC-klagomål.docx", "A 6836-2026")</f>
        <v/>
      </c>
      <c r="Z80">
        <f>HYPERLINK("https://klasma.github.io/Logging_0980/klagomålsmail/A 6836-2026 FSC-klagomål mail.docx", "A 6836-2026")</f>
        <v/>
      </c>
      <c r="AA80">
        <f>HYPERLINK("https://klasma.github.io/Logging_0980/tillsyn/A 6836-2026 tillsynsbegäran.docx", "A 6836-2026")</f>
        <v/>
      </c>
      <c r="AB80">
        <f>HYPERLINK("https://klasma.github.io/Logging_0980/tillsynsmail/A 6836-2026 tillsynsbegäran mail.docx", "A 6836-2026")</f>
        <v/>
      </c>
    </row>
    <row r="81" ht="15" customHeight="1">
      <c r="A81" t="inlineStr">
        <is>
          <t>A 51737-2021</t>
        </is>
      </c>
      <c r="B81" t="inlineStr">
        <is>
          <t>avverkningsanmälan</t>
        </is>
      </c>
      <c r="C81" t="inlineStr">
        <is>
          <t>Föryngringsavverkning</t>
        </is>
      </c>
      <c r="D81" s="1" t="n">
        <v>44462</v>
      </c>
      <c r="E81" s="1" t="n">
        <v>46217</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6159-2023</t>
        </is>
      </c>
      <c r="B82" t="inlineStr">
        <is>
          <t>avverkningsanmälan</t>
        </is>
      </c>
      <c r="C82" t="inlineStr">
        <is>
          <t>Föryngringsavverkning</t>
        </is>
      </c>
      <c r="D82" s="1" t="n">
        <v>44964</v>
      </c>
      <c r="E82" s="1" t="n">
        <v>46217</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s="2" t="inlineStr">
        <is>
          <t>Coniocarpon fallax
Knölig taggsvamp
Gyllenspindling
Dofttaggsvamp
Odörspindling
Anisspindling
Olivspindling</t>
        </is>
      </c>
      <c r="V82">
        <f>HYPERLINK("https://klasma.github.io/Logging_0980/artfynd/A 6159-2023 artfynd.xlsx", "A 6159-2023")</f>
        <v/>
      </c>
      <c r="W82">
        <f>HYPERLINK("https://klasma.github.io/Logging_0980/kartor/A 6159-2023 karta.png", "A 6159-2023")</f>
        <v/>
      </c>
      <c r="Y82">
        <f>HYPERLINK("https://klasma.github.io/Logging_0980/klagomål/A 6159-2023 FSC-klagomål.docx", "A 6159-2023")</f>
        <v/>
      </c>
      <c r="Z82">
        <f>HYPERLINK("https://klasma.github.io/Logging_0980/klagomålsmail/A 6159-2023 FSC-klagomål mail.docx", "A 6159-2023")</f>
        <v/>
      </c>
      <c r="AA82">
        <f>HYPERLINK("https://klasma.github.io/Logging_0980/tillsyn/A 6159-2023 tillsynsbegäran.docx", "A 6159-2023")</f>
        <v/>
      </c>
      <c r="AB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46217</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s="2" t="inlineStr">
        <is>
          <t>Blå slemspindling
Kattfotslav
Blåmossa
Mindre märgborre
Skogsknipprot
Vågbandad barkbock
Skogsduva</t>
        </is>
      </c>
      <c r="V83">
        <f>HYPERLINK("https://klasma.github.io/Logging_0980/artfynd/A 2085-2023 artfynd.xlsx", "A 2085-2023")</f>
        <v/>
      </c>
      <c r="W83">
        <f>HYPERLINK("https://klasma.github.io/Logging_0980/kartor/A 2085-2023 karta.png", "A 2085-2023")</f>
        <v/>
      </c>
      <c r="Y83">
        <f>HYPERLINK("https://klasma.github.io/Logging_0980/klagomål/A 2085-2023 FSC-klagomål.docx", "A 2085-2023")</f>
        <v/>
      </c>
      <c r="Z83">
        <f>HYPERLINK("https://klasma.github.io/Logging_0980/klagomålsmail/A 2085-2023 FSC-klagomål mail.docx", "A 2085-2023")</f>
        <v/>
      </c>
      <c r="AA83">
        <f>HYPERLINK("https://klasma.github.io/Logging_0980/tillsyn/A 2085-2023 tillsynsbegäran.docx", "A 2085-2023")</f>
        <v/>
      </c>
      <c r="AB83">
        <f>HYPERLINK("https://klasma.github.io/Logging_0980/tillsynsmail/A 2085-2023 tillsynsbegäran mail.docx", "A 2085-2023")</f>
        <v/>
      </c>
    </row>
    <row r="84" ht="15" customHeight="1">
      <c r="A84" t="inlineStr">
        <is>
          <t>A 34142-2024</t>
        </is>
      </c>
      <c r="B84" t="inlineStr">
        <is>
          <t>avverkningsanmälan</t>
        </is>
      </c>
      <c r="C84" t="inlineStr">
        <is>
          <t>Föryngringsavverkning</t>
        </is>
      </c>
      <c r="D84" s="1" t="n">
        <v>45524</v>
      </c>
      <c r="E84" s="1" t="n">
        <v>46217</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s="2" t="inlineStr">
        <is>
          <t>Duvspindling
Igelkott
Blå slemspindling
Odörspindling
Rödfläckig zontaggsvamp
Anisspindling
Nästrot</t>
        </is>
      </c>
      <c r="V84">
        <f>HYPERLINK("https://klasma.github.io/Logging_0980/artfynd/A 34142-2024 artfynd.xlsx", "A 34142-2024")</f>
        <v/>
      </c>
      <c r="W84">
        <f>HYPERLINK("https://klasma.github.io/Logging_0980/kartor/A 34142-2024 karta.png", "A 34142-2024")</f>
        <v/>
      </c>
      <c r="Y84">
        <f>HYPERLINK("https://klasma.github.io/Logging_0980/klagomål/A 34142-2024 FSC-klagomål.docx", "A 34142-2024")</f>
        <v/>
      </c>
      <c r="Z84">
        <f>HYPERLINK("https://klasma.github.io/Logging_0980/klagomålsmail/A 34142-2024 FSC-klagomål mail.docx", "A 34142-2024")</f>
        <v/>
      </c>
      <c r="AA84">
        <f>HYPERLINK("https://klasma.github.io/Logging_0980/tillsyn/A 34142-2024 tillsynsbegäran.docx", "A 34142-2024")</f>
        <v/>
      </c>
      <c r="AB84">
        <f>HYPERLINK("https://klasma.github.io/Logging_0980/tillsynsmail/A 34142-2024 tillsynsbegäran mail.docx", "A 34142-2024")</f>
        <v/>
      </c>
    </row>
    <row r="85" ht="15" customHeight="1">
      <c r="A85" t="inlineStr">
        <is>
          <t>A 63152-2025</t>
        </is>
      </c>
      <c r="B85" t="inlineStr">
        <is>
          <t>avverkningsanmälan</t>
        </is>
      </c>
      <c r="C85" t="inlineStr">
        <is>
          <t>Föryngringsavverkning</t>
        </is>
      </c>
      <c r="D85" s="1" t="n">
        <v>46010</v>
      </c>
      <c r="E85" s="1" t="n">
        <v>46217</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s="2" t="inlineStr">
        <is>
          <t>Berggräsfjäril
Dårgräsfjäril
Svinrot
Nästrot
Spillkråka
Sälg
Sankt pers nycklar</t>
        </is>
      </c>
      <c r="V85">
        <f>HYPERLINK("https://klasma.github.io/Logging_0980/artfynd/A 63152-2025 artfynd.xlsx", "A 63152-2025")</f>
        <v/>
      </c>
      <c r="W85">
        <f>HYPERLINK("https://klasma.github.io/Logging_0980/kartor/A 63152-2025 karta.png", "A 63152-2025")</f>
        <v/>
      </c>
      <c r="Y85">
        <f>HYPERLINK("https://klasma.github.io/Logging_0980/klagomål/A 63152-2025 FSC-klagomål.docx", "A 63152-2025")</f>
        <v/>
      </c>
      <c r="Z85">
        <f>HYPERLINK("https://klasma.github.io/Logging_0980/klagomålsmail/A 63152-2025 FSC-klagomål mail.docx", "A 63152-2025")</f>
        <v/>
      </c>
      <c r="AA85">
        <f>HYPERLINK("https://klasma.github.io/Logging_0980/tillsyn/A 63152-2025 tillsynsbegäran.docx", "A 63152-2025")</f>
        <v/>
      </c>
      <c r="AB85">
        <f>HYPERLINK("https://klasma.github.io/Logging_0980/tillsynsmail/A 63152-2025 tillsynsbegäran mail.docx", "A 63152-2025")</f>
        <v/>
      </c>
      <c r="AC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46217</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A 35293-2025</t>
        </is>
      </c>
      <c r="B87" t="inlineStr">
        <is>
          <t>avverkningsanmälan</t>
        </is>
      </c>
      <c r="C87" t="inlineStr">
        <is>
          <t>Föryngringsavverkning</t>
        </is>
      </c>
      <c r="D87" s="1" t="n">
        <v>45854</v>
      </c>
      <c r="E87" s="1" t="n">
        <v>46217</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s="2" t="inlineStr">
        <is>
          <t>Knutört
Axveronika
Krusfrö
Loppstarr
Svinrot
Ängsstarr
Skogsknipprot</t>
        </is>
      </c>
      <c r="V87">
        <f>HYPERLINK("https://klasma.github.io/Logging_0980/artfynd/A 35293-2025 artfynd.xlsx", "A 35293-2025")</f>
        <v/>
      </c>
      <c r="W87">
        <f>HYPERLINK("https://klasma.github.io/Logging_0980/kartor/A 35293-2025 karta.png", "A 35293-2025")</f>
        <v/>
      </c>
      <c r="Y87">
        <f>HYPERLINK("https://klasma.github.io/Logging_0980/klagomål/A 35293-2025 FSC-klagomål.docx", "A 35293-2025")</f>
        <v/>
      </c>
      <c r="Z87">
        <f>HYPERLINK("https://klasma.github.io/Logging_0980/klagomålsmail/A 35293-2025 FSC-klagomål mail.docx", "A 35293-2025")</f>
        <v/>
      </c>
      <c r="AA87">
        <f>HYPERLINK("https://klasma.github.io/Logging_0980/tillsyn/A 35293-2025 tillsynsbegäran.docx", "A 35293-2025")</f>
        <v/>
      </c>
      <c r="AB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46217</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46217</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s="2" t="inlineStr">
        <is>
          <t>Jordtistel
Jungfrulin
Svinrot
Spillkråka
Näktergal
Skogsduva</t>
        </is>
      </c>
      <c r="V89">
        <f>HYPERLINK("https://klasma.github.io/Logging_0980/artfynd/A 48126-2022 artfynd.xlsx", "A 48126-2022")</f>
        <v/>
      </c>
      <c r="W89">
        <f>HYPERLINK("https://klasma.github.io/Logging_0980/kartor/A 48126-2022 karta.png", "A 48126-2022")</f>
        <v/>
      </c>
      <c r="Y89">
        <f>HYPERLINK("https://klasma.github.io/Logging_0980/klagomål/A 48126-2022 FSC-klagomål.docx", "A 48126-2022")</f>
        <v/>
      </c>
      <c r="Z89">
        <f>HYPERLINK("https://klasma.github.io/Logging_0980/klagomålsmail/A 48126-2022 FSC-klagomål mail.docx", "A 48126-2022")</f>
        <v/>
      </c>
      <c r="AA89">
        <f>HYPERLINK("https://klasma.github.io/Logging_0980/tillsyn/A 48126-2022 tillsynsbegäran.docx", "A 48126-2022")</f>
        <v/>
      </c>
      <c r="AB89">
        <f>HYPERLINK("https://klasma.github.io/Logging_0980/tillsynsmail/A 48126-2022 tillsynsbegäran mail.docx", "A 48126-2022")</f>
        <v/>
      </c>
      <c r="AC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46217</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46217</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Y91">
        <f>HYPERLINK("https://klasma.github.io/Logging_0980/klagomål/A 20838-2024 FSC-klagomål.docx", "A 20838-2024")</f>
        <v/>
      </c>
      <c r="Z91">
        <f>HYPERLINK("https://klasma.github.io/Logging_0980/klagomålsmail/A 20838-2024 FSC-klagomål mail.docx", "A 20838-2024")</f>
        <v/>
      </c>
      <c r="AA91">
        <f>HYPERLINK("https://klasma.github.io/Logging_0980/tillsyn/A 20838-2024 tillsynsbegäran.docx", "A 20838-2024")</f>
        <v/>
      </c>
      <c r="AB91">
        <f>HYPERLINK("https://klasma.github.io/Logging_0980/tillsynsmail/A 20838-2024 tillsynsbegäran mail.docx", "A 20838-2024")</f>
        <v/>
      </c>
      <c r="AC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46217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46217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46217</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s="2" t="inlineStr">
        <is>
          <t>Gulsparv
Jordtistel
Flugblomster
Brudsporre
Johannesnycklar
Sankt pers nycklar</t>
        </is>
      </c>
      <c r="V94">
        <f>HYPERLINK("https://klasma.github.io/Logging_0980/artfynd/A 16823-2024 artfynd.xlsx", "A 16823-2024")</f>
        <v/>
      </c>
      <c r="W94">
        <f>HYPERLINK("https://klasma.github.io/Logging_0980/kartor/A 16823-2024 karta.png", "A 16823-2024")</f>
        <v/>
      </c>
      <c r="Y94">
        <f>HYPERLINK("https://klasma.github.io/Logging_0980/klagomål/A 16823-2024 FSC-klagomål.docx", "A 16823-2024")</f>
        <v/>
      </c>
      <c r="Z94">
        <f>HYPERLINK("https://klasma.github.io/Logging_0980/klagomålsmail/A 16823-2024 FSC-klagomål mail.docx", "A 16823-2024")</f>
        <v/>
      </c>
      <c r="AA94">
        <f>HYPERLINK("https://klasma.github.io/Logging_0980/tillsyn/A 16823-2024 tillsynsbegäran.docx", "A 16823-2024")</f>
        <v/>
      </c>
      <c r="AB94">
        <f>HYPERLINK("https://klasma.github.io/Logging_0980/tillsynsmail/A 16823-2024 tillsynsbegäran mail.docx", "A 16823-2024")</f>
        <v/>
      </c>
      <c r="AC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46217</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46217</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s="2" t="inlineStr">
        <is>
          <t>Duvspindling
Kryddspindling
Odörspindling
Diskvaxskivling
Olivspindling</t>
        </is>
      </c>
      <c r="V96">
        <f>HYPERLINK("https://klasma.github.io/Logging_0980/artfynd/A 54055-2022 artfynd.xlsx", "A 54055-2022")</f>
        <v/>
      </c>
      <c r="W96">
        <f>HYPERLINK("https://klasma.github.io/Logging_0980/kartor/A 54055-2022 karta.png", "A 54055-2022")</f>
        <v/>
      </c>
      <c r="Y96">
        <f>HYPERLINK("https://klasma.github.io/Logging_0980/klagomål/A 54055-2022 FSC-klagomål.docx", "A 54055-2022")</f>
        <v/>
      </c>
      <c r="Z96">
        <f>HYPERLINK("https://klasma.github.io/Logging_0980/klagomålsmail/A 54055-2022 FSC-klagomål mail.docx", "A 54055-2022")</f>
        <v/>
      </c>
      <c r="AA96">
        <f>HYPERLINK("https://klasma.github.io/Logging_0980/tillsyn/A 54055-2022 tillsynsbegäran.docx", "A 54055-2022")</f>
        <v/>
      </c>
      <c r="AB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46217</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s="2" t="inlineStr">
        <is>
          <t>Ask
Allékantlav
Svinrot
Skogsknipprot
Revlummer</t>
        </is>
      </c>
      <c r="V97">
        <f>HYPERLINK("https://klasma.github.io/Logging_0980/artfynd/A 43197-2023 artfynd.xlsx", "A 43197-2023")</f>
        <v/>
      </c>
      <c r="W97">
        <f>HYPERLINK("https://klasma.github.io/Logging_0980/kartor/A 43197-2023 karta.png", "A 43197-2023")</f>
        <v/>
      </c>
      <c r="Y97">
        <f>HYPERLINK("https://klasma.github.io/Logging_0980/klagomål/A 43197-2023 FSC-klagomål.docx", "A 43197-2023")</f>
        <v/>
      </c>
      <c r="Z97">
        <f>HYPERLINK("https://klasma.github.io/Logging_0980/klagomålsmail/A 43197-2023 FSC-klagomål mail.docx", "A 43197-2023")</f>
        <v/>
      </c>
      <c r="AA97">
        <f>HYPERLINK("https://klasma.github.io/Logging_0980/tillsyn/A 43197-2023 tillsynsbegäran.docx", "A 43197-2023")</f>
        <v/>
      </c>
      <c r="AB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46217</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s="2" t="inlineStr">
        <is>
          <t>Vit taggsvamp
Barrfagerspindling
Blå slemspindling
Äggspindling
Svavelriska</t>
        </is>
      </c>
      <c r="V98">
        <f>HYPERLINK("https://klasma.github.io/Logging_0980/artfynd/A 42936-2024 artfynd.xlsx", "A 42936-2024")</f>
        <v/>
      </c>
      <c r="W98">
        <f>HYPERLINK("https://klasma.github.io/Logging_0980/kartor/A 42936-2024 karta.png", "A 42936-2024")</f>
        <v/>
      </c>
      <c r="Y98">
        <f>HYPERLINK("https://klasma.github.io/Logging_0980/klagomål/A 42936-2024 FSC-klagomål.docx", "A 42936-2024")</f>
        <v/>
      </c>
      <c r="Z98">
        <f>HYPERLINK("https://klasma.github.io/Logging_0980/klagomålsmail/A 42936-2024 FSC-klagomål mail.docx", "A 42936-2024")</f>
        <v/>
      </c>
      <c r="AA98">
        <f>HYPERLINK("https://klasma.github.io/Logging_0980/tillsyn/A 42936-2024 tillsynsbegäran.docx", "A 42936-2024")</f>
        <v/>
      </c>
      <c r="AB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46217</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s="2" t="inlineStr">
        <is>
          <t>Backstarr
Backtimjan
Kattfotslav
Blåmossa
Sankt pers nycklar</t>
        </is>
      </c>
      <c r="V99">
        <f>HYPERLINK("https://klasma.github.io/Logging_0980/artfynd/A 5904-2024 artfynd.xlsx", "A 5904-2024")</f>
        <v/>
      </c>
      <c r="W99">
        <f>HYPERLINK("https://klasma.github.io/Logging_0980/kartor/A 5904-2024 karta.png", "A 5904-2024")</f>
        <v/>
      </c>
      <c r="Y99">
        <f>HYPERLINK("https://klasma.github.io/Logging_0980/klagomål/A 5904-2024 FSC-klagomål.docx", "A 5904-2024")</f>
        <v/>
      </c>
      <c r="Z99">
        <f>HYPERLINK("https://klasma.github.io/Logging_0980/klagomålsmail/A 5904-2024 FSC-klagomål mail.docx", "A 5904-2024")</f>
        <v/>
      </c>
      <c r="AA99">
        <f>HYPERLINK("https://klasma.github.io/Logging_0980/tillsyn/A 5904-2024 tillsynsbegäran.docx", "A 5904-2024")</f>
        <v/>
      </c>
      <c r="AB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46217</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s="2" t="inlineStr">
        <is>
          <t>Violgubbe
Knärot
Anisspindling
Rödgul trumpetsvamp
Svavelriska</t>
        </is>
      </c>
      <c r="V100">
        <f>HYPERLINK("https://klasma.github.io/Logging_0980/artfynd/A 39425-2023 artfynd.xlsx", "A 39425-2023")</f>
        <v/>
      </c>
      <c r="W100">
        <f>HYPERLINK("https://klasma.github.io/Logging_0980/kartor/A 39425-2023 karta.png", "A 39425-2023")</f>
        <v/>
      </c>
      <c r="X100">
        <f>HYPERLINK("https://klasma.github.io/Logging_0980/knärot/A 39425-2023 karta knärot.png", "A 39425-2023")</f>
        <v/>
      </c>
      <c r="Y100">
        <f>HYPERLINK("https://klasma.github.io/Logging_0980/klagomål/A 39425-2023 FSC-klagomål.docx", "A 39425-2023")</f>
        <v/>
      </c>
      <c r="Z100">
        <f>HYPERLINK("https://klasma.github.io/Logging_0980/klagomålsmail/A 39425-2023 FSC-klagomål mail.docx", "A 39425-2023")</f>
        <v/>
      </c>
      <c r="AA100">
        <f>HYPERLINK("https://klasma.github.io/Logging_0980/tillsyn/A 39425-2023 tillsynsbegäran.docx", "A 39425-2023")</f>
        <v/>
      </c>
      <c r="AB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46217</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s="2" t="inlineStr">
        <is>
          <t>Bullspindling
Gulsträngad fagerspindling
Tvillingspindling
Blå slemspindling
Odörspindling</t>
        </is>
      </c>
      <c r="V101">
        <f>HYPERLINK("https://klasma.github.io/Logging_0980/artfynd/A 57463-2025 artfynd.xlsx", "A 57463-2025")</f>
        <v/>
      </c>
      <c r="W101">
        <f>HYPERLINK("https://klasma.github.io/Logging_0980/kartor/A 57463-2025 karta.png", "A 57463-2025")</f>
        <v/>
      </c>
      <c r="Y101">
        <f>HYPERLINK("https://klasma.github.io/Logging_0980/klagomål/A 57463-2025 FSC-klagomål.docx", "A 57463-2025")</f>
        <v/>
      </c>
      <c r="Z101">
        <f>HYPERLINK("https://klasma.github.io/Logging_0980/klagomålsmail/A 57463-2025 FSC-klagomål mail.docx", "A 57463-2025")</f>
        <v/>
      </c>
      <c r="AA101">
        <f>HYPERLINK("https://klasma.github.io/Logging_0980/tillsyn/A 57463-2025 tillsynsbegäran.docx", "A 57463-2025")</f>
        <v/>
      </c>
      <c r="AB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46217</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s="2" t="inlineStr">
        <is>
          <t>Säfferot
Flugblomster
Purpurknipprot
Tvåblad
Salepsrot</t>
        </is>
      </c>
      <c r="V102">
        <f>HYPERLINK("https://klasma.github.io/Logging_0980/artfynd/A 8265-2023 artfynd.xlsx", "A 8265-2023")</f>
        <v/>
      </c>
      <c r="W102">
        <f>HYPERLINK("https://klasma.github.io/Logging_0980/kartor/A 8265-2023 karta.png", "A 8265-2023")</f>
        <v/>
      </c>
      <c r="Y102">
        <f>HYPERLINK("https://klasma.github.io/Logging_0980/klagomål/A 8265-2023 FSC-klagomål.docx", "A 8265-2023")</f>
        <v/>
      </c>
      <c r="Z102">
        <f>HYPERLINK("https://klasma.github.io/Logging_0980/klagomålsmail/A 8265-2023 FSC-klagomål mail.docx", "A 8265-2023")</f>
        <v/>
      </c>
      <c r="AA102">
        <f>HYPERLINK("https://klasma.github.io/Logging_0980/tillsyn/A 8265-2023 tillsynsbegäran.docx", "A 8265-2023")</f>
        <v/>
      </c>
      <c r="AB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46217</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s="2" t="inlineStr">
        <is>
          <t>Igelkott
Skogskorn
Svartgrön spindling
Äggspindling
Kambräken</t>
        </is>
      </c>
      <c r="V103">
        <f>HYPERLINK("https://klasma.github.io/Logging_0980/artfynd/A 73144-2021 artfynd.xlsx", "A 73144-2021")</f>
        <v/>
      </c>
      <c r="W103">
        <f>HYPERLINK("https://klasma.github.io/Logging_0980/kartor/A 73144-2021 karta.png", "A 73144-2021")</f>
        <v/>
      </c>
      <c r="Y103">
        <f>HYPERLINK("https://klasma.github.io/Logging_0980/klagomål/A 73144-2021 FSC-klagomål.docx", "A 73144-2021")</f>
        <v/>
      </c>
      <c r="Z103">
        <f>HYPERLINK("https://klasma.github.io/Logging_0980/klagomålsmail/A 73144-2021 FSC-klagomål mail.docx", "A 73144-2021")</f>
        <v/>
      </c>
      <c r="AA103">
        <f>HYPERLINK("https://klasma.github.io/Logging_0980/tillsyn/A 73144-2021 tillsynsbegäran.docx", "A 73144-2021")</f>
        <v/>
      </c>
      <c r="AB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46217</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46217</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46217</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s="2" t="inlineStr">
        <is>
          <t>Majviva
Svinrot
Blåsippa
Nattviol</t>
        </is>
      </c>
      <c r="V106">
        <f>HYPERLINK("https://klasma.github.io/Logging_0980/artfynd/A 44304-2021 artfynd.xlsx", "A 44304-2021")</f>
        <v/>
      </c>
      <c r="W106">
        <f>HYPERLINK("https://klasma.github.io/Logging_0980/kartor/A 44304-2021 karta.png", "A 44304-2021")</f>
        <v/>
      </c>
      <c r="Y106">
        <f>HYPERLINK("https://klasma.github.io/Logging_0980/klagomål/A 44304-2021 FSC-klagomål.docx", "A 44304-2021")</f>
        <v/>
      </c>
      <c r="Z106">
        <f>HYPERLINK("https://klasma.github.io/Logging_0980/klagomålsmail/A 44304-2021 FSC-klagomål mail.docx", "A 44304-2021")</f>
        <v/>
      </c>
      <c r="AA106">
        <f>HYPERLINK("https://klasma.github.io/Logging_0980/tillsyn/A 44304-2021 tillsynsbegäran.docx", "A 44304-2021")</f>
        <v/>
      </c>
      <c r="AB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46217</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s="2" t="inlineStr">
        <is>
          <t>Garderönn
Svinrot
Vårärt
Skogsknipprot</t>
        </is>
      </c>
      <c r="V107">
        <f>HYPERLINK("https://klasma.github.io/Logging_0980/artfynd/A 1273-2023 artfynd.xlsx", "A 1273-2023")</f>
        <v/>
      </c>
      <c r="W107">
        <f>HYPERLINK("https://klasma.github.io/Logging_0980/kartor/A 1273-2023 karta.png", "A 1273-2023")</f>
        <v/>
      </c>
      <c r="Y107">
        <f>HYPERLINK("https://klasma.github.io/Logging_0980/klagomål/A 1273-2023 FSC-klagomål.docx", "A 1273-2023")</f>
        <v/>
      </c>
      <c r="Z107">
        <f>HYPERLINK("https://klasma.github.io/Logging_0980/klagomålsmail/A 1273-2023 FSC-klagomål mail.docx", "A 1273-2023")</f>
        <v/>
      </c>
      <c r="AA107">
        <f>HYPERLINK("https://klasma.github.io/Logging_0980/tillsyn/A 1273-2023 tillsynsbegäran.docx", "A 1273-2023")</f>
        <v/>
      </c>
      <c r="AB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46217</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s="2" t="inlineStr">
        <is>
          <t>Garderönn
Dårgräsfjäril
Solvända
Gullviva</t>
        </is>
      </c>
      <c r="V108">
        <f>HYPERLINK("https://klasma.github.io/Logging_0980/artfynd/A 61100-2022 artfynd.xlsx", "A 61100-2022")</f>
        <v/>
      </c>
      <c r="W108">
        <f>HYPERLINK("https://klasma.github.io/Logging_0980/kartor/A 61100-2022 karta.png", "A 61100-2022")</f>
        <v/>
      </c>
      <c r="Y108">
        <f>HYPERLINK("https://klasma.github.io/Logging_0980/klagomål/A 61100-2022 FSC-klagomål.docx", "A 61100-2022")</f>
        <v/>
      </c>
      <c r="Z108">
        <f>HYPERLINK("https://klasma.github.io/Logging_0980/klagomålsmail/A 61100-2022 FSC-klagomål mail.docx", "A 61100-2022")</f>
        <v/>
      </c>
      <c r="AA108">
        <f>HYPERLINK("https://klasma.github.io/Logging_0980/tillsyn/A 61100-2022 tillsynsbegäran.docx", "A 61100-2022")</f>
        <v/>
      </c>
      <c r="AB108">
        <f>HYPERLINK("https://klasma.github.io/Logging_0980/tillsynsmail/A 61100-2022 tillsynsbegäran mail.docx", "A 61100-2022")</f>
        <v/>
      </c>
    </row>
    <row r="109" ht="15" customHeight="1">
      <c r="A109" t="inlineStr">
        <is>
          <t>A 5235-2025</t>
        </is>
      </c>
      <c r="B109" t="inlineStr">
        <is>
          <t>avverkningsanmälan</t>
        </is>
      </c>
      <c r="C109" t="inlineStr">
        <is>
          <t>Föryngringsavverkning</t>
        </is>
      </c>
      <c r="D109" s="1" t="n">
        <v>45692</v>
      </c>
      <c r="E109" s="1" t="n">
        <v>46217</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s="2" t="inlineStr">
        <is>
          <t>Dårgräsfjäril
Svinrot
Blåmossa
Tvåblad</t>
        </is>
      </c>
      <c r="V109">
        <f>HYPERLINK("https://klasma.github.io/Logging_0980/artfynd/A 5235-2025 artfynd.xlsx", "A 5235-2025")</f>
        <v/>
      </c>
      <c r="W109">
        <f>HYPERLINK("https://klasma.github.io/Logging_0980/kartor/A 5235-2025 karta.png", "A 5235-2025")</f>
        <v/>
      </c>
      <c r="Y109">
        <f>HYPERLINK("https://klasma.github.io/Logging_0980/klagomål/A 5235-2025 FSC-klagomål.docx", "A 5235-2025")</f>
        <v/>
      </c>
      <c r="Z109">
        <f>HYPERLINK("https://klasma.github.io/Logging_0980/klagomålsmail/A 5235-2025 FSC-klagomål mail.docx", "A 5235-2025")</f>
        <v/>
      </c>
      <c r="AA109">
        <f>HYPERLINK("https://klasma.github.io/Logging_0980/tillsyn/A 5235-2025 tillsynsbegäran.docx", "A 5235-2025")</f>
        <v/>
      </c>
      <c r="AB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46217</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s="2" t="inlineStr">
        <is>
          <t>Sommarklynne
Åkerkulla
Brudsporre
Kärrknipprot</t>
        </is>
      </c>
      <c r="V110">
        <f>HYPERLINK("https://klasma.github.io/Logging_0980/artfynd/A 54523-2023 artfynd.xlsx", "A 54523-2023")</f>
        <v/>
      </c>
      <c r="W110">
        <f>HYPERLINK("https://klasma.github.io/Logging_0980/kartor/A 54523-2023 karta.png", "A 54523-2023")</f>
        <v/>
      </c>
      <c r="Y110">
        <f>HYPERLINK("https://klasma.github.io/Logging_0980/klagomål/A 54523-2023 FSC-klagomål.docx", "A 54523-2023")</f>
        <v/>
      </c>
      <c r="Z110">
        <f>HYPERLINK("https://klasma.github.io/Logging_0980/klagomålsmail/A 54523-2023 FSC-klagomål mail.docx", "A 54523-2023")</f>
        <v/>
      </c>
      <c r="AA110">
        <f>HYPERLINK("https://klasma.github.io/Logging_0980/tillsyn/A 54523-2023 tillsynsbegäran.docx", "A 54523-2023")</f>
        <v/>
      </c>
      <c r="AB110">
        <f>HYPERLINK("https://klasma.github.io/Logging_0980/tillsynsmail/A 54523-2023 tillsynsbegäran mail.docx", "A 54523-2023")</f>
        <v/>
      </c>
    </row>
    <row r="111" ht="15" customHeight="1">
      <c r="A111" t="inlineStr">
        <is>
          <t>A 2485-2025</t>
        </is>
      </c>
      <c r="B111" t="inlineStr">
        <is>
          <t>avverkningsanmälan</t>
        </is>
      </c>
      <c r="C111" t="inlineStr">
        <is>
          <t>Föryngringsavverkning</t>
        </is>
      </c>
      <c r="D111" s="1" t="n">
        <v>45673</v>
      </c>
      <c r="E111" s="1" t="n">
        <v>46217</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s="2" t="inlineStr">
        <is>
          <t>Gotlandsmåra
Skogskorn
Nästrot
Skogsknipprot</t>
        </is>
      </c>
      <c r="V111">
        <f>HYPERLINK("https://klasma.github.io/Logging_0980/artfynd/A 2485-2025 artfynd.xlsx", "A 2485-2025")</f>
        <v/>
      </c>
      <c r="W111">
        <f>HYPERLINK("https://klasma.github.io/Logging_0980/kartor/A 2485-2025 karta.png", "A 2485-2025")</f>
        <v/>
      </c>
      <c r="Y111">
        <f>HYPERLINK("https://klasma.github.io/Logging_0980/klagomål/A 2485-2025 FSC-klagomål.docx", "A 2485-2025")</f>
        <v/>
      </c>
      <c r="Z111">
        <f>HYPERLINK("https://klasma.github.io/Logging_0980/klagomålsmail/A 2485-2025 FSC-klagomål mail.docx", "A 2485-2025")</f>
        <v/>
      </c>
      <c r="AA111">
        <f>HYPERLINK("https://klasma.github.io/Logging_0980/tillsyn/A 2485-2025 tillsynsbegäran.docx", "A 2485-2025")</f>
        <v/>
      </c>
      <c r="AB111">
        <f>HYPERLINK("https://klasma.github.io/Logging_0980/tillsynsmail/A 2485-2025 tillsynsbegäran mail.docx", "A 2485-2025")</f>
        <v/>
      </c>
    </row>
    <row r="112" ht="15" customHeight="1">
      <c r="A112" t="inlineStr">
        <is>
          <t>A 6218-2026</t>
        </is>
      </c>
      <c r="B112" t="inlineStr">
        <is>
          <t>avverkningsanmälan</t>
        </is>
      </c>
      <c r="C112" t="inlineStr">
        <is>
          <t>Föryngringsavverkning</t>
        </is>
      </c>
      <c r="D112" s="1" t="n">
        <v>46055</v>
      </c>
      <c r="E112" s="1" t="n">
        <v>46217</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s="2" t="inlineStr">
        <is>
          <t>Dårgräsfjäril
Tvåblad
Ormbär
Nattviol</t>
        </is>
      </c>
      <c r="V112">
        <f>HYPERLINK("https://klasma.github.io/Logging_0980/artfynd/A 6218-2026 artfynd.xlsx", "A 6218-2026")</f>
        <v/>
      </c>
      <c r="W112">
        <f>HYPERLINK("https://klasma.github.io/Logging_0980/kartor/A 6218-2026 karta.png", "A 6218-2026")</f>
        <v/>
      </c>
      <c r="Y112">
        <f>HYPERLINK("https://klasma.github.io/Logging_0980/klagomål/A 6218-2026 FSC-klagomål.docx", "A 6218-2026")</f>
        <v/>
      </c>
      <c r="Z112">
        <f>HYPERLINK("https://klasma.github.io/Logging_0980/klagomålsmail/A 6218-2026 FSC-klagomål mail.docx", "A 6218-2026")</f>
        <v/>
      </c>
      <c r="AA112">
        <f>HYPERLINK("https://klasma.github.io/Logging_0980/tillsyn/A 6218-2026 tillsynsbegäran.docx", "A 6218-2026")</f>
        <v/>
      </c>
      <c r="AB112">
        <f>HYPERLINK("https://klasma.github.io/Logging_0980/tillsynsmail/A 6218-2026 tillsynsbegäran mail.docx", "A 6218-2026")</f>
        <v/>
      </c>
    </row>
    <row r="113" ht="15" customHeight="1">
      <c r="A113" t="inlineStr">
        <is>
          <t>A 61386-2023</t>
        </is>
      </c>
      <c r="B113" t="inlineStr">
        <is>
          <t>avverkningsanmälan</t>
        </is>
      </c>
      <c r="C113" t="inlineStr">
        <is>
          <t>Avverkning för annat ändamål</t>
        </is>
      </c>
      <c r="D113" s="1" t="n">
        <v>45264</v>
      </c>
      <c r="E113" s="1" t="n">
        <v>46217</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Y113">
        <f>HYPERLINK("https://klasma.github.io/Logging_0980/klagomål/A 61386-2023 FSC-klagomål.docx", "A 61386-2023")</f>
        <v/>
      </c>
      <c r="Z113">
        <f>HYPERLINK("https://klasma.github.io/Logging_0980/klagomålsmail/A 61386-2023 FSC-klagomål mail.docx", "A 61386-2023")</f>
        <v/>
      </c>
      <c r="AA113">
        <f>HYPERLINK("https://klasma.github.io/Logging_0980/tillsyn/A 61386-2023 tillsynsbegäran.docx", "A 61386-2023")</f>
        <v/>
      </c>
      <c r="AB113">
        <f>HYPERLINK("https://klasma.github.io/Logging_0980/tillsynsmail/A 61386-2023 tillsynsbegäran mail.docx", "A 61386-2023")</f>
        <v/>
      </c>
    </row>
    <row r="114" ht="15" customHeight="1">
      <c r="A114" t="inlineStr">
        <is>
          <t>A 7625-2026</t>
        </is>
      </c>
      <c r="B114" t="inlineStr">
        <is>
          <t>avverkningsanmälan</t>
        </is>
      </c>
      <c r="C114" t="inlineStr">
        <is>
          <t>Föryngringsavverkning</t>
        </is>
      </c>
      <c r="D114" s="1" t="n">
        <v>46062</v>
      </c>
      <c r="E114" s="1" t="n">
        <v>46217</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s="2" t="inlineStr">
        <is>
          <t>Backstarr
Backtimjan
Dårgräsfjäril
Solvända</t>
        </is>
      </c>
      <c r="V114">
        <f>HYPERLINK("https://klasma.github.io/Logging_0980/artfynd/A 7625-2026 artfynd.xlsx", "A 7625-2026")</f>
        <v/>
      </c>
      <c r="W114">
        <f>HYPERLINK("https://klasma.github.io/Logging_0980/kartor/A 7625-2026 karta.png", "A 7625-2026")</f>
        <v/>
      </c>
      <c r="Y114">
        <f>HYPERLINK("https://klasma.github.io/Logging_0980/klagomål/A 7625-2026 FSC-klagomål.docx", "A 7625-2026")</f>
        <v/>
      </c>
      <c r="Z114">
        <f>HYPERLINK("https://klasma.github.io/Logging_0980/klagomålsmail/A 7625-2026 FSC-klagomål mail.docx", "A 7625-2026")</f>
        <v/>
      </c>
      <c r="AA114">
        <f>HYPERLINK("https://klasma.github.io/Logging_0980/tillsyn/A 7625-2026 tillsynsbegäran.docx", "A 7625-2026")</f>
        <v/>
      </c>
      <c r="AB114">
        <f>HYPERLINK("https://klasma.github.io/Logging_0980/tillsynsmail/A 7625-2026 tillsynsbegäran mail.docx", "A 7625-2026")</f>
        <v/>
      </c>
    </row>
    <row r="115" ht="15" customHeight="1">
      <c r="A115" t="inlineStr">
        <is>
          <t>A 16997-2026</t>
        </is>
      </c>
      <c r="B115" t="inlineStr">
        <is>
          <t>avverkningsanmälan</t>
        </is>
      </c>
      <c r="C115" t="inlineStr">
        <is>
          <t>Föryngringsavverkning</t>
        </is>
      </c>
      <c r="D115" s="1" t="n">
        <v>46114</v>
      </c>
      <c r="E115" s="1" t="n">
        <v>46217</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s="2" t="inlineStr">
        <is>
          <t>Ask
Hasselticka
Läderskål
Stubbspretmossa</t>
        </is>
      </c>
      <c r="V115">
        <f>HYPERLINK("https://klasma.github.io/Logging_0980/artfynd/A 16997-2026 artfynd.xlsx", "A 16997-2026")</f>
        <v/>
      </c>
      <c r="W115">
        <f>HYPERLINK("https://klasma.github.io/Logging_0980/kartor/A 16997-2026 karta.png", "A 16997-2026")</f>
        <v/>
      </c>
      <c r="Y115">
        <f>HYPERLINK("https://klasma.github.io/Logging_0980/klagomål/A 16997-2026 FSC-klagomål.docx", "A 16997-2026")</f>
        <v/>
      </c>
      <c r="Z115">
        <f>HYPERLINK("https://klasma.github.io/Logging_0980/klagomålsmail/A 16997-2026 FSC-klagomål mail.docx", "A 16997-2026")</f>
        <v/>
      </c>
      <c r="AA115">
        <f>HYPERLINK("https://klasma.github.io/Logging_0980/tillsyn/A 16997-2026 tillsynsbegäran.docx", "A 16997-2026")</f>
        <v/>
      </c>
      <c r="AB115">
        <f>HYPERLINK("https://klasma.github.io/Logging_0980/tillsynsmail/A 16997-2026 tillsynsbegäran mail.docx", "A 16997-2026")</f>
        <v/>
      </c>
    </row>
    <row r="116" ht="15" customHeight="1">
      <c r="A116" t="inlineStr">
        <is>
          <t>A 6839-2026</t>
        </is>
      </c>
      <c r="B116" t="inlineStr">
        <is>
          <t>avverkningsanmälan</t>
        </is>
      </c>
      <c r="C116" t="inlineStr">
        <is>
          <t>Föryngringsavverkning</t>
        </is>
      </c>
      <c r="D116" s="1" t="n">
        <v>46057</v>
      </c>
      <c r="E116" s="1" t="n">
        <v>46217</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s="2" t="inlineStr">
        <is>
          <t>Mörk kraterlav
Skogskorn
Ädellav
Besk kastanjemusseron</t>
        </is>
      </c>
      <c r="V116">
        <f>HYPERLINK("https://klasma.github.io/Logging_0980/artfynd/A 6839-2026 artfynd.xlsx", "A 6839-2026")</f>
        <v/>
      </c>
      <c r="W116">
        <f>HYPERLINK("https://klasma.github.io/Logging_0980/kartor/A 6839-2026 karta.png", "A 6839-2026")</f>
        <v/>
      </c>
      <c r="Y116">
        <f>HYPERLINK("https://klasma.github.io/Logging_0980/klagomål/A 6839-2026 FSC-klagomål.docx", "A 6839-2026")</f>
        <v/>
      </c>
      <c r="Z116">
        <f>HYPERLINK("https://klasma.github.io/Logging_0980/klagomålsmail/A 6839-2026 FSC-klagomål mail.docx", "A 6839-2026")</f>
        <v/>
      </c>
      <c r="AA116">
        <f>HYPERLINK("https://klasma.github.io/Logging_0980/tillsyn/A 6839-2026 tillsynsbegäran.docx", "A 6839-2026")</f>
        <v/>
      </c>
      <c r="AB116">
        <f>HYPERLINK("https://klasma.github.io/Logging_0980/tillsynsmail/A 6839-2026 tillsynsbegäran mail.docx", "A 6839-2026")</f>
        <v/>
      </c>
    </row>
    <row r="117" ht="15" customHeight="1">
      <c r="A117" t="inlineStr">
        <is>
          <t>A 56717-2024</t>
        </is>
      </c>
      <c r="B117" t="inlineStr">
        <is>
          <t>avverkningsanmälan</t>
        </is>
      </c>
      <c r="C117" t="inlineStr">
        <is>
          <t>Föryngringsavverkning</t>
        </is>
      </c>
      <c r="D117" s="1" t="n">
        <v>45628</v>
      </c>
      <c r="E117" s="1" t="n">
        <v>46217</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s="2" t="inlineStr">
        <is>
          <t>Fjällig taggsvamp s.str.
Kattfotslav
Odörspindling
Havstulpanlav</t>
        </is>
      </c>
      <c r="V117">
        <f>HYPERLINK("https://klasma.github.io/Logging_0980/artfynd/A 56717-2024 artfynd.xlsx", "A 56717-2024")</f>
        <v/>
      </c>
      <c r="W117">
        <f>HYPERLINK("https://klasma.github.io/Logging_0980/kartor/A 56717-2024 karta.png", "A 56717-2024")</f>
        <v/>
      </c>
      <c r="Y117">
        <f>HYPERLINK("https://klasma.github.io/Logging_0980/klagomål/A 56717-2024 FSC-klagomål.docx", "A 56717-2024")</f>
        <v/>
      </c>
      <c r="Z117">
        <f>HYPERLINK("https://klasma.github.io/Logging_0980/klagomålsmail/A 56717-2024 FSC-klagomål mail.docx", "A 56717-2024")</f>
        <v/>
      </c>
      <c r="AA117">
        <f>HYPERLINK("https://klasma.github.io/Logging_0980/tillsyn/A 56717-2024 tillsynsbegäran.docx", "A 56717-2024")</f>
        <v/>
      </c>
      <c r="AB117">
        <f>HYPERLINK("https://klasma.github.io/Logging_0980/tillsynsmail/A 56717-2024 tillsynsbegäran mail.docx", "A 56717-2024")</f>
        <v/>
      </c>
    </row>
    <row r="118" ht="15" customHeight="1">
      <c r="A118" t="inlineStr">
        <is>
          <t>A 37591-2023</t>
        </is>
      </c>
      <c r="B118" t="inlineStr">
        <is>
          <t>avverkningsanmälan</t>
        </is>
      </c>
      <c r="C118" t="inlineStr">
        <is>
          <t>Föryngringsavverkning</t>
        </is>
      </c>
      <c r="D118" s="1" t="n">
        <v>45159</v>
      </c>
      <c r="E118" s="1" t="n">
        <v>46217</v>
      </c>
      <c r="F118" t="inlineStr">
        <is>
          <t>GOTLANDS LÄN</t>
        </is>
      </c>
      <c r="G118" t="inlineStr">
        <is>
          <t>GOTLAND</t>
        </is>
      </c>
      <c r="I118" t="n">
        <v>8.300000000000001</v>
      </c>
      <c r="J118" t="n">
        <v>1</v>
      </c>
      <c r="K118" t="n">
        <v>0</v>
      </c>
      <c r="L118" t="n">
        <v>3</v>
      </c>
      <c r="M118" t="n">
        <v>0</v>
      </c>
      <c r="N118" t="n">
        <v>0</v>
      </c>
      <c r="O118" t="n">
        <v>0</v>
      </c>
      <c r="P118" t="n">
        <v>0</v>
      </c>
      <c r="Q118" t="n">
        <v>3</v>
      </c>
      <c r="R118" t="n">
        <v>0</v>
      </c>
      <c r="S118" t="n">
        <v>4</v>
      </c>
      <c r="T118" t="n">
        <v>4</v>
      </c>
      <c r="U118" s="2" t="inlineStr">
        <is>
          <t>Bergjohannesört
Solvända
Ängsstarr
Vanlig snok</t>
        </is>
      </c>
      <c r="V118">
        <f>HYPERLINK("https://klasma.github.io/Logging_0980/artfynd/A 37591-2023 artfynd.xlsx", "A 37591-2023")</f>
        <v/>
      </c>
      <c r="W118">
        <f>HYPERLINK("https://klasma.github.io/Logging_0980/kartor/A 37591-2023 karta.png", "A 37591-2023")</f>
        <v/>
      </c>
      <c r="Y118">
        <f>HYPERLINK("https://klasma.github.io/Logging_0980/klagomål/A 37591-2023 FSC-klagomål.docx", "A 37591-2023")</f>
        <v/>
      </c>
      <c r="Z118">
        <f>HYPERLINK("https://klasma.github.io/Logging_0980/klagomålsmail/A 37591-2023 FSC-klagomål mail.docx", "A 37591-2023")</f>
        <v/>
      </c>
      <c r="AA118">
        <f>HYPERLINK("https://klasma.github.io/Logging_0980/tillsyn/A 37591-2023 tillsynsbegäran.docx", "A 37591-2023")</f>
        <v/>
      </c>
      <c r="AB118">
        <f>HYPERLINK("https://klasma.github.io/Logging_0980/tillsynsmail/A 37591-2023 tillsynsbegäran mail.docx", "A 37591-2023")</f>
        <v/>
      </c>
    </row>
    <row r="119" ht="15" customHeight="1">
      <c r="A119" t="inlineStr">
        <is>
          <t>A 65927-2021</t>
        </is>
      </c>
      <c r="B119" t="inlineStr">
        <is>
          <t>avverkningsanmälan</t>
        </is>
      </c>
      <c r="C119" t="inlineStr">
        <is>
          <t>Föryngringsavverkning</t>
        </is>
      </c>
      <c r="D119" s="1" t="n">
        <v>44516</v>
      </c>
      <c r="E119" s="1" t="n">
        <v>46217</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s="2" t="inlineStr">
        <is>
          <t>Grenigt kungsljus
Åkerkulla
Gullviva</t>
        </is>
      </c>
      <c r="V119">
        <f>HYPERLINK("https://klasma.github.io/Logging_0980/artfynd/A 65927-2021 artfynd.xlsx", "A 65927-2021")</f>
        <v/>
      </c>
      <c r="W119">
        <f>HYPERLINK("https://klasma.github.io/Logging_0980/kartor/A 65927-2021 karta.png", "A 65927-2021")</f>
        <v/>
      </c>
      <c r="Y119">
        <f>HYPERLINK("https://klasma.github.io/Logging_0980/klagomål/A 65927-2021 FSC-klagomål.docx", "A 65927-2021")</f>
        <v/>
      </c>
      <c r="Z119">
        <f>HYPERLINK("https://klasma.github.io/Logging_0980/klagomålsmail/A 65927-2021 FSC-klagomål mail.docx", "A 65927-2021")</f>
        <v/>
      </c>
      <c r="AA119">
        <f>HYPERLINK("https://klasma.github.io/Logging_0980/tillsyn/A 65927-2021 tillsynsbegäran.docx", "A 65927-2021")</f>
        <v/>
      </c>
      <c r="AB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46217</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s="2" t="inlineStr">
        <is>
          <t>Barrviolspindling
Kryddspindling
Strimspindling</t>
        </is>
      </c>
      <c r="V120">
        <f>HYPERLINK("https://klasma.github.io/Logging_0980/artfynd/A 2476-2025 artfynd.xlsx", "A 2476-2025")</f>
        <v/>
      </c>
      <c r="W120">
        <f>HYPERLINK("https://klasma.github.io/Logging_0980/kartor/A 2476-2025 karta.png", "A 2476-2025")</f>
        <v/>
      </c>
      <c r="Y120">
        <f>HYPERLINK("https://klasma.github.io/Logging_0980/klagomål/A 2476-2025 FSC-klagomål.docx", "A 2476-2025")</f>
        <v/>
      </c>
      <c r="Z120">
        <f>HYPERLINK("https://klasma.github.io/Logging_0980/klagomålsmail/A 2476-2025 FSC-klagomål mail.docx", "A 2476-2025")</f>
        <v/>
      </c>
      <c r="AA120">
        <f>HYPERLINK("https://klasma.github.io/Logging_0980/tillsyn/A 2476-2025 tillsynsbegäran.docx", "A 2476-2025")</f>
        <v/>
      </c>
      <c r="AB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46217</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s="2" t="inlineStr">
        <is>
          <t>Violettfläckig spindling
Blå slemspindling
Anisspindling</t>
        </is>
      </c>
      <c r="V121">
        <f>HYPERLINK("https://klasma.github.io/Logging_0980/artfynd/A 43013-2022 artfynd.xlsx", "A 43013-2022")</f>
        <v/>
      </c>
      <c r="W121">
        <f>HYPERLINK("https://klasma.github.io/Logging_0980/kartor/A 43013-2022 karta.png", "A 43013-2022")</f>
        <v/>
      </c>
      <c r="Y121">
        <f>HYPERLINK("https://klasma.github.io/Logging_0980/klagomål/A 43013-2022 FSC-klagomål.docx", "A 43013-2022")</f>
        <v/>
      </c>
      <c r="Z121">
        <f>HYPERLINK("https://klasma.github.io/Logging_0980/klagomålsmail/A 43013-2022 FSC-klagomål mail.docx", "A 43013-2022")</f>
        <v/>
      </c>
      <c r="AA121">
        <f>HYPERLINK("https://klasma.github.io/Logging_0980/tillsyn/A 43013-2022 tillsynsbegäran.docx", "A 43013-2022")</f>
        <v/>
      </c>
      <c r="AB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46217</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s="2" t="inlineStr">
        <is>
          <t>Bredbrämad bastardsvärmare
Grönvit nattviol
Gullviva</t>
        </is>
      </c>
      <c r="V122">
        <f>HYPERLINK("https://klasma.github.io/Logging_0980/artfynd/A 53552-2021 artfynd.xlsx", "A 53552-2021")</f>
        <v/>
      </c>
      <c r="W122">
        <f>HYPERLINK("https://klasma.github.io/Logging_0980/kartor/A 53552-2021 karta.png", "A 53552-2021")</f>
        <v/>
      </c>
      <c r="Y122">
        <f>HYPERLINK("https://klasma.github.io/Logging_0980/klagomål/A 53552-2021 FSC-klagomål.docx", "A 53552-2021")</f>
        <v/>
      </c>
      <c r="Z122">
        <f>HYPERLINK("https://klasma.github.io/Logging_0980/klagomålsmail/A 53552-2021 FSC-klagomål mail.docx", "A 53552-2021")</f>
        <v/>
      </c>
      <c r="AA122">
        <f>HYPERLINK("https://klasma.github.io/Logging_0980/tillsyn/A 53552-2021 tillsynsbegäran.docx", "A 53552-2021")</f>
        <v/>
      </c>
      <c r="AB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46217</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s="2" t="inlineStr">
        <is>
          <t>Svinrot
Ängsstarr
Sankt pers nycklar</t>
        </is>
      </c>
      <c r="V123">
        <f>HYPERLINK("https://klasma.github.io/Logging_0980/artfynd/A 34312-2024 artfynd.xlsx", "A 34312-2024")</f>
        <v/>
      </c>
      <c r="W123">
        <f>HYPERLINK("https://klasma.github.io/Logging_0980/kartor/A 34312-2024 karta.png", "A 34312-2024")</f>
        <v/>
      </c>
      <c r="Y123">
        <f>HYPERLINK("https://klasma.github.io/Logging_0980/klagomål/A 34312-2024 FSC-klagomål.docx", "A 34312-2024")</f>
        <v/>
      </c>
      <c r="Z123">
        <f>HYPERLINK("https://klasma.github.io/Logging_0980/klagomålsmail/A 34312-2024 FSC-klagomål mail.docx", "A 34312-2024")</f>
        <v/>
      </c>
      <c r="AA123">
        <f>HYPERLINK("https://klasma.github.io/Logging_0980/tillsyn/A 34312-2024 tillsynsbegäran.docx", "A 34312-2024")</f>
        <v/>
      </c>
      <c r="AB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46217</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s="2" t="inlineStr">
        <is>
          <t>Dårgräsfjäril
Loppstarr
Stubbspretmossa</t>
        </is>
      </c>
      <c r="V124">
        <f>HYPERLINK("https://klasma.github.io/Logging_0980/artfynd/A 63576-2021 artfynd.xlsx", "A 63576-2021")</f>
        <v/>
      </c>
      <c r="W124">
        <f>HYPERLINK("https://klasma.github.io/Logging_0980/kartor/A 63576-2021 karta.png", "A 63576-2021")</f>
        <v/>
      </c>
      <c r="Y124">
        <f>HYPERLINK("https://klasma.github.io/Logging_0980/klagomål/A 63576-2021 FSC-klagomål.docx", "A 63576-2021")</f>
        <v/>
      </c>
      <c r="Z124">
        <f>HYPERLINK("https://klasma.github.io/Logging_0980/klagomålsmail/A 63576-2021 FSC-klagomål mail.docx", "A 63576-2021")</f>
        <v/>
      </c>
      <c r="AA124">
        <f>HYPERLINK("https://klasma.github.io/Logging_0980/tillsyn/A 63576-2021 tillsynsbegäran.docx", "A 63576-2021")</f>
        <v/>
      </c>
      <c r="AB124">
        <f>HYPERLINK("https://klasma.github.io/Logging_0980/tillsynsmail/A 63576-2021 tillsynsbegäran mail.docx", "A 63576-2021")</f>
        <v/>
      </c>
    </row>
    <row r="125" ht="15" customHeight="1">
      <c r="A125" t="inlineStr">
        <is>
          <t>A 26992-2026</t>
        </is>
      </c>
      <c r="B125" t="inlineStr">
        <is>
          <t>avverkningsanmälan</t>
        </is>
      </c>
      <c r="C125" t="inlineStr">
        <is>
          <t>Föryngringsavverkning</t>
        </is>
      </c>
      <c r="D125" s="1" t="n">
        <v>46185</v>
      </c>
      <c r="E125" s="1" t="n">
        <v>46217</v>
      </c>
      <c r="F125" t="inlineStr">
        <is>
          <t>GOTLANDS LÄN</t>
        </is>
      </c>
      <c r="G125" t="inlineStr">
        <is>
          <t>GOTLAND</t>
        </is>
      </c>
      <c r="I125" t="n">
        <v>0.8</v>
      </c>
      <c r="J125" t="n">
        <v>2</v>
      </c>
      <c r="K125" t="n">
        <v>1</v>
      </c>
      <c r="L125" t="n">
        <v>1</v>
      </c>
      <c r="M125" t="n">
        <v>0</v>
      </c>
      <c r="N125" t="n">
        <v>0</v>
      </c>
      <c r="O125" t="n">
        <v>0</v>
      </c>
      <c r="P125" t="n">
        <v>0</v>
      </c>
      <c r="Q125" t="n">
        <v>1</v>
      </c>
      <c r="R125" t="n">
        <v>0</v>
      </c>
      <c r="S125" t="n">
        <v>3</v>
      </c>
      <c r="T125" t="n">
        <v>5</v>
      </c>
      <c r="U125" s="2" t="inlineStr">
        <is>
          <t>Svinrot
Nästrot
Blåsippa</t>
        </is>
      </c>
      <c r="V125">
        <f>HYPERLINK("https://klasma.github.io/Logging_0980/artfynd/A 26992-2026 artfynd.xlsx", "A 26992-2026")</f>
        <v/>
      </c>
      <c r="W125">
        <f>HYPERLINK("https://klasma.github.io/Logging_0980/kartor/A 26992-2026 karta.png", "A 26992-2026")</f>
        <v/>
      </c>
      <c r="Y125">
        <f>HYPERLINK("https://klasma.github.io/Logging_0980/klagomål/A 26992-2026 FSC-klagomål.docx", "A 26992-2026")</f>
        <v/>
      </c>
      <c r="Z125">
        <f>HYPERLINK("https://klasma.github.io/Logging_0980/klagomålsmail/A 26992-2026 FSC-klagomål mail.docx", "A 26992-2026")</f>
        <v/>
      </c>
      <c r="AA125">
        <f>HYPERLINK("https://klasma.github.io/Logging_0980/tillsyn/A 26992-2026 tillsynsbegäran.docx", "A 26992-2026")</f>
        <v/>
      </c>
      <c r="AB125">
        <f>HYPERLINK("https://klasma.github.io/Logging_0980/tillsynsmail/A 26992-2026 tillsynsbegäran mail.docx", "A 26992-2026")</f>
        <v/>
      </c>
    </row>
    <row r="126" ht="15" customHeight="1">
      <c r="A126" t="inlineStr">
        <is>
          <t>A 37222-2021</t>
        </is>
      </c>
      <c r="B126" t="inlineStr">
        <is>
          <t>avverkningsanmälan</t>
        </is>
      </c>
      <c r="C126" t="inlineStr">
        <is>
          <t>Föryngringsavverkning</t>
        </is>
      </c>
      <c r="D126" s="1" t="n">
        <v>44396</v>
      </c>
      <c r="E126" s="1" t="n">
        <v>46217</v>
      </c>
      <c r="F126" t="inlineStr">
        <is>
          <t>GOTLANDS LÄN</t>
        </is>
      </c>
      <c r="G126" t="inlineStr">
        <is>
          <t>GOTLAND</t>
        </is>
      </c>
      <c r="I126" t="n">
        <v>3</v>
      </c>
      <c r="J126" t="n">
        <v>3</v>
      </c>
      <c r="K126" t="n">
        <v>1</v>
      </c>
      <c r="L126" t="n">
        <v>1</v>
      </c>
      <c r="M126" t="n">
        <v>0</v>
      </c>
      <c r="N126" t="n">
        <v>0</v>
      </c>
      <c r="O126" t="n">
        <v>0</v>
      </c>
      <c r="P126" t="n">
        <v>0</v>
      </c>
      <c r="Q126" t="n">
        <v>1</v>
      </c>
      <c r="R126" t="n">
        <v>0</v>
      </c>
      <c r="S126" t="n">
        <v>3</v>
      </c>
      <c r="T126" t="n">
        <v>3</v>
      </c>
      <c r="U126" s="2" t="inlineStr">
        <is>
          <t>Mindre hackspett
Skogsknipprot
Bergfink</t>
        </is>
      </c>
      <c r="V126">
        <f>HYPERLINK("https://klasma.github.io/Logging_0980/artfynd/A 37222-2021 artfynd.xlsx", "A 37222-2021")</f>
        <v/>
      </c>
      <c r="W126">
        <f>HYPERLINK("https://klasma.github.io/Logging_0980/kartor/A 37222-2021 karta.png", "A 37222-2021")</f>
        <v/>
      </c>
      <c r="Y126">
        <f>HYPERLINK("https://klasma.github.io/Logging_0980/klagomål/A 37222-2021 FSC-klagomål.docx", "A 37222-2021")</f>
        <v/>
      </c>
      <c r="Z126">
        <f>HYPERLINK("https://klasma.github.io/Logging_0980/klagomålsmail/A 37222-2021 FSC-klagomål mail.docx", "A 37222-2021")</f>
        <v/>
      </c>
      <c r="AA126">
        <f>HYPERLINK("https://klasma.github.io/Logging_0980/tillsyn/A 37222-2021 tillsynsbegäran.docx", "A 37222-2021")</f>
        <v/>
      </c>
      <c r="AB126">
        <f>HYPERLINK("https://klasma.github.io/Logging_0980/tillsynsmail/A 37222-2021 tillsynsbegäran mail.docx", "A 37222-2021")</f>
        <v/>
      </c>
      <c r="AC126">
        <f>HYPERLINK("https://klasma.github.io/Logging_0980/fåglar/A 37222-2021 prioriterade fågelarter.docx", "A 37222-2021")</f>
        <v/>
      </c>
    </row>
    <row r="127" ht="15" customHeight="1">
      <c r="A127" t="inlineStr">
        <is>
          <t>A 35574-2024</t>
        </is>
      </c>
      <c r="B127" t="inlineStr">
        <is>
          <t>avverkningsanmälan</t>
        </is>
      </c>
      <c r="C127" t="inlineStr">
        <is>
          <t>Föryngringsavverkning</t>
        </is>
      </c>
      <c r="D127" s="1" t="n">
        <v>45531</v>
      </c>
      <c r="E127" s="1" t="n">
        <v>46217</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s="2" t="inlineStr">
        <is>
          <t>Svinrot
Kambräken
Murgröna</t>
        </is>
      </c>
      <c r="V127">
        <f>HYPERLINK("https://klasma.github.io/Logging_0980/artfynd/A 35574-2024 artfynd.xlsx", "A 35574-2024")</f>
        <v/>
      </c>
      <c r="W127">
        <f>HYPERLINK("https://klasma.github.io/Logging_0980/kartor/A 35574-2024 karta.png", "A 35574-2024")</f>
        <v/>
      </c>
      <c r="Y127">
        <f>HYPERLINK("https://klasma.github.io/Logging_0980/klagomål/A 35574-2024 FSC-klagomål.docx", "A 35574-2024")</f>
        <v/>
      </c>
      <c r="Z127">
        <f>HYPERLINK("https://klasma.github.io/Logging_0980/klagomålsmail/A 35574-2024 FSC-klagomål mail.docx", "A 35574-2024")</f>
        <v/>
      </c>
      <c r="AA127">
        <f>HYPERLINK("https://klasma.github.io/Logging_0980/tillsyn/A 35574-2024 tillsynsbegäran.docx", "A 35574-2024")</f>
        <v/>
      </c>
      <c r="AB127">
        <f>HYPERLINK("https://klasma.github.io/Logging_0980/tillsynsmail/A 35574-2024 tillsynsbegäran mail.docx", "A 35574-2024")</f>
        <v/>
      </c>
    </row>
    <row r="128" ht="15" customHeight="1">
      <c r="A128" t="inlineStr">
        <is>
          <t>A 17982-2023</t>
        </is>
      </c>
      <c r="B128" t="inlineStr">
        <is>
          <t>avverkningsanmälan</t>
        </is>
      </c>
      <c r="C128" t="inlineStr">
        <is>
          <t>Avverkning för att bevara och utveckla /försöksver</t>
        </is>
      </c>
      <c r="D128" s="1" t="n">
        <v>45040</v>
      </c>
      <c r="E128" s="1" t="n">
        <v>46217</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s="2" t="inlineStr">
        <is>
          <t>Lundalm
Krusfrö
Ängsskära</t>
        </is>
      </c>
      <c r="V128">
        <f>HYPERLINK("https://klasma.github.io/Logging_0980/artfynd/A 17982-2023 artfynd.xlsx", "A 17982-2023")</f>
        <v/>
      </c>
      <c r="W128">
        <f>HYPERLINK("https://klasma.github.io/Logging_0980/kartor/A 17982-2023 karta.png", "A 17982-2023")</f>
        <v/>
      </c>
      <c r="Y128">
        <f>HYPERLINK("https://klasma.github.io/Logging_0980/klagomål/A 17982-2023 FSC-klagomål.docx", "A 17982-2023")</f>
        <v/>
      </c>
      <c r="Z128">
        <f>HYPERLINK("https://klasma.github.io/Logging_0980/klagomålsmail/A 17982-2023 FSC-klagomål mail.docx", "A 17982-2023")</f>
        <v/>
      </c>
      <c r="AA128">
        <f>HYPERLINK("https://klasma.github.io/Logging_0980/tillsyn/A 17982-2023 tillsynsbegäran.docx", "A 17982-2023")</f>
        <v/>
      </c>
      <c r="AB128">
        <f>HYPERLINK("https://klasma.github.io/Logging_0980/tillsynsmail/A 17982-2023 tillsynsbegäran mail.docx", "A 17982-2023")</f>
        <v/>
      </c>
    </row>
    <row r="129" ht="15" customHeight="1">
      <c r="A129" t="inlineStr">
        <is>
          <t>A 54357-2024</t>
        </is>
      </c>
      <c r="B129" t="inlineStr">
        <is>
          <t>avverkningsanmälan</t>
        </is>
      </c>
      <c r="C129" t="inlineStr">
        <is>
          <t>Föryngringsavverkning</t>
        </is>
      </c>
      <c r="D129" s="1" t="n">
        <v>45617</v>
      </c>
      <c r="E129" s="1" t="n">
        <v>46217</v>
      </c>
      <c r="F129" t="inlineStr">
        <is>
          <t>GOTLANDS LÄN</t>
        </is>
      </c>
      <c r="G129" t="inlineStr">
        <is>
          <t>GOTLAND</t>
        </is>
      </c>
      <c r="I129" t="n">
        <v>1.5</v>
      </c>
      <c r="J129" t="n">
        <v>1</v>
      </c>
      <c r="K129" t="n">
        <v>1</v>
      </c>
      <c r="L129" t="n">
        <v>1</v>
      </c>
      <c r="M129" t="n">
        <v>0</v>
      </c>
      <c r="N129" t="n">
        <v>0</v>
      </c>
      <c r="O129" t="n">
        <v>0</v>
      </c>
      <c r="P129" t="n">
        <v>0</v>
      </c>
      <c r="Q129" t="n">
        <v>1</v>
      </c>
      <c r="R129" t="n">
        <v>0</v>
      </c>
      <c r="S129" t="n">
        <v>3</v>
      </c>
      <c r="T129" t="n">
        <v>3</v>
      </c>
      <c r="U129" s="2" t="inlineStr">
        <is>
          <t>Loppstarr
Grov fjädermossa
Fläcknycklar</t>
        </is>
      </c>
      <c r="V129">
        <f>HYPERLINK("https://klasma.github.io/Logging_0980/artfynd/A 54357-2024 artfynd.xlsx", "A 54357-2024")</f>
        <v/>
      </c>
      <c r="W129">
        <f>HYPERLINK("https://klasma.github.io/Logging_0980/kartor/A 54357-2024 karta.png", "A 54357-2024")</f>
        <v/>
      </c>
      <c r="Y129">
        <f>HYPERLINK("https://klasma.github.io/Logging_0980/klagomål/A 54357-2024 FSC-klagomål.docx", "A 54357-2024")</f>
        <v/>
      </c>
      <c r="Z129">
        <f>HYPERLINK("https://klasma.github.io/Logging_0980/klagomålsmail/A 54357-2024 FSC-klagomål mail.docx", "A 54357-2024")</f>
        <v/>
      </c>
      <c r="AA129">
        <f>HYPERLINK("https://klasma.github.io/Logging_0980/tillsyn/A 54357-2024 tillsynsbegäran.docx", "A 54357-2024")</f>
        <v/>
      </c>
      <c r="AB129">
        <f>HYPERLINK("https://klasma.github.io/Logging_0980/tillsynsmail/A 54357-2024 tillsynsbegäran mail.docx", "A 54357-2024")</f>
        <v/>
      </c>
    </row>
    <row r="130" ht="15" customHeight="1">
      <c r="A130" t="inlineStr">
        <is>
          <t>A 17975-2024</t>
        </is>
      </c>
      <c r="B130" t="inlineStr">
        <is>
          <t>avverkningsanmälan</t>
        </is>
      </c>
      <c r="C130" t="inlineStr">
        <is>
          <t>Föryngringsavverkning</t>
        </is>
      </c>
      <c r="D130" s="1" t="n">
        <v>45419</v>
      </c>
      <c r="E130" s="1" t="n">
        <v>46217</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s="2" t="inlineStr">
        <is>
          <t>Ask
Skugglosta
Strävlosta</t>
        </is>
      </c>
      <c r="V130">
        <f>HYPERLINK("https://klasma.github.io/Logging_0980/artfynd/A 17975-2024 artfynd.xlsx", "A 17975-2024")</f>
        <v/>
      </c>
      <c r="W130">
        <f>HYPERLINK("https://klasma.github.io/Logging_0980/kartor/A 17975-2024 karta.png", "A 17975-2024")</f>
        <v/>
      </c>
      <c r="Y130">
        <f>HYPERLINK("https://klasma.github.io/Logging_0980/klagomål/A 17975-2024 FSC-klagomål.docx", "A 17975-2024")</f>
        <v/>
      </c>
      <c r="Z130">
        <f>HYPERLINK("https://klasma.github.io/Logging_0980/klagomålsmail/A 17975-2024 FSC-klagomål mail.docx", "A 17975-2024")</f>
        <v/>
      </c>
      <c r="AA130">
        <f>HYPERLINK("https://klasma.github.io/Logging_0980/tillsyn/A 17975-2024 tillsynsbegäran.docx", "A 17975-2024")</f>
        <v/>
      </c>
      <c r="AB130">
        <f>HYPERLINK("https://klasma.github.io/Logging_0980/tillsynsmail/A 17975-2024 tillsynsbegäran mail.docx", "A 17975-2024")</f>
        <v/>
      </c>
    </row>
    <row r="131" ht="15" customHeight="1">
      <c r="A131" t="inlineStr">
        <is>
          <t>A 13499-2022</t>
        </is>
      </c>
      <c r="B131" t="inlineStr">
        <is>
          <t>avverkningsanmälan</t>
        </is>
      </c>
      <c r="C131" t="inlineStr">
        <is>
          <t>Föryngringsavverkning</t>
        </is>
      </c>
      <c r="D131" s="1" t="n">
        <v>44647</v>
      </c>
      <c r="E131" s="1" t="n">
        <v>46217</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s="2" t="inlineStr">
        <is>
          <t>Blåsippa
Spillkråka
Sankt pers nycklar</t>
        </is>
      </c>
      <c r="V131">
        <f>HYPERLINK("https://klasma.github.io/Logging_0980/artfynd/A 13499-2022 artfynd.xlsx", "A 13499-2022")</f>
        <v/>
      </c>
      <c r="W131">
        <f>HYPERLINK("https://klasma.github.io/Logging_0980/kartor/A 13499-2022 karta.png", "A 13499-2022")</f>
        <v/>
      </c>
      <c r="Y131">
        <f>HYPERLINK("https://klasma.github.io/Logging_0980/klagomål/A 13499-2022 FSC-klagomål.docx", "A 13499-2022")</f>
        <v/>
      </c>
      <c r="Z131">
        <f>HYPERLINK("https://klasma.github.io/Logging_0980/klagomålsmail/A 13499-2022 FSC-klagomål mail.docx", "A 13499-2022")</f>
        <v/>
      </c>
      <c r="AA131">
        <f>HYPERLINK("https://klasma.github.io/Logging_0980/tillsyn/A 13499-2022 tillsynsbegäran.docx", "A 13499-2022")</f>
        <v/>
      </c>
      <c r="AB131">
        <f>HYPERLINK("https://klasma.github.io/Logging_0980/tillsynsmail/A 13499-2022 tillsynsbegäran mail.docx", "A 13499-2022")</f>
        <v/>
      </c>
      <c r="AC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46217</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s="2" t="inlineStr">
        <is>
          <t>Gotlandsmåra
Axveronika
Skogsduva</t>
        </is>
      </c>
      <c r="V132">
        <f>HYPERLINK("https://klasma.github.io/Logging_0980/artfynd/A 43219-2023 artfynd.xlsx", "A 43219-2023")</f>
        <v/>
      </c>
      <c r="W132">
        <f>HYPERLINK("https://klasma.github.io/Logging_0980/kartor/A 43219-2023 karta.png", "A 43219-2023")</f>
        <v/>
      </c>
      <c r="Y132">
        <f>HYPERLINK("https://klasma.github.io/Logging_0980/klagomål/A 43219-2023 FSC-klagomål.docx", "A 43219-2023")</f>
        <v/>
      </c>
      <c r="Z132">
        <f>HYPERLINK("https://klasma.github.io/Logging_0980/klagomålsmail/A 43219-2023 FSC-klagomål mail.docx", "A 43219-2023")</f>
        <v/>
      </c>
      <c r="AA132">
        <f>HYPERLINK("https://klasma.github.io/Logging_0980/tillsyn/A 43219-2023 tillsynsbegäran.docx", "A 43219-2023")</f>
        <v/>
      </c>
      <c r="AB132">
        <f>HYPERLINK("https://klasma.github.io/Logging_0980/tillsynsmail/A 43219-2023 tillsynsbegäran mail.docx", "A 43219-2023")</f>
        <v/>
      </c>
    </row>
    <row r="133" ht="15" customHeight="1">
      <c r="A133" t="inlineStr">
        <is>
          <t>A 12315-2024</t>
        </is>
      </c>
      <c r="B133" t="inlineStr">
        <is>
          <t>avverkningsanmälan</t>
        </is>
      </c>
      <c r="C133" t="inlineStr">
        <is>
          <t>Föryngringsavverkning</t>
        </is>
      </c>
      <c r="D133" s="1" t="n">
        <v>45378</v>
      </c>
      <c r="E133" s="1" t="n">
        <v>46217</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46217</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Y134">
        <f>HYPERLINK("https://klasma.github.io/Logging_0980/klagomål/A 49411-2023 FSC-klagomål.docx", "A 49411-2023")</f>
        <v/>
      </c>
      <c r="Z134">
        <f>HYPERLINK("https://klasma.github.io/Logging_0980/klagomålsmail/A 49411-2023 FSC-klagomål mail.docx", "A 49411-2023")</f>
        <v/>
      </c>
      <c r="AA134">
        <f>HYPERLINK("https://klasma.github.io/Logging_0980/tillsyn/A 49411-2023 tillsynsbegäran.docx", "A 49411-2023")</f>
        <v/>
      </c>
      <c r="AB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46217</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Y135">
        <f>HYPERLINK("https://klasma.github.io/Logging_0980/klagomål/A 61561-2023 FSC-klagomål.docx", "A 61561-2023")</f>
        <v/>
      </c>
      <c r="Z135">
        <f>HYPERLINK("https://klasma.github.io/Logging_0980/klagomålsmail/A 61561-2023 FSC-klagomål mail.docx", "A 61561-2023")</f>
        <v/>
      </c>
      <c r="AA135">
        <f>HYPERLINK("https://klasma.github.io/Logging_0980/tillsyn/A 61561-2023 tillsynsbegäran.docx", "A 61561-2023")</f>
        <v/>
      </c>
      <c r="AB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46217</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19322-2026</t>
        </is>
      </c>
      <c r="B137" t="inlineStr">
        <is>
          <t>avverkningsanmälan</t>
        </is>
      </c>
      <c r="C137" t="inlineStr">
        <is>
          <t>Avverkning för annat ändamål</t>
        </is>
      </c>
      <c r="D137" s="1" t="n">
        <v>46129</v>
      </c>
      <c r="E137" s="1" t="n">
        <v>46217</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s="2" t="inlineStr">
        <is>
          <t>Gulsparv
Svinrot
Tvåblad</t>
        </is>
      </c>
      <c r="V137">
        <f>HYPERLINK("https://klasma.github.io/Logging_0980/artfynd/A 19322-2026 artfynd.xlsx", "A 19322-2026")</f>
        <v/>
      </c>
      <c r="W137">
        <f>HYPERLINK("https://klasma.github.io/Logging_0980/kartor/A 19322-2026 karta.png", "A 19322-2026")</f>
        <v/>
      </c>
      <c r="Y137">
        <f>HYPERLINK("https://klasma.github.io/Logging_0980/klagomål/A 19322-2026 FSC-klagomål.docx", "A 19322-2026")</f>
        <v/>
      </c>
      <c r="Z137">
        <f>HYPERLINK("https://klasma.github.io/Logging_0980/klagomålsmail/A 19322-2026 FSC-klagomål mail.docx", "A 19322-2026")</f>
        <v/>
      </c>
      <c r="AA137">
        <f>HYPERLINK("https://klasma.github.io/Logging_0980/tillsyn/A 19322-2026 tillsynsbegäran.docx", "A 19322-2026")</f>
        <v/>
      </c>
      <c r="AB137">
        <f>HYPERLINK("https://klasma.github.io/Logging_0980/tillsynsmail/A 19322-2026 tillsynsbegäran mail.docx", "A 19322-2026")</f>
        <v/>
      </c>
      <c r="AC137">
        <f>HYPERLINK("https://klasma.github.io/Logging_0980/fåglar/A 19322-2026 prioriterade fågelarter.docx", "A 19322-2026")</f>
        <v/>
      </c>
    </row>
    <row r="138" ht="15" customHeight="1">
      <c r="A138" t="inlineStr">
        <is>
          <t>A 10440-2024</t>
        </is>
      </c>
      <c r="B138" t="inlineStr">
        <is>
          <t>avverkningsanmälan</t>
        </is>
      </c>
      <c r="C138" t="inlineStr">
        <is>
          <t>Föryngringsavverkning</t>
        </is>
      </c>
      <c r="D138" s="1" t="n">
        <v>45366</v>
      </c>
      <c r="E138" s="1" t="n">
        <v>46217</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s="2" t="inlineStr">
        <is>
          <t>Mindre hackspett
Blåmossa
Blåsippa</t>
        </is>
      </c>
      <c r="V138">
        <f>HYPERLINK("https://klasma.github.io/Logging_0980/artfynd/A 10440-2024 artfynd.xlsx", "A 10440-2024")</f>
        <v/>
      </c>
      <c r="W138">
        <f>HYPERLINK("https://klasma.github.io/Logging_0980/kartor/A 10440-2024 karta.png", "A 10440-2024")</f>
        <v/>
      </c>
      <c r="Y138">
        <f>HYPERLINK("https://klasma.github.io/Logging_0980/klagomål/A 10440-2024 FSC-klagomål.docx", "A 10440-2024")</f>
        <v/>
      </c>
      <c r="Z138">
        <f>HYPERLINK("https://klasma.github.io/Logging_0980/klagomålsmail/A 10440-2024 FSC-klagomål mail.docx", "A 10440-2024")</f>
        <v/>
      </c>
      <c r="AA138">
        <f>HYPERLINK("https://klasma.github.io/Logging_0980/tillsyn/A 10440-2024 tillsynsbegäran.docx", "A 10440-2024")</f>
        <v/>
      </c>
      <c r="AB138">
        <f>HYPERLINK("https://klasma.github.io/Logging_0980/tillsynsmail/A 10440-2024 tillsynsbegäran mail.docx", "A 10440-2024")</f>
        <v/>
      </c>
      <c r="AC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46217</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46217</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s="2" t="inlineStr">
        <is>
          <t>Skogskorn
Ädellav</t>
        </is>
      </c>
      <c r="V140">
        <f>HYPERLINK("https://klasma.github.io/Logging_0980/artfynd/A 60665-2021 artfynd.xlsx", "A 60665-2021")</f>
        <v/>
      </c>
      <c r="W140">
        <f>HYPERLINK("https://klasma.github.io/Logging_0980/kartor/A 60665-2021 karta.png", "A 60665-2021")</f>
        <v/>
      </c>
      <c r="Y140">
        <f>HYPERLINK("https://klasma.github.io/Logging_0980/klagomål/A 60665-2021 FSC-klagomål.docx", "A 60665-2021")</f>
        <v/>
      </c>
      <c r="Z140">
        <f>HYPERLINK("https://klasma.github.io/Logging_0980/klagomålsmail/A 60665-2021 FSC-klagomål mail.docx", "A 60665-2021")</f>
        <v/>
      </c>
      <c r="AA140">
        <f>HYPERLINK("https://klasma.github.io/Logging_0980/tillsyn/A 60665-2021 tillsynsbegäran.docx", "A 60665-2021")</f>
        <v/>
      </c>
      <c r="AB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46217</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s="2" t="inlineStr">
        <is>
          <t>Flattoppad klubbsvamp
Rödgul trumpetsvamp</t>
        </is>
      </c>
      <c r="V141">
        <f>HYPERLINK("https://klasma.github.io/Logging_0980/artfynd/A 20218-2022 artfynd.xlsx", "A 20218-2022")</f>
        <v/>
      </c>
      <c r="W141">
        <f>HYPERLINK("https://klasma.github.io/Logging_0980/kartor/A 20218-2022 karta.png", "A 20218-2022")</f>
        <v/>
      </c>
      <c r="Y141">
        <f>HYPERLINK("https://klasma.github.io/Logging_0980/klagomål/A 20218-2022 FSC-klagomål.docx", "A 20218-2022")</f>
        <v/>
      </c>
      <c r="Z141">
        <f>HYPERLINK("https://klasma.github.io/Logging_0980/klagomålsmail/A 20218-2022 FSC-klagomål mail.docx", "A 20218-2022")</f>
        <v/>
      </c>
      <c r="AA141">
        <f>HYPERLINK("https://klasma.github.io/Logging_0980/tillsyn/A 20218-2022 tillsynsbegäran.docx", "A 20218-2022")</f>
        <v/>
      </c>
      <c r="AB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46217</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s="2" t="inlineStr">
        <is>
          <t>Skogskorn
Underviol</t>
        </is>
      </c>
      <c r="V142">
        <f>HYPERLINK("https://klasma.github.io/Logging_0980/artfynd/A 49314-2024 artfynd.xlsx", "A 49314-2024")</f>
        <v/>
      </c>
      <c r="W142">
        <f>HYPERLINK("https://klasma.github.io/Logging_0980/kartor/A 49314-2024 karta.png", "A 49314-2024")</f>
        <v/>
      </c>
      <c r="Y142">
        <f>HYPERLINK("https://klasma.github.io/Logging_0980/klagomål/A 49314-2024 FSC-klagomål.docx", "A 49314-2024")</f>
        <v/>
      </c>
      <c r="Z142">
        <f>HYPERLINK("https://klasma.github.io/Logging_0980/klagomålsmail/A 49314-2024 FSC-klagomål mail.docx", "A 49314-2024")</f>
        <v/>
      </c>
      <c r="AA142">
        <f>HYPERLINK("https://klasma.github.io/Logging_0980/tillsyn/A 49314-2024 tillsynsbegäran.docx", "A 49314-2024")</f>
        <v/>
      </c>
      <c r="AB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46217</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s="2" t="inlineStr">
        <is>
          <t>Ask
Tallticka</t>
        </is>
      </c>
      <c r="V143">
        <f>HYPERLINK("https://klasma.github.io/Logging_0980/artfynd/A 26077-2024 artfynd.xlsx", "A 26077-2024")</f>
        <v/>
      </c>
      <c r="W143">
        <f>HYPERLINK("https://klasma.github.io/Logging_0980/kartor/A 26077-2024 karta.png", "A 26077-2024")</f>
        <v/>
      </c>
      <c r="Y143">
        <f>HYPERLINK("https://klasma.github.io/Logging_0980/klagomål/A 26077-2024 FSC-klagomål.docx", "A 26077-2024")</f>
        <v/>
      </c>
      <c r="Z143">
        <f>HYPERLINK("https://klasma.github.io/Logging_0980/klagomålsmail/A 26077-2024 FSC-klagomål mail.docx", "A 26077-2024")</f>
        <v/>
      </c>
      <c r="AA143">
        <f>HYPERLINK("https://klasma.github.io/Logging_0980/tillsyn/A 26077-2024 tillsynsbegäran.docx", "A 26077-2024")</f>
        <v/>
      </c>
      <c r="AB143">
        <f>HYPERLINK("https://klasma.github.io/Logging_0980/tillsynsmail/A 26077-2024 tillsynsbegäran mail.docx", "A 26077-2024")</f>
        <v/>
      </c>
    </row>
    <row r="144" ht="15" customHeight="1">
      <c r="A144" t="inlineStr">
        <is>
          <t>A 33011-2025</t>
        </is>
      </c>
      <c r="B144" t="inlineStr">
        <is>
          <t>avverkningsanmälan</t>
        </is>
      </c>
      <c r="C144" t="inlineStr">
        <is>
          <t>Föryngringsavverkning</t>
        </is>
      </c>
      <c r="D144" s="1" t="n">
        <v>45840</v>
      </c>
      <c r="E144" s="1" t="n">
        <v>46217</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s="2" t="inlineStr">
        <is>
          <t>Hasselsnok
Mindre hackspett</t>
        </is>
      </c>
      <c r="V144">
        <f>HYPERLINK("https://klasma.github.io/Logging_0980/artfynd/A 33011-2025 artfynd.xlsx", "A 33011-2025")</f>
        <v/>
      </c>
      <c r="W144">
        <f>HYPERLINK("https://klasma.github.io/Logging_0980/kartor/A 33011-2025 karta.png", "A 33011-2025")</f>
        <v/>
      </c>
      <c r="Y144">
        <f>HYPERLINK("https://klasma.github.io/Logging_0980/klagomål/A 33011-2025 FSC-klagomål.docx", "A 33011-2025")</f>
        <v/>
      </c>
      <c r="Z144">
        <f>HYPERLINK("https://klasma.github.io/Logging_0980/klagomålsmail/A 33011-2025 FSC-klagomål mail.docx", "A 33011-2025")</f>
        <v/>
      </c>
      <c r="AA144">
        <f>HYPERLINK("https://klasma.github.io/Logging_0980/tillsyn/A 33011-2025 tillsynsbegäran.docx", "A 33011-2025")</f>
        <v/>
      </c>
      <c r="AB144">
        <f>HYPERLINK("https://klasma.github.io/Logging_0980/tillsynsmail/A 33011-2025 tillsynsbegäran mail.docx", "A 33011-2025")</f>
        <v/>
      </c>
      <c r="AC144">
        <f>HYPERLINK("https://klasma.github.io/Logging_0980/fåglar/A 33011-2025 prioriterade fågelarter.docx", "A 33011-2025")</f>
        <v/>
      </c>
    </row>
    <row r="145" ht="15" customHeight="1">
      <c r="A145" t="inlineStr">
        <is>
          <t>A 1010-2024</t>
        </is>
      </c>
      <c r="B145" t="inlineStr">
        <is>
          <t>avverkningsanmälan</t>
        </is>
      </c>
      <c r="C145" t="inlineStr">
        <is>
          <t>Föryngringsavverkning</t>
        </is>
      </c>
      <c r="D145" s="1" t="n">
        <v>45301</v>
      </c>
      <c r="E145" s="1" t="n">
        <v>46217</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s="2" t="inlineStr">
        <is>
          <t>Anisspindling
Diskvaxskivling</t>
        </is>
      </c>
      <c r="V145">
        <f>HYPERLINK("https://klasma.github.io/Logging_0980/artfynd/A 1010-2024 artfynd.xlsx", "A 1010-2024")</f>
        <v/>
      </c>
      <c r="W145">
        <f>HYPERLINK("https://klasma.github.io/Logging_0980/kartor/A 1010-2024 karta.png", "A 1010-2024")</f>
        <v/>
      </c>
      <c r="Y145">
        <f>HYPERLINK("https://klasma.github.io/Logging_0980/klagomål/A 1010-2024 FSC-klagomål.docx", "A 1010-2024")</f>
        <v/>
      </c>
      <c r="Z145">
        <f>HYPERLINK("https://klasma.github.io/Logging_0980/klagomålsmail/A 1010-2024 FSC-klagomål mail.docx", "A 1010-2024")</f>
        <v/>
      </c>
      <c r="AA145">
        <f>HYPERLINK("https://klasma.github.io/Logging_0980/tillsyn/A 1010-2024 tillsynsbegäran.docx", "A 1010-2024")</f>
        <v/>
      </c>
      <c r="AB145">
        <f>HYPERLINK("https://klasma.github.io/Logging_0980/tillsynsmail/A 1010-2024 tillsynsbegäran mail.docx", "A 1010-2024")</f>
        <v/>
      </c>
    </row>
    <row r="146" ht="15" customHeight="1">
      <c r="A146" t="inlineStr">
        <is>
          <t>A 27621-2026</t>
        </is>
      </c>
      <c r="B146" t="inlineStr">
        <is>
          <t>avverkningsanmälan</t>
        </is>
      </c>
      <c r="C146" t="inlineStr">
        <is>
          <t>Föryngringsavverkning</t>
        </is>
      </c>
      <c r="D146" s="1" t="n">
        <v>46190</v>
      </c>
      <c r="E146" s="1" t="n">
        <v>46217</v>
      </c>
      <c r="F146" t="inlineStr">
        <is>
          <t>GOTLANDS LÄN</t>
        </is>
      </c>
      <c r="G146" t="inlineStr">
        <is>
          <t>GOTLAND</t>
        </is>
      </c>
      <c r="I146" t="n">
        <v>6</v>
      </c>
      <c r="J146" t="n">
        <v>2</v>
      </c>
      <c r="K146" t="n">
        <v>0</v>
      </c>
      <c r="L146" t="n">
        <v>1</v>
      </c>
      <c r="M146" t="n">
        <v>0</v>
      </c>
      <c r="N146" t="n">
        <v>0</v>
      </c>
      <c r="O146" t="n">
        <v>0</v>
      </c>
      <c r="P146" t="n">
        <v>0</v>
      </c>
      <c r="Q146" t="n">
        <v>1</v>
      </c>
      <c r="R146" t="n">
        <v>0</v>
      </c>
      <c r="S146" t="n">
        <v>2</v>
      </c>
      <c r="T146" t="n">
        <v>2</v>
      </c>
      <c r="U146" s="2" t="inlineStr">
        <is>
          <t>Adam och eva
Spillkråka</t>
        </is>
      </c>
      <c r="V146">
        <f>HYPERLINK("https://klasma.github.io/Logging_0980/artfynd/A 27621-2026 artfynd.xlsx", "A 27621-2026")</f>
        <v/>
      </c>
      <c r="W146">
        <f>HYPERLINK("https://klasma.github.io/Logging_0980/kartor/A 27621-2026 karta.png", "A 27621-2026")</f>
        <v/>
      </c>
      <c r="Y146">
        <f>HYPERLINK("https://klasma.github.io/Logging_0980/klagomål/A 27621-2026 FSC-klagomål.docx", "A 27621-2026")</f>
        <v/>
      </c>
      <c r="Z146">
        <f>HYPERLINK("https://klasma.github.io/Logging_0980/klagomålsmail/A 27621-2026 FSC-klagomål mail.docx", "A 27621-2026")</f>
        <v/>
      </c>
      <c r="AA146">
        <f>HYPERLINK("https://klasma.github.io/Logging_0980/tillsyn/A 27621-2026 tillsynsbegäran.docx", "A 27621-2026")</f>
        <v/>
      </c>
      <c r="AB146">
        <f>HYPERLINK("https://klasma.github.io/Logging_0980/tillsynsmail/A 27621-2026 tillsynsbegäran mail.docx", "A 27621-2026")</f>
        <v/>
      </c>
      <c r="AC146">
        <f>HYPERLINK("https://klasma.github.io/Logging_0980/fåglar/A 27621-2026 prioriterade fågelarter.docx", "A 27621-2026")</f>
        <v/>
      </c>
    </row>
    <row r="147" ht="15" customHeight="1">
      <c r="A147" t="inlineStr">
        <is>
          <t>A 27589-2023</t>
        </is>
      </c>
      <c r="B147" t="inlineStr">
        <is>
          <t>avverkningsanmälan</t>
        </is>
      </c>
      <c r="C147" t="inlineStr">
        <is>
          <t>Avverkning för annat ändamål</t>
        </is>
      </c>
      <c r="D147" s="1" t="n">
        <v>45097</v>
      </c>
      <c r="E147" s="1" t="n">
        <v>46217</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46217</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Y148">
        <f>HYPERLINK("https://klasma.github.io/Logging_0980/klagomål/A 8036-2022 FSC-klagomål.docx", "A 8036-2022")</f>
        <v/>
      </c>
      <c r="Z148">
        <f>HYPERLINK("https://klasma.github.io/Logging_0980/klagomålsmail/A 8036-2022 FSC-klagomål mail.docx", "A 8036-2022")</f>
        <v/>
      </c>
      <c r="AA148">
        <f>HYPERLINK("https://klasma.github.io/Logging_0980/tillsyn/A 8036-2022 tillsynsbegäran.docx", "A 8036-2022")</f>
        <v/>
      </c>
      <c r="AB148">
        <f>HYPERLINK("https://klasma.github.io/Logging_0980/tillsynsmail/A 8036-2022 tillsynsbegäran mail.docx", "A 8036-2022")</f>
        <v/>
      </c>
      <c r="AC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46217</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Y149">
        <f>HYPERLINK("https://klasma.github.io/Logging_0980/klagomål/A 7070-2022 FSC-klagomål.docx", "A 7070-2022")</f>
        <v/>
      </c>
      <c r="Z149">
        <f>HYPERLINK("https://klasma.github.io/Logging_0980/klagomålsmail/A 7070-2022 FSC-klagomål mail.docx", "A 7070-2022")</f>
        <v/>
      </c>
      <c r="AA149">
        <f>HYPERLINK("https://klasma.github.io/Logging_0980/tillsyn/A 7070-2022 tillsynsbegäran.docx", "A 7070-2022")</f>
        <v/>
      </c>
      <c r="AB149">
        <f>HYPERLINK("https://klasma.github.io/Logging_0980/tillsynsmail/A 7070-2022 tillsynsbegäran mail.docx", "A 7070-2022")</f>
        <v/>
      </c>
    </row>
    <row r="150" ht="15" customHeight="1">
      <c r="A150" t="inlineStr">
        <is>
          <t>A 62760-2025</t>
        </is>
      </c>
      <c r="B150" t="inlineStr">
        <is>
          <t>avverkningsanmälan</t>
        </is>
      </c>
      <c r="C150" t="inlineStr">
        <is>
          <t>Föryngringsavverkning</t>
        </is>
      </c>
      <c r="D150" s="1" t="n">
        <v>46008</v>
      </c>
      <c r="E150" s="1" t="n">
        <v>46217</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s="2" t="inlineStr">
        <is>
          <t>Vårärt
Nästrot</t>
        </is>
      </c>
      <c r="V150">
        <f>HYPERLINK("https://klasma.github.io/Logging_0980/artfynd/A 62760-2025 artfynd.xlsx", "A 62760-2025")</f>
        <v/>
      </c>
      <c r="W150">
        <f>HYPERLINK("https://klasma.github.io/Logging_0980/kartor/A 62760-2025 karta.png", "A 62760-2025")</f>
        <v/>
      </c>
      <c r="Y150">
        <f>HYPERLINK("https://klasma.github.io/Logging_0980/klagomål/A 62760-2025 FSC-klagomål.docx", "A 62760-2025")</f>
        <v/>
      </c>
      <c r="Z150">
        <f>HYPERLINK("https://klasma.github.io/Logging_0980/klagomålsmail/A 62760-2025 FSC-klagomål mail.docx", "A 62760-2025")</f>
        <v/>
      </c>
      <c r="AA150">
        <f>HYPERLINK("https://klasma.github.io/Logging_0980/tillsyn/A 62760-2025 tillsynsbegäran.docx", "A 62760-2025")</f>
        <v/>
      </c>
      <c r="AB150">
        <f>HYPERLINK("https://klasma.github.io/Logging_0980/tillsynsmail/A 62760-2025 tillsynsbegäran mail.docx", "A 62760-2025")</f>
        <v/>
      </c>
    </row>
    <row r="151" ht="15" customHeight="1">
      <c r="A151" t="inlineStr">
        <is>
          <t>A 883-2025</t>
        </is>
      </c>
      <c r="B151" t="inlineStr">
        <is>
          <t>avverkningsanmälan</t>
        </is>
      </c>
      <c r="C151" t="inlineStr">
        <is>
          <t>Föryngringsavverkning</t>
        </is>
      </c>
      <c r="D151" s="1" t="n">
        <v>45665</v>
      </c>
      <c r="E151" s="1" t="n">
        <v>46217</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s="2" t="inlineStr">
        <is>
          <t>Axag
Kärrlilja</t>
        </is>
      </c>
      <c r="V151">
        <f>HYPERLINK("https://klasma.github.io/Logging_0980/artfynd/A 883-2025 artfynd.xlsx", "A 883-2025")</f>
        <v/>
      </c>
      <c r="W151">
        <f>HYPERLINK("https://klasma.github.io/Logging_0980/kartor/A 883-2025 karta.png", "A 883-2025")</f>
        <v/>
      </c>
      <c r="Y151">
        <f>HYPERLINK("https://klasma.github.io/Logging_0980/klagomål/A 883-2025 FSC-klagomål.docx", "A 883-2025")</f>
        <v/>
      </c>
      <c r="Z151">
        <f>HYPERLINK("https://klasma.github.io/Logging_0980/klagomålsmail/A 883-2025 FSC-klagomål mail.docx", "A 883-2025")</f>
        <v/>
      </c>
      <c r="AA151">
        <f>HYPERLINK("https://klasma.github.io/Logging_0980/tillsyn/A 883-2025 tillsynsbegäran.docx", "A 883-2025")</f>
        <v/>
      </c>
      <c r="AB151">
        <f>HYPERLINK("https://klasma.github.io/Logging_0980/tillsynsmail/A 883-2025 tillsynsbegäran mail.docx", "A 883-2025")</f>
        <v/>
      </c>
    </row>
    <row r="152" ht="15" customHeight="1">
      <c r="A152" t="inlineStr">
        <is>
          <t>A 11708-2026</t>
        </is>
      </c>
      <c r="B152" t="inlineStr">
        <is>
          <t>avverkningsanmälan</t>
        </is>
      </c>
      <c r="C152" t="inlineStr">
        <is>
          <t>Avverkning för annat ändamål</t>
        </is>
      </c>
      <c r="D152" s="1" t="n">
        <v>46084</v>
      </c>
      <c r="E152" s="1" t="n">
        <v>46217</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s="2" t="inlineStr">
        <is>
          <t>Toppjungfrulin
Bredarun</t>
        </is>
      </c>
      <c r="V152">
        <f>HYPERLINK("https://klasma.github.io/Logging_0980/artfynd/A 11708-2026 artfynd.xlsx", "A 11708-2026")</f>
        <v/>
      </c>
      <c r="W152">
        <f>HYPERLINK("https://klasma.github.io/Logging_0980/kartor/A 11708-2026 karta.png", "A 11708-2026")</f>
        <v/>
      </c>
      <c r="Y152">
        <f>HYPERLINK("https://klasma.github.io/Logging_0980/klagomål/A 11708-2026 FSC-klagomål.docx", "A 11708-2026")</f>
        <v/>
      </c>
      <c r="Z152">
        <f>HYPERLINK("https://klasma.github.io/Logging_0980/klagomålsmail/A 11708-2026 FSC-klagomål mail.docx", "A 11708-2026")</f>
        <v/>
      </c>
      <c r="AA152">
        <f>HYPERLINK("https://klasma.github.io/Logging_0980/tillsyn/A 11708-2026 tillsynsbegäran.docx", "A 11708-2026")</f>
        <v/>
      </c>
      <c r="AB152">
        <f>HYPERLINK("https://klasma.github.io/Logging_0980/tillsynsmail/A 11708-2026 tillsynsbegäran mail.docx", "A 11708-2026")</f>
        <v/>
      </c>
    </row>
    <row r="153" ht="15" customHeight="1">
      <c r="A153" t="inlineStr">
        <is>
          <t>A 30470-2026</t>
        </is>
      </c>
      <c r="B153" t="inlineStr">
        <is>
          <t>avverkningsanmälan</t>
        </is>
      </c>
      <c r="C153" t="inlineStr">
        <is>
          <t>Föryngringsavverkning</t>
        </is>
      </c>
      <c r="D153" s="1" t="n">
        <v>46209</v>
      </c>
      <c r="E153" s="1" t="n">
        <v>46217</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Y153">
        <f>HYPERLINK("https://klasma.github.io/Logging_0980/klagomål/A 30470-2026 FSC-klagomål.docx", "A 30470-2026")</f>
        <v/>
      </c>
      <c r="Z153">
        <f>HYPERLINK("https://klasma.github.io/Logging_0980/klagomålsmail/A 30470-2026 FSC-klagomål mail.docx", "A 30470-2026")</f>
        <v/>
      </c>
      <c r="AA153">
        <f>HYPERLINK("https://klasma.github.io/Logging_0980/tillsyn/A 30470-2026 tillsynsbegäran.docx", "A 30470-2026")</f>
        <v/>
      </c>
      <c r="AB153">
        <f>HYPERLINK("https://klasma.github.io/Logging_0980/tillsynsmail/A 30470-2026 tillsynsbegäran mail.docx", "A 30470-2026")</f>
        <v/>
      </c>
    </row>
    <row r="154" ht="15" customHeight="1">
      <c r="A154" t="inlineStr">
        <is>
          <t>A 28261-2024</t>
        </is>
      </c>
      <c r="B154" t="inlineStr">
        <is>
          <t>avverkningsanmälan</t>
        </is>
      </c>
      <c r="C154" t="inlineStr">
        <is>
          <t>Avverkning för annat ändamål</t>
        </is>
      </c>
      <c r="D154" s="1" t="n">
        <v>45477</v>
      </c>
      <c r="E154" s="1" t="n">
        <v>46217</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28261-2024 artfynd.xlsx", "A 28261-2024")</f>
        <v/>
      </c>
      <c r="W154">
        <f>HYPERLINK("https://klasma.github.io/Logging_0980/kartor/A 28261-2024 karta.png", "A 28261-2024")</f>
        <v/>
      </c>
      <c r="Y154">
        <f>HYPERLINK("https://klasma.github.io/Logging_0980/klagomål/A 28261-2024 FSC-klagomål.docx", "A 28261-2024")</f>
        <v/>
      </c>
      <c r="Z154">
        <f>HYPERLINK("https://klasma.github.io/Logging_0980/klagomålsmail/A 28261-2024 FSC-klagomål mail.docx", "A 28261-2024")</f>
        <v/>
      </c>
      <c r="AA154">
        <f>HYPERLINK("https://klasma.github.io/Logging_0980/tillsyn/A 28261-2024 tillsynsbegäran.docx", "A 28261-2024")</f>
        <v/>
      </c>
      <c r="AB154">
        <f>HYPERLINK("https://klasma.github.io/Logging_0980/tillsynsmail/A 28261-2024 tillsynsbegäran mail.docx", "A 28261-2024")</f>
        <v/>
      </c>
    </row>
    <row r="155" ht="15" customHeight="1">
      <c r="A155" t="inlineStr">
        <is>
          <t>A 28276-2024</t>
        </is>
      </c>
      <c r="B155" t="inlineStr">
        <is>
          <t>avverkningsanmälan</t>
        </is>
      </c>
      <c r="C155" t="inlineStr">
        <is>
          <t>Avverkning för annat ändamål</t>
        </is>
      </c>
      <c r="D155" s="1" t="n">
        <v>45477</v>
      </c>
      <c r="E155" s="1" t="n">
        <v>46217</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s="2" t="inlineStr">
        <is>
          <t>Grådådra
Åkerkulla</t>
        </is>
      </c>
      <c r="V155">
        <f>HYPERLINK("https://klasma.github.io/Logging_0980/artfynd/A 28276-2024 artfynd.xlsx", "A 28276-2024")</f>
        <v/>
      </c>
      <c r="W155">
        <f>HYPERLINK("https://klasma.github.io/Logging_0980/kartor/A 28276-2024 karta.png", "A 28276-2024")</f>
        <v/>
      </c>
      <c r="Y155">
        <f>HYPERLINK("https://klasma.github.io/Logging_0980/klagomål/A 28276-2024 FSC-klagomål.docx", "A 28276-2024")</f>
        <v/>
      </c>
      <c r="Z155">
        <f>HYPERLINK("https://klasma.github.io/Logging_0980/klagomålsmail/A 28276-2024 FSC-klagomål mail.docx", "A 28276-2024")</f>
        <v/>
      </c>
      <c r="AA155">
        <f>HYPERLINK("https://klasma.github.io/Logging_0980/tillsyn/A 28276-2024 tillsynsbegäran.docx", "A 28276-2024")</f>
        <v/>
      </c>
      <c r="AB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46217</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46217</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46217</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46217</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46217</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10218-2025</t>
        </is>
      </c>
      <c r="B161" t="inlineStr">
        <is>
          <t>avverkningsanmälan</t>
        </is>
      </c>
      <c r="C161" t="inlineStr">
        <is>
          <t>Föryngringsavverkning</t>
        </is>
      </c>
      <c r="D161" s="1" t="n">
        <v>45720</v>
      </c>
      <c r="E161" s="1" t="n">
        <v>46217</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s="2" t="inlineStr">
        <is>
          <t>Kalktallört</t>
        </is>
      </c>
      <c r="V161">
        <f>HYPERLINK("https://klasma.github.io/Logging_0980/artfynd/A 10218-2025 artfynd.xlsx", "A 10218-2025")</f>
        <v/>
      </c>
      <c r="W161">
        <f>HYPERLINK("https://klasma.github.io/Logging_0980/kartor/A 10218-2025 karta.png", "A 10218-2025")</f>
        <v/>
      </c>
      <c r="Y161">
        <f>HYPERLINK("https://klasma.github.io/Logging_0980/klagomål/A 10218-2025 FSC-klagomål.docx", "A 10218-2025")</f>
        <v/>
      </c>
      <c r="Z161">
        <f>HYPERLINK("https://klasma.github.io/Logging_0980/klagomålsmail/A 10218-2025 FSC-klagomål mail.docx", "A 10218-2025")</f>
        <v/>
      </c>
      <c r="AA161">
        <f>HYPERLINK("https://klasma.github.io/Logging_0980/tillsyn/A 10218-2025 tillsynsbegäran.docx", "A 10218-2025")</f>
        <v/>
      </c>
      <c r="AB161">
        <f>HYPERLINK("https://klasma.github.io/Logging_0980/tillsynsmail/A 10218-2025 tillsynsbegäran mail.docx", "A 10218-2025")</f>
        <v/>
      </c>
    </row>
    <row r="162" ht="15" customHeight="1">
      <c r="A162" t="inlineStr">
        <is>
          <t>A 5751-2024</t>
        </is>
      </c>
      <c r="B162" t="inlineStr">
        <is>
          <t>avverkningsanmälan</t>
        </is>
      </c>
      <c r="C162" t="inlineStr">
        <is>
          <t>Avverkning för att bevara och utveckla /försöksver</t>
        </is>
      </c>
      <c r="D162" s="1" t="n">
        <v>45335</v>
      </c>
      <c r="E162" s="1" t="n">
        <v>46217</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Y162">
        <f>HYPERLINK("https://klasma.github.io/Logging_0980/klagomål/A 5751-2024 FSC-klagomål.docx", "A 5751-2024")</f>
        <v/>
      </c>
      <c r="Z162">
        <f>HYPERLINK("https://klasma.github.io/Logging_0980/klagomålsmail/A 5751-2024 FSC-klagomål mail.docx", "A 5751-2024")</f>
        <v/>
      </c>
      <c r="AA162">
        <f>HYPERLINK("https://klasma.github.io/Logging_0980/tillsyn/A 5751-2024 tillsynsbegäran.docx", "A 5751-2024")</f>
        <v/>
      </c>
      <c r="AB162">
        <f>HYPERLINK("https://klasma.github.io/Logging_0980/tillsynsmail/A 5751-2024 tillsynsbegäran mail.docx", "A 5751-2024")</f>
        <v/>
      </c>
    </row>
    <row r="163" ht="15" customHeight="1">
      <c r="A163" t="inlineStr">
        <is>
          <t>A 12379-2024</t>
        </is>
      </c>
      <c r="B163" t="inlineStr">
        <is>
          <t>avverkningsanmälan</t>
        </is>
      </c>
      <c r="C163" t="inlineStr">
        <is>
          <t>Föryngringsavverkning</t>
        </is>
      </c>
      <c r="D163" s="1" t="n">
        <v>45379</v>
      </c>
      <c r="E163" s="1" t="n">
        <v>46217</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s="2" t="inlineStr">
        <is>
          <t>Svinrot</t>
        </is>
      </c>
      <c r="V163">
        <f>HYPERLINK("https://klasma.github.io/Logging_0980/artfynd/A 12379-2024 artfynd.xlsx", "A 12379-2024")</f>
        <v/>
      </c>
      <c r="W163">
        <f>HYPERLINK("https://klasma.github.io/Logging_0980/kartor/A 12379-2024 karta.png", "A 12379-2024")</f>
        <v/>
      </c>
      <c r="Y163">
        <f>HYPERLINK("https://klasma.github.io/Logging_0980/klagomål/A 12379-2024 FSC-klagomål.docx", "A 12379-2024")</f>
        <v/>
      </c>
      <c r="Z163">
        <f>HYPERLINK("https://klasma.github.io/Logging_0980/klagomålsmail/A 12379-2024 FSC-klagomål mail.docx", "A 12379-2024")</f>
        <v/>
      </c>
      <c r="AA163">
        <f>HYPERLINK("https://klasma.github.io/Logging_0980/tillsyn/A 12379-2024 tillsynsbegäran.docx", "A 12379-2024")</f>
        <v/>
      </c>
      <c r="AB163">
        <f>HYPERLINK("https://klasma.github.io/Logging_0980/tillsynsmail/A 12379-2024 tillsynsbegäran mail.docx", "A 12379-2024")</f>
        <v/>
      </c>
    </row>
    <row r="164" ht="15" customHeight="1">
      <c r="A164" t="inlineStr">
        <is>
          <t>A 46189-2022</t>
        </is>
      </c>
      <c r="B164" t="inlineStr">
        <is>
          <t>avverkningsanmälan</t>
        </is>
      </c>
      <c r="C164" t="inlineStr">
        <is>
          <t>Avverkning för annat ändamål</t>
        </is>
      </c>
      <c r="D164" s="1" t="n">
        <v>44847</v>
      </c>
      <c r="E164" s="1" t="n">
        <v>46217</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s="2" t="inlineStr">
        <is>
          <t>Stjälkröksvamp</t>
        </is>
      </c>
      <c r="V164">
        <f>HYPERLINK("https://klasma.github.io/Logging_0980/artfynd/A 46189-2022 artfynd.xlsx", "A 46189-2022")</f>
        <v/>
      </c>
      <c r="W164">
        <f>HYPERLINK("https://klasma.github.io/Logging_0980/kartor/A 46189-2022 karta.png", "A 46189-2022")</f>
        <v/>
      </c>
      <c r="Y164">
        <f>HYPERLINK("https://klasma.github.io/Logging_0980/klagomål/A 46189-2022 FSC-klagomål.docx", "A 46189-2022")</f>
        <v/>
      </c>
      <c r="Z164">
        <f>HYPERLINK("https://klasma.github.io/Logging_0980/klagomålsmail/A 46189-2022 FSC-klagomål mail.docx", "A 46189-2022")</f>
        <v/>
      </c>
      <c r="AA164">
        <f>HYPERLINK("https://klasma.github.io/Logging_0980/tillsyn/A 46189-2022 tillsynsbegäran.docx", "A 46189-2022")</f>
        <v/>
      </c>
      <c r="AB164">
        <f>HYPERLINK("https://klasma.github.io/Logging_0980/tillsynsmail/A 46189-2022 tillsynsbegäran mail.docx", "A 46189-2022")</f>
        <v/>
      </c>
    </row>
    <row r="165" ht="15" customHeight="1">
      <c r="A165" t="inlineStr">
        <is>
          <t>A 27593-2023</t>
        </is>
      </c>
      <c r="B165" t="inlineStr">
        <is>
          <t>avverkningsanmälan</t>
        </is>
      </c>
      <c r="C165" t="inlineStr">
        <is>
          <t>Avverkning för annat ändamål</t>
        </is>
      </c>
      <c r="D165" s="1" t="n">
        <v>45097</v>
      </c>
      <c r="E165" s="1" t="n">
        <v>46217</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s="2" t="inlineStr">
        <is>
          <t>Spjutsporre</t>
        </is>
      </c>
      <c r="V165">
        <f>HYPERLINK("https://klasma.github.io/Logging_0980/artfynd/A 27593-2023 artfynd.xlsx", "A 27593-2023")</f>
        <v/>
      </c>
      <c r="W165">
        <f>HYPERLINK("https://klasma.github.io/Logging_0980/kartor/A 27593-2023 karta.png", "A 27593-2023")</f>
        <v/>
      </c>
      <c r="Y165">
        <f>HYPERLINK("https://klasma.github.io/Logging_0980/klagomål/A 27593-2023 FSC-klagomål.docx", "A 27593-2023")</f>
        <v/>
      </c>
      <c r="Z165">
        <f>HYPERLINK("https://klasma.github.io/Logging_0980/klagomålsmail/A 27593-2023 FSC-klagomål mail.docx", "A 27593-2023")</f>
        <v/>
      </c>
      <c r="AA165">
        <f>HYPERLINK("https://klasma.github.io/Logging_0980/tillsyn/A 27593-2023 tillsynsbegäran.docx", "A 27593-2023")</f>
        <v/>
      </c>
      <c r="AB165">
        <f>HYPERLINK("https://klasma.github.io/Logging_0980/tillsynsmail/A 27593-2023 tillsynsbegäran mail.docx", "A 27593-2023")</f>
        <v/>
      </c>
    </row>
    <row r="166" ht="15" customHeight="1">
      <c r="A166" t="inlineStr">
        <is>
          <t>A 25977-2024</t>
        </is>
      </c>
      <c r="B166" t="inlineStr">
        <is>
          <t>avverkningsanmälan</t>
        </is>
      </c>
      <c r="C166" t="inlineStr">
        <is>
          <t>Föryngringsavverkning</t>
        </is>
      </c>
      <c r="D166" s="1" t="n">
        <v>45467</v>
      </c>
      <c r="E166" s="1" t="n">
        <v>46217</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s="2" t="inlineStr">
        <is>
          <t>Nattviol</t>
        </is>
      </c>
      <c r="V166">
        <f>HYPERLINK("https://klasma.github.io/Logging_0980/artfynd/A 25977-2024 artfynd.xlsx", "A 25977-2024")</f>
        <v/>
      </c>
      <c r="W166">
        <f>HYPERLINK("https://klasma.github.io/Logging_0980/kartor/A 25977-2024 karta.png", "A 25977-2024")</f>
        <v/>
      </c>
      <c r="Y166">
        <f>HYPERLINK("https://klasma.github.io/Logging_0980/klagomål/A 25977-2024 FSC-klagomål.docx", "A 25977-2024")</f>
        <v/>
      </c>
      <c r="Z166">
        <f>HYPERLINK("https://klasma.github.io/Logging_0980/klagomålsmail/A 25977-2024 FSC-klagomål mail.docx", "A 25977-2024")</f>
        <v/>
      </c>
      <c r="AA166">
        <f>HYPERLINK("https://klasma.github.io/Logging_0980/tillsyn/A 25977-2024 tillsynsbegäran.docx", "A 25977-2024")</f>
        <v/>
      </c>
      <c r="AB166">
        <f>HYPERLINK("https://klasma.github.io/Logging_0980/tillsynsmail/A 25977-2024 tillsynsbegäran mail.docx", "A 25977-2024")</f>
        <v/>
      </c>
    </row>
    <row r="167" ht="15" customHeight="1">
      <c r="A167" t="inlineStr">
        <is>
          <t>A 4568-2025</t>
        </is>
      </c>
      <c r="B167" t="inlineStr">
        <is>
          <t>avverkningsanmälan</t>
        </is>
      </c>
      <c r="C167" t="inlineStr">
        <is>
          <t>Föryngringsavverkning</t>
        </is>
      </c>
      <c r="D167" s="1" t="n">
        <v>45687</v>
      </c>
      <c r="E167" s="1" t="n">
        <v>46217</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Y167">
        <f>HYPERLINK("https://klasma.github.io/Logging_0980/klagomål/A 4568-2025 FSC-klagomål.docx", "A 4568-2025")</f>
        <v/>
      </c>
      <c r="Z167">
        <f>HYPERLINK("https://klasma.github.io/Logging_0980/klagomålsmail/A 4568-2025 FSC-klagomål mail.docx", "A 4568-2025")</f>
        <v/>
      </c>
      <c r="AA167">
        <f>HYPERLINK("https://klasma.github.io/Logging_0980/tillsyn/A 4568-2025 tillsynsbegäran.docx", "A 4568-2025")</f>
        <v/>
      </c>
      <c r="AB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46217</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Y168">
        <f>HYPERLINK("https://klasma.github.io/Logging_0980/klagomål/A 61796-2022 FSC-klagomål.docx", "A 61796-2022")</f>
        <v/>
      </c>
      <c r="Z168">
        <f>HYPERLINK("https://klasma.github.io/Logging_0980/klagomålsmail/A 61796-2022 FSC-klagomål mail.docx", "A 61796-2022")</f>
        <v/>
      </c>
      <c r="AA168">
        <f>HYPERLINK("https://klasma.github.io/Logging_0980/tillsyn/A 61796-2022 tillsynsbegäran.docx", "A 61796-2022")</f>
        <v/>
      </c>
      <c r="AB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46217</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Y169">
        <f>HYPERLINK("https://klasma.github.io/Logging_0980/klagomål/A 29809-2022 FSC-klagomål.docx", "A 29809-2022")</f>
        <v/>
      </c>
      <c r="Z169">
        <f>HYPERLINK("https://klasma.github.io/Logging_0980/klagomålsmail/A 29809-2022 FSC-klagomål mail.docx", "A 29809-2022")</f>
        <v/>
      </c>
      <c r="AA169">
        <f>HYPERLINK("https://klasma.github.io/Logging_0980/tillsyn/A 29809-2022 tillsynsbegäran.docx", "A 29809-2022")</f>
        <v/>
      </c>
      <c r="AB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46217</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Y170">
        <f>HYPERLINK("https://klasma.github.io/Logging_0980/klagomål/A 15637-2024 FSC-klagomål.docx", "A 15637-2024")</f>
        <v/>
      </c>
      <c r="Z170">
        <f>HYPERLINK("https://klasma.github.io/Logging_0980/klagomålsmail/A 15637-2024 FSC-klagomål mail.docx", "A 15637-2024")</f>
        <v/>
      </c>
      <c r="AA170">
        <f>HYPERLINK("https://klasma.github.io/Logging_0980/tillsyn/A 15637-2024 tillsynsbegäran.docx", "A 15637-2024")</f>
        <v/>
      </c>
      <c r="AB170">
        <f>HYPERLINK("https://klasma.github.io/Logging_0980/tillsynsmail/A 15637-2024 tillsynsbegäran mail.docx", "A 15637-2024")</f>
        <v/>
      </c>
    </row>
    <row r="171" ht="15" customHeight="1">
      <c r="A171" t="inlineStr">
        <is>
          <t>A 7042-2023</t>
        </is>
      </c>
      <c r="B171" t="inlineStr">
        <is>
          <t>avverkningsanmälan</t>
        </is>
      </c>
      <c r="C171" t="inlineStr">
        <is>
          <t>Föryngringsavverkning</t>
        </is>
      </c>
      <c r="D171" s="1" t="n">
        <v>44968</v>
      </c>
      <c r="E171" s="1" t="n">
        <v>46217</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s="2" t="inlineStr">
        <is>
          <t>Purpurknipprot</t>
        </is>
      </c>
      <c r="V171">
        <f>HYPERLINK("https://klasma.github.io/Logging_0980/artfynd/A 7042-2023 artfynd.xlsx", "A 7042-2023")</f>
        <v/>
      </c>
      <c r="W171">
        <f>HYPERLINK("https://klasma.github.io/Logging_0980/kartor/A 7042-2023 karta.png", "A 7042-2023")</f>
        <v/>
      </c>
      <c r="Y171">
        <f>HYPERLINK("https://klasma.github.io/Logging_0980/klagomål/A 7042-2023 FSC-klagomål.docx", "A 7042-2023")</f>
        <v/>
      </c>
      <c r="Z171">
        <f>HYPERLINK("https://klasma.github.io/Logging_0980/klagomålsmail/A 7042-2023 FSC-klagomål mail.docx", "A 7042-2023")</f>
        <v/>
      </c>
      <c r="AA171">
        <f>HYPERLINK("https://klasma.github.io/Logging_0980/tillsyn/A 7042-2023 tillsynsbegäran.docx", "A 7042-2023")</f>
        <v/>
      </c>
      <c r="AB171">
        <f>HYPERLINK("https://klasma.github.io/Logging_0980/tillsynsmail/A 7042-2023 tillsynsbegäran mail.docx", "A 7042-2023")</f>
        <v/>
      </c>
    </row>
    <row r="172" ht="15" customHeight="1">
      <c r="A172" t="inlineStr">
        <is>
          <t>A 30489-2025</t>
        </is>
      </c>
      <c r="B172" t="inlineStr">
        <is>
          <t>avverkningsanmälan</t>
        </is>
      </c>
      <c r="C172" t="inlineStr">
        <is>
          <t>Föryngringsavverkning</t>
        </is>
      </c>
      <c r="D172" s="1" t="n">
        <v>45830</v>
      </c>
      <c r="E172" s="1" t="n">
        <v>46217</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s="2" t="inlineStr">
        <is>
          <t>Skarp dropptaggsvamp</t>
        </is>
      </c>
      <c r="V172">
        <f>HYPERLINK("https://klasma.github.io/Logging_0980/artfynd/A 30489-2025 artfynd.xlsx", "A 30489-2025")</f>
        <v/>
      </c>
      <c r="W172">
        <f>HYPERLINK("https://klasma.github.io/Logging_0980/kartor/A 30489-2025 karta.png", "A 30489-2025")</f>
        <v/>
      </c>
      <c r="Y172">
        <f>HYPERLINK("https://klasma.github.io/Logging_0980/klagomål/A 30489-2025 FSC-klagomål.docx", "A 30489-2025")</f>
        <v/>
      </c>
      <c r="Z172">
        <f>HYPERLINK("https://klasma.github.io/Logging_0980/klagomålsmail/A 30489-2025 FSC-klagomål mail.docx", "A 30489-2025")</f>
        <v/>
      </c>
      <c r="AA172">
        <f>HYPERLINK("https://klasma.github.io/Logging_0980/tillsyn/A 30489-2025 tillsynsbegäran.docx", "A 30489-2025")</f>
        <v/>
      </c>
      <c r="AB172">
        <f>HYPERLINK("https://klasma.github.io/Logging_0980/tillsynsmail/A 30489-2025 tillsynsbegäran mail.docx", "A 30489-2025")</f>
        <v/>
      </c>
    </row>
    <row r="173" ht="15" customHeight="1">
      <c r="A173" t="inlineStr">
        <is>
          <t>A 63229-2021</t>
        </is>
      </c>
      <c r="B173" t="inlineStr">
        <is>
          <t>avverkningsanmälan</t>
        </is>
      </c>
      <c r="C173" t="inlineStr">
        <is>
          <t>Föryngringsavverkning</t>
        </is>
      </c>
      <c r="D173" s="1" t="n">
        <v>44508</v>
      </c>
      <c r="E173" s="1" t="n">
        <v>46217</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s="2" t="inlineStr">
        <is>
          <t>Backtimjan</t>
        </is>
      </c>
      <c r="V173">
        <f>HYPERLINK("https://klasma.github.io/Logging_0980/artfynd/A 63229-2021 artfynd.xlsx", "A 63229-2021")</f>
        <v/>
      </c>
      <c r="W173">
        <f>HYPERLINK("https://klasma.github.io/Logging_0980/kartor/A 63229-2021 karta.png", "A 63229-2021")</f>
        <v/>
      </c>
      <c r="Y173">
        <f>HYPERLINK("https://klasma.github.io/Logging_0980/klagomål/A 63229-2021 FSC-klagomål.docx", "A 63229-2021")</f>
        <v/>
      </c>
      <c r="Z173">
        <f>HYPERLINK("https://klasma.github.io/Logging_0980/klagomålsmail/A 63229-2021 FSC-klagomål mail.docx", "A 63229-2021")</f>
        <v/>
      </c>
      <c r="AA173">
        <f>HYPERLINK("https://klasma.github.io/Logging_0980/tillsyn/A 63229-2021 tillsynsbegäran.docx", "A 63229-2021")</f>
        <v/>
      </c>
      <c r="AB173">
        <f>HYPERLINK("https://klasma.github.io/Logging_0980/tillsynsmail/A 63229-2021 tillsynsbegäran mail.docx", "A 63229-2021")</f>
        <v/>
      </c>
    </row>
    <row r="174" ht="15" customHeight="1">
      <c r="A174" t="inlineStr">
        <is>
          <t>A 10995-2023</t>
        </is>
      </c>
      <c r="B174" t="inlineStr">
        <is>
          <t>avverkningsanmälan</t>
        </is>
      </c>
      <c r="C174" t="inlineStr">
        <is>
          <t>Föryngringsavverkning</t>
        </is>
      </c>
      <c r="D174" s="1" t="n">
        <v>44986</v>
      </c>
      <c r="E174" s="1" t="n">
        <v>46217</v>
      </c>
      <c r="F174" t="inlineStr">
        <is>
          <t>GOTLANDS LÄN</t>
        </is>
      </c>
      <c r="G174" t="inlineStr">
        <is>
          <t>GOTLAND</t>
        </is>
      </c>
      <c r="I174" t="n">
        <v>2.8</v>
      </c>
      <c r="J174" t="n">
        <v>0</v>
      </c>
      <c r="K174" t="n">
        <v>0</v>
      </c>
      <c r="L174" t="n">
        <v>0</v>
      </c>
      <c r="M174" t="n">
        <v>1</v>
      </c>
      <c r="N174" t="n">
        <v>0</v>
      </c>
      <c r="O174" t="n">
        <v>0</v>
      </c>
      <c r="P174" t="n">
        <v>0</v>
      </c>
      <c r="Q174" t="n">
        <v>1</v>
      </c>
      <c r="R174" t="n">
        <v>1</v>
      </c>
      <c r="S174" t="n">
        <v>1</v>
      </c>
      <c r="T174" t="n">
        <v>1</v>
      </c>
      <c r="U174" s="2" t="inlineStr">
        <is>
          <t>Violettfläckig spindling</t>
        </is>
      </c>
      <c r="V174">
        <f>HYPERLINK("https://klasma.github.io/Logging_0980/artfynd/A 10995-2023 artfynd.xlsx", "A 10995-2023")</f>
        <v/>
      </c>
      <c r="W174">
        <f>HYPERLINK("https://klasma.github.io/Logging_0980/kartor/A 10995-2023 karta.png", "A 10995-2023")</f>
        <v/>
      </c>
      <c r="Y174">
        <f>HYPERLINK("https://klasma.github.io/Logging_0980/klagomål/A 10995-2023 FSC-klagomål.docx", "A 10995-2023")</f>
        <v/>
      </c>
      <c r="Z174">
        <f>HYPERLINK("https://klasma.github.io/Logging_0980/klagomålsmail/A 10995-2023 FSC-klagomål mail.docx", "A 10995-2023")</f>
        <v/>
      </c>
      <c r="AA174">
        <f>HYPERLINK("https://klasma.github.io/Logging_0980/tillsyn/A 10995-2023 tillsynsbegäran.docx", "A 10995-2023")</f>
        <v/>
      </c>
      <c r="AB174">
        <f>HYPERLINK("https://klasma.github.io/Logging_0980/tillsynsmail/A 10995-2023 tillsynsbegäran mail.docx", "A 10995-2023")</f>
        <v/>
      </c>
    </row>
    <row r="175" ht="15" customHeight="1">
      <c r="A175" t="inlineStr">
        <is>
          <t>A 62552-2022</t>
        </is>
      </c>
      <c r="B175" t="inlineStr">
        <is>
          <t>avverkningsanmälan</t>
        </is>
      </c>
      <c r="C175" t="inlineStr">
        <is>
          <t>Föryngringsavverkning</t>
        </is>
      </c>
      <c r="D175" s="1" t="n">
        <v>44924</v>
      </c>
      <c r="E175" s="1" t="n">
        <v>46217</v>
      </c>
      <c r="F175" t="inlineStr">
        <is>
          <t>GOTLANDS LÄN</t>
        </is>
      </c>
      <c r="G175" t="inlineStr">
        <is>
          <t>GOTLAND</t>
        </is>
      </c>
      <c r="I175" t="n">
        <v>1.6</v>
      </c>
      <c r="J175" t="n">
        <v>0</v>
      </c>
      <c r="K175" t="n">
        <v>0</v>
      </c>
      <c r="L175" t="n">
        <v>1</v>
      </c>
      <c r="M175" t="n">
        <v>0</v>
      </c>
      <c r="N175" t="n">
        <v>0</v>
      </c>
      <c r="O175" t="n">
        <v>0</v>
      </c>
      <c r="P175" t="n">
        <v>0</v>
      </c>
      <c r="Q175" t="n">
        <v>1</v>
      </c>
      <c r="R175" t="n">
        <v>0</v>
      </c>
      <c r="S175" t="n">
        <v>1</v>
      </c>
      <c r="T175" t="n">
        <v>1</v>
      </c>
      <c r="U175" s="2" t="inlineStr">
        <is>
          <t>Äggspindling</t>
        </is>
      </c>
      <c r="V175">
        <f>HYPERLINK("https://klasma.github.io/Logging_0980/artfynd/A 62552-2022 artfynd.xlsx", "A 62552-2022")</f>
        <v/>
      </c>
      <c r="W175">
        <f>HYPERLINK("https://klasma.github.io/Logging_0980/kartor/A 62552-2022 karta.png", "A 62552-2022")</f>
        <v/>
      </c>
      <c r="Y175">
        <f>HYPERLINK("https://klasma.github.io/Logging_0980/klagomål/A 62552-2022 FSC-klagomål.docx", "A 62552-2022")</f>
        <v/>
      </c>
      <c r="Z175">
        <f>HYPERLINK("https://klasma.github.io/Logging_0980/klagomålsmail/A 62552-2022 FSC-klagomål mail.docx", "A 62552-2022")</f>
        <v/>
      </c>
      <c r="AA175">
        <f>HYPERLINK("https://klasma.github.io/Logging_0980/tillsyn/A 62552-2022 tillsynsbegäran.docx", "A 62552-2022")</f>
        <v/>
      </c>
      <c r="AB175">
        <f>HYPERLINK("https://klasma.github.io/Logging_0980/tillsynsmail/A 62552-2022 tillsynsbegäran mail.docx", "A 62552-2022")</f>
        <v/>
      </c>
    </row>
    <row r="176" ht="15" customHeight="1">
      <c r="A176" t="inlineStr">
        <is>
          <t>A 44088-2022</t>
        </is>
      </c>
      <c r="B176" t="inlineStr">
        <is>
          <t>avverkningsanmälan</t>
        </is>
      </c>
      <c r="C176" t="inlineStr">
        <is>
          <t>Föryngringsavverkning</t>
        </is>
      </c>
      <c r="D176" s="1" t="n">
        <v>44839</v>
      </c>
      <c r="E176" s="1" t="n">
        <v>46217</v>
      </c>
      <c r="F176" t="inlineStr">
        <is>
          <t>GOTLANDS LÄN</t>
        </is>
      </c>
      <c r="G176" t="inlineStr">
        <is>
          <t>GOTLAND</t>
        </is>
      </c>
      <c r="I176" t="n">
        <v>1.5</v>
      </c>
      <c r="J176" t="n">
        <v>0</v>
      </c>
      <c r="K176" t="n">
        <v>1</v>
      </c>
      <c r="L176" t="n">
        <v>0</v>
      </c>
      <c r="M176" t="n">
        <v>0</v>
      </c>
      <c r="N176" t="n">
        <v>0</v>
      </c>
      <c r="O176" t="n">
        <v>0</v>
      </c>
      <c r="P176" t="n">
        <v>0</v>
      </c>
      <c r="Q176" t="n">
        <v>0</v>
      </c>
      <c r="R176" t="n">
        <v>0</v>
      </c>
      <c r="S176" t="n">
        <v>1</v>
      </c>
      <c r="T176" t="n">
        <v>1</v>
      </c>
      <c r="U176" s="2" t="inlineStr">
        <is>
          <t>Strävlosta</t>
        </is>
      </c>
      <c r="V176">
        <f>HYPERLINK("https://klasma.github.io/Logging_0980/artfynd/A 44088-2022 artfynd.xlsx", "A 44088-2022")</f>
        <v/>
      </c>
      <c r="W176">
        <f>HYPERLINK("https://klasma.github.io/Logging_0980/kartor/A 44088-2022 karta.png", "A 44088-2022")</f>
        <v/>
      </c>
      <c r="Y176">
        <f>HYPERLINK("https://klasma.github.io/Logging_0980/klagomål/A 44088-2022 FSC-klagomål.docx", "A 44088-2022")</f>
        <v/>
      </c>
      <c r="Z176">
        <f>HYPERLINK("https://klasma.github.io/Logging_0980/klagomålsmail/A 44088-2022 FSC-klagomål mail.docx", "A 44088-2022")</f>
        <v/>
      </c>
      <c r="AA176">
        <f>HYPERLINK("https://klasma.github.io/Logging_0980/tillsyn/A 44088-2022 tillsynsbegäran.docx", "A 44088-2022")</f>
        <v/>
      </c>
      <c r="AB176">
        <f>HYPERLINK("https://klasma.github.io/Logging_0980/tillsynsmail/A 44088-2022 tillsynsbegäran mail.docx", "A 44088-2022")</f>
        <v/>
      </c>
    </row>
    <row r="177" ht="15" customHeight="1">
      <c r="A177" t="inlineStr">
        <is>
          <t>A 49693-2023</t>
        </is>
      </c>
      <c r="B177" t="inlineStr">
        <is>
          <t>avverkningsanmälan</t>
        </is>
      </c>
      <c r="C177" t="inlineStr">
        <is>
          <t>Föryngringsavverkning</t>
        </is>
      </c>
      <c r="D177" s="1" t="n">
        <v>45212</v>
      </c>
      <c r="E177" s="1" t="n">
        <v>46217</v>
      </c>
      <c r="F177" t="inlineStr">
        <is>
          <t>GOTLANDS LÄN</t>
        </is>
      </c>
      <c r="G177" t="inlineStr">
        <is>
          <t>GOTLAND</t>
        </is>
      </c>
      <c r="I177" t="n">
        <v>2.4</v>
      </c>
      <c r="J177" t="n">
        <v>0</v>
      </c>
      <c r="K177" t="n">
        <v>0</v>
      </c>
      <c r="L177" t="n">
        <v>0</v>
      </c>
      <c r="M177" t="n">
        <v>1</v>
      </c>
      <c r="N177" t="n">
        <v>0</v>
      </c>
      <c r="O177" t="n">
        <v>0</v>
      </c>
      <c r="P177" t="n">
        <v>0</v>
      </c>
      <c r="Q177" t="n">
        <v>1</v>
      </c>
      <c r="R177" t="n">
        <v>1</v>
      </c>
      <c r="S177" t="n">
        <v>1</v>
      </c>
      <c r="T177" t="n">
        <v>1</v>
      </c>
      <c r="U177" s="2" t="inlineStr">
        <is>
          <t>Vit taggsvamp</t>
        </is>
      </c>
      <c r="V177">
        <f>HYPERLINK("https://klasma.github.io/Logging_0980/artfynd/A 49693-2023 artfynd.xlsx", "A 49693-2023")</f>
        <v/>
      </c>
      <c r="W177">
        <f>HYPERLINK("https://klasma.github.io/Logging_0980/kartor/A 49693-2023 karta.png", "A 49693-2023")</f>
        <v/>
      </c>
      <c r="Y177">
        <f>HYPERLINK("https://klasma.github.io/Logging_0980/klagomål/A 49693-2023 FSC-klagomål.docx", "A 49693-2023")</f>
        <v/>
      </c>
      <c r="Z177">
        <f>HYPERLINK("https://klasma.github.io/Logging_0980/klagomålsmail/A 49693-2023 FSC-klagomål mail.docx", "A 49693-2023")</f>
        <v/>
      </c>
      <c r="AA177">
        <f>HYPERLINK("https://klasma.github.io/Logging_0980/tillsyn/A 49693-2023 tillsynsbegäran.docx", "A 49693-2023")</f>
        <v/>
      </c>
      <c r="AB177">
        <f>HYPERLINK("https://klasma.github.io/Logging_0980/tillsynsmail/A 49693-2023 tillsynsbegäran mail.docx", "A 49693-2023")</f>
        <v/>
      </c>
    </row>
    <row r="178" ht="15" customHeight="1">
      <c r="A178" t="inlineStr">
        <is>
          <t>A 69112-2021</t>
        </is>
      </c>
      <c r="B178" t="inlineStr">
        <is>
          <t>avverkningsanmälan</t>
        </is>
      </c>
      <c r="C178" t="inlineStr">
        <is>
          <t>Avverkning för annat ändamål</t>
        </is>
      </c>
      <c r="D178" s="1" t="n">
        <v>44530</v>
      </c>
      <c r="E178" s="1" t="n">
        <v>46217</v>
      </c>
      <c r="F178" t="inlineStr">
        <is>
          <t>GOTLANDS LÄN</t>
        </is>
      </c>
      <c r="G178" t="inlineStr">
        <is>
          <t>GOTLAND</t>
        </is>
      </c>
      <c r="I178" t="n">
        <v>4.2</v>
      </c>
      <c r="J178" t="n">
        <v>0</v>
      </c>
      <c r="K178" t="n">
        <v>0</v>
      </c>
      <c r="L178" t="n">
        <v>1</v>
      </c>
      <c r="M178" t="n">
        <v>0</v>
      </c>
      <c r="N178" t="n">
        <v>0</v>
      </c>
      <c r="O178" t="n">
        <v>0</v>
      </c>
      <c r="P178" t="n">
        <v>0</v>
      </c>
      <c r="Q178" t="n">
        <v>1</v>
      </c>
      <c r="R178" t="n">
        <v>0</v>
      </c>
      <c r="S178" t="n">
        <v>1</v>
      </c>
      <c r="T178" t="n">
        <v>1</v>
      </c>
      <c r="U178" s="2" t="inlineStr">
        <is>
          <t>Sårläka</t>
        </is>
      </c>
      <c r="V178">
        <f>HYPERLINK("https://klasma.github.io/Logging_0980/artfynd/A 69112-2021 artfynd.xlsx", "A 69112-2021")</f>
        <v/>
      </c>
      <c r="W178">
        <f>HYPERLINK("https://klasma.github.io/Logging_0980/kartor/A 69112-2021 karta.png", "A 69112-2021")</f>
        <v/>
      </c>
      <c r="Y178">
        <f>HYPERLINK("https://klasma.github.io/Logging_0980/klagomål/A 69112-2021 FSC-klagomål.docx", "A 69112-2021")</f>
        <v/>
      </c>
      <c r="Z178">
        <f>HYPERLINK("https://klasma.github.io/Logging_0980/klagomålsmail/A 69112-2021 FSC-klagomål mail.docx", "A 69112-2021")</f>
        <v/>
      </c>
      <c r="AA178">
        <f>HYPERLINK("https://klasma.github.io/Logging_0980/tillsyn/A 69112-2021 tillsynsbegäran.docx", "A 69112-2021")</f>
        <v/>
      </c>
      <c r="AB178">
        <f>HYPERLINK("https://klasma.github.io/Logging_0980/tillsynsmail/A 69112-2021 tillsynsbegäran mail.docx", "A 69112-2021")</f>
        <v/>
      </c>
    </row>
    <row r="179" ht="15" customHeight="1">
      <c r="A179" t="inlineStr">
        <is>
          <t>A 447-2023</t>
        </is>
      </c>
      <c r="B179" t="inlineStr">
        <is>
          <t>avverkningsanmälan</t>
        </is>
      </c>
      <c r="C179" t="inlineStr">
        <is>
          <t>Föryngringsavverkning</t>
        </is>
      </c>
      <c r="D179" s="1" t="n">
        <v>44929</v>
      </c>
      <c r="E179" s="1" t="n">
        <v>46217</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s="2" t="inlineStr">
        <is>
          <t>Äggspindling</t>
        </is>
      </c>
      <c r="V179">
        <f>HYPERLINK("https://klasma.github.io/Logging_0980/artfynd/A 447-2023 artfynd.xlsx", "A 447-2023")</f>
        <v/>
      </c>
      <c r="W179">
        <f>HYPERLINK("https://klasma.github.io/Logging_0980/kartor/A 447-2023 karta.png", "A 447-2023")</f>
        <v/>
      </c>
      <c r="Y179">
        <f>HYPERLINK("https://klasma.github.io/Logging_0980/klagomål/A 447-2023 FSC-klagomål.docx", "A 447-2023")</f>
        <v/>
      </c>
      <c r="Z179">
        <f>HYPERLINK("https://klasma.github.io/Logging_0980/klagomålsmail/A 447-2023 FSC-klagomål mail.docx", "A 447-2023")</f>
        <v/>
      </c>
      <c r="AA179">
        <f>HYPERLINK("https://klasma.github.io/Logging_0980/tillsyn/A 447-2023 tillsynsbegäran.docx", "A 447-2023")</f>
        <v/>
      </c>
      <c r="AB179">
        <f>HYPERLINK("https://klasma.github.io/Logging_0980/tillsynsmail/A 447-2023 tillsynsbegäran mail.docx", "A 447-2023")</f>
        <v/>
      </c>
    </row>
    <row r="180" ht="15" customHeight="1">
      <c r="A180" t="inlineStr">
        <is>
          <t>A 947-2023</t>
        </is>
      </c>
      <c r="B180" t="inlineStr">
        <is>
          <t>avverkningsanmälan</t>
        </is>
      </c>
      <c r="C180" t="inlineStr">
        <is>
          <t>Föryngringsavverkning</t>
        </is>
      </c>
      <c r="D180" s="1" t="n">
        <v>44934</v>
      </c>
      <c r="E180" s="1" t="n">
        <v>46217</v>
      </c>
      <c r="F180" t="inlineStr">
        <is>
          <t>GOTLANDS LÄN</t>
        </is>
      </c>
      <c r="G180" t="inlineStr">
        <is>
          <t>GOTLAND</t>
        </is>
      </c>
      <c r="I180" t="n">
        <v>0.7</v>
      </c>
      <c r="J180" t="n">
        <v>1</v>
      </c>
      <c r="K180" t="n">
        <v>0</v>
      </c>
      <c r="L180" t="n">
        <v>0</v>
      </c>
      <c r="M180" t="n">
        <v>1</v>
      </c>
      <c r="N180" t="n">
        <v>0</v>
      </c>
      <c r="O180" t="n">
        <v>0</v>
      </c>
      <c r="P180" t="n">
        <v>0</v>
      </c>
      <c r="Q180" t="n">
        <v>1</v>
      </c>
      <c r="R180" t="n">
        <v>1</v>
      </c>
      <c r="S180" t="n">
        <v>1</v>
      </c>
      <c r="T180" t="n">
        <v>1</v>
      </c>
      <c r="U180" s="2" t="inlineStr">
        <is>
          <t>Garderönn</t>
        </is>
      </c>
      <c r="V180">
        <f>HYPERLINK("https://klasma.github.io/Logging_0980/artfynd/A 947-2023 artfynd.xlsx", "A 947-2023")</f>
        <v/>
      </c>
      <c r="W180">
        <f>HYPERLINK("https://klasma.github.io/Logging_0980/kartor/A 947-2023 karta.png", "A 947-2023")</f>
        <v/>
      </c>
      <c r="Y180">
        <f>HYPERLINK("https://klasma.github.io/Logging_0980/klagomål/A 947-2023 FSC-klagomål.docx", "A 947-2023")</f>
        <v/>
      </c>
      <c r="Z180">
        <f>HYPERLINK("https://klasma.github.io/Logging_0980/klagomålsmail/A 947-2023 FSC-klagomål mail.docx", "A 947-2023")</f>
        <v/>
      </c>
      <c r="AA180">
        <f>HYPERLINK("https://klasma.github.io/Logging_0980/tillsyn/A 947-2023 tillsynsbegäran.docx", "A 947-2023")</f>
        <v/>
      </c>
      <c r="AB180">
        <f>HYPERLINK("https://klasma.github.io/Logging_0980/tillsynsmail/A 947-2023 tillsynsbegäran mail.docx", "A 947-2023")</f>
        <v/>
      </c>
    </row>
    <row r="181" ht="15" customHeight="1">
      <c r="A181" t="inlineStr">
        <is>
          <t>A 49304-2024</t>
        </is>
      </c>
      <c r="B181" t="inlineStr">
        <is>
          <t>avverkningsanmälan</t>
        </is>
      </c>
      <c r="C181" t="inlineStr">
        <is>
          <t>Föryngringsavverkning</t>
        </is>
      </c>
      <c r="D181" s="1" t="n">
        <v>45595</v>
      </c>
      <c r="E181" s="1" t="n">
        <v>46217</v>
      </c>
      <c r="F181" t="inlineStr">
        <is>
          <t>GOTLANDS LÄN</t>
        </is>
      </c>
      <c r="G181" t="inlineStr">
        <is>
          <t>GOTLAND</t>
        </is>
      </c>
      <c r="I181" t="n">
        <v>10.8</v>
      </c>
      <c r="J181" t="n">
        <v>0</v>
      </c>
      <c r="K181" t="n">
        <v>0</v>
      </c>
      <c r="L181" t="n">
        <v>1</v>
      </c>
      <c r="M181" t="n">
        <v>0</v>
      </c>
      <c r="N181" t="n">
        <v>0</v>
      </c>
      <c r="O181" t="n">
        <v>0</v>
      </c>
      <c r="P181" t="n">
        <v>0</v>
      </c>
      <c r="Q181" t="n">
        <v>1</v>
      </c>
      <c r="R181" t="n">
        <v>0</v>
      </c>
      <c r="S181" t="n">
        <v>1</v>
      </c>
      <c r="T181" t="n">
        <v>1</v>
      </c>
      <c r="U181" s="2" t="inlineStr">
        <is>
          <t>Åkerranunkel</t>
        </is>
      </c>
      <c r="V181">
        <f>HYPERLINK("https://klasma.github.io/Logging_0980/artfynd/A 49304-2024 artfynd.xlsx", "A 49304-2024")</f>
        <v/>
      </c>
      <c r="W181">
        <f>HYPERLINK("https://klasma.github.io/Logging_0980/kartor/A 49304-2024 karta.png", "A 49304-2024")</f>
        <v/>
      </c>
      <c r="Y181">
        <f>HYPERLINK("https://klasma.github.io/Logging_0980/klagomål/A 49304-2024 FSC-klagomål.docx", "A 49304-2024")</f>
        <v/>
      </c>
      <c r="Z181">
        <f>HYPERLINK("https://klasma.github.io/Logging_0980/klagomålsmail/A 49304-2024 FSC-klagomål mail.docx", "A 49304-2024")</f>
        <v/>
      </c>
      <c r="AA181">
        <f>HYPERLINK("https://klasma.github.io/Logging_0980/tillsyn/A 49304-2024 tillsynsbegäran.docx", "A 49304-2024")</f>
        <v/>
      </c>
      <c r="AB181">
        <f>HYPERLINK("https://klasma.github.io/Logging_0980/tillsynsmail/A 49304-2024 tillsynsbegäran mail.docx", "A 49304-2024")</f>
        <v/>
      </c>
    </row>
    <row r="182" ht="15" customHeight="1">
      <c r="A182" t="inlineStr">
        <is>
          <t>A 46545-2024</t>
        </is>
      </c>
      <c r="B182" t="inlineStr">
        <is>
          <t>avverkningsanmälan</t>
        </is>
      </c>
      <c r="C182" t="inlineStr">
        <is>
          <t>Föryngringsavverkning</t>
        </is>
      </c>
      <c r="D182" s="1" t="n">
        <v>45582</v>
      </c>
      <c r="E182" s="1" t="n">
        <v>46217</v>
      </c>
      <c r="F182" t="inlineStr">
        <is>
          <t>GOTLANDS LÄN</t>
        </is>
      </c>
      <c r="G182" t="inlineStr">
        <is>
          <t>GOTLAND</t>
        </is>
      </c>
      <c r="I182" t="n">
        <v>1.2</v>
      </c>
      <c r="J182" t="n">
        <v>0</v>
      </c>
      <c r="K182" t="n">
        <v>0</v>
      </c>
      <c r="L182" t="n">
        <v>0</v>
      </c>
      <c r="M182" t="n">
        <v>1</v>
      </c>
      <c r="N182" t="n">
        <v>0</v>
      </c>
      <c r="O182" t="n">
        <v>0</v>
      </c>
      <c r="P182" t="n">
        <v>0</v>
      </c>
      <c r="Q182" t="n">
        <v>1</v>
      </c>
      <c r="R182" t="n">
        <v>1</v>
      </c>
      <c r="S182" t="n">
        <v>1</v>
      </c>
      <c r="T182" t="n">
        <v>1</v>
      </c>
      <c r="U182" s="2" t="inlineStr">
        <is>
          <t>Källnate</t>
        </is>
      </c>
      <c r="V182">
        <f>HYPERLINK("https://klasma.github.io/Logging_0980/artfynd/A 46545-2024 artfynd.xlsx", "A 46545-2024")</f>
        <v/>
      </c>
      <c r="W182">
        <f>HYPERLINK("https://klasma.github.io/Logging_0980/kartor/A 46545-2024 karta.png", "A 46545-2024")</f>
        <v/>
      </c>
      <c r="Y182">
        <f>HYPERLINK("https://klasma.github.io/Logging_0980/klagomål/A 46545-2024 FSC-klagomål.docx", "A 46545-2024")</f>
        <v/>
      </c>
      <c r="Z182">
        <f>HYPERLINK("https://klasma.github.io/Logging_0980/klagomålsmail/A 46545-2024 FSC-klagomål mail.docx", "A 46545-2024")</f>
        <v/>
      </c>
      <c r="AA182">
        <f>HYPERLINK("https://klasma.github.io/Logging_0980/tillsyn/A 46545-2024 tillsynsbegäran.docx", "A 46545-2024")</f>
        <v/>
      </c>
      <c r="AB182">
        <f>HYPERLINK("https://klasma.github.io/Logging_0980/tillsynsmail/A 46545-2024 tillsynsbegäran mail.docx", "A 46545-2024")</f>
        <v/>
      </c>
    </row>
    <row r="183" ht="15" customHeight="1">
      <c r="A183" t="inlineStr">
        <is>
          <t>A 27343-2026</t>
        </is>
      </c>
      <c r="B183" t="inlineStr">
        <is>
          <t>avverkningsanmälan</t>
        </is>
      </c>
      <c r="C183" t="inlineStr">
        <is>
          <t>Föryngringsavverkning</t>
        </is>
      </c>
      <c r="D183" s="1" t="n">
        <v>46188</v>
      </c>
      <c r="E183" s="1" t="n">
        <v>46217</v>
      </c>
      <c r="F183" t="inlineStr">
        <is>
          <t>GOTLANDS LÄN</t>
        </is>
      </c>
      <c r="G183" t="inlineStr">
        <is>
          <t>GOTLAND</t>
        </is>
      </c>
      <c r="I183" t="n">
        <v>1.1</v>
      </c>
      <c r="J183" t="n">
        <v>1</v>
      </c>
      <c r="K183" t="n">
        <v>1</v>
      </c>
      <c r="L183" t="n">
        <v>0</v>
      </c>
      <c r="M183" t="n">
        <v>0</v>
      </c>
      <c r="N183" t="n">
        <v>0</v>
      </c>
      <c r="O183" t="n">
        <v>0</v>
      </c>
      <c r="P183" t="n">
        <v>0</v>
      </c>
      <c r="Q183" t="n">
        <v>0</v>
      </c>
      <c r="R183" t="n">
        <v>0</v>
      </c>
      <c r="S183" t="n">
        <v>1</v>
      </c>
      <c r="T183" t="n">
        <v>1</v>
      </c>
      <c r="U183" s="2" t="inlineStr">
        <is>
          <t>Skogsknipprot</t>
        </is>
      </c>
      <c r="V183">
        <f>HYPERLINK("https://klasma.github.io/Logging_0980/artfynd/A 27343-2026 artfynd.xlsx", "A 27343-2026")</f>
        <v/>
      </c>
      <c r="W183">
        <f>HYPERLINK("https://klasma.github.io/Logging_0980/kartor/A 27343-2026 karta.png", "A 27343-2026")</f>
        <v/>
      </c>
      <c r="Y183">
        <f>HYPERLINK("https://klasma.github.io/Logging_0980/klagomål/A 27343-2026 FSC-klagomål.docx", "A 27343-2026")</f>
        <v/>
      </c>
      <c r="Z183">
        <f>HYPERLINK("https://klasma.github.io/Logging_0980/klagomålsmail/A 27343-2026 FSC-klagomål mail.docx", "A 27343-2026")</f>
        <v/>
      </c>
      <c r="AA183">
        <f>HYPERLINK("https://klasma.github.io/Logging_0980/tillsyn/A 27343-2026 tillsynsbegäran.docx", "A 27343-2026")</f>
        <v/>
      </c>
      <c r="AB183">
        <f>HYPERLINK("https://klasma.github.io/Logging_0980/tillsynsmail/A 27343-2026 tillsynsbegäran mail.docx", "A 27343-2026")</f>
        <v/>
      </c>
    </row>
    <row r="184" ht="15" customHeight="1">
      <c r="A184" t="inlineStr">
        <is>
          <t>A 21396-2026</t>
        </is>
      </c>
      <c r="B184" t="inlineStr">
        <is>
          <t>avverkningsanmälan</t>
        </is>
      </c>
      <c r="C184" t="inlineStr">
        <is>
          <t>Föryngringsavverkning</t>
        </is>
      </c>
      <c r="D184" s="1" t="n">
        <v>46148</v>
      </c>
      <c r="E184" s="1" t="n">
        <v>46217</v>
      </c>
      <c r="F184" t="inlineStr">
        <is>
          <t>GOTLANDS LÄN</t>
        </is>
      </c>
      <c r="G184" t="inlineStr">
        <is>
          <t>GOTLAND</t>
        </is>
      </c>
      <c r="I184" t="n">
        <v>6.1</v>
      </c>
      <c r="J184" t="n">
        <v>0</v>
      </c>
      <c r="K184" t="n">
        <v>0</v>
      </c>
      <c r="L184" t="n">
        <v>0</v>
      </c>
      <c r="M184" t="n">
        <v>1</v>
      </c>
      <c r="N184" t="n">
        <v>0</v>
      </c>
      <c r="O184" t="n">
        <v>0</v>
      </c>
      <c r="P184" t="n">
        <v>0</v>
      </c>
      <c r="Q184" t="n">
        <v>1</v>
      </c>
      <c r="R184" t="n">
        <v>1</v>
      </c>
      <c r="S184" t="n">
        <v>1</v>
      </c>
      <c r="T184" t="n">
        <v>1</v>
      </c>
      <c r="U184" s="2" t="inlineStr">
        <is>
          <t>Oxhorndyvel</t>
        </is>
      </c>
      <c r="V184">
        <f>HYPERLINK("https://klasma.github.io/Logging_0980/artfynd/A 21396-2026 artfynd.xlsx", "A 21396-2026")</f>
        <v/>
      </c>
      <c r="W184">
        <f>HYPERLINK("https://klasma.github.io/Logging_0980/kartor/A 21396-2026 karta.png", "A 21396-2026")</f>
        <v/>
      </c>
      <c r="Y184">
        <f>HYPERLINK("https://klasma.github.io/Logging_0980/klagomål/A 21396-2026 FSC-klagomål.docx", "A 21396-2026")</f>
        <v/>
      </c>
      <c r="Z184">
        <f>HYPERLINK("https://klasma.github.io/Logging_0980/klagomålsmail/A 21396-2026 FSC-klagomål mail.docx", "A 21396-2026")</f>
        <v/>
      </c>
      <c r="AA184">
        <f>HYPERLINK("https://klasma.github.io/Logging_0980/tillsyn/A 21396-2026 tillsynsbegäran.docx", "A 21396-2026")</f>
        <v/>
      </c>
      <c r="AB184">
        <f>HYPERLINK("https://klasma.github.io/Logging_0980/tillsynsmail/A 21396-2026 tillsynsbegäran mail.docx", "A 21396-2026")</f>
        <v/>
      </c>
    </row>
    <row r="185" ht="15" customHeight="1">
      <c r="A185" t="inlineStr">
        <is>
          <t>A 64700-2021</t>
        </is>
      </c>
      <c r="B185" t="inlineStr">
        <is>
          <t>avverkningsanmälan</t>
        </is>
      </c>
      <c r="C185" t="inlineStr">
        <is>
          <t>Avverkning för att bevara och utveckla /försöksver</t>
        </is>
      </c>
      <c r="D185" s="1" t="n">
        <v>44511</v>
      </c>
      <c r="E185" s="1" t="n">
        <v>46217</v>
      </c>
      <c r="F185" t="inlineStr">
        <is>
          <t>GOTLANDS LÄN</t>
        </is>
      </c>
      <c r="G185" t="inlineStr">
        <is>
          <t>GOTLAND</t>
        </is>
      </c>
      <c r="H185" t="inlineStr">
        <is>
          <t>Naturvårdsverket</t>
        </is>
      </c>
      <c r="I185" t="n">
        <v>2.4</v>
      </c>
      <c r="J185" t="n">
        <v>1</v>
      </c>
      <c r="K185" t="n">
        <v>0</v>
      </c>
      <c r="L185" t="n">
        <v>1</v>
      </c>
      <c r="M185" t="n">
        <v>0</v>
      </c>
      <c r="N185" t="n">
        <v>0</v>
      </c>
      <c r="O185" t="n">
        <v>0</v>
      </c>
      <c r="P185" t="n">
        <v>0</v>
      </c>
      <c r="Q185" t="n">
        <v>1</v>
      </c>
      <c r="R185" t="n">
        <v>0</v>
      </c>
      <c r="S185" t="n">
        <v>1</v>
      </c>
      <c r="T185" t="n">
        <v>3</v>
      </c>
      <c r="U185" s="2" t="inlineStr">
        <is>
          <t>Kalkdån</t>
        </is>
      </c>
      <c r="V185">
        <f>HYPERLINK("https://klasma.github.io/Logging_0980/artfynd/A 64700-2021 artfynd.xlsx", "A 64700-2021")</f>
        <v/>
      </c>
      <c r="W185">
        <f>HYPERLINK("https://klasma.github.io/Logging_0980/kartor/A 64700-2021 karta.png", "A 64700-2021")</f>
        <v/>
      </c>
      <c r="Y185">
        <f>HYPERLINK("https://klasma.github.io/Logging_0980/klagomål/A 64700-2021 FSC-klagomål.docx", "A 64700-2021")</f>
        <v/>
      </c>
      <c r="Z185">
        <f>HYPERLINK("https://klasma.github.io/Logging_0980/klagomålsmail/A 64700-2021 FSC-klagomål mail.docx", "A 64700-2021")</f>
        <v/>
      </c>
      <c r="AA185">
        <f>HYPERLINK("https://klasma.github.io/Logging_0980/tillsyn/A 64700-2021 tillsynsbegäran.docx", "A 64700-2021")</f>
        <v/>
      </c>
      <c r="AB185">
        <f>HYPERLINK("https://klasma.github.io/Logging_0980/tillsynsmail/A 64700-2021 tillsynsbegäran mail.docx", "A 64700-2021")</f>
        <v/>
      </c>
    </row>
    <row r="186" ht="15" customHeight="1">
      <c r="A186" t="inlineStr">
        <is>
          <t>A 62915-2021</t>
        </is>
      </c>
      <c r="B186" t="inlineStr">
        <is>
          <t>avverkningsanmälan</t>
        </is>
      </c>
      <c r="C186" t="inlineStr">
        <is>
          <t>Föryngringsavverkning</t>
        </is>
      </c>
      <c r="D186" s="1" t="n">
        <v>44504</v>
      </c>
      <c r="E186" s="1" t="n">
        <v>46217</v>
      </c>
      <c r="F186" t="inlineStr">
        <is>
          <t>GOTLANDS LÄN</t>
        </is>
      </c>
      <c r="G186" t="inlineStr">
        <is>
          <t>GOTLAND</t>
        </is>
      </c>
      <c r="I186" t="n">
        <v>1.1</v>
      </c>
      <c r="J186" t="n">
        <v>1</v>
      </c>
      <c r="K186" t="n">
        <v>0</v>
      </c>
      <c r="L186" t="n">
        <v>0</v>
      </c>
      <c r="M186" t="n">
        <v>0</v>
      </c>
      <c r="N186" t="n">
        <v>0</v>
      </c>
      <c r="O186" t="n">
        <v>0</v>
      </c>
      <c r="P186" t="n">
        <v>0</v>
      </c>
      <c r="Q186" t="n">
        <v>0</v>
      </c>
      <c r="R186" t="n">
        <v>0</v>
      </c>
      <c r="S186" t="n">
        <v>1</v>
      </c>
      <c r="T186" t="n">
        <v>1</v>
      </c>
      <c r="U186" s="2" t="inlineStr">
        <is>
          <t>Bredarun</t>
        </is>
      </c>
      <c r="V186">
        <f>HYPERLINK("https://klasma.github.io/Logging_0980/artfynd/A 62915-2021 artfynd.xlsx", "A 62915-2021")</f>
        <v/>
      </c>
      <c r="W186">
        <f>HYPERLINK("https://klasma.github.io/Logging_0980/kartor/A 62915-2021 karta.png", "A 62915-2021")</f>
        <v/>
      </c>
      <c r="Y186">
        <f>HYPERLINK("https://klasma.github.io/Logging_0980/klagomål/A 62915-2021 FSC-klagomål.docx", "A 62915-2021")</f>
        <v/>
      </c>
      <c r="Z186">
        <f>HYPERLINK("https://klasma.github.io/Logging_0980/klagomålsmail/A 62915-2021 FSC-klagomål mail.docx", "A 62915-2021")</f>
        <v/>
      </c>
      <c r="AA186">
        <f>HYPERLINK("https://klasma.github.io/Logging_0980/tillsyn/A 62915-2021 tillsynsbegäran.docx", "A 62915-2021")</f>
        <v/>
      </c>
      <c r="AB186">
        <f>HYPERLINK("https://klasma.github.io/Logging_0980/tillsynsmail/A 62915-2021 tillsynsbegäran mail.docx", "A 62915-2021")</f>
        <v/>
      </c>
    </row>
    <row r="187" ht="15" customHeight="1">
      <c r="A187" t="inlineStr">
        <is>
          <t>A 1477-2024</t>
        </is>
      </c>
      <c r="B187" t="inlineStr">
        <is>
          <t>avverkningsanmälan</t>
        </is>
      </c>
      <c r="C187" t="inlineStr">
        <is>
          <t>Föryngringsavverkning</t>
        </is>
      </c>
      <c r="D187" s="1" t="n">
        <v>45305</v>
      </c>
      <c r="E187" s="1" t="n">
        <v>46217</v>
      </c>
      <c r="F187" t="inlineStr">
        <is>
          <t>GOTLANDS LÄN</t>
        </is>
      </c>
      <c r="G187" t="inlineStr">
        <is>
          <t>GOTLAND</t>
        </is>
      </c>
      <c r="I187" t="n">
        <v>6.9</v>
      </c>
      <c r="J187" t="n">
        <v>0</v>
      </c>
      <c r="K187" t="n">
        <v>0</v>
      </c>
      <c r="L187" t="n">
        <v>0</v>
      </c>
      <c r="M187" t="n">
        <v>1</v>
      </c>
      <c r="N187" t="n">
        <v>0</v>
      </c>
      <c r="O187" t="n">
        <v>0</v>
      </c>
      <c r="P187" t="n">
        <v>0</v>
      </c>
      <c r="Q187" t="n">
        <v>1</v>
      </c>
      <c r="R187" t="n">
        <v>1</v>
      </c>
      <c r="S187" t="n">
        <v>1</v>
      </c>
      <c r="T187" t="n">
        <v>1</v>
      </c>
      <c r="U187" s="2" t="inlineStr">
        <is>
          <t>Igelkott</t>
        </is>
      </c>
      <c r="V187">
        <f>HYPERLINK("https://klasma.github.io/Logging_0980/artfynd/A 1477-2024 artfynd.xlsx", "A 1477-2024")</f>
        <v/>
      </c>
      <c r="W187">
        <f>HYPERLINK("https://klasma.github.io/Logging_0980/kartor/A 1477-2024 karta.png", "A 1477-2024")</f>
        <v/>
      </c>
      <c r="Y187">
        <f>HYPERLINK("https://klasma.github.io/Logging_0980/klagomål/A 1477-2024 FSC-klagomål.docx", "A 1477-2024")</f>
        <v/>
      </c>
      <c r="Z187">
        <f>HYPERLINK("https://klasma.github.io/Logging_0980/klagomålsmail/A 1477-2024 FSC-klagomål mail.docx", "A 1477-2024")</f>
        <v/>
      </c>
      <c r="AA187">
        <f>HYPERLINK("https://klasma.github.io/Logging_0980/tillsyn/A 1477-2024 tillsynsbegäran.docx", "A 1477-2024")</f>
        <v/>
      </c>
      <c r="AB187">
        <f>HYPERLINK("https://klasma.github.io/Logging_0980/tillsynsmail/A 1477-2024 tillsynsbegäran mail.docx", "A 1477-2024")</f>
        <v/>
      </c>
    </row>
    <row r="188" ht="15" customHeight="1">
      <c r="A188" t="inlineStr">
        <is>
          <t>A 1677-2023</t>
        </is>
      </c>
      <c r="B188" t="inlineStr">
        <is>
          <t>avverkningsanmälan</t>
        </is>
      </c>
      <c r="C188" t="inlineStr">
        <is>
          <t>Föryngringsavverkning</t>
        </is>
      </c>
      <c r="D188" s="1" t="n">
        <v>44938</v>
      </c>
      <c r="E188" s="1" t="n">
        <v>46217</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s="2" t="inlineStr">
        <is>
          <t>Strandrosettmossa</t>
        </is>
      </c>
      <c r="V188">
        <f>HYPERLINK("https://klasma.github.io/Logging_0980/artfynd/A 1677-2023 artfynd.xlsx", "A 1677-2023")</f>
        <v/>
      </c>
      <c r="W188">
        <f>HYPERLINK("https://klasma.github.io/Logging_0980/kartor/A 1677-2023 karta.png", "A 1677-2023")</f>
        <v/>
      </c>
      <c r="Y188">
        <f>HYPERLINK("https://klasma.github.io/Logging_0980/klagomål/A 1677-2023 FSC-klagomål.docx", "A 1677-2023")</f>
        <v/>
      </c>
      <c r="Z188">
        <f>HYPERLINK("https://klasma.github.io/Logging_0980/klagomålsmail/A 1677-2023 FSC-klagomål mail.docx", "A 1677-2023")</f>
        <v/>
      </c>
      <c r="AA188">
        <f>HYPERLINK("https://klasma.github.io/Logging_0980/tillsyn/A 1677-2023 tillsynsbegäran.docx", "A 1677-2023")</f>
        <v/>
      </c>
      <c r="AB188">
        <f>HYPERLINK("https://klasma.github.io/Logging_0980/tillsynsmail/A 1677-2023 tillsynsbegäran mail.docx", "A 1677-2023")</f>
        <v/>
      </c>
    </row>
    <row r="189" ht="15" customHeight="1">
      <c r="A189" t="inlineStr">
        <is>
          <t>A 7637-2025</t>
        </is>
      </c>
      <c r="B189" t="inlineStr">
        <is>
          <t>avverkningsanmälan</t>
        </is>
      </c>
      <c r="C189" t="inlineStr">
        <is>
          <t>Föryngringsavverkning</t>
        </is>
      </c>
      <c r="D189" s="1" t="n">
        <v>45705</v>
      </c>
      <c r="E189" s="1" t="n">
        <v>46217</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s="2" t="inlineStr">
        <is>
          <t>Skogsalm</t>
        </is>
      </c>
      <c r="V189">
        <f>HYPERLINK("https://klasma.github.io/Logging_0980/artfynd/A 7637-2025 artfynd.xlsx", "A 7637-2025")</f>
        <v/>
      </c>
      <c r="W189">
        <f>HYPERLINK("https://klasma.github.io/Logging_0980/kartor/A 7637-2025 karta.png", "A 7637-2025")</f>
        <v/>
      </c>
      <c r="Y189">
        <f>HYPERLINK("https://klasma.github.io/Logging_0980/klagomål/A 7637-2025 FSC-klagomål.docx", "A 7637-2025")</f>
        <v/>
      </c>
      <c r="Z189">
        <f>HYPERLINK("https://klasma.github.io/Logging_0980/klagomålsmail/A 7637-2025 FSC-klagomål mail.docx", "A 7637-2025")</f>
        <v/>
      </c>
      <c r="AA189">
        <f>HYPERLINK("https://klasma.github.io/Logging_0980/tillsyn/A 7637-2025 tillsynsbegäran.docx", "A 7637-2025")</f>
        <v/>
      </c>
      <c r="AB189">
        <f>HYPERLINK("https://klasma.github.io/Logging_0980/tillsynsmail/A 7637-2025 tillsynsbegäran mail.docx", "A 7637-2025")</f>
        <v/>
      </c>
    </row>
    <row r="190" ht="15" customHeight="1">
      <c r="A190" t="inlineStr">
        <is>
          <t>A 6303-2024</t>
        </is>
      </c>
      <c r="B190" t="inlineStr">
        <is>
          <t>avverkningsanmälan</t>
        </is>
      </c>
      <c r="C190" t="inlineStr">
        <is>
          <t>Föryngringsavverkning</t>
        </is>
      </c>
      <c r="D190" s="1" t="n">
        <v>45338</v>
      </c>
      <c r="E190" s="1" t="n">
        <v>46217</v>
      </c>
      <c r="F190" t="inlineStr">
        <is>
          <t>GOTLANDS LÄN</t>
        </is>
      </c>
      <c r="G190" t="inlineStr">
        <is>
          <t>GOTLAND</t>
        </is>
      </c>
      <c r="I190" t="n">
        <v>0.6</v>
      </c>
      <c r="J190" t="n">
        <v>0</v>
      </c>
      <c r="K190" t="n">
        <v>1</v>
      </c>
      <c r="L190" t="n">
        <v>0</v>
      </c>
      <c r="M190" t="n">
        <v>0</v>
      </c>
      <c r="N190" t="n">
        <v>0</v>
      </c>
      <c r="O190" t="n">
        <v>0</v>
      </c>
      <c r="P190" t="n">
        <v>0</v>
      </c>
      <c r="Q190" t="n">
        <v>0</v>
      </c>
      <c r="R190" t="n">
        <v>0</v>
      </c>
      <c r="S190" t="n">
        <v>1</v>
      </c>
      <c r="T190" t="n">
        <v>1</v>
      </c>
      <c r="U190" s="2" t="inlineStr">
        <is>
          <t>Strävlosta</t>
        </is>
      </c>
      <c r="V190">
        <f>HYPERLINK("https://klasma.github.io/Logging_0980/artfynd/A 6303-2024 artfynd.xlsx", "A 6303-2024")</f>
        <v/>
      </c>
      <c r="W190">
        <f>HYPERLINK("https://klasma.github.io/Logging_0980/kartor/A 6303-2024 karta.png", "A 6303-2024")</f>
        <v/>
      </c>
      <c r="Y190">
        <f>HYPERLINK("https://klasma.github.io/Logging_0980/klagomål/A 6303-2024 FSC-klagomål.docx", "A 6303-2024")</f>
        <v/>
      </c>
      <c r="Z190">
        <f>HYPERLINK("https://klasma.github.io/Logging_0980/klagomålsmail/A 6303-2024 FSC-klagomål mail.docx", "A 6303-2024")</f>
        <v/>
      </c>
      <c r="AA190">
        <f>HYPERLINK("https://klasma.github.io/Logging_0980/tillsyn/A 6303-2024 tillsynsbegäran.docx", "A 6303-2024")</f>
        <v/>
      </c>
      <c r="AB190">
        <f>HYPERLINK("https://klasma.github.io/Logging_0980/tillsynsmail/A 6303-2024 tillsynsbegäran mail.docx", "A 6303-2024")</f>
        <v/>
      </c>
    </row>
    <row r="191" ht="15" customHeight="1">
      <c r="A191" t="inlineStr">
        <is>
          <t>A 40294-2022</t>
        </is>
      </c>
      <c r="B191" t="inlineStr">
        <is>
          <t>avverkningsanmälan</t>
        </is>
      </c>
      <c r="C191" t="inlineStr">
        <is>
          <t>Föryngringsavverkning</t>
        </is>
      </c>
      <c r="D191" s="1" t="n">
        <v>44821</v>
      </c>
      <c r="E191" s="1" t="n">
        <v>46217</v>
      </c>
      <c r="F191" t="inlineStr">
        <is>
          <t>GOTLANDS LÄN</t>
        </is>
      </c>
      <c r="G191" t="inlineStr">
        <is>
          <t>GOTLAND</t>
        </is>
      </c>
      <c r="I191" t="n">
        <v>1.6</v>
      </c>
      <c r="J191" t="n">
        <v>0</v>
      </c>
      <c r="K191" t="n">
        <v>0</v>
      </c>
      <c r="L191" t="n">
        <v>0</v>
      </c>
      <c r="M191" t="n">
        <v>1</v>
      </c>
      <c r="N191" t="n">
        <v>0</v>
      </c>
      <c r="O191" t="n">
        <v>0</v>
      </c>
      <c r="P191" t="n">
        <v>0</v>
      </c>
      <c r="Q191" t="n">
        <v>1</v>
      </c>
      <c r="R191" t="n">
        <v>1</v>
      </c>
      <c r="S191" t="n">
        <v>1</v>
      </c>
      <c r="T191" t="n">
        <v>1</v>
      </c>
      <c r="U191" s="2" t="inlineStr">
        <is>
          <t>Gotlandsmåra</t>
        </is>
      </c>
      <c r="V191">
        <f>HYPERLINK("https://klasma.github.io/Logging_0980/artfynd/A 40294-2022 artfynd.xlsx", "A 40294-2022")</f>
        <v/>
      </c>
      <c r="W191">
        <f>HYPERLINK("https://klasma.github.io/Logging_0980/kartor/A 40294-2022 karta.png", "A 40294-2022")</f>
        <v/>
      </c>
      <c r="Y191">
        <f>HYPERLINK("https://klasma.github.io/Logging_0980/klagomål/A 40294-2022 FSC-klagomål.docx", "A 40294-2022")</f>
        <v/>
      </c>
      <c r="Z191">
        <f>HYPERLINK("https://klasma.github.io/Logging_0980/klagomålsmail/A 40294-2022 FSC-klagomål mail.docx", "A 40294-2022")</f>
        <v/>
      </c>
      <c r="AA191">
        <f>HYPERLINK("https://klasma.github.io/Logging_0980/tillsyn/A 40294-2022 tillsynsbegäran.docx", "A 40294-2022")</f>
        <v/>
      </c>
      <c r="AB191">
        <f>HYPERLINK("https://klasma.github.io/Logging_0980/tillsynsmail/A 40294-2022 tillsynsbegäran mail.docx", "A 40294-2022")</f>
        <v/>
      </c>
    </row>
    <row r="192" ht="15" customHeight="1">
      <c r="A192" t="inlineStr">
        <is>
          <t>A 34809-2024</t>
        </is>
      </c>
      <c r="B192" t="inlineStr">
        <is>
          <t>avverkningsanmälan</t>
        </is>
      </c>
      <c r="C192" t="inlineStr">
        <is>
          <t>Föryngringsavverkning</t>
        </is>
      </c>
      <c r="D192" s="1" t="n">
        <v>45526</v>
      </c>
      <c r="E192" s="1" t="n">
        <v>46217</v>
      </c>
      <c r="F192" t="inlineStr">
        <is>
          <t>GOTLANDS LÄN</t>
        </is>
      </c>
      <c r="G192" t="inlineStr">
        <is>
          <t>GOTLAND</t>
        </is>
      </c>
      <c r="I192" t="n">
        <v>9.9</v>
      </c>
      <c r="J192" t="n">
        <v>1</v>
      </c>
      <c r="K192" t="n">
        <v>0</v>
      </c>
      <c r="L192" t="n">
        <v>1</v>
      </c>
      <c r="M192" t="n">
        <v>0</v>
      </c>
      <c r="N192" t="n">
        <v>0</v>
      </c>
      <c r="O192" t="n">
        <v>0</v>
      </c>
      <c r="P192" t="n">
        <v>0</v>
      </c>
      <c r="Q192" t="n">
        <v>1</v>
      </c>
      <c r="R192" t="n">
        <v>0</v>
      </c>
      <c r="S192" t="n">
        <v>1</v>
      </c>
      <c r="T192" t="n">
        <v>2</v>
      </c>
      <c r="U192" s="2" t="inlineStr">
        <is>
          <t>Brun ögontröst</t>
        </is>
      </c>
      <c r="V192">
        <f>HYPERLINK("https://klasma.github.io/Logging_0980/artfynd/A 34809-2024 artfynd.xlsx", "A 34809-2024")</f>
        <v/>
      </c>
      <c r="W192">
        <f>HYPERLINK("https://klasma.github.io/Logging_0980/kartor/A 34809-2024 karta.png", "A 34809-2024")</f>
        <v/>
      </c>
      <c r="Y192">
        <f>HYPERLINK("https://klasma.github.io/Logging_0980/klagomål/A 34809-2024 FSC-klagomål.docx", "A 34809-2024")</f>
        <v/>
      </c>
      <c r="Z192">
        <f>HYPERLINK("https://klasma.github.io/Logging_0980/klagomålsmail/A 34809-2024 FSC-klagomål mail.docx", "A 34809-2024")</f>
        <v/>
      </c>
      <c r="AA192">
        <f>HYPERLINK("https://klasma.github.io/Logging_0980/tillsyn/A 34809-2024 tillsynsbegäran.docx", "A 34809-2024")</f>
        <v/>
      </c>
      <c r="AB192">
        <f>HYPERLINK("https://klasma.github.io/Logging_0980/tillsynsmail/A 34809-2024 tillsynsbegäran mail.docx", "A 34809-2024")</f>
        <v/>
      </c>
    </row>
    <row r="193" ht="15" customHeight="1">
      <c r="A193" t="inlineStr">
        <is>
          <t>A 1066-2024</t>
        </is>
      </c>
      <c r="B193" t="inlineStr">
        <is>
          <t>avverkningsanmälan</t>
        </is>
      </c>
      <c r="C193" t="inlineStr">
        <is>
          <t>Föryngringsavverkning</t>
        </is>
      </c>
      <c r="D193" s="1" t="n">
        <v>45302</v>
      </c>
      <c r="E193" s="1" t="n">
        <v>46217</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s="2" t="inlineStr">
        <is>
          <t>Svinrot</t>
        </is>
      </c>
      <c r="V193">
        <f>HYPERLINK("https://klasma.github.io/Logging_0980/artfynd/A 1066-2024 artfynd.xlsx", "A 1066-2024")</f>
        <v/>
      </c>
      <c r="W193">
        <f>HYPERLINK("https://klasma.github.io/Logging_0980/kartor/A 1066-2024 karta.png", "A 1066-2024")</f>
        <v/>
      </c>
      <c r="Y193">
        <f>HYPERLINK("https://klasma.github.io/Logging_0980/klagomål/A 1066-2024 FSC-klagomål.docx", "A 1066-2024")</f>
        <v/>
      </c>
      <c r="Z193">
        <f>HYPERLINK("https://klasma.github.io/Logging_0980/klagomålsmail/A 1066-2024 FSC-klagomål mail.docx", "A 1066-2024")</f>
        <v/>
      </c>
      <c r="AA193">
        <f>HYPERLINK("https://klasma.github.io/Logging_0980/tillsyn/A 1066-2024 tillsynsbegäran.docx", "A 1066-2024")</f>
        <v/>
      </c>
      <c r="AB193">
        <f>HYPERLINK("https://klasma.github.io/Logging_0980/tillsynsmail/A 1066-2024 tillsynsbegäran mail.docx", "A 1066-2024")</f>
        <v/>
      </c>
    </row>
    <row r="194" ht="15" customHeight="1">
      <c r="A194" t="inlineStr">
        <is>
          <t>A 13482-2026</t>
        </is>
      </c>
      <c r="B194" t="inlineStr">
        <is>
          <t>avverkningsanmälan</t>
        </is>
      </c>
      <c r="C194" t="inlineStr">
        <is>
          <t>Föryngringsavverkning</t>
        </is>
      </c>
      <c r="D194" s="1" t="n">
        <v>46094</v>
      </c>
      <c r="E194" s="1" t="n">
        <v>46217</v>
      </c>
      <c r="F194" t="inlineStr">
        <is>
          <t>GOTLANDS LÄN</t>
        </is>
      </c>
      <c r="G194" t="inlineStr">
        <is>
          <t>GOTLAND</t>
        </is>
      </c>
      <c r="I194" t="n">
        <v>1.7</v>
      </c>
      <c r="J194" t="n">
        <v>1</v>
      </c>
      <c r="K194" t="n">
        <v>0</v>
      </c>
      <c r="L194" t="n">
        <v>0</v>
      </c>
      <c r="M194" t="n">
        <v>0</v>
      </c>
      <c r="N194" t="n">
        <v>0</v>
      </c>
      <c r="O194" t="n">
        <v>0</v>
      </c>
      <c r="P194" t="n">
        <v>0</v>
      </c>
      <c r="Q194" t="n">
        <v>0</v>
      </c>
      <c r="R194" t="n">
        <v>0</v>
      </c>
      <c r="S194" t="n">
        <v>1</v>
      </c>
      <c r="T194" t="n">
        <v>1</v>
      </c>
      <c r="U194" s="2" t="inlineStr">
        <is>
          <t>Spillkråka</t>
        </is>
      </c>
      <c r="V194">
        <f>HYPERLINK("https://klasma.github.io/Logging_0980/artfynd/A 13482-2026 artfynd.xlsx", "A 13482-2026")</f>
        <v/>
      </c>
      <c r="W194">
        <f>HYPERLINK("https://klasma.github.io/Logging_0980/kartor/A 13482-2026 karta.png", "A 13482-2026")</f>
        <v/>
      </c>
      <c r="Y194">
        <f>HYPERLINK("https://klasma.github.io/Logging_0980/klagomål/A 13482-2026 FSC-klagomål.docx", "A 13482-2026")</f>
        <v/>
      </c>
      <c r="Z194">
        <f>HYPERLINK("https://klasma.github.io/Logging_0980/klagomålsmail/A 13482-2026 FSC-klagomål mail.docx", "A 13482-2026")</f>
        <v/>
      </c>
      <c r="AA194">
        <f>HYPERLINK("https://klasma.github.io/Logging_0980/tillsyn/A 13482-2026 tillsynsbegäran.docx", "A 13482-2026")</f>
        <v/>
      </c>
      <c r="AB194">
        <f>HYPERLINK("https://klasma.github.io/Logging_0980/tillsynsmail/A 13482-2026 tillsynsbegäran mail.docx", "A 13482-2026")</f>
        <v/>
      </c>
      <c r="AC194">
        <f>HYPERLINK("https://klasma.github.io/Logging_0980/fåglar/A 13482-2026 prioriterade fågelarter.docx", "A 13482-2026")</f>
        <v/>
      </c>
    </row>
    <row r="195" ht="15" customHeight="1">
      <c r="A195" t="inlineStr">
        <is>
          <t>A 30176-2026</t>
        </is>
      </c>
      <c r="B195" t="inlineStr">
        <is>
          <t>avverkningsanmälan</t>
        </is>
      </c>
      <c r="C195" t="inlineStr">
        <is>
          <t>Avverkning för annat ändamål</t>
        </is>
      </c>
      <c r="D195" s="1" t="n">
        <v>46203</v>
      </c>
      <c r="E195" s="1" t="n">
        <v>46217</v>
      </c>
      <c r="F195" t="inlineStr">
        <is>
          <t>GOTLANDS LÄN</t>
        </is>
      </c>
      <c r="G195" t="inlineStr">
        <is>
          <t>GOTLAND</t>
        </is>
      </c>
      <c r="I195" t="n">
        <v>3.7</v>
      </c>
      <c r="J195" t="n">
        <v>1</v>
      </c>
      <c r="K195" t="n">
        <v>0</v>
      </c>
      <c r="L195" t="n">
        <v>0</v>
      </c>
      <c r="M195" t="n">
        <v>0</v>
      </c>
      <c r="N195" t="n">
        <v>0</v>
      </c>
      <c r="O195" t="n">
        <v>0</v>
      </c>
      <c r="P195" t="n">
        <v>0</v>
      </c>
      <c r="Q195" t="n">
        <v>0</v>
      </c>
      <c r="R195" t="n">
        <v>0</v>
      </c>
      <c r="S195" t="n">
        <v>1</v>
      </c>
      <c r="T195" t="n">
        <v>1</v>
      </c>
      <c r="U195" s="2" t="inlineStr">
        <is>
          <t>Bredarun</t>
        </is>
      </c>
      <c r="V195">
        <f>HYPERLINK("https://klasma.github.io/Logging_0980/artfynd/A 30176-2026 artfynd.xlsx", "A 30176-2026")</f>
        <v/>
      </c>
      <c r="W195">
        <f>HYPERLINK("https://klasma.github.io/Logging_0980/kartor/A 30176-2026 karta.png", "A 30176-2026")</f>
        <v/>
      </c>
      <c r="Y195">
        <f>HYPERLINK("https://klasma.github.io/Logging_0980/klagomål/A 30176-2026 FSC-klagomål.docx", "A 30176-2026")</f>
        <v/>
      </c>
      <c r="Z195">
        <f>HYPERLINK("https://klasma.github.io/Logging_0980/klagomålsmail/A 30176-2026 FSC-klagomål mail.docx", "A 30176-2026")</f>
        <v/>
      </c>
      <c r="AA195">
        <f>HYPERLINK("https://klasma.github.io/Logging_0980/tillsyn/A 30176-2026 tillsynsbegäran.docx", "A 30176-2026")</f>
        <v/>
      </c>
      <c r="AB195">
        <f>HYPERLINK("https://klasma.github.io/Logging_0980/tillsynsmail/A 30176-2026 tillsynsbegäran mail.docx", "A 30176-2026")</f>
        <v/>
      </c>
    </row>
    <row r="196" ht="15" customHeight="1">
      <c r="A196" t="inlineStr">
        <is>
          <t>A 4662-2026</t>
        </is>
      </c>
      <c r="B196" t="inlineStr">
        <is>
          <t>avverkningsanmälan</t>
        </is>
      </c>
      <c r="C196" t="inlineStr">
        <is>
          <t>Föryngringsavverkning</t>
        </is>
      </c>
      <c r="D196" s="1" t="n">
        <v>46048</v>
      </c>
      <c r="E196" s="1" t="n">
        <v>46217</v>
      </c>
      <c r="F196" t="inlineStr">
        <is>
          <t>GOTLANDS LÄN</t>
        </is>
      </c>
      <c r="G196" t="inlineStr">
        <is>
          <t>GOTLAND</t>
        </is>
      </c>
      <c r="I196" t="n">
        <v>7.6</v>
      </c>
      <c r="J196" t="n">
        <v>0</v>
      </c>
      <c r="K196" t="n">
        <v>0</v>
      </c>
      <c r="L196" t="n">
        <v>0</v>
      </c>
      <c r="M196" t="n">
        <v>1</v>
      </c>
      <c r="N196" t="n">
        <v>0</v>
      </c>
      <c r="O196" t="n">
        <v>0</v>
      </c>
      <c r="P196" t="n">
        <v>0</v>
      </c>
      <c r="Q196" t="n">
        <v>1</v>
      </c>
      <c r="R196" t="n">
        <v>1</v>
      </c>
      <c r="S196" t="n">
        <v>1</v>
      </c>
      <c r="T196" t="n">
        <v>1</v>
      </c>
      <c r="U196" s="2" t="inlineStr">
        <is>
          <t>Strandviol</t>
        </is>
      </c>
      <c r="V196">
        <f>HYPERLINK("https://klasma.github.io/Logging_0980/artfynd/A 4662-2026 artfynd.xlsx", "A 4662-2026")</f>
        <v/>
      </c>
      <c r="W196">
        <f>HYPERLINK("https://klasma.github.io/Logging_0980/kartor/A 4662-2026 karta.png", "A 4662-2026")</f>
        <v/>
      </c>
      <c r="Y196">
        <f>HYPERLINK("https://klasma.github.io/Logging_0980/klagomål/A 4662-2026 FSC-klagomål.docx", "A 4662-2026")</f>
        <v/>
      </c>
      <c r="Z196">
        <f>HYPERLINK("https://klasma.github.io/Logging_0980/klagomålsmail/A 4662-2026 FSC-klagomål mail.docx", "A 4662-2026")</f>
        <v/>
      </c>
      <c r="AA196">
        <f>HYPERLINK("https://klasma.github.io/Logging_0980/tillsyn/A 4662-2026 tillsynsbegäran.docx", "A 4662-2026")</f>
        <v/>
      </c>
      <c r="AB196">
        <f>HYPERLINK("https://klasma.github.io/Logging_0980/tillsynsmail/A 4662-2026 tillsynsbegäran mail.docx", "A 4662-2026")</f>
        <v/>
      </c>
    </row>
    <row r="197" ht="15" customHeight="1">
      <c r="A197" t="inlineStr">
        <is>
          <t>A 11982-2026</t>
        </is>
      </c>
      <c r="B197" t="inlineStr">
        <is>
          <t>avverkningsanmälan</t>
        </is>
      </c>
      <c r="C197" t="inlineStr">
        <is>
          <t>Föryngringsavverkning</t>
        </is>
      </c>
      <c r="D197" s="1" t="n">
        <v>46085</v>
      </c>
      <c r="E197" s="1" t="n">
        <v>46217</v>
      </c>
      <c r="F197" t="inlineStr">
        <is>
          <t>GOTLANDS LÄN</t>
        </is>
      </c>
      <c r="G197" t="inlineStr">
        <is>
          <t>GOTLAND</t>
        </is>
      </c>
      <c r="I197" t="n">
        <v>2.2</v>
      </c>
      <c r="J197" t="n">
        <v>0</v>
      </c>
      <c r="K197" t="n">
        <v>0</v>
      </c>
      <c r="L197" t="n">
        <v>1</v>
      </c>
      <c r="M197" t="n">
        <v>0</v>
      </c>
      <c r="N197" t="n">
        <v>0</v>
      </c>
      <c r="O197" t="n">
        <v>0</v>
      </c>
      <c r="P197" t="n">
        <v>0</v>
      </c>
      <c r="Q197" t="n">
        <v>1</v>
      </c>
      <c r="R197" t="n">
        <v>0</v>
      </c>
      <c r="S197" t="n">
        <v>1</v>
      </c>
      <c r="T197" t="n">
        <v>1</v>
      </c>
      <c r="U197" s="2" t="inlineStr">
        <is>
          <t>Småtörel</t>
        </is>
      </c>
      <c r="V197">
        <f>HYPERLINK("https://klasma.github.io/Logging_0980/artfynd/A 11982-2026 artfynd.xlsx", "A 11982-2026")</f>
        <v/>
      </c>
      <c r="W197">
        <f>HYPERLINK("https://klasma.github.io/Logging_0980/kartor/A 11982-2026 karta.png", "A 11982-2026")</f>
        <v/>
      </c>
      <c r="Y197">
        <f>HYPERLINK("https://klasma.github.io/Logging_0980/klagomål/A 11982-2026 FSC-klagomål.docx", "A 11982-2026")</f>
        <v/>
      </c>
      <c r="Z197">
        <f>HYPERLINK("https://klasma.github.io/Logging_0980/klagomålsmail/A 11982-2026 FSC-klagomål mail.docx", "A 11982-2026")</f>
        <v/>
      </c>
      <c r="AA197">
        <f>HYPERLINK("https://klasma.github.io/Logging_0980/tillsyn/A 11982-2026 tillsynsbegäran.docx", "A 11982-2026")</f>
        <v/>
      </c>
      <c r="AB197">
        <f>HYPERLINK("https://klasma.github.io/Logging_0980/tillsynsmail/A 11982-2026 tillsynsbegäran mail.docx", "A 11982-2026")</f>
        <v/>
      </c>
    </row>
    <row r="198" ht="15" customHeight="1">
      <c r="A198" t="inlineStr">
        <is>
          <t>A 17000-2026</t>
        </is>
      </c>
      <c r="B198" t="inlineStr">
        <is>
          <t>avverkningsanmälan</t>
        </is>
      </c>
      <c r="C198" t="inlineStr">
        <is>
          <t>Föryngringsavverkning</t>
        </is>
      </c>
      <c r="D198" s="1" t="n">
        <v>46114</v>
      </c>
      <c r="E198" s="1" t="n">
        <v>46217</v>
      </c>
      <c r="F198" t="inlineStr">
        <is>
          <t>GOTLANDS LÄN</t>
        </is>
      </c>
      <c r="G198" t="inlineStr">
        <is>
          <t>GOTLAND</t>
        </is>
      </c>
      <c r="I198" t="n">
        <v>1.9</v>
      </c>
      <c r="J198" t="n">
        <v>1</v>
      </c>
      <c r="K198" t="n">
        <v>0</v>
      </c>
      <c r="L198" t="n">
        <v>0</v>
      </c>
      <c r="M198" t="n">
        <v>0</v>
      </c>
      <c r="N198" t="n">
        <v>0</v>
      </c>
      <c r="O198" t="n">
        <v>0</v>
      </c>
      <c r="P198" t="n">
        <v>0</v>
      </c>
      <c r="Q198" t="n">
        <v>0</v>
      </c>
      <c r="R198" t="n">
        <v>0</v>
      </c>
      <c r="S198" t="n">
        <v>1</v>
      </c>
      <c r="T198" t="n">
        <v>1</v>
      </c>
      <c r="U198" s="2" t="inlineStr">
        <is>
          <t>Kalkkrassing</t>
        </is>
      </c>
      <c r="V198">
        <f>HYPERLINK("https://klasma.github.io/Logging_0980/artfynd/A 17000-2026 artfynd.xlsx", "A 17000-2026")</f>
        <v/>
      </c>
      <c r="W198">
        <f>HYPERLINK("https://klasma.github.io/Logging_0980/kartor/A 17000-2026 karta.png", "A 17000-2026")</f>
        <v/>
      </c>
      <c r="Y198">
        <f>HYPERLINK("https://klasma.github.io/Logging_0980/klagomål/A 17000-2026 FSC-klagomål.docx", "A 17000-2026")</f>
        <v/>
      </c>
      <c r="Z198">
        <f>HYPERLINK("https://klasma.github.io/Logging_0980/klagomålsmail/A 17000-2026 FSC-klagomål mail.docx", "A 17000-2026")</f>
        <v/>
      </c>
      <c r="AA198">
        <f>HYPERLINK("https://klasma.github.io/Logging_0980/tillsyn/A 17000-2026 tillsynsbegäran.docx", "A 17000-2026")</f>
        <v/>
      </c>
      <c r="AB198">
        <f>HYPERLINK("https://klasma.github.io/Logging_0980/tillsynsmail/A 17000-2026 tillsynsbegäran mail.docx", "A 17000-2026")</f>
        <v/>
      </c>
    </row>
    <row r="199" ht="15" customHeight="1">
      <c r="A199" t="inlineStr">
        <is>
          <t>A 5863-2026</t>
        </is>
      </c>
      <c r="B199" t="inlineStr">
        <is>
          <t>avverkningsanmälan</t>
        </is>
      </c>
      <c r="C199" t="inlineStr">
        <is>
          <t>Föryngringsavverkning</t>
        </is>
      </c>
      <c r="D199" s="1" t="n">
        <v>46052</v>
      </c>
      <c r="E199" s="1" t="n">
        <v>46217</v>
      </c>
      <c r="F199" t="inlineStr">
        <is>
          <t>GOTLANDS LÄN</t>
        </is>
      </c>
      <c r="G199" t="inlineStr">
        <is>
          <t>GOTLAND</t>
        </is>
      </c>
      <c r="I199" t="n">
        <v>1.8</v>
      </c>
      <c r="J199" t="n">
        <v>1</v>
      </c>
      <c r="K199" t="n">
        <v>0</v>
      </c>
      <c r="L199" t="n">
        <v>1</v>
      </c>
      <c r="M199" t="n">
        <v>0</v>
      </c>
      <c r="N199" t="n">
        <v>0</v>
      </c>
      <c r="O199" t="n">
        <v>0</v>
      </c>
      <c r="P199" t="n">
        <v>0</v>
      </c>
      <c r="Q199" t="n">
        <v>1</v>
      </c>
      <c r="R199" t="n">
        <v>0</v>
      </c>
      <c r="S199" t="n">
        <v>1</v>
      </c>
      <c r="T199" t="n">
        <v>33</v>
      </c>
      <c r="U199" s="2" t="inlineStr">
        <is>
          <t>Dårgräsfjäril</t>
        </is>
      </c>
      <c r="V199">
        <f>HYPERLINK("https://klasma.github.io/Logging_0980/artfynd/A 5863-2026 artfynd.xlsx", "A 5863-2026")</f>
        <v/>
      </c>
      <c r="W199">
        <f>HYPERLINK("https://klasma.github.io/Logging_0980/kartor/A 5863-2026 karta.png", "A 5863-2026")</f>
        <v/>
      </c>
      <c r="Y199">
        <f>HYPERLINK("https://klasma.github.io/Logging_0980/klagomål/A 5863-2026 FSC-klagomål.docx", "A 5863-2026")</f>
        <v/>
      </c>
      <c r="Z199">
        <f>HYPERLINK("https://klasma.github.io/Logging_0980/klagomålsmail/A 5863-2026 FSC-klagomål mail.docx", "A 5863-2026")</f>
        <v/>
      </c>
      <c r="AA199">
        <f>HYPERLINK("https://klasma.github.io/Logging_0980/tillsyn/A 5863-2026 tillsynsbegäran.docx", "A 5863-2026")</f>
        <v/>
      </c>
      <c r="AB199">
        <f>HYPERLINK("https://klasma.github.io/Logging_0980/tillsynsmail/A 5863-2026 tillsynsbegäran mail.docx", "A 5863-2026")</f>
        <v/>
      </c>
    </row>
    <row r="200" ht="15" customHeight="1">
      <c r="A200" t="inlineStr">
        <is>
          <t>A 17854-2026</t>
        </is>
      </c>
      <c r="B200" t="inlineStr">
        <is>
          <t>avverkningsanmälan</t>
        </is>
      </c>
      <c r="C200" t="inlineStr">
        <is>
          <t>Föryngringsavverkning</t>
        </is>
      </c>
      <c r="D200" s="1" t="n">
        <v>46121</v>
      </c>
      <c r="E200" s="1" t="n">
        <v>46217</v>
      </c>
      <c r="F200" t="inlineStr">
        <is>
          <t>GOTLANDS LÄN</t>
        </is>
      </c>
      <c r="G200" t="inlineStr">
        <is>
          <t>GOTLAND</t>
        </is>
      </c>
      <c r="I200" t="n">
        <v>6.6</v>
      </c>
      <c r="J200" t="n">
        <v>0</v>
      </c>
      <c r="K200" t="n">
        <v>0</v>
      </c>
      <c r="L200" t="n">
        <v>1</v>
      </c>
      <c r="M200" t="n">
        <v>0</v>
      </c>
      <c r="N200" t="n">
        <v>0</v>
      </c>
      <c r="O200" t="n">
        <v>0</v>
      </c>
      <c r="P200" t="n">
        <v>0</v>
      </c>
      <c r="Q200" t="n">
        <v>1</v>
      </c>
      <c r="R200" t="n">
        <v>0</v>
      </c>
      <c r="S200" t="n">
        <v>1</v>
      </c>
      <c r="T200" t="n">
        <v>1</v>
      </c>
      <c r="U200" s="2" t="inlineStr">
        <is>
          <t>Blå slemspindling</t>
        </is>
      </c>
      <c r="V200">
        <f>HYPERLINK("https://klasma.github.io/Logging_0980/artfynd/A 17854-2026 artfynd.xlsx", "A 17854-2026")</f>
        <v/>
      </c>
      <c r="W200">
        <f>HYPERLINK("https://klasma.github.io/Logging_0980/kartor/A 17854-2026 karta.png", "A 17854-2026")</f>
        <v/>
      </c>
      <c r="Y200">
        <f>HYPERLINK("https://klasma.github.io/Logging_0980/klagomål/A 17854-2026 FSC-klagomål.docx", "A 17854-2026")</f>
        <v/>
      </c>
      <c r="Z200">
        <f>HYPERLINK("https://klasma.github.io/Logging_0980/klagomålsmail/A 17854-2026 FSC-klagomål mail.docx", "A 17854-2026")</f>
        <v/>
      </c>
      <c r="AA200">
        <f>HYPERLINK("https://klasma.github.io/Logging_0980/tillsyn/A 17854-2026 tillsynsbegäran.docx", "A 17854-2026")</f>
        <v/>
      </c>
      <c r="AB200">
        <f>HYPERLINK("https://klasma.github.io/Logging_0980/tillsynsmail/A 17854-2026 tillsynsbegäran mail.docx", "A 17854-2026")</f>
        <v/>
      </c>
    </row>
    <row r="201" ht="15" customHeight="1">
      <c r="A201" t="inlineStr">
        <is>
          <t>A 18036-2026</t>
        </is>
      </c>
      <c r="B201" t="inlineStr">
        <is>
          <t>avverkningsanmälan</t>
        </is>
      </c>
      <c r="C201" t="inlineStr">
        <is>
          <t>Föryngringsavverkning</t>
        </is>
      </c>
      <c r="D201" s="1" t="n">
        <v>46125</v>
      </c>
      <c r="E201" s="1" t="n">
        <v>46217</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s="2" t="inlineStr">
        <is>
          <t>Sommarfibbla</t>
        </is>
      </c>
      <c r="V201">
        <f>HYPERLINK("https://klasma.github.io/Logging_0980/artfynd/A 18036-2026 artfynd.xlsx", "A 18036-2026")</f>
        <v/>
      </c>
      <c r="W201">
        <f>HYPERLINK("https://klasma.github.io/Logging_0980/kartor/A 18036-2026 karta.png", "A 18036-2026")</f>
        <v/>
      </c>
      <c r="Y201">
        <f>HYPERLINK("https://klasma.github.io/Logging_0980/klagomål/A 18036-2026 FSC-klagomål.docx", "A 18036-2026")</f>
        <v/>
      </c>
      <c r="Z201">
        <f>HYPERLINK("https://klasma.github.io/Logging_0980/klagomålsmail/A 18036-2026 FSC-klagomål mail.docx", "A 18036-2026")</f>
        <v/>
      </c>
      <c r="AA201">
        <f>HYPERLINK("https://klasma.github.io/Logging_0980/tillsyn/A 18036-2026 tillsynsbegäran.docx", "A 18036-2026")</f>
        <v/>
      </c>
      <c r="AB201">
        <f>HYPERLINK("https://klasma.github.io/Logging_0980/tillsynsmail/A 18036-2026 tillsynsbegäran mail.docx", "A 18036-2026")</f>
        <v/>
      </c>
    </row>
    <row r="202" ht="15" customHeight="1">
      <c r="A202" t="inlineStr">
        <is>
          <t>A 999-2023</t>
        </is>
      </c>
      <c r="B202" t="inlineStr">
        <is>
          <t>avverkningsanmälan</t>
        </is>
      </c>
      <c r="C202" t="inlineStr">
        <is>
          <t>Föryngringsavverkning</t>
        </is>
      </c>
      <c r="D202" s="1" t="n">
        <v>44935</v>
      </c>
      <c r="E202" s="1" t="n">
        <v>46217</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Y202">
        <f>HYPERLINK("https://klasma.github.io/Logging_0980/klagomål/A 999-2023 FSC-klagomål.docx", "A 999-2023")</f>
        <v/>
      </c>
      <c r="Z202">
        <f>HYPERLINK("https://klasma.github.io/Logging_0980/klagomålsmail/A 999-2023 FSC-klagomål mail.docx", "A 999-2023")</f>
        <v/>
      </c>
      <c r="AA202">
        <f>HYPERLINK("https://klasma.github.io/Logging_0980/tillsyn/A 999-2023 tillsynsbegäran.docx", "A 999-2023")</f>
        <v/>
      </c>
      <c r="AB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46217</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Y203">
        <f>HYPERLINK("https://klasma.github.io/Logging_0980/klagomål/A 22782-2023 FSC-klagomål.docx", "A 22782-2023")</f>
        <v/>
      </c>
      <c r="Z203">
        <f>HYPERLINK("https://klasma.github.io/Logging_0980/klagomålsmail/A 22782-2023 FSC-klagomål mail.docx", "A 22782-2023")</f>
        <v/>
      </c>
      <c r="AA203">
        <f>HYPERLINK("https://klasma.github.io/Logging_0980/tillsyn/A 22782-2023 tillsynsbegäran.docx", "A 22782-2023")</f>
        <v/>
      </c>
      <c r="AB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46217</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Y204">
        <f>HYPERLINK("https://klasma.github.io/Logging_0980/klagomål/A 27602-2023 FSC-klagomål.docx", "A 27602-2023")</f>
        <v/>
      </c>
      <c r="Z204">
        <f>HYPERLINK("https://klasma.github.io/Logging_0980/klagomålsmail/A 27602-2023 FSC-klagomål mail.docx", "A 27602-2023")</f>
        <v/>
      </c>
      <c r="AA204">
        <f>HYPERLINK("https://klasma.github.io/Logging_0980/tillsyn/A 27602-2023 tillsynsbegäran.docx", "A 27602-2023")</f>
        <v/>
      </c>
      <c r="AB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46217</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Y205">
        <f>HYPERLINK("https://klasma.github.io/Logging_0980/klagomål/A 22883-2024 FSC-klagomål.docx", "A 22883-2024")</f>
        <v/>
      </c>
      <c r="Z205">
        <f>HYPERLINK("https://klasma.github.io/Logging_0980/klagomålsmail/A 22883-2024 FSC-klagomål mail.docx", "A 22883-2024")</f>
        <v/>
      </c>
      <c r="AA205">
        <f>HYPERLINK("https://klasma.github.io/Logging_0980/tillsyn/A 22883-2024 tillsynsbegäran.docx", "A 22883-2024")</f>
        <v/>
      </c>
      <c r="AB205">
        <f>HYPERLINK("https://klasma.github.io/Logging_0980/tillsynsmail/A 22883-2024 tillsynsbegäran mail.docx", "A 22883-2024")</f>
        <v/>
      </c>
    </row>
    <row r="206" ht="15" customHeight="1">
      <c r="A206" t="inlineStr">
        <is>
          <t>A 57534-2022</t>
        </is>
      </c>
      <c r="B206" t="inlineStr">
        <is>
          <t>avverkningsanmälan</t>
        </is>
      </c>
      <c r="C206" t="inlineStr">
        <is>
          <t>Föryngringsavverkning</t>
        </is>
      </c>
      <c r="D206" s="1" t="n">
        <v>44896</v>
      </c>
      <c r="E206" s="1" t="n">
        <v>46217</v>
      </c>
      <c r="F206" t="inlineStr">
        <is>
          <t>GOTLANDS LÄN</t>
        </is>
      </c>
      <c r="G206" t="inlineStr">
        <is>
          <t>GOTLAND</t>
        </is>
      </c>
      <c r="I206" t="n">
        <v>0.6</v>
      </c>
      <c r="J206" t="n">
        <v>0</v>
      </c>
      <c r="K206" t="n">
        <v>1</v>
      </c>
      <c r="L206" t="n">
        <v>0</v>
      </c>
      <c r="M206" t="n">
        <v>0</v>
      </c>
      <c r="N206" t="n">
        <v>0</v>
      </c>
      <c r="O206" t="n">
        <v>0</v>
      </c>
      <c r="P206" t="n">
        <v>0</v>
      </c>
      <c r="Q206" t="n">
        <v>0</v>
      </c>
      <c r="R206" t="n">
        <v>0</v>
      </c>
      <c r="S206" t="n">
        <v>1</v>
      </c>
      <c r="T206" t="n">
        <v>1</v>
      </c>
      <c r="U206" s="2" t="inlineStr">
        <is>
          <t>Myskmadra</t>
        </is>
      </c>
      <c r="V206">
        <f>HYPERLINK("https://klasma.github.io/Logging_0980/artfynd/A 57534-2022 artfynd.xlsx", "A 57534-2022")</f>
        <v/>
      </c>
      <c r="W206">
        <f>HYPERLINK("https://klasma.github.io/Logging_0980/kartor/A 57534-2022 karta.png", "A 57534-2022")</f>
        <v/>
      </c>
      <c r="Y206">
        <f>HYPERLINK("https://klasma.github.io/Logging_0980/klagomål/A 57534-2022 FSC-klagomål.docx", "A 57534-2022")</f>
        <v/>
      </c>
      <c r="Z206">
        <f>HYPERLINK("https://klasma.github.io/Logging_0980/klagomålsmail/A 57534-2022 FSC-klagomål mail.docx", "A 57534-2022")</f>
        <v/>
      </c>
      <c r="AA206">
        <f>HYPERLINK("https://klasma.github.io/Logging_0980/tillsyn/A 57534-2022 tillsynsbegäran.docx", "A 57534-2022")</f>
        <v/>
      </c>
      <c r="AB206">
        <f>HYPERLINK("https://klasma.github.io/Logging_0980/tillsynsmail/A 57534-2022 tillsynsbegäran mail.docx", "A 57534-2022")</f>
        <v/>
      </c>
    </row>
    <row r="207" ht="15" customHeight="1">
      <c r="A207" t="inlineStr">
        <is>
          <t>A 24245-2022</t>
        </is>
      </c>
      <c r="B207" t="inlineStr">
        <is>
          <t>avverkningsanmälan</t>
        </is>
      </c>
      <c r="C207" t="inlineStr">
        <is>
          <t>Föryngringsavverkning</t>
        </is>
      </c>
      <c r="D207" s="1" t="n">
        <v>44725</v>
      </c>
      <c r="E207" s="1" t="n">
        <v>46217</v>
      </c>
      <c r="F207" t="inlineStr">
        <is>
          <t>GOTLANDS LÄN</t>
        </is>
      </c>
      <c r="G207" t="inlineStr">
        <is>
          <t>GOTLAND</t>
        </is>
      </c>
      <c r="I207" t="n">
        <v>4.9</v>
      </c>
      <c r="J207" t="n">
        <v>0</v>
      </c>
      <c r="K207" t="n">
        <v>0</v>
      </c>
      <c r="L207" t="n">
        <v>0</v>
      </c>
      <c r="M207" t="n">
        <v>0</v>
      </c>
      <c r="N207" t="n">
        <v>1</v>
      </c>
      <c r="O207" t="n">
        <v>0</v>
      </c>
      <c r="P207" t="n">
        <v>0</v>
      </c>
      <c r="Q207" t="n">
        <v>1</v>
      </c>
      <c r="R207" t="n">
        <v>1</v>
      </c>
      <c r="S207" t="n">
        <v>1</v>
      </c>
      <c r="T207" t="n">
        <v>2</v>
      </c>
      <c r="U207" s="2" t="inlineStr">
        <is>
          <t>Slät taggsvamp</t>
        </is>
      </c>
      <c r="V207">
        <f>HYPERLINK("https://klasma.github.io/Logging_0980/artfynd/A 24245-2022 artfynd.xlsx", "A 24245-2022")</f>
        <v/>
      </c>
      <c r="W207">
        <f>HYPERLINK("https://klasma.github.io/Logging_0980/kartor/A 24245-2022 karta.png", "A 24245-2022")</f>
        <v/>
      </c>
      <c r="Y207">
        <f>HYPERLINK("https://klasma.github.io/Logging_0980/klagomål/A 24245-2022 FSC-klagomål.docx", "A 24245-2022")</f>
        <v/>
      </c>
      <c r="Z207">
        <f>HYPERLINK("https://klasma.github.io/Logging_0980/klagomålsmail/A 24245-2022 FSC-klagomål mail.docx", "A 24245-2022")</f>
        <v/>
      </c>
      <c r="AA207">
        <f>HYPERLINK("https://klasma.github.io/Logging_0980/tillsyn/A 24245-2022 tillsynsbegäran.docx", "A 24245-2022")</f>
        <v/>
      </c>
      <c r="AB207">
        <f>HYPERLINK("https://klasma.github.io/Logging_0980/tillsynsmail/A 24245-2022 tillsynsbegäran mail.docx", "A 24245-2022")</f>
        <v/>
      </c>
    </row>
    <row r="208" ht="15" customHeight="1">
      <c r="A208" t="inlineStr">
        <is>
          <t>A 49847-2023</t>
        </is>
      </c>
      <c r="B208" t="inlineStr">
        <is>
          <t>avverkningsanmälan</t>
        </is>
      </c>
      <c r="C208" t="inlineStr">
        <is>
          <t>Föryngringsavverkning</t>
        </is>
      </c>
      <c r="D208" s="1" t="n">
        <v>45212</v>
      </c>
      <c r="E208" s="1" t="n">
        <v>46217</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s="2" t="inlineStr">
        <is>
          <t>Strandviol</t>
        </is>
      </c>
      <c r="V208">
        <f>HYPERLINK("https://klasma.github.io/Logging_0980/artfynd/A 49847-2023 artfynd.xlsx", "A 49847-2023")</f>
        <v/>
      </c>
      <c r="W208">
        <f>HYPERLINK("https://klasma.github.io/Logging_0980/kartor/A 49847-2023 karta.png", "A 49847-2023")</f>
        <v/>
      </c>
      <c r="Y208">
        <f>HYPERLINK("https://klasma.github.io/Logging_0980/klagomål/A 49847-2023 FSC-klagomål.docx", "A 49847-2023")</f>
        <v/>
      </c>
      <c r="Z208">
        <f>HYPERLINK("https://klasma.github.io/Logging_0980/klagomålsmail/A 49847-2023 FSC-klagomål mail.docx", "A 49847-2023")</f>
        <v/>
      </c>
      <c r="AA208">
        <f>HYPERLINK("https://klasma.github.io/Logging_0980/tillsyn/A 49847-2023 tillsynsbegäran.docx", "A 49847-2023")</f>
        <v/>
      </c>
      <c r="AB208">
        <f>HYPERLINK("https://klasma.github.io/Logging_0980/tillsynsmail/A 49847-2023 tillsynsbegäran mail.docx", "A 49847-2023")</f>
        <v/>
      </c>
    </row>
    <row r="209" ht="15" customHeight="1">
      <c r="A209" t="inlineStr">
        <is>
          <t>A 56115-2023</t>
        </is>
      </c>
      <c r="B209" t="inlineStr">
        <is>
          <t>avverkningsanmälan</t>
        </is>
      </c>
      <c r="C209" t="inlineStr">
        <is>
          <t>Avverkning för annat ändamål</t>
        </is>
      </c>
      <c r="D209" s="1" t="n">
        <v>45236</v>
      </c>
      <c r="E209" s="1" t="n">
        <v>46217</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s="2" t="inlineStr">
        <is>
          <t>Skogsknipprot</t>
        </is>
      </c>
      <c r="V209">
        <f>HYPERLINK("https://klasma.github.io/Logging_0980/artfynd/A 56115-2023 artfynd.xlsx", "A 56115-2023")</f>
        <v/>
      </c>
      <c r="W209">
        <f>HYPERLINK("https://klasma.github.io/Logging_0980/kartor/A 56115-2023 karta.png", "A 56115-2023")</f>
        <v/>
      </c>
      <c r="Y209">
        <f>HYPERLINK("https://klasma.github.io/Logging_0980/klagomål/A 56115-2023 FSC-klagomål.docx", "A 56115-2023")</f>
        <v/>
      </c>
      <c r="Z209">
        <f>HYPERLINK("https://klasma.github.io/Logging_0980/klagomålsmail/A 56115-2023 FSC-klagomål mail.docx", "A 56115-2023")</f>
        <v/>
      </c>
      <c r="AA209">
        <f>HYPERLINK("https://klasma.github.io/Logging_0980/tillsyn/A 56115-2023 tillsynsbegäran.docx", "A 56115-2023")</f>
        <v/>
      </c>
      <c r="AB209">
        <f>HYPERLINK("https://klasma.github.io/Logging_0980/tillsynsmail/A 56115-2023 tillsynsbegäran mail.docx", "A 56115-2023")</f>
        <v/>
      </c>
    </row>
    <row r="210" ht="15" customHeight="1">
      <c r="A210" t="inlineStr">
        <is>
          <t>A 23856-2025</t>
        </is>
      </c>
      <c r="B210" t="inlineStr">
        <is>
          <t>avverkningsanmälan</t>
        </is>
      </c>
      <c r="C210" t="inlineStr">
        <is>
          <t>Föryngringsavverkning</t>
        </is>
      </c>
      <c r="D210" s="1" t="n">
        <v>45793</v>
      </c>
      <c r="E210" s="1" t="n">
        <v>46217</v>
      </c>
      <c r="F210" t="inlineStr">
        <is>
          <t>GOTLANDS LÄN</t>
        </is>
      </c>
      <c r="G210" t="inlineStr">
        <is>
          <t>GOTLAND</t>
        </is>
      </c>
      <c r="I210" t="n">
        <v>4.4</v>
      </c>
      <c r="J210" t="n">
        <v>0</v>
      </c>
      <c r="K210" t="n">
        <v>0</v>
      </c>
      <c r="L210" t="n">
        <v>1</v>
      </c>
      <c r="M210" t="n">
        <v>0</v>
      </c>
      <c r="N210" t="n">
        <v>0</v>
      </c>
      <c r="O210" t="n">
        <v>0</v>
      </c>
      <c r="P210" t="n">
        <v>0</v>
      </c>
      <c r="Q210" t="n">
        <v>1</v>
      </c>
      <c r="R210" t="n">
        <v>0</v>
      </c>
      <c r="S210" t="n">
        <v>1</v>
      </c>
      <c r="T210" t="n">
        <v>1</v>
      </c>
      <c r="U210" s="2" t="inlineStr">
        <is>
          <t>Vittåtel</t>
        </is>
      </c>
      <c r="V210">
        <f>HYPERLINK("https://klasma.github.io/Logging_0980/artfynd/A 23856-2025 artfynd.xlsx", "A 23856-2025")</f>
        <v/>
      </c>
      <c r="W210">
        <f>HYPERLINK("https://klasma.github.io/Logging_0980/kartor/A 23856-2025 karta.png", "A 23856-2025")</f>
        <v/>
      </c>
      <c r="Y210">
        <f>HYPERLINK("https://klasma.github.io/Logging_0980/klagomål/A 23856-2025 FSC-klagomål.docx", "A 23856-2025")</f>
        <v/>
      </c>
      <c r="Z210">
        <f>HYPERLINK("https://klasma.github.io/Logging_0980/klagomålsmail/A 23856-2025 FSC-klagomål mail.docx", "A 23856-2025")</f>
        <v/>
      </c>
      <c r="AA210">
        <f>HYPERLINK("https://klasma.github.io/Logging_0980/tillsyn/A 23856-2025 tillsynsbegäran.docx", "A 23856-2025")</f>
        <v/>
      </c>
      <c r="AB210">
        <f>HYPERLINK("https://klasma.github.io/Logging_0980/tillsynsmail/A 23856-2025 tillsynsbegäran mail.docx", "A 23856-2025")</f>
        <v/>
      </c>
    </row>
    <row r="211" ht="15" customHeight="1">
      <c r="A211" t="inlineStr">
        <is>
          <t>A 6739-2025</t>
        </is>
      </c>
      <c r="B211" t="inlineStr">
        <is>
          <t>avverkningsanmälan</t>
        </is>
      </c>
      <c r="C211" t="inlineStr">
        <is>
          <t>Föryngringsavverkning</t>
        </is>
      </c>
      <c r="D211" s="1" t="n">
        <v>45700</v>
      </c>
      <c r="E211" s="1" t="n">
        <v>46217</v>
      </c>
      <c r="F211" t="inlineStr">
        <is>
          <t>GOTLANDS LÄN</t>
        </is>
      </c>
      <c r="G211" t="inlineStr">
        <is>
          <t>GOTLAND</t>
        </is>
      </c>
      <c r="I211" t="n">
        <v>4.5</v>
      </c>
      <c r="J211" t="n">
        <v>1</v>
      </c>
      <c r="K211" t="n">
        <v>0</v>
      </c>
      <c r="L211" t="n">
        <v>0</v>
      </c>
      <c r="M211" t="n">
        <v>0</v>
      </c>
      <c r="N211" t="n">
        <v>0</v>
      </c>
      <c r="O211" t="n">
        <v>0</v>
      </c>
      <c r="P211" t="n">
        <v>0</v>
      </c>
      <c r="Q211" t="n">
        <v>0</v>
      </c>
      <c r="R211" t="n">
        <v>0</v>
      </c>
      <c r="S211" t="n">
        <v>1</v>
      </c>
      <c r="T211" t="n">
        <v>1</v>
      </c>
      <c r="U211" s="2" t="inlineStr">
        <is>
          <t>Röd glada</t>
        </is>
      </c>
      <c r="V211">
        <f>HYPERLINK("https://klasma.github.io/Logging_0980/artfynd/A 6739-2025 artfynd.xlsx", "A 6739-2025")</f>
        <v/>
      </c>
      <c r="W211">
        <f>HYPERLINK("https://klasma.github.io/Logging_0980/kartor/A 6739-2025 karta.png", "A 6739-2025")</f>
        <v/>
      </c>
      <c r="Y211">
        <f>HYPERLINK("https://klasma.github.io/Logging_0980/klagomål/A 6739-2025 FSC-klagomål.docx", "A 6739-2025")</f>
        <v/>
      </c>
      <c r="Z211">
        <f>HYPERLINK("https://klasma.github.io/Logging_0980/klagomålsmail/A 6739-2025 FSC-klagomål mail.docx", "A 6739-2025")</f>
        <v/>
      </c>
      <c r="AA211">
        <f>HYPERLINK("https://klasma.github.io/Logging_0980/tillsyn/A 6739-2025 tillsynsbegäran.docx", "A 6739-2025")</f>
        <v/>
      </c>
      <c r="AB211">
        <f>HYPERLINK("https://klasma.github.io/Logging_0980/tillsynsmail/A 6739-2025 tillsynsbegäran mail.docx", "A 6739-2025")</f>
        <v/>
      </c>
      <c r="AC211">
        <f>HYPERLINK("https://klasma.github.io/Logging_0980/fåglar/A 6739-2025 prioriterade fågelarter.docx", "A 6739-2025")</f>
        <v/>
      </c>
    </row>
    <row r="212" ht="15" customHeight="1">
      <c r="A212" t="inlineStr">
        <is>
          <t>A 34141-2024</t>
        </is>
      </c>
      <c r="B212" t="inlineStr">
        <is>
          <t>avverkningsanmälan</t>
        </is>
      </c>
      <c r="C212" t="inlineStr">
        <is>
          <t>Föryngringsavverkning</t>
        </is>
      </c>
      <c r="D212" s="1" t="n">
        <v>45524</v>
      </c>
      <c r="E212" s="1" t="n">
        <v>46217</v>
      </c>
      <c r="F212" t="inlineStr">
        <is>
          <t>GOTLANDS LÄN</t>
        </is>
      </c>
      <c r="G212" t="inlineStr">
        <is>
          <t>GOTLAND</t>
        </is>
      </c>
      <c r="I212" t="n">
        <v>0.9</v>
      </c>
      <c r="J212" t="n">
        <v>0</v>
      </c>
      <c r="K212" t="n">
        <v>1</v>
      </c>
      <c r="L212" t="n">
        <v>0</v>
      </c>
      <c r="M212" t="n">
        <v>0</v>
      </c>
      <c r="N212" t="n">
        <v>0</v>
      </c>
      <c r="O212" t="n">
        <v>0</v>
      </c>
      <c r="P212" t="n">
        <v>0</v>
      </c>
      <c r="Q212" t="n">
        <v>0</v>
      </c>
      <c r="R212" t="n">
        <v>0</v>
      </c>
      <c r="S212" t="n">
        <v>1</v>
      </c>
      <c r="T212" t="n">
        <v>1</v>
      </c>
      <c r="U212" s="2" t="inlineStr">
        <is>
          <t>Strävlosta</t>
        </is>
      </c>
      <c r="V212">
        <f>HYPERLINK("https://klasma.github.io/Logging_0980/artfynd/A 34141-2024 artfynd.xlsx", "A 34141-2024")</f>
        <v/>
      </c>
      <c r="W212">
        <f>HYPERLINK("https://klasma.github.io/Logging_0980/kartor/A 34141-2024 karta.png", "A 34141-2024")</f>
        <v/>
      </c>
      <c r="Y212">
        <f>HYPERLINK("https://klasma.github.io/Logging_0980/klagomål/A 34141-2024 FSC-klagomål.docx", "A 34141-2024")</f>
        <v/>
      </c>
      <c r="Z212">
        <f>HYPERLINK("https://klasma.github.io/Logging_0980/klagomålsmail/A 34141-2024 FSC-klagomål mail.docx", "A 34141-2024")</f>
        <v/>
      </c>
      <c r="AA212">
        <f>HYPERLINK("https://klasma.github.io/Logging_0980/tillsyn/A 34141-2024 tillsynsbegäran.docx", "A 34141-2024")</f>
        <v/>
      </c>
      <c r="AB212">
        <f>HYPERLINK("https://klasma.github.io/Logging_0980/tillsynsmail/A 34141-2024 tillsynsbegäran mail.docx", "A 34141-2024")</f>
        <v/>
      </c>
    </row>
    <row r="213" ht="15" customHeight="1">
      <c r="A213" t="inlineStr">
        <is>
          <t>A 9862-2024</t>
        </is>
      </c>
      <c r="B213" t="inlineStr">
        <is>
          <t>avverkningsanmälan</t>
        </is>
      </c>
      <c r="C213" t="inlineStr">
        <is>
          <t>Föryngringsavverkning</t>
        </is>
      </c>
      <c r="D213" s="1" t="n">
        <v>45363</v>
      </c>
      <c r="E213" s="1" t="n">
        <v>46217</v>
      </c>
      <c r="F213" t="inlineStr">
        <is>
          <t>GOTLANDS LÄN</t>
        </is>
      </c>
      <c r="G213" t="inlineStr">
        <is>
          <t>GOTLAND</t>
        </is>
      </c>
      <c r="I213" t="n">
        <v>3.5</v>
      </c>
      <c r="J213" t="n">
        <v>1</v>
      </c>
      <c r="K213" t="n">
        <v>0</v>
      </c>
      <c r="L213" t="n">
        <v>0</v>
      </c>
      <c r="M213" t="n">
        <v>0</v>
      </c>
      <c r="N213" t="n">
        <v>0</v>
      </c>
      <c r="O213" t="n">
        <v>0</v>
      </c>
      <c r="P213" t="n">
        <v>0</v>
      </c>
      <c r="Q213" t="n">
        <v>0</v>
      </c>
      <c r="R213" t="n">
        <v>0</v>
      </c>
      <c r="S213" t="n">
        <v>1</v>
      </c>
      <c r="T213" t="n">
        <v>1</v>
      </c>
      <c r="U213" s="2" t="inlineStr">
        <is>
          <t>Nattviol</t>
        </is>
      </c>
      <c r="V213">
        <f>HYPERLINK("https://klasma.github.io/Logging_0980/artfynd/A 9862-2024 artfynd.xlsx", "A 9862-2024")</f>
        <v/>
      </c>
      <c r="W213">
        <f>HYPERLINK("https://klasma.github.io/Logging_0980/kartor/A 9862-2024 karta.png", "A 9862-2024")</f>
        <v/>
      </c>
      <c r="Y213">
        <f>HYPERLINK("https://klasma.github.io/Logging_0980/klagomål/A 9862-2024 FSC-klagomål.docx", "A 9862-2024")</f>
        <v/>
      </c>
      <c r="Z213">
        <f>HYPERLINK("https://klasma.github.io/Logging_0980/klagomålsmail/A 9862-2024 FSC-klagomål mail.docx", "A 9862-2024")</f>
        <v/>
      </c>
      <c r="AA213">
        <f>HYPERLINK("https://klasma.github.io/Logging_0980/tillsyn/A 9862-2024 tillsynsbegäran.docx", "A 9862-2024")</f>
        <v/>
      </c>
      <c r="AB213">
        <f>HYPERLINK("https://klasma.github.io/Logging_0980/tillsynsmail/A 9862-2024 tillsynsbegäran mail.docx", "A 9862-2024")</f>
        <v/>
      </c>
    </row>
    <row r="214" ht="15" customHeight="1">
      <c r="A214" t="inlineStr">
        <is>
          <t>A 30104-2025</t>
        </is>
      </c>
      <c r="B214" t="inlineStr">
        <is>
          <t>avverkningsanmälan</t>
        </is>
      </c>
      <c r="C214" t="inlineStr">
        <is>
          <t>Föryngringsavverkning</t>
        </is>
      </c>
      <c r="D214" s="1" t="n">
        <v>45826</v>
      </c>
      <c r="E214" s="1" t="n">
        <v>46217</v>
      </c>
      <c r="F214" t="inlineStr">
        <is>
          <t>GOTLANDS LÄN</t>
        </is>
      </c>
      <c r="G214" t="inlineStr">
        <is>
          <t>GOTLAND</t>
        </is>
      </c>
      <c r="I214" t="n">
        <v>15.4</v>
      </c>
      <c r="J214" t="n">
        <v>0</v>
      </c>
      <c r="K214" t="n">
        <v>1</v>
      </c>
      <c r="L214" t="n">
        <v>0</v>
      </c>
      <c r="M214" t="n">
        <v>0</v>
      </c>
      <c r="N214" t="n">
        <v>0</v>
      </c>
      <c r="O214" t="n">
        <v>0</v>
      </c>
      <c r="P214" t="n">
        <v>0</v>
      </c>
      <c r="Q214" t="n">
        <v>0</v>
      </c>
      <c r="R214" t="n">
        <v>0</v>
      </c>
      <c r="S214" t="n">
        <v>1</v>
      </c>
      <c r="T214" t="n">
        <v>2</v>
      </c>
      <c r="U214" s="2" t="inlineStr">
        <is>
          <t>Blåmossa</t>
        </is>
      </c>
      <c r="V214">
        <f>HYPERLINK("https://klasma.github.io/Logging_0980/artfynd/A 30104-2025 artfynd.xlsx", "A 30104-2025")</f>
        <v/>
      </c>
      <c r="W214">
        <f>HYPERLINK("https://klasma.github.io/Logging_0980/kartor/A 30104-2025 karta.png", "A 30104-2025")</f>
        <v/>
      </c>
      <c r="Y214">
        <f>HYPERLINK("https://klasma.github.io/Logging_0980/klagomål/A 30104-2025 FSC-klagomål.docx", "A 30104-2025")</f>
        <v/>
      </c>
      <c r="Z214">
        <f>HYPERLINK("https://klasma.github.io/Logging_0980/klagomålsmail/A 30104-2025 FSC-klagomål mail.docx", "A 30104-2025")</f>
        <v/>
      </c>
      <c r="AA214">
        <f>HYPERLINK("https://klasma.github.io/Logging_0980/tillsyn/A 30104-2025 tillsynsbegäran.docx", "A 30104-2025")</f>
        <v/>
      </c>
      <c r="AB214">
        <f>HYPERLINK("https://klasma.github.io/Logging_0980/tillsynsmail/A 30104-2025 tillsynsbegäran mail.docx", "A 30104-2025")</f>
        <v/>
      </c>
    </row>
    <row r="215" ht="15" customHeight="1">
      <c r="A215" t="inlineStr">
        <is>
          <t>S 2744-2023</t>
        </is>
      </c>
      <c r="B215" t="inlineStr">
        <is>
          <t>samrådsanmälan</t>
        </is>
      </c>
      <c r="C215" t="inlineStr">
        <is>
          <t>Annan skogsbruksåtgärd</t>
        </is>
      </c>
      <c r="D215" s="1" t="n">
        <v>45159</v>
      </c>
      <c r="E215" s="1" t="n">
        <v>46217</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46217</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46217</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46217</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46217</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50892-2021</t>
        </is>
      </c>
      <c r="B220" t="inlineStr">
        <is>
          <t>avverkningsanmälan</t>
        </is>
      </c>
      <c r="C220" t="inlineStr">
        <is>
          <t>Föryngringsavverkning</t>
        </is>
      </c>
      <c r="D220" s="1" t="n">
        <v>44459</v>
      </c>
      <c r="E220" s="1" t="n">
        <v>46217</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46217</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46217</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46217</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39909-2021</t>
        </is>
      </c>
      <c r="B224" t="inlineStr">
        <is>
          <t>avverkningsanmälan</t>
        </is>
      </c>
      <c r="C224" t="inlineStr">
        <is>
          <t>Föryngringsavverkning</t>
        </is>
      </c>
      <c r="D224" s="1" t="n">
        <v>44417</v>
      </c>
      <c r="E224" s="1" t="n">
        <v>46217</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22498-2022</t>
        </is>
      </c>
      <c r="B225" t="inlineStr">
        <is>
          <t>avverkningsanmälan</t>
        </is>
      </c>
      <c r="C225" t="inlineStr">
        <is>
          <t>Föryngringsavverkning</t>
        </is>
      </c>
      <c r="D225" s="1" t="n">
        <v>44713</v>
      </c>
      <c r="E225" s="1" t="n">
        <v>46217</v>
      </c>
      <c r="F225" t="inlineStr">
        <is>
          <t>GOTLANDS LÄN</t>
        </is>
      </c>
      <c r="G225" t="inlineStr">
        <is>
          <t>GOTLAND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42688-2021</t>
        </is>
      </c>
      <c r="B226" t="inlineStr">
        <is>
          <t>avverkningsanmälan</t>
        </is>
      </c>
      <c r="C226" t="inlineStr">
        <is>
          <t>Föryngringsavverkning</t>
        </is>
      </c>
      <c r="D226" s="1" t="n">
        <v>44428</v>
      </c>
      <c r="E226" s="1" t="n">
        <v>46217</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24123-2022</t>
        </is>
      </c>
      <c r="B227" t="inlineStr">
        <is>
          <t>avverkningsanmälan</t>
        </is>
      </c>
      <c r="C227" t="inlineStr">
        <is>
          <t>Föryngringsavverkning</t>
        </is>
      </c>
      <c r="D227" s="1" t="n">
        <v>44725</v>
      </c>
      <c r="E227" s="1" t="n">
        <v>46217</v>
      </c>
      <c r="F227" t="inlineStr">
        <is>
          <t>GOTLANDS LÄN</t>
        </is>
      </c>
      <c r="G227" t="inlineStr">
        <is>
          <t>GOTLAND</t>
        </is>
      </c>
      <c r="I227" t="n">
        <v>6</v>
      </c>
      <c r="J227" t="n">
        <v>0</v>
      </c>
      <c r="K227" t="n">
        <v>0</v>
      </c>
      <c r="L227" t="n">
        <v>0</v>
      </c>
      <c r="M227" t="n">
        <v>0</v>
      </c>
      <c r="N227" t="n">
        <v>0</v>
      </c>
      <c r="O227" t="n">
        <v>0</v>
      </c>
      <c r="P227" t="n">
        <v>0</v>
      </c>
      <c r="Q227" t="n">
        <v>0</v>
      </c>
      <c r="R227" t="n">
        <v>0</v>
      </c>
      <c r="S227" t="n">
        <v>0</v>
      </c>
      <c r="T227" t="n">
        <v>0</v>
      </c>
      <c r="U227" s="2" t="inlineStr"/>
    </row>
    <row r="228" ht="15" customHeight="1">
      <c r="A228" t="inlineStr">
        <is>
          <t>A 60607-2021</t>
        </is>
      </c>
      <c r="B228" t="inlineStr">
        <is>
          <t>avverkningsanmälan</t>
        </is>
      </c>
      <c r="C228" t="inlineStr">
        <is>
          <t>Föryngringsavverkning</t>
        </is>
      </c>
      <c r="D228" s="1" t="n">
        <v>44496</v>
      </c>
      <c r="E228" s="1" t="n">
        <v>46217</v>
      </c>
      <c r="F228" t="inlineStr">
        <is>
          <t>GOTLANDS LÄN</t>
        </is>
      </c>
      <c r="G228" t="inlineStr">
        <is>
          <t>GOTLAND</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47369-2021</t>
        </is>
      </c>
      <c r="B229" t="inlineStr">
        <is>
          <t>avverkningsanmälan</t>
        </is>
      </c>
      <c r="C229" t="inlineStr">
        <is>
          <t>Avverkning för annat ändamål</t>
        </is>
      </c>
      <c r="D229" s="1" t="n">
        <v>44447</v>
      </c>
      <c r="E229" s="1" t="n">
        <v>46217</v>
      </c>
      <c r="F229" t="inlineStr">
        <is>
          <t>GOTLANDS LÄN</t>
        </is>
      </c>
      <c r="G229" t="inlineStr">
        <is>
          <t>GOTLAND</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58224-2021</t>
        </is>
      </c>
      <c r="B230" t="inlineStr">
        <is>
          <t>avverkningsanmälan</t>
        </is>
      </c>
      <c r="C230" t="inlineStr">
        <is>
          <t>Föryngringsavverkning</t>
        </is>
      </c>
      <c r="D230" s="1" t="n">
        <v>44487</v>
      </c>
      <c r="E230" s="1" t="n">
        <v>46217</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58815-2021</t>
        </is>
      </c>
      <c r="B231" t="inlineStr">
        <is>
          <t>avverkningsanmälan</t>
        </is>
      </c>
      <c r="C231" t="inlineStr">
        <is>
          <t>Föryngringsavverkning</t>
        </is>
      </c>
      <c r="D231" s="1" t="n">
        <v>44489</v>
      </c>
      <c r="E231" s="1" t="n">
        <v>46217</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71010-2021</t>
        </is>
      </c>
      <c r="B232" t="inlineStr">
        <is>
          <t>avverkningsanmälan</t>
        </is>
      </c>
      <c r="C232" t="inlineStr">
        <is>
          <t>Föryngringsavverkning</t>
        </is>
      </c>
      <c r="D232" s="1" t="n">
        <v>44538</v>
      </c>
      <c r="E232" s="1" t="n">
        <v>46217</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22495-2022</t>
        </is>
      </c>
      <c r="B233" t="inlineStr">
        <is>
          <t>avverkningsanmälan</t>
        </is>
      </c>
      <c r="C233" t="inlineStr">
        <is>
          <t>Föryngringsavverkning</t>
        </is>
      </c>
      <c r="D233" s="1" t="n">
        <v>44713</v>
      </c>
      <c r="E233" s="1" t="n">
        <v>46217</v>
      </c>
      <c r="F233" t="inlineStr">
        <is>
          <t>GOTLANDS LÄN</t>
        </is>
      </c>
      <c r="G233" t="inlineStr">
        <is>
          <t>GOTLAND</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44942-2022</t>
        </is>
      </c>
      <c r="B234" t="inlineStr">
        <is>
          <t>avverkningsanmälan</t>
        </is>
      </c>
      <c r="C234" t="inlineStr">
        <is>
          <t>Föryngringsavverkning</t>
        </is>
      </c>
      <c r="D234" s="1" t="n">
        <v>44841</v>
      </c>
      <c r="E234" s="1" t="n">
        <v>46217</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53225-2022</t>
        </is>
      </c>
      <c r="B235" t="inlineStr">
        <is>
          <t>avverkningsanmälan</t>
        </is>
      </c>
      <c r="C235" t="inlineStr">
        <is>
          <t>Föryngringsavverkning</t>
        </is>
      </c>
      <c r="D235" s="1" t="n">
        <v>44876</v>
      </c>
      <c r="E235" s="1" t="n">
        <v>46217</v>
      </c>
      <c r="F235" t="inlineStr">
        <is>
          <t>GOTLANDS LÄN</t>
        </is>
      </c>
      <c r="G235" t="inlineStr">
        <is>
          <t>GOTLAND</t>
        </is>
      </c>
      <c r="H235" t="inlineStr">
        <is>
          <t>Kyrkan</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65393-2021</t>
        </is>
      </c>
      <c r="B236" t="inlineStr">
        <is>
          <t>avverkningsanmälan</t>
        </is>
      </c>
      <c r="C236" t="inlineStr">
        <is>
          <t>Föryngringsavverkning</t>
        </is>
      </c>
      <c r="D236" s="1" t="n">
        <v>44515</v>
      </c>
      <c r="E236" s="1" t="n">
        <v>46217</v>
      </c>
      <c r="F236" t="inlineStr">
        <is>
          <t>GOTLANDS LÄN</t>
        </is>
      </c>
      <c r="G236" t="inlineStr">
        <is>
          <t>GOTLAND</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14413-2022</t>
        </is>
      </c>
      <c r="B237" t="inlineStr">
        <is>
          <t>avverkningsanmälan</t>
        </is>
      </c>
      <c r="C237" t="inlineStr">
        <is>
          <t>Avverkning för annat ändamål</t>
        </is>
      </c>
      <c r="D237" s="1" t="n">
        <v>44652</v>
      </c>
      <c r="E237" s="1" t="n">
        <v>46217</v>
      </c>
      <c r="F237" t="inlineStr">
        <is>
          <t>GOTLANDS LÄN</t>
        </is>
      </c>
      <c r="G237" t="inlineStr">
        <is>
          <t>GOTLAND</t>
        </is>
      </c>
      <c r="I237" t="n">
        <v>3.1</v>
      </c>
      <c r="J237" t="n">
        <v>0</v>
      </c>
      <c r="K237" t="n">
        <v>0</v>
      </c>
      <c r="L237" t="n">
        <v>0</v>
      </c>
      <c r="M237" t="n">
        <v>0</v>
      </c>
      <c r="N237" t="n">
        <v>0</v>
      </c>
      <c r="O237" t="n">
        <v>0</v>
      </c>
      <c r="P237" t="n">
        <v>0</v>
      </c>
      <c r="Q237" t="n">
        <v>0</v>
      </c>
      <c r="R237" t="n">
        <v>0</v>
      </c>
      <c r="S237" t="n">
        <v>0</v>
      </c>
      <c r="T237" t="n">
        <v>0</v>
      </c>
      <c r="U237" s="2" t="inlineStr"/>
    </row>
    <row r="238" ht="15" customHeight="1">
      <c r="A238" t="inlineStr">
        <is>
          <t>A 56951-2021</t>
        </is>
      </c>
      <c r="B238" t="inlineStr">
        <is>
          <t>avverkningsanmälan</t>
        </is>
      </c>
      <c r="C238" t="inlineStr">
        <is>
          <t>Föryngringsavverkning</t>
        </is>
      </c>
      <c r="D238" s="1" t="n">
        <v>44482</v>
      </c>
      <c r="E238" s="1" t="n">
        <v>46217</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13498-2022</t>
        </is>
      </c>
      <c r="B239" t="inlineStr">
        <is>
          <t>avverkningsanmälan</t>
        </is>
      </c>
      <c r="C239" t="inlineStr">
        <is>
          <t>Föryngringsavverkning</t>
        </is>
      </c>
      <c r="D239" s="1" t="n">
        <v>44647</v>
      </c>
      <c r="E239" s="1" t="n">
        <v>46217</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13500-2022</t>
        </is>
      </c>
      <c r="B240" t="inlineStr">
        <is>
          <t>avverkningsanmälan</t>
        </is>
      </c>
      <c r="C240" t="inlineStr">
        <is>
          <t>Föryngringsavverkning</t>
        </is>
      </c>
      <c r="D240" s="1" t="n">
        <v>44647</v>
      </c>
      <c r="E240" s="1" t="n">
        <v>46217</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57219-2021</t>
        </is>
      </c>
      <c r="B241" t="inlineStr">
        <is>
          <t>avverkningsanmälan</t>
        </is>
      </c>
      <c r="C241" t="inlineStr">
        <is>
          <t>Föryngringsavverkning</t>
        </is>
      </c>
      <c r="D241" s="1" t="n">
        <v>44483</v>
      </c>
      <c r="E241" s="1" t="n">
        <v>46217</v>
      </c>
      <c r="F241" t="inlineStr">
        <is>
          <t>GOTLANDS LÄN</t>
        </is>
      </c>
      <c r="G241" t="inlineStr">
        <is>
          <t>GOTLAND</t>
        </is>
      </c>
      <c r="H241" t="inlineStr">
        <is>
          <t>Kyrkan</t>
        </is>
      </c>
      <c r="I241" t="n">
        <v>4</v>
      </c>
      <c r="J241" t="n">
        <v>0</v>
      </c>
      <c r="K241" t="n">
        <v>0</v>
      </c>
      <c r="L241" t="n">
        <v>0</v>
      </c>
      <c r="M241" t="n">
        <v>0</v>
      </c>
      <c r="N241" t="n">
        <v>0</v>
      </c>
      <c r="O241" t="n">
        <v>0</v>
      </c>
      <c r="P241" t="n">
        <v>0</v>
      </c>
      <c r="Q241" t="n">
        <v>0</v>
      </c>
      <c r="R241" t="n">
        <v>0</v>
      </c>
      <c r="S241" t="n">
        <v>0</v>
      </c>
      <c r="T241" t="n">
        <v>0</v>
      </c>
      <c r="U241" s="2" t="inlineStr"/>
    </row>
    <row r="242" ht="15" customHeight="1">
      <c r="A242" t="inlineStr">
        <is>
          <t>A 30282-2022</t>
        </is>
      </c>
      <c r="B242" t="inlineStr">
        <is>
          <t>avverkningsanmälan</t>
        </is>
      </c>
      <c r="C242" t="inlineStr">
        <is>
          <t>Föryngringsavverkning</t>
        </is>
      </c>
      <c r="D242" s="1" t="n">
        <v>44760</v>
      </c>
      <c r="E242" s="1" t="n">
        <v>46217</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46217</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44919-2022</t>
        </is>
      </c>
      <c r="B244" t="inlineStr">
        <is>
          <t>avverkningsanmälan</t>
        </is>
      </c>
      <c r="C244" t="inlineStr">
        <is>
          <t>Föryngringsavverkning</t>
        </is>
      </c>
      <c r="D244" s="1" t="n">
        <v>44841</v>
      </c>
      <c r="E244" s="1" t="n">
        <v>46217</v>
      </c>
      <c r="F244" t="inlineStr">
        <is>
          <t>GOTLANDS LÄN</t>
        </is>
      </c>
      <c r="G244" t="inlineStr">
        <is>
          <t>GOTLAND</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65901-2021</t>
        </is>
      </c>
      <c r="B245" t="inlineStr">
        <is>
          <t>avverkningsanmälan</t>
        </is>
      </c>
      <c r="C245" t="inlineStr">
        <is>
          <t>Föryngringsavverkning</t>
        </is>
      </c>
      <c r="D245" s="1" t="n">
        <v>44516</v>
      </c>
      <c r="E245" s="1" t="n">
        <v>46217</v>
      </c>
      <c r="F245" t="inlineStr">
        <is>
          <t>GOTLANDS LÄN</t>
        </is>
      </c>
      <c r="G245" t="inlineStr">
        <is>
          <t>GOTLAND</t>
        </is>
      </c>
      <c r="I245" t="n">
        <v>4.9</v>
      </c>
      <c r="J245" t="n">
        <v>0</v>
      </c>
      <c r="K245" t="n">
        <v>0</v>
      </c>
      <c r="L245" t="n">
        <v>0</v>
      </c>
      <c r="M245" t="n">
        <v>0</v>
      </c>
      <c r="N245" t="n">
        <v>0</v>
      </c>
      <c r="O245" t="n">
        <v>0</v>
      </c>
      <c r="P245" t="n">
        <v>0</v>
      </c>
      <c r="Q245" t="n">
        <v>0</v>
      </c>
      <c r="R245" t="n">
        <v>0</v>
      </c>
      <c r="S245" t="n">
        <v>0</v>
      </c>
      <c r="T245" t="n">
        <v>0</v>
      </c>
      <c r="U245" s="2" t="inlineStr"/>
    </row>
    <row r="246" ht="15" customHeight="1">
      <c r="A246" t="inlineStr">
        <is>
          <t>A 48503-2023</t>
        </is>
      </c>
      <c r="B246" t="inlineStr">
        <is>
          <t>avverkningsanmälan</t>
        </is>
      </c>
      <c r="C246" t="inlineStr">
        <is>
          <t>Föryngringsavverkning</t>
        </is>
      </c>
      <c r="D246" s="1" t="n">
        <v>45207</v>
      </c>
      <c r="E246" s="1" t="n">
        <v>46217</v>
      </c>
      <c r="F246" t="inlineStr">
        <is>
          <t>GOTLANDS LÄN</t>
        </is>
      </c>
      <c r="G246" t="inlineStr">
        <is>
          <t>GOTLAND</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44649-2021</t>
        </is>
      </c>
      <c r="B247" t="inlineStr">
        <is>
          <t>avverkningsanmälan</t>
        </is>
      </c>
      <c r="C247" t="inlineStr">
        <is>
          <t>Föryngringsavverkning</t>
        </is>
      </c>
      <c r="D247" s="1" t="n">
        <v>44437</v>
      </c>
      <c r="E247" s="1" t="n">
        <v>46217</v>
      </c>
      <c r="F247" t="inlineStr">
        <is>
          <t>GOTLANDS LÄN</t>
        </is>
      </c>
      <c r="G247" t="inlineStr">
        <is>
          <t>GOTLAND</t>
        </is>
      </c>
      <c r="I247" t="n">
        <v>8.1</v>
      </c>
      <c r="J247" t="n">
        <v>0</v>
      </c>
      <c r="K247" t="n">
        <v>0</v>
      </c>
      <c r="L247" t="n">
        <v>0</v>
      </c>
      <c r="M247" t="n">
        <v>0</v>
      </c>
      <c r="N247" t="n">
        <v>0</v>
      </c>
      <c r="O247" t="n">
        <v>0</v>
      </c>
      <c r="P247" t="n">
        <v>0</v>
      </c>
      <c r="Q247" t="n">
        <v>0</v>
      </c>
      <c r="R247" t="n">
        <v>0</v>
      </c>
      <c r="S247" t="n">
        <v>0</v>
      </c>
      <c r="T247" t="n">
        <v>0</v>
      </c>
      <c r="U247" s="2" t="inlineStr"/>
    </row>
    <row r="248" ht="15" customHeight="1">
      <c r="A248" t="inlineStr">
        <is>
          <t>A 9947-2024</t>
        </is>
      </c>
      <c r="B248" t="inlineStr">
        <is>
          <t>avverkningsanmälan</t>
        </is>
      </c>
      <c r="C248" t="inlineStr">
        <is>
          <t>Föryngringsavverkning</t>
        </is>
      </c>
      <c r="D248" s="1" t="n">
        <v>45363</v>
      </c>
      <c r="E248" s="1" t="n">
        <v>46217</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17682-2024</t>
        </is>
      </c>
      <c r="B249" t="inlineStr">
        <is>
          <t>avverkningsanmälan</t>
        </is>
      </c>
      <c r="C249" t="inlineStr">
        <is>
          <t>Föryngringsavverkning</t>
        </is>
      </c>
      <c r="D249" s="1" t="n">
        <v>45418</v>
      </c>
      <c r="E249" s="1" t="n">
        <v>46217</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57522-2022</t>
        </is>
      </c>
      <c r="B250" t="inlineStr">
        <is>
          <t>avverkningsanmälan</t>
        </is>
      </c>
      <c r="C250" t="inlineStr">
        <is>
          <t>Föryngringsavverkning</t>
        </is>
      </c>
      <c r="D250" s="1" t="n">
        <v>44896</v>
      </c>
      <c r="E250" s="1" t="n">
        <v>46217</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63516-2023</t>
        </is>
      </c>
      <c r="B251" t="inlineStr">
        <is>
          <t>avverkningsanmälan</t>
        </is>
      </c>
      <c r="C251" t="inlineStr">
        <is>
          <t>Föryngringsavverkning</t>
        </is>
      </c>
      <c r="D251" s="1" t="n">
        <v>45274</v>
      </c>
      <c r="E251" s="1" t="n">
        <v>46217</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1681-2023</t>
        </is>
      </c>
      <c r="B252" t="inlineStr">
        <is>
          <t>avverkningsanmälan</t>
        </is>
      </c>
      <c r="C252" t="inlineStr">
        <is>
          <t>Föryngringsavverkning</t>
        </is>
      </c>
      <c r="D252" s="1" t="n">
        <v>44938</v>
      </c>
      <c r="E252" s="1" t="n">
        <v>46217</v>
      </c>
      <c r="F252" t="inlineStr">
        <is>
          <t>GOTLANDS LÄN</t>
        </is>
      </c>
      <c r="G252" t="inlineStr">
        <is>
          <t>GOTLAND</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30365-2024</t>
        </is>
      </c>
      <c r="B253" t="inlineStr">
        <is>
          <t>avverkningsanmälan</t>
        </is>
      </c>
      <c r="C253" t="inlineStr">
        <is>
          <t>Föryngringsavverkning</t>
        </is>
      </c>
      <c r="D253" s="1" t="n">
        <v>45491</v>
      </c>
      <c r="E253" s="1" t="n">
        <v>46217</v>
      </c>
      <c r="F253" t="inlineStr">
        <is>
          <t>GOTLANDS LÄN</t>
        </is>
      </c>
      <c r="G253" t="inlineStr">
        <is>
          <t>GOTLAND</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6099-2024</t>
        </is>
      </c>
      <c r="B254" t="inlineStr">
        <is>
          <t>avverkningsanmälan</t>
        </is>
      </c>
      <c r="C254" t="inlineStr">
        <is>
          <t>Föryngringsavverkning</t>
        </is>
      </c>
      <c r="D254" s="1" t="n">
        <v>45337</v>
      </c>
      <c r="E254" s="1" t="n">
        <v>46217</v>
      </c>
      <c r="F254" t="inlineStr">
        <is>
          <t>GOTLANDS LÄN</t>
        </is>
      </c>
      <c r="G254" t="inlineStr">
        <is>
          <t>GOTLAND</t>
        </is>
      </c>
      <c r="I254" t="n">
        <v>12.6</v>
      </c>
      <c r="J254" t="n">
        <v>0</v>
      </c>
      <c r="K254" t="n">
        <v>0</v>
      </c>
      <c r="L254" t="n">
        <v>0</v>
      </c>
      <c r="M254" t="n">
        <v>0</v>
      </c>
      <c r="N254" t="n">
        <v>0</v>
      </c>
      <c r="O254" t="n">
        <v>0</v>
      </c>
      <c r="P254" t="n">
        <v>0</v>
      </c>
      <c r="Q254" t="n">
        <v>0</v>
      </c>
      <c r="R254" t="n">
        <v>0</v>
      </c>
      <c r="S254" t="n">
        <v>0</v>
      </c>
      <c r="T254" t="n">
        <v>0</v>
      </c>
      <c r="U254" s="2" t="inlineStr"/>
    </row>
    <row r="255" ht="15" customHeight="1">
      <c r="A255" t="inlineStr">
        <is>
          <t>A 58780-2024</t>
        </is>
      </c>
      <c r="B255" t="inlineStr">
        <is>
          <t>avverkningsanmälan</t>
        </is>
      </c>
      <c r="C255" t="inlineStr">
        <is>
          <t>Föryngringsavverkning</t>
        </is>
      </c>
      <c r="D255" s="1" t="n">
        <v>45635</v>
      </c>
      <c r="E255" s="1" t="n">
        <v>46217</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s="2" t="inlineStr"/>
    </row>
    <row r="256" ht="15" customHeight="1">
      <c r="A256" t="inlineStr">
        <is>
          <t>A 28285-2024</t>
        </is>
      </c>
      <c r="B256" t="inlineStr">
        <is>
          <t>avverkningsanmälan</t>
        </is>
      </c>
      <c r="C256" t="inlineStr">
        <is>
          <t>Avverkning för annat ändamål</t>
        </is>
      </c>
      <c r="D256" s="1" t="n">
        <v>45477</v>
      </c>
      <c r="E256" s="1" t="n">
        <v>46217</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61682-2024</t>
        </is>
      </c>
      <c r="B257" t="inlineStr">
        <is>
          <t>avverkningsanmälan</t>
        </is>
      </c>
      <c r="C257" t="inlineStr">
        <is>
          <t>Föryngringsavverkning</t>
        </is>
      </c>
      <c r="D257" s="1" t="n">
        <v>45647</v>
      </c>
      <c r="E257" s="1" t="n">
        <v>46217</v>
      </c>
      <c r="F257" t="inlineStr">
        <is>
          <t>GOTLANDS LÄN</t>
        </is>
      </c>
      <c r="G257" t="inlineStr">
        <is>
          <t>GOTLAND</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33876-2024</t>
        </is>
      </c>
      <c r="B258" t="inlineStr">
        <is>
          <t>avverkningsanmälan</t>
        </is>
      </c>
      <c r="C258" t="inlineStr">
        <is>
          <t>Föryngringsavverkning</t>
        </is>
      </c>
      <c r="D258" s="1" t="n">
        <v>45521</v>
      </c>
      <c r="E258" s="1" t="n">
        <v>46217</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17688-2024</t>
        </is>
      </c>
      <c r="B259" t="inlineStr">
        <is>
          <t>avverkningsanmälan</t>
        </is>
      </c>
      <c r="C259" t="inlineStr">
        <is>
          <t>Föryngringsavverkning</t>
        </is>
      </c>
      <c r="D259" s="1" t="n">
        <v>45418</v>
      </c>
      <c r="E259" s="1" t="n">
        <v>46217</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46217</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35512-2023</t>
        </is>
      </c>
      <c r="B261" t="inlineStr">
        <is>
          <t>avverkningsanmälan</t>
        </is>
      </c>
      <c r="C261" t="inlineStr">
        <is>
          <t>Föryngringsavverkning</t>
        </is>
      </c>
      <c r="D261" s="1" t="n">
        <v>45147</v>
      </c>
      <c r="E261" s="1" t="n">
        <v>46217</v>
      </c>
      <c r="F261" t="inlineStr">
        <is>
          <t>GOTLANDS LÄN</t>
        </is>
      </c>
      <c r="G261" t="inlineStr">
        <is>
          <t>GOTLAND</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5905-2024</t>
        </is>
      </c>
      <c r="B262" t="inlineStr">
        <is>
          <t>avverkningsanmälan</t>
        </is>
      </c>
      <c r="C262" t="inlineStr">
        <is>
          <t>Föryngringsavverkning</t>
        </is>
      </c>
      <c r="D262" s="1" t="n">
        <v>45335</v>
      </c>
      <c r="E262" s="1" t="n">
        <v>46217</v>
      </c>
      <c r="F262" t="inlineStr">
        <is>
          <t>GOTLANDS LÄN</t>
        </is>
      </c>
      <c r="G262" t="inlineStr">
        <is>
          <t>GOTLAND</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1291-2023</t>
        </is>
      </c>
      <c r="B263" t="inlineStr">
        <is>
          <t>avverkningsanmälan</t>
        </is>
      </c>
      <c r="C263" t="inlineStr">
        <is>
          <t>Föryngringsavverkning</t>
        </is>
      </c>
      <c r="D263" s="1" t="n">
        <v>44936</v>
      </c>
      <c r="E263" s="1" t="n">
        <v>46217</v>
      </c>
      <c r="F263" t="inlineStr">
        <is>
          <t>GOTLANDS LÄN</t>
        </is>
      </c>
      <c r="G263" t="inlineStr">
        <is>
          <t>GOTLAND</t>
        </is>
      </c>
      <c r="I263" t="n">
        <v>7.4</v>
      </c>
      <c r="J263" t="n">
        <v>0</v>
      </c>
      <c r="K263" t="n">
        <v>0</v>
      </c>
      <c r="L263" t="n">
        <v>0</v>
      </c>
      <c r="M263" t="n">
        <v>0</v>
      </c>
      <c r="N263" t="n">
        <v>0</v>
      </c>
      <c r="O263" t="n">
        <v>0</v>
      </c>
      <c r="P263" t="n">
        <v>0</v>
      </c>
      <c r="Q263" t="n">
        <v>0</v>
      </c>
      <c r="R263" t="n">
        <v>0</v>
      </c>
      <c r="S263" t="n">
        <v>0</v>
      </c>
      <c r="T263" t="n">
        <v>0</v>
      </c>
      <c r="U263" s="2" t="inlineStr"/>
    </row>
    <row r="264" ht="15" customHeight="1">
      <c r="A264" t="inlineStr">
        <is>
          <t>A 2676-2023</t>
        </is>
      </c>
      <c r="B264" t="inlineStr">
        <is>
          <t>avverkningsanmälan</t>
        </is>
      </c>
      <c r="C264" t="inlineStr">
        <is>
          <t>Avverkning för annat ändamål</t>
        </is>
      </c>
      <c r="D264" s="1" t="n">
        <v>44944</v>
      </c>
      <c r="E264" s="1" t="n">
        <v>46217</v>
      </c>
      <c r="F264" t="inlineStr">
        <is>
          <t>GOTLANDS LÄN</t>
        </is>
      </c>
      <c r="G264" t="inlineStr">
        <is>
          <t>GOTLAND</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49315-2024</t>
        </is>
      </c>
      <c r="B265" t="inlineStr">
        <is>
          <t>avverkningsanmälan</t>
        </is>
      </c>
      <c r="C265" t="inlineStr">
        <is>
          <t>Avverkning för annat ändamål</t>
        </is>
      </c>
      <c r="D265" s="1" t="n">
        <v>45595</v>
      </c>
      <c r="E265" s="1" t="n">
        <v>46217</v>
      </c>
      <c r="F265" t="inlineStr">
        <is>
          <t>GOTLANDS LÄN</t>
        </is>
      </c>
      <c r="G265" t="inlineStr">
        <is>
          <t>GOTLAND</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8484-2025</t>
        </is>
      </c>
      <c r="B266" t="inlineStr">
        <is>
          <t>avverkningsanmälan</t>
        </is>
      </c>
      <c r="C266" t="inlineStr">
        <is>
          <t>Avverkning för annat ändamål</t>
        </is>
      </c>
      <c r="D266" s="1" t="n">
        <v>45709</v>
      </c>
      <c r="E266" s="1" t="n">
        <v>46217</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7636-2025</t>
        </is>
      </c>
      <c r="B267" t="inlineStr">
        <is>
          <t>avverkningsanmälan</t>
        </is>
      </c>
      <c r="C267" t="inlineStr">
        <is>
          <t>Föryngringsavverkning</t>
        </is>
      </c>
      <c r="D267" s="1" t="n">
        <v>45705</v>
      </c>
      <c r="E267" s="1" t="n">
        <v>46217</v>
      </c>
      <c r="F267" t="inlineStr">
        <is>
          <t>GOTLANDS LÄN</t>
        </is>
      </c>
      <c r="G267" t="inlineStr">
        <is>
          <t>GOTLAND</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7639-2025</t>
        </is>
      </c>
      <c r="B268" t="inlineStr">
        <is>
          <t>avverkningsanmälan</t>
        </is>
      </c>
      <c r="C268" t="inlineStr">
        <is>
          <t>Föryngringsavverkning</t>
        </is>
      </c>
      <c r="D268" s="1" t="n">
        <v>45705</v>
      </c>
      <c r="E268" s="1" t="n">
        <v>46217</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20356-2022</t>
        </is>
      </c>
      <c r="B269" t="inlineStr">
        <is>
          <t>avverkningsanmälan</t>
        </is>
      </c>
      <c r="C269" t="inlineStr">
        <is>
          <t>Avverkning för annat ändamål</t>
        </is>
      </c>
      <c r="D269" s="1" t="n">
        <v>44699</v>
      </c>
      <c r="E269" s="1" t="n">
        <v>46217</v>
      </c>
      <c r="F269" t="inlineStr">
        <is>
          <t>GOTLANDS LÄN</t>
        </is>
      </c>
      <c r="G269" t="inlineStr">
        <is>
          <t>GOTLAND</t>
        </is>
      </c>
      <c r="H269" t="inlineStr">
        <is>
          <t>Övriga Aktiebolag</t>
        </is>
      </c>
      <c r="I269" t="n">
        <v>4.4</v>
      </c>
      <c r="J269" t="n">
        <v>0</v>
      </c>
      <c r="K269" t="n">
        <v>0</v>
      </c>
      <c r="L269" t="n">
        <v>0</v>
      </c>
      <c r="M269" t="n">
        <v>0</v>
      </c>
      <c r="N269" t="n">
        <v>0</v>
      </c>
      <c r="O269" t="n">
        <v>0</v>
      </c>
      <c r="P269" t="n">
        <v>0</v>
      </c>
      <c r="Q269" t="n">
        <v>0</v>
      </c>
      <c r="R269" t="n">
        <v>0</v>
      </c>
      <c r="S269" t="n">
        <v>0</v>
      </c>
      <c r="T269" t="n">
        <v>0</v>
      </c>
      <c r="U269" s="2" t="inlineStr"/>
    </row>
    <row r="270" ht="15" customHeight="1">
      <c r="A270" t="inlineStr">
        <is>
          <t>A 48734-2022</t>
        </is>
      </c>
      <c r="B270" t="inlineStr">
        <is>
          <t>avverkningsanmälan</t>
        </is>
      </c>
      <c r="C270" t="inlineStr">
        <is>
          <t>Föryngringsavverkning</t>
        </is>
      </c>
      <c r="D270" s="1" t="n">
        <v>44855</v>
      </c>
      <c r="E270" s="1" t="n">
        <v>46217</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57685-2022</t>
        </is>
      </c>
      <c r="B271" t="inlineStr">
        <is>
          <t>avverkningsanmälan</t>
        </is>
      </c>
      <c r="C271" t="inlineStr">
        <is>
          <t>Föryngringsavverkning</t>
        </is>
      </c>
      <c r="D271" s="1" t="n">
        <v>44897</v>
      </c>
      <c r="E271" s="1" t="n">
        <v>46217</v>
      </c>
      <c r="F271" t="inlineStr">
        <is>
          <t>GOTLANDS LÄN</t>
        </is>
      </c>
      <c r="G271" t="inlineStr">
        <is>
          <t>GOTLAND</t>
        </is>
      </c>
      <c r="I271" t="n">
        <v>3.7</v>
      </c>
      <c r="J271" t="n">
        <v>0</v>
      </c>
      <c r="K271" t="n">
        <v>0</v>
      </c>
      <c r="L271" t="n">
        <v>0</v>
      </c>
      <c r="M271" t="n">
        <v>0</v>
      </c>
      <c r="N271" t="n">
        <v>0</v>
      </c>
      <c r="O271" t="n">
        <v>0</v>
      </c>
      <c r="P271" t="n">
        <v>0</v>
      </c>
      <c r="Q271" t="n">
        <v>0</v>
      </c>
      <c r="R271" t="n">
        <v>0</v>
      </c>
      <c r="S271" t="n">
        <v>0</v>
      </c>
      <c r="T271" t="n">
        <v>0</v>
      </c>
      <c r="U271" s="2" t="inlineStr"/>
    </row>
    <row r="272" ht="15" customHeight="1">
      <c r="A272" t="inlineStr">
        <is>
          <t>A 57652-2023</t>
        </is>
      </c>
      <c r="B272" t="inlineStr">
        <is>
          <t>avverkningsanmälan</t>
        </is>
      </c>
      <c r="C272" t="inlineStr">
        <is>
          <t>Avverkning för annat ändamål</t>
        </is>
      </c>
      <c r="D272" s="1" t="n">
        <v>45246</v>
      </c>
      <c r="E272" s="1" t="n">
        <v>46217</v>
      </c>
      <c r="F272" t="inlineStr">
        <is>
          <t>GOTLANDS LÄN</t>
        </is>
      </c>
      <c r="G272" t="inlineStr">
        <is>
          <t>GOTLAND</t>
        </is>
      </c>
      <c r="I272" t="n">
        <v>7.2</v>
      </c>
      <c r="J272" t="n">
        <v>0</v>
      </c>
      <c r="K272" t="n">
        <v>0</v>
      </c>
      <c r="L272" t="n">
        <v>0</v>
      </c>
      <c r="M272" t="n">
        <v>0</v>
      </c>
      <c r="N272" t="n">
        <v>0</v>
      </c>
      <c r="O272" t="n">
        <v>0</v>
      </c>
      <c r="P272" t="n">
        <v>0</v>
      </c>
      <c r="Q272" t="n">
        <v>0</v>
      </c>
      <c r="R272" t="n">
        <v>0</v>
      </c>
      <c r="S272" t="n">
        <v>0</v>
      </c>
      <c r="T272" t="n">
        <v>0</v>
      </c>
      <c r="U272" s="2" t="inlineStr"/>
    </row>
    <row r="273" ht="15" customHeight="1">
      <c r="A273" t="inlineStr">
        <is>
          <t>A 30815-2023</t>
        </is>
      </c>
      <c r="B273" t="inlineStr">
        <is>
          <t>avverkningsanmälan</t>
        </is>
      </c>
      <c r="C273" t="inlineStr">
        <is>
          <t>Avverkning för annat ändamål</t>
        </is>
      </c>
      <c r="D273" s="1" t="n">
        <v>45112</v>
      </c>
      <c r="E273" s="1" t="n">
        <v>46217</v>
      </c>
      <c r="F273" t="inlineStr">
        <is>
          <t>GOTLANDS LÄN</t>
        </is>
      </c>
      <c r="G273" t="inlineStr">
        <is>
          <t>GOTLAND</t>
        </is>
      </c>
      <c r="I273" t="n">
        <v>6</v>
      </c>
      <c r="J273" t="n">
        <v>0</v>
      </c>
      <c r="K273" t="n">
        <v>0</v>
      </c>
      <c r="L273" t="n">
        <v>0</v>
      </c>
      <c r="M273" t="n">
        <v>0</v>
      </c>
      <c r="N273" t="n">
        <v>0</v>
      </c>
      <c r="O273" t="n">
        <v>0</v>
      </c>
      <c r="P273" t="n">
        <v>0</v>
      </c>
      <c r="Q273" t="n">
        <v>0</v>
      </c>
      <c r="R273" t="n">
        <v>0</v>
      </c>
      <c r="S273" t="n">
        <v>0</v>
      </c>
      <c r="T273" t="n">
        <v>0</v>
      </c>
      <c r="U273" s="2" t="inlineStr"/>
    </row>
    <row r="274" ht="15" customHeight="1">
      <c r="A274" t="inlineStr">
        <is>
          <t>A 7034-2023</t>
        </is>
      </c>
      <c r="B274" t="inlineStr">
        <is>
          <t>avverkningsanmälan</t>
        </is>
      </c>
      <c r="C274" t="inlineStr">
        <is>
          <t>Föryngringsavverkning</t>
        </is>
      </c>
      <c r="D274" s="1" t="n">
        <v>44968</v>
      </c>
      <c r="E274" s="1" t="n">
        <v>46217</v>
      </c>
      <c r="F274" t="inlineStr">
        <is>
          <t>GOTLANDS LÄN</t>
        </is>
      </c>
      <c r="G274" t="inlineStr">
        <is>
          <t>GOTLAND</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23516-2023</t>
        </is>
      </c>
      <c r="B275" t="inlineStr">
        <is>
          <t>avverkningsanmälan</t>
        </is>
      </c>
      <c r="C275" t="inlineStr">
        <is>
          <t>Föryngringsavverkning</t>
        </is>
      </c>
      <c r="D275" s="1" t="n">
        <v>45076</v>
      </c>
      <c r="E275" s="1" t="n">
        <v>46217</v>
      </c>
      <c r="F275" t="inlineStr">
        <is>
          <t>GOTLANDS LÄN</t>
        </is>
      </c>
      <c r="G275" t="inlineStr">
        <is>
          <t>GOTLAND</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6108-2025</t>
        </is>
      </c>
      <c r="B276" t="inlineStr">
        <is>
          <t>avverkningsanmälan</t>
        </is>
      </c>
      <c r="C276" t="inlineStr">
        <is>
          <t>Föryngringsavverkning</t>
        </is>
      </c>
      <c r="D276" s="1" t="n">
        <v>45698</v>
      </c>
      <c r="E276" s="1" t="n">
        <v>46217</v>
      </c>
      <c r="F276" t="inlineStr">
        <is>
          <t>GOTLANDS LÄN</t>
        </is>
      </c>
      <c r="G276" t="inlineStr">
        <is>
          <t>GOTLAND</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21142-2025</t>
        </is>
      </c>
      <c r="B277" t="inlineStr">
        <is>
          <t>avverkningsanmälan</t>
        </is>
      </c>
      <c r="C277" t="inlineStr">
        <is>
          <t>Föryngringsavverkning</t>
        </is>
      </c>
      <c r="D277" s="1" t="n">
        <v>45779</v>
      </c>
      <c r="E277" s="1" t="n">
        <v>46217</v>
      </c>
      <c r="F277" t="inlineStr">
        <is>
          <t>GOTLANDS LÄN</t>
        </is>
      </c>
      <c r="G277" t="inlineStr">
        <is>
          <t>GOTLAND</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64660-2023</t>
        </is>
      </c>
      <c r="B278" t="inlineStr">
        <is>
          <t>avverkningsanmälan</t>
        </is>
      </c>
      <c r="C278" t="inlineStr">
        <is>
          <t>Föryngringsavverkning</t>
        </is>
      </c>
      <c r="D278" s="1" t="n">
        <v>45281</v>
      </c>
      <c r="E278" s="1" t="n">
        <v>46217</v>
      </c>
      <c r="F278" t="inlineStr">
        <is>
          <t>GOTLANDS LÄN</t>
        </is>
      </c>
      <c r="G278" t="inlineStr">
        <is>
          <t>GOTLAND</t>
        </is>
      </c>
      <c r="I278" t="n">
        <v>6.3</v>
      </c>
      <c r="J278" t="n">
        <v>0</v>
      </c>
      <c r="K278" t="n">
        <v>0</v>
      </c>
      <c r="L278" t="n">
        <v>0</v>
      </c>
      <c r="M278" t="n">
        <v>0</v>
      </c>
      <c r="N278" t="n">
        <v>0</v>
      </c>
      <c r="O278" t="n">
        <v>0</v>
      </c>
      <c r="P278" t="n">
        <v>0</v>
      </c>
      <c r="Q278" t="n">
        <v>0</v>
      </c>
      <c r="R278" t="n">
        <v>0</v>
      </c>
      <c r="S278" t="n">
        <v>0</v>
      </c>
      <c r="T278" t="n">
        <v>0</v>
      </c>
      <c r="U278" s="2" t="inlineStr"/>
    </row>
    <row r="279" ht="15" customHeight="1">
      <c r="A279" t="inlineStr">
        <is>
          <t>A 26467-2025</t>
        </is>
      </c>
      <c r="B279" t="inlineStr">
        <is>
          <t>avverkningsanmälan</t>
        </is>
      </c>
      <c r="C279" t="inlineStr">
        <is>
          <t>Föryngringsavverkning</t>
        </is>
      </c>
      <c r="D279" s="1" t="n">
        <v>45807</v>
      </c>
      <c r="E279" s="1" t="n">
        <v>46217</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17343-2025</t>
        </is>
      </c>
      <c r="B280" t="inlineStr">
        <is>
          <t>avverkningsanmälan</t>
        </is>
      </c>
      <c r="C280" t="inlineStr">
        <is>
          <t>Föryngringsavverkning</t>
        </is>
      </c>
      <c r="D280" s="1" t="n">
        <v>45756</v>
      </c>
      <c r="E280" s="1" t="n">
        <v>46217</v>
      </c>
      <c r="F280" t="inlineStr">
        <is>
          <t>GOTLANDS LÄN</t>
        </is>
      </c>
      <c r="G280" t="inlineStr">
        <is>
          <t>GOTLAND</t>
        </is>
      </c>
      <c r="I280" t="n">
        <v>9.699999999999999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63763-2023</t>
        </is>
      </c>
      <c r="B281" t="inlineStr">
        <is>
          <t>avverkningsanmälan</t>
        </is>
      </c>
      <c r="C281" t="inlineStr">
        <is>
          <t>Föryngringsavverkning</t>
        </is>
      </c>
      <c r="D281" s="1" t="n">
        <v>45278</v>
      </c>
      <c r="E281" s="1" t="n">
        <v>46217</v>
      </c>
      <c r="F281" t="inlineStr">
        <is>
          <t>GOTLANDS LÄN</t>
        </is>
      </c>
      <c r="G281" t="inlineStr">
        <is>
          <t>GOTLAND</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18938-2025</t>
        </is>
      </c>
      <c r="B282" t="inlineStr">
        <is>
          <t>avverkningsanmälan</t>
        </is>
      </c>
      <c r="C282" t="inlineStr">
        <is>
          <t>Föryngringsavverkning</t>
        </is>
      </c>
      <c r="D282" s="1" t="n">
        <v>45764</v>
      </c>
      <c r="E282" s="1" t="n">
        <v>46217</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20307-2025</t>
        </is>
      </c>
      <c r="B283" t="inlineStr">
        <is>
          <t>avverkningsanmälan</t>
        </is>
      </c>
      <c r="C283" t="inlineStr">
        <is>
          <t>Föryngringsavverkning</t>
        </is>
      </c>
      <c r="D283" s="1" t="n">
        <v>45774</v>
      </c>
      <c r="E283" s="1" t="n">
        <v>46217</v>
      </c>
      <c r="F283" t="inlineStr">
        <is>
          <t>GOTLANDS LÄN</t>
        </is>
      </c>
      <c r="G283" t="inlineStr">
        <is>
          <t>GOTLAND</t>
        </is>
      </c>
      <c r="I283" t="n">
        <v>6.8</v>
      </c>
      <c r="J283" t="n">
        <v>0</v>
      </c>
      <c r="K283" t="n">
        <v>0</v>
      </c>
      <c r="L283" t="n">
        <v>0</v>
      </c>
      <c r="M283" t="n">
        <v>0</v>
      </c>
      <c r="N283" t="n">
        <v>0</v>
      </c>
      <c r="O283" t="n">
        <v>0</v>
      </c>
      <c r="P283" t="n">
        <v>0</v>
      </c>
      <c r="Q283" t="n">
        <v>0</v>
      </c>
      <c r="R283" t="n">
        <v>0</v>
      </c>
      <c r="S283" t="n">
        <v>0</v>
      </c>
      <c r="T283" t="n">
        <v>0</v>
      </c>
      <c r="U283" s="2" t="inlineStr"/>
    </row>
    <row r="284" ht="15" customHeight="1">
      <c r="A284" t="inlineStr">
        <is>
          <t>A 29207-2025</t>
        </is>
      </c>
      <c r="B284" t="inlineStr">
        <is>
          <t>avverkningsanmälan</t>
        </is>
      </c>
      <c r="C284" t="inlineStr">
        <is>
          <t>Föryngringsavverkning</t>
        </is>
      </c>
      <c r="D284" s="1" t="n">
        <v>45823</v>
      </c>
      <c r="E284" s="1" t="n">
        <v>46217</v>
      </c>
      <c r="F284" t="inlineStr">
        <is>
          <t>GOTLANDS LÄN</t>
        </is>
      </c>
      <c r="G284" t="inlineStr">
        <is>
          <t>GOTLAND</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12599-2025</t>
        </is>
      </c>
      <c r="B285" t="inlineStr">
        <is>
          <t>avverkningsanmälan</t>
        </is>
      </c>
      <c r="C285" t="inlineStr">
        <is>
          <t>Föryngringsavverkning</t>
        </is>
      </c>
      <c r="D285" s="1" t="n">
        <v>45733</v>
      </c>
      <c r="E285" s="1" t="n">
        <v>46217</v>
      </c>
      <c r="F285" t="inlineStr">
        <is>
          <t>GOTLANDS LÄN</t>
        </is>
      </c>
      <c r="G285" t="inlineStr">
        <is>
          <t>GOTLAND</t>
        </is>
      </c>
      <c r="I285" t="n">
        <v>4.7</v>
      </c>
      <c r="J285" t="n">
        <v>0</v>
      </c>
      <c r="K285" t="n">
        <v>0</v>
      </c>
      <c r="L285" t="n">
        <v>0</v>
      </c>
      <c r="M285" t="n">
        <v>0</v>
      </c>
      <c r="N285" t="n">
        <v>0</v>
      </c>
      <c r="O285" t="n">
        <v>0</v>
      </c>
      <c r="P285" t="n">
        <v>0</v>
      </c>
      <c r="Q285" t="n">
        <v>0</v>
      </c>
      <c r="R285" t="n">
        <v>0</v>
      </c>
      <c r="S285" t="n">
        <v>0</v>
      </c>
      <c r="T285" t="n">
        <v>0</v>
      </c>
      <c r="U285" s="2" t="inlineStr"/>
    </row>
    <row r="286" ht="15" customHeight="1">
      <c r="A286" t="inlineStr">
        <is>
          <t>A 35141-2025</t>
        </is>
      </c>
      <c r="B286" t="inlineStr">
        <is>
          <t>avverkningsanmälan</t>
        </is>
      </c>
      <c r="C286" t="inlineStr">
        <is>
          <t>Föryngringsavverkning</t>
        </is>
      </c>
      <c r="D286" s="1" t="n">
        <v>45852</v>
      </c>
      <c r="E286" s="1" t="n">
        <v>46217</v>
      </c>
      <c r="F286" t="inlineStr">
        <is>
          <t>GOTLANDS LÄN</t>
        </is>
      </c>
      <c r="G286" t="inlineStr">
        <is>
          <t>GOTLAND</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35142-2025</t>
        </is>
      </c>
      <c r="B287" t="inlineStr">
        <is>
          <t>avverkningsanmälan</t>
        </is>
      </c>
      <c r="C287" t="inlineStr">
        <is>
          <t>Föryngringsavverkning</t>
        </is>
      </c>
      <c r="D287" s="1" t="n">
        <v>45852</v>
      </c>
      <c r="E287" s="1" t="n">
        <v>46217</v>
      </c>
      <c r="F287" t="inlineStr">
        <is>
          <t>GOTLANDS LÄN</t>
        </is>
      </c>
      <c r="G287" t="inlineStr">
        <is>
          <t>GOTLAND</t>
        </is>
      </c>
      <c r="I287" t="n">
        <v>2.4</v>
      </c>
      <c r="J287" t="n">
        <v>0</v>
      </c>
      <c r="K287" t="n">
        <v>0</v>
      </c>
      <c r="L287" t="n">
        <v>0</v>
      </c>
      <c r="M287" t="n">
        <v>0</v>
      </c>
      <c r="N287" t="n">
        <v>0</v>
      </c>
      <c r="O287" t="n">
        <v>0</v>
      </c>
      <c r="P287" t="n">
        <v>0</v>
      </c>
      <c r="Q287" t="n">
        <v>0</v>
      </c>
      <c r="R287" t="n">
        <v>0</v>
      </c>
      <c r="S287" t="n">
        <v>0</v>
      </c>
      <c r="T287" t="n">
        <v>0</v>
      </c>
      <c r="U287" s="2" t="inlineStr"/>
    </row>
    <row r="288" ht="15" customHeight="1">
      <c r="A288" t="inlineStr">
        <is>
          <t>A 25796-2025</t>
        </is>
      </c>
      <c r="B288" t="inlineStr">
        <is>
          <t>avverkningsanmälan</t>
        </is>
      </c>
      <c r="C288" t="inlineStr">
        <is>
          <t>Föryngringsavverkning</t>
        </is>
      </c>
      <c r="D288" s="1" t="n">
        <v>45804</v>
      </c>
      <c r="E288" s="1" t="n">
        <v>46217</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2180-2025</t>
        </is>
      </c>
      <c r="B289" t="inlineStr">
        <is>
          <t>avverkningsanmälan</t>
        </is>
      </c>
      <c r="C289" t="inlineStr">
        <is>
          <t>Föryngringsavverkning</t>
        </is>
      </c>
      <c r="D289" s="1" t="n">
        <v>45673</v>
      </c>
      <c r="E289" s="1" t="n">
        <v>46217</v>
      </c>
      <c r="F289" t="inlineStr">
        <is>
          <t>GOTLANDS LÄN</t>
        </is>
      </c>
      <c r="G289" t="inlineStr">
        <is>
          <t>GOTLAND</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62754-2025</t>
        </is>
      </c>
      <c r="B290" t="inlineStr">
        <is>
          <t>avverkningsanmälan</t>
        </is>
      </c>
      <c r="C290" t="inlineStr">
        <is>
          <t>Föryngringsavverkning</t>
        </is>
      </c>
      <c r="D290" s="1" t="n">
        <v>46008</v>
      </c>
      <c r="E290" s="1" t="n">
        <v>46217</v>
      </c>
      <c r="F290" t="inlineStr">
        <is>
          <t>GOTLANDS LÄN</t>
        </is>
      </c>
      <c r="G290" t="inlineStr">
        <is>
          <t>GOTLAND</t>
        </is>
      </c>
      <c r="H290" t="inlineStr">
        <is>
          <t>Övriga Aktiebolag</t>
        </is>
      </c>
      <c r="I290" t="n">
        <v>2.9</v>
      </c>
      <c r="J290" t="n">
        <v>0</v>
      </c>
      <c r="K290" t="n">
        <v>0</v>
      </c>
      <c r="L290" t="n">
        <v>0</v>
      </c>
      <c r="M290" t="n">
        <v>0</v>
      </c>
      <c r="N290" t="n">
        <v>0</v>
      </c>
      <c r="O290" t="n">
        <v>0</v>
      </c>
      <c r="P290" t="n">
        <v>0</v>
      </c>
      <c r="Q290" t="n">
        <v>0</v>
      </c>
      <c r="R290" t="n">
        <v>0</v>
      </c>
      <c r="S290" t="n">
        <v>0</v>
      </c>
      <c r="T290" t="n">
        <v>0</v>
      </c>
      <c r="U290" s="2" t="inlineStr"/>
    </row>
    <row r="291" ht="15" customHeight="1">
      <c r="A291" t="inlineStr">
        <is>
          <t>A 20225-2025</t>
        </is>
      </c>
      <c r="B291" t="inlineStr">
        <is>
          <t>avverkningsanmälan</t>
        </is>
      </c>
      <c r="C291" t="inlineStr">
        <is>
          <t>Föryngringsavverkning</t>
        </is>
      </c>
      <c r="D291" s="1" t="n">
        <v>45772</v>
      </c>
      <c r="E291" s="1" t="n">
        <v>46217</v>
      </c>
      <c r="F291" t="inlineStr">
        <is>
          <t>GOTLANDS LÄN</t>
        </is>
      </c>
      <c r="G291" t="inlineStr">
        <is>
          <t>GOTLAND</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32379-2025</t>
        </is>
      </c>
      <c r="B292" t="inlineStr">
        <is>
          <t>avverkningsanmälan</t>
        </is>
      </c>
      <c r="C292" t="inlineStr">
        <is>
          <t>Föryngringsavverkning</t>
        </is>
      </c>
      <c r="D292" s="1" t="n">
        <v>45837</v>
      </c>
      <c r="E292" s="1" t="n">
        <v>46217</v>
      </c>
      <c r="F292" t="inlineStr">
        <is>
          <t>GOTLANDS LÄN</t>
        </is>
      </c>
      <c r="G292" t="inlineStr">
        <is>
          <t>GOTLAND</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39816-2025</t>
        </is>
      </c>
      <c r="B293" t="inlineStr">
        <is>
          <t>avverkningsanmälan</t>
        </is>
      </c>
      <c r="C293" t="inlineStr">
        <is>
          <t>Föryngringsavverkning</t>
        </is>
      </c>
      <c r="D293" s="1" t="n">
        <v>45891</v>
      </c>
      <c r="E293" s="1" t="n">
        <v>46217</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40373-2025</t>
        </is>
      </c>
      <c r="B294" t="inlineStr">
        <is>
          <t>avverkningsanmälan</t>
        </is>
      </c>
      <c r="C294" t="inlineStr">
        <is>
          <t>Föryngringsavverkning</t>
        </is>
      </c>
      <c r="D294" s="1" t="n">
        <v>45895</v>
      </c>
      <c r="E294" s="1" t="n">
        <v>46217</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45112-2024</t>
        </is>
      </c>
      <c r="B295" t="inlineStr">
        <is>
          <t>avverkningsanmälan</t>
        </is>
      </c>
      <c r="C295" t="inlineStr">
        <is>
          <t>Föryngringsavverkning</t>
        </is>
      </c>
      <c r="D295" s="1" t="n">
        <v>45575</v>
      </c>
      <c r="E295" s="1" t="n">
        <v>46217</v>
      </c>
      <c r="F295" t="inlineStr">
        <is>
          <t>GOTLANDS LÄN</t>
        </is>
      </c>
      <c r="G295" t="inlineStr">
        <is>
          <t>GOTLAND</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40372-2025</t>
        </is>
      </c>
      <c r="B296" t="inlineStr">
        <is>
          <t>avverkningsanmälan</t>
        </is>
      </c>
      <c r="C296" t="inlineStr">
        <is>
          <t>Föryngringsavverkning</t>
        </is>
      </c>
      <c r="D296" s="1" t="n">
        <v>45895</v>
      </c>
      <c r="E296" s="1" t="n">
        <v>46217</v>
      </c>
      <c r="F296" t="inlineStr">
        <is>
          <t>GOTLANDS LÄN</t>
        </is>
      </c>
      <c r="G296" t="inlineStr">
        <is>
          <t>GOTLAND</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1734-2025</t>
        </is>
      </c>
      <c r="B297" t="inlineStr">
        <is>
          <t>avverkningsanmälan</t>
        </is>
      </c>
      <c r="C297" t="inlineStr">
        <is>
          <t>Föryngringsavverkning</t>
        </is>
      </c>
      <c r="D297" s="1" t="n">
        <v>45671</v>
      </c>
      <c r="E297" s="1" t="n">
        <v>46217</v>
      </c>
      <c r="F297" t="inlineStr">
        <is>
          <t>GOTLANDS LÄN</t>
        </is>
      </c>
      <c r="G297" t="inlineStr">
        <is>
          <t>GOTLAND</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20993-2023</t>
        </is>
      </c>
      <c r="B298" t="inlineStr">
        <is>
          <t>avverkningsanmälan</t>
        </is>
      </c>
      <c r="C298" t="inlineStr">
        <is>
          <t>Föryngringsavverkning</t>
        </is>
      </c>
      <c r="D298" s="1" t="n">
        <v>45056</v>
      </c>
      <c r="E298" s="1" t="n">
        <v>46217</v>
      </c>
      <c r="F298" t="inlineStr">
        <is>
          <t>GOTLANDS LÄN</t>
        </is>
      </c>
      <c r="G298" t="inlineStr">
        <is>
          <t>GOTLAND</t>
        </is>
      </c>
      <c r="I298" t="n">
        <v>7.1</v>
      </c>
      <c r="J298" t="n">
        <v>0</v>
      </c>
      <c r="K298" t="n">
        <v>0</v>
      </c>
      <c r="L298" t="n">
        <v>0</v>
      </c>
      <c r="M298" t="n">
        <v>0</v>
      </c>
      <c r="N298" t="n">
        <v>0</v>
      </c>
      <c r="O298" t="n">
        <v>0</v>
      </c>
      <c r="P298" t="n">
        <v>0</v>
      </c>
      <c r="Q298" t="n">
        <v>0</v>
      </c>
      <c r="R298" t="n">
        <v>0</v>
      </c>
      <c r="S298" t="n">
        <v>0</v>
      </c>
      <c r="T298" t="n">
        <v>0</v>
      </c>
      <c r="U298" s="2" t="inlineStr"/>
    </row>
    <row r="299" ht="15" customHeight="1">
      <c r="A299" t="inlineStr">
        <is>
          <t>A 1854-2026</t>
        </is>
      </c>
      <c r="B299" t="inlineStr">
        <is>
          <t>avverkningsanmälan</t>
        </is>
      </c>
      <c r="C299" t="inlineStr">
        <is>
          <t>Föryngringsavverkning</t>
        </is>
      </c>
      <c r="D299" s="1" t="n">
        <v>46035</v>
      </c>
      <c r="E299" s="1" t="n">
        <v>46217</v>
      </c>
      <c r="F299" t="inlineStr">
        <is>
          <t>GOTLANDS LÄN</t>
        </is>
      </c>
      <c r="G299" t="inlineStr">
        <is>
          <t>GOTLAND</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20356-2022</t>
        </is>
      </c>
      <c r="B300" t="inlineStr">
        <is>
          <t>avverkningsanmälan</t>
        </is>
      </c>
      <c r="C300" t="inlineStr">
        <is>
          <t>Avverkning för annat ändamål</t>
        </is>
      </c>
      <c r="D300" s="1" t="n">
        <v>44699</v>
      </c>
      <c r="E300" s="1" t="n">
        <v>46217</v>
      </c>
      <c r="F300" t="inlineStr">
        <is>
          <t>GOTLANDS LÄN</t>
        </is>
      </c>
      <c r="G300" t="inlineStr">
        <is>
          <t>GOTLAND</t>
        </is>
      </c>
      <c r="H300" t="inlineStr">
        <is>
          <t>Övriga Aktiebolag</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12596-2023</t>
        </is>
      </c>
      <c r="B301" t="inlineStr">
        <is>
          <t>avverkningsanmälan</t>
        </is>
      </c>
      <c r="C301" t="inlineStr">
        <is>
          <t>Föryngringsavverkning</t>
        </is>
      </c>
      <c r="D301" s="1" t="n">
        <v>45000</v>
      </c>
      <c r="E301" s="1" t="n">
        <v>46217</v>
      </c>
      <c r="F301" t="inlineStr">
        <is>
          <t>GOTLANDS LÄN</t>
        </is>
      </c>
      <c r="G301" t="inlineStr">
        <is>
          <t>GOTLAND</t>
        </is>
      </c>
      <c r="I301" t="n">
        <v>4.1</v>
      </c>
      <c r="J301" t="n">
        <v>0</v>
      </c>
      <c r="K301" t="n">
        <v>0</v>
      </c>
      <c r="L301" t="n">
        <v>0</v>
      </c>
      <c r="M301" t="n">
        <v>0</v>
      </c>
      <c r="N301" t="n">
        <v>0</v>
      </c>
      <c r="O301" t="n">
        <v>0</v>
      </c>
      <c r="P301" t="n">
        <v>0</v>
      </c>
      <c r="Q301" t="n">
        <v>0</v>
      </c>
      <c r="R301" t="n">
        <v>0</v>
      </c>
      <c r="S301" t="n">
        <v>0</v>
      </c>
      <c r="T301" t="n">
        <v>0</v>
      </c>
      <c r="U301" s="2" t="inlineStr"/>
    </row>
    <row r="302" ht="15" customHeight="1">
      <c r="A302" t="inlineStr">
        <is>
          <t>A 2125-2025</t>
        </is>
      </c>
      <c r="B302" t="inlineStr">
        <is>
          <t>avverkningsanmälan</t>
        </is>
      </c>
      <c r="C302" t="inlineStr">
        <is>
          <t>Föryngringsavverkning</t>
        </is>
      </c>
      <c r="D302" s="1" t="n">
        <v>45672</v>
      </c>
      <c r="E302" s="1" t="n">
        <v>46217</v>
      </c>
      <c r="F302" t="inlineStr">
        <is>
          <t>GOTLANDS LÄN</t>
        </is>
      </c>
      <c r="G302" t="inlineStr">
        <is>
          <t>GOTLAND</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12155-2023</t>
        </is>
      </c>
      <c r="B303" t="inlineStr">
        <is>
          <t>avverkningsanmälan</t>
        </is>
      </c>
      <c r="C303" t="inlineStr">
        <is>
          <t>Föryngringsavverkning</t>
        </is>
      </c>
      <c r="D303" s="1" t="n">
        <v>44998</v>
      </c>
      <c r="E303" s="1" t="n">
        <v>46217</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457-2023</t>
        </is>
      </c>
      <c r="B304" t="inlineStr">
        <is>
          <t>avverkningsanmälan</t>
        </is>
      </c>
      <c r="C304" t="inlineStr">
        <is>
          <t>Föryngringsavverkning</t>
        </is>
      </c>
      <c r="D304" s="1" t="n">
        <v>44929</v>
      </c>
      <c r="E304" s="1" t="n">
        <v>46217</v>
      </c>
      <c r="F304" t="inlineStr">
        <is>
          <t>GOTLANDS LÄN</t>
        </is>
      </c>
      <c r="G304" t="inlineStr">
        <is>
          <t>GOTLAND</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459-2023</t>
        </is>
      </c>
      <c r="B305" t="inlineStr">
        <is>
          <t>avverkningsanmälan</t>
        </is>
      </c>
      <c r="C305" t="inlineStr">
        <is>
          <t>Föryngringsavverkning</t>
        </is>
      </c>
      <c r="D305" s="1" t="n">
        <v>44929</v>
      </c>
      <c r="E305" s="1" t="n">
        <v>46217</v>
      </c>
      <c r="F305" t="inlineStr">
        <is>
          <t>GOTLANDS LÄN</t>
        </is>
      </c>
      <c r="G305" t="inlineStr">
        <is>
          <t>GOTLAND</t>
        </is>
      </c>
      <c r="I305" t="n">
        <v>4.2</v>
      </c>
      <c r="J305" t="n">
        <v>0</v>
      </c>
      <c r="K305" t="n">
        <v>0</v>
      </c>
      <c r="L305" t="n">
        <v>0</v>
      </c>
      <c r="M305" t="n">
        <v>0</v>
      </c>
      <c r="N305" t="n">
        <v>0</v>
      </c>
      <c r="O305" t="n">
        <v>0</v>
      </c>
      <c r="P305" t="n">
        <v>0</v>
      </c>
      <c r="Q305" t="n">
        <v>0</v>
      </c>
      <c r="R305" t="n">
        <v>0</v>
      </c>
      <c r="S305" t="n">
        <v>0</v>
      </c>
      <c r="T305" t="n">
        <v>0</v>
      </c>
      <c r="U305" s="2" t="inlineStr"/>
    </row>
    <row r="306" ht="15" customHeight="1">
      <c r="A306" t="inlineStr">
        <is>
          <t>A 38234-2023</t>
        </is>
      </c>
      <c r="B306" t="inlineStr">
        <is>
          <t>avverkningsanmälan</t>
        </is>
      </c>
      <c r="C306" t="inlineStr">
        <is>
          <t>Föryngringsavverkning</t>
        </is>
      </c>
      <c r="D306" s="1" t="n">
        <v>45161</v>
      </c>
      <c r="E306" s="1" t="n">
        <v>46217</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50744-2024</t>
        </is>
      </c>
      <c r="B307" t="inlineStr">
        <is>
          <t>avverkningsanmälan</t>
        </is>
      </c>
      <c r="C307" t="inlineStr">
        <is>
          <t>Föryngringsavverkning</t>
        </is>
      </c>
      <c r="D307" s="1" t="n">
        <v>45602</v>
      </c>
      <c r="E307" s="1" t="n">
        <v>46217</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13910-2025</t>
        </is>
      </c>
      <c r="B308" t="inlineStr">
        <is>
          <t>avverkningsanmälan</t>
        </is>
      </c>
      <c r="C308" t="inlineStr">
        <is>
          <t>Föryngringsavverkning</t>
        </is>
      </c>
      <c r="D308" s="1" t="n">
        <v>45737</v>
      </c>
      <c r="E308" s="1" t="n">
        <v>46217</v>
      </c>
      <c r="F308" t="inlineStr">
        <is>
          <t>GOTLANDS LÄN</t>
        </is>
      </c>
      <c r="G308" t="inlineStr">
        <is>
          <t>GOTLAND</t>
        </is>
      </c>
      <c r="H308" t="inlineStr">
        <is>
          <t>Kommuner</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43951-2025</t>
        </is>
      </c>
      <c r="B309" t="inlineStr">
        <is>
          <t>avverkningsanmälan</t>
        </is>
      </c>
      <c r="C309" t="inlineStr">
        <is>
          <t>Föryngringsavverkning</t>
        </is>
      </c>
      <c r="D309" s="1" t="n">
        <v>45915</v>
      </c>
      <c r="E309" s="1" t="n">
        <v>46217</v>
      </c>
      <c r="F309" t="inlineStr">
        <is>
          <t>GOTLANDS LÄN</t>
        </is>
      </c>
      <c r="G309" t="inlineStr">
        <is>
          <t>GOTLAND</t>
        </is>
      </c>
      <c r="I309" t="n">
        <v>4.4</v>
      </c>
      <c r="J309" t="n">
        <v>0</v>
      </c>
      <c r="K309" t="n">
        <v>0</v>
      </c>
      <c r="L309" t="n">
        <v>0</v>
      </c>
      <c r="M309" t="n">
        <v>0</v>
      </c>
      <c r="N309" t="n">
        <v>0</v>
      </c>
      <c r="O309" t="n">
        <v>0</v>
      </c>
      <c r="P309" t="n">
        <v>0</v>
      </c>
      <c r="Q309" t="n">
        <v>0</v>
      </c>
      <c r="R309" t="n">
        <v>0</v>
      </c>
      <c r="S309" t="n">
        <v>0</v>
      </c>
      <c r="T309" t="n">
        <v>0</v>
      </c>
      <c r="U309" s="2" t="inlineStr"/>
    </row>
    <row r="310" ht="15" customHeight="1">
      <c r="A310" t="inlineStr">
        <is>
          <t>A 6959-2026</t>
        </is>
      </c>
      <c r="B310" t="inlineStr">
        <is>
          <t>avverkningsanmälan</t>
        </is>
      </c>
      <c r="C310" t="inlineStr">
        <is>
          <t>Föryngringsavverkning</t>
        </is>
      </c>
      <c r="D310" s="1" t="n">
        <v>46057</v>
      </c>
      <c r="E310" s="1" t="n">
        <v>46217</v>
      </c>
      <c r="F310" t="inlineStr">
        <is>
          <t>GOTLANDS LÄN</t>
        </is>
      </c>
      <c r="G310" t="inlineStr">
        <is>
          <t>GOTLAND</t>
        </is>
      </c>
      <c r="H310" t="inlineStr">
        <is>
          <t>Kyrkan</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1446-2025</t>
        </is>
      </c>
      <c r="B311" t="inlineStr">
        <is>
          <t>avverkningsanmälan</t>
        </is>
      </c>
      <c r="C311" t="inlineStr">
        <is>
          <t>Föryngringsavverkning</t>
        </is>
      </c>
      <c r="D311" s="1" t="n">
        <v>45669</v>
      </c>
      <c r="E311" s="1" t="n">
        <v>46217</v>
      </c>
      <c r="F311" t="inlineStr">
        <is>
          <t>GOTLANDS LÄN</t>
        </is>
      </c>
      <c r="G311" t="inlineStr">
        <is>
          <t>GOTLAND</t>
        </is>
      </c>
      <c r="I311" t="n">
        <v>3.1</v>
      </c>
      <c r="J311" t="n">
        <v>0</v>
      </c>
      <c r="K311" t="n">
        <v>0</v>
      </c>
      <c r="L311" t="n">
        <v>0</v>
      </c>
      <c r="M311" t="n">
        <v>0</v>
      </c>
      <c r="N311" t="n">
        <v>0</v>
      </c>
      <c r="O311" t="n">
        <v>0</v>
      </c>
      <c r="P311" t="n">
        <v>0</v>
      </c>
      <c r="Q311" t="n">
        <v>0</v>
      </c>
      <c r="R311" t="n">
        <v>0</v>
      </c>
      <c r="S311" t="n">
        <v>0</v>
      </c>
      <c r="T311" t="n">
        <v>0</v>
      </c>
      <c r="U311" s="2" t="inlineStr"/>
    </row>
    <row r="312" ht="15" customHeight="1">
      <c r="A312" t="inlineStr">
        <is>
          <t>A 26391-2025</t>
        </is>
      </c>
      <c r="B312" t="inlineStr">
        <is>
          <t>avverkningsanmälan</t>
        </is>
      </c>
      <c r="C312" t="inlineStr">
        <is>
          <t>Avverkning för annat ändamål</t>
        </is>
      </c>
      <c r="D312" s="1" t="n">
        <v>45806</v>
      </c>
      <c r="E312" s="1" t="n">
        <v>46217</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43901-2023</t>
        </is>
      </c>
      <c r="B313" t="inlineStr">
        <is>
          <t>avverkningsanmälan</t>
        </is>
      </c>
      <c r="C313" t="inlineStr">
        <is>
          <t>Föryngringsavverkning</t>
        </is>
      </c>
      <c r="D313" s="1" t="n">
        <v>45187</v>
      </c>
      <c r="E313" s="1" t="n">
        <v>46217</v>
      </c>
      <c r="F313" t="inlineStr">
        <is>
          <t>GOTLANDS LÄN</t>
        </is>
      </c>
      <c r="G313" t="inlineStr">
        <is>
          <t>GOTLAND</t>
        </is>
      </c>
      <c r="I313" t="n">
        <v>5.4</v>
      </c>
      <c r="J313" t="n">
        <v>0</v>
      </c>
      <c r="K313" t="n">
        <v>0</v>
      </c>
      <c r="L313" t="n">
        <v>0</v>
      </c>
      <c r="M313" t="n">
        <v>0</v>
      </c>
      <c r="N313" t="n">
        <v>0</v>
      </c>
      <c r="O313" t="n">
        <v>0</v>
      </c>
      <c r="P313" t="n">
        <v>0</v>
      </c>
      <c r="Q313" t="n">
        <v>0</v>
      </c>
      <c r="R313" t="n">
        <v>0</v>
      </c>
      <c r="S313" t="n">
        <v>0</v>
      </c>
      <c r="T313" t="n">
        <v>0</v>
      </c>
      <c r="U313" s="2" t="inlineStr"/>
    </row>
    <row r="314" ht="15" customHeight="1">
      <c r="A314" t="inlineStr">
        <is>
          <t>A 38165-2023</t>
        </is>
      </c>
      <c r="B314" t="inlineStr">
        <is>
          <t>avverkningsanmälan</t>
        </is>
      </c>
      <c r="C314" t="inlineStr">
        <is>
          <t>Föryngringsavverkning</t>
        </is>
      </c>
      <c r="D314" s="1" t="n">
        <v>45161</v>
      </c>
      <c r="E314" s="1" t="n">
        <v>46217</v>
      </c>
      <c r="F314" t="inlineStr">
        <is>
          <t>GOTLANDS LÄN</t>
        </is>
      </c>
      <c r="G314" t="inlineStr">
        <is>
          <t>GOTLAND</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10746-2025</t>
        </is>
      </c>
      <c r="B315" t="inlineStr">
        <is>
          <t>avverkningsanmälan</t>
        </is>
      </c>
      <c r="C315" t="inlineStr">
        <is>
          <t>Föryngringsavverkning</t>
        </is>
      </c>
      <c r="D315" s="1" t="n">
        <v>45722</v>
      </c>
      <c r="E315" s="1" t="n">
        <v>46217</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16501-2023</t>
        </is>
      </c>
      <c r="B316" t="inlineStr">
        <is>
          <t>avverkningsanmälan</t>
        </is>
      </c>
      <c r="C316" t="inlineStr">
        <is>
          <t>Avverkning för att bevara och utveckla /försöksver</t>
        </is>
      </c>
      <c r="D316" s="1" t="n">
        <v>45029</v>
      </c>
      <c r="E316" s="1" t="n">
        <v>46217</v>
      </c>
      <c r="F316" t="inlineStr">
        <is>
          <t>GOTLANDS LÄN</t>
        </is>
      </c>
      <c r="G316" t="inlineStr">
        <is>
          <t>GOTLAND</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46836-2025</t>
        </is>
      </c>
      <c r="B317" t="inlineStr">
        <is>
          <t>avverkningsanmälan</t>
        </is>
      </c>
      <c r="C317" t="inlineStr">
        <is>
          <t>Föryngringsavverkning</t>
        </is>
      </c>
      <c r="D317" s="1" t="n">
        <v>45928</v>
      </c>
      <c r="E317" s="1" t="n">
        <v>46217</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61962-2024</t>
        </is>
      </c>
      <c r="B318" t="inlineStr">
        <is>
          <t>avverkningsanmälan</t>
        </is>
      </c>
      <c r="C318" t="inlineStr">
        <is>
          <t>Föryngringsavverkning</t>
        </is>
      </c>
      <c r="D318" s="1" t="n">
        <v>45653</v>
      </c>
      <c r="E318" s="1" t="n">
        <v>46217</v>
      </c>
      <c r="F318" t="inlineStr">
        <is>
          <t>GOTLANDS LÄN</t>
        </is>
      </c>
      <c r="G318" t="inlineStr">
        <is>
          <t>GOTLAND</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47637-2025</t>
        </is>
      </c>
      <c r="B319" t="inlineStr">
        <is>
          <t>avverkningsanmälan</t>
        </is>
      </c>
      <c r="C319" t="inlineStr">
        <is>
          <t>Föryngringsavverkning</t>
        </is>
      </c>
      <c r="D319" s="1" t="n">
        <v>45931</v>
      </c>
      <c r="E319" s="1" t="n">
        <v>46217</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10492-2023</t>
        </is>
      </c>
      <c r="B320" t="inlineStr">
        <is>
          <t>avverkningsanmälan</t>
        </is>
      </c>
      <c r="C320" t="inlineStr">
        <is>
          <t>Föryngringsavverkning</t>
        </is>
      </c>
      <c r="D320" s="1" t="n">
        <v>44987</v>
      </c>
      <c r="E320" s="1" t="n">
        <v>46217</v>
      </c>
      <c r="F320" t="inlineStr">
        <is>
          <t>GOTLANDS LÄN</t>
        </is>
      </c>
      <c r="G320" t="inlineStr">
        <is>
          <t>GOTLAND</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10653-2023</t>
        </is>
      </c>
      <c r="B321" t="inlineStr">
        <is>
          <t>avverkningsanmälan</t>
        </is>
      </c>
      <c r="C321" t="inlineStr">
        <is>
          <t>Föryngringsavverkning</t>
        </is>
      </c>
      <c r="D321" s="1" t="n">
        <v>44988</v>
      </c>
      <c r="E321" s="1" t="n">
        <v>46217</v>
      </c>
      <c r="F321" t="inlineStr">
        <is>
          <t>GOTLANDS LÄN</t>
        </is>
      </c>
      <c r="G321" t="inlineStr">
        <is>
          <t>GOTLAND</t>
        </is>
      </c>
      <c r="H321" t="inlineStr">
        <is>
          <t>Kyrkan</t>
        </is>
      </c>
      <c r="I321" t="n">
        <v>3</v>
      </c>
      <c r="J321" t="n">
        <v>0</v>
      </c>
      <c r="K321" t="n">
        <v>0</v>
      </c>
      <c r="L321" t="n">
        <v>0</v>
      </c>
      <c r="M321" t="n">
        <v>0</v>
      </c>
      <c r="N321" t="n">
        <v>0</v>
      </c>
      <c r="O321" t="n">
        <v>0</v>
      </c>
      <c r="P321" t="n">
        <v>0</v>
      </c>
      <c r="Q321" t="n">
        <v>0</v>
      </c>
      <c r="R321" t="n">
        <v>0</v>
      </c>
      <c r="S321" t="n">
        <v>0</v>
      </c>
      <c r="T321" t="n">
        <v>0</v>
      </c>
      <c r="U321" s="2" t="inlineStr"/>
    </row>
    <row r="322" ht="15" customHeight="1">
      <c r="A322" t="inlineStr">
        <is>
          <t>A 35550-2025</t>
        </is>
      </c>
      <c r="B322" t="inlineStr">
        <is>
          <t>avverkningsanmälan</t>
        </is>
      </c>
      <c r="C322" t="inlineStr">
        <is>
          <t>Föryngringsavverkning</t>
        </is>
      </c>
      <c r="D322" s="1" t="n">
        <v>45856</v>
      </c>
      <c r="E322" s="1" t="n">
        <v>46217</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s="2" t="inlineStr"/>
    </row>
    <row r="323" ht="15" customHeight="1">
      <c r="A323" t="inlineStr">
        <is>
          <t>A 4990-2025</t>
        </is>
      </c>
      <c r="B323" t="inlineStr">
        <is>
          <t>avverkningsanmälan</t>
        </is>
      </c>
      <c r="C323" t="inlineStr">
        <is>
          <t>Föryngringsavverkning</t>
        </is>
      </c>
      <c r="D323" s="1" t="n">
        <v>45691</v>
      </c>
      <c r="E323" s="1" t="n">
        <v>46217</v>
      </c>
      <c r="F323" t="inlineStr">
        <is>
          <t>GOTLANDS LÄN</t>
        </is>
      </c>
      <c r="G323" t="inlineStr">
        <is>
          <t>GOTLAND</t>
        </is>
      </c>
      <c r="I323" t="n">
        <v>7.7</v>
      </c>
      <c r="J323" t="n">
        <v>0</v>
      </c>
      <c r="K323" t="n">
        <v>0</v>
      </c>
      <c r="L323" t="n">
        <v>0</v>
      </c>
      <c r="M323" t="n">
        <v>0</v>
      </c>
      <c r="N323" t="n">
        <v>0</v>
      </c>
      <c r="O323" t="n">
        <v>0</v>
      </c>
      <c r="P323" t="n">
        <v>0</v>
      </c>
      <c r="Q323" t="n">
        <v>0</v>
      </c>
      <c r="R323" t="n">
        <v>0</v>
      </c>
      <c r="S323" t="n">
        <v>0</v>
      </c>
      <c r="T323" t="n">
        <v>0</v>
      </c>
      <c r="U323" s="2" t="inlineStr"/>
    </row>
    <row r="324" ht="15" customHeight="1">
      <c r="A324" t="inlineStr">
        <is>
          <t>A 47578-2025</t>
        </is>
      </c>
      <c r="B324" t="inlineStr">
        <is>
          <t>avverkningsanmälan</t>
        </is>
      </c>
      <c r="C324" t="inlineStr">
        <is>
          <t>Avverkning för annat ändamål</t>
        </is>
      </c>
      <c r="D324" s="1" t="n">
        <v>45931</v>
      </c>
      <c r="E324" s="1" t="n">
        <v>46217</v>
      </c>
      <c r="F324" t="inlineStr">
        <is>
          <t>GOTLANDS LÄN</t>
        </is>
      </c>
      <c r="G324" t="inlineStr">
        <is>
          <t>GOTLAND</t>
        </is>
      </c>
      <c r="I324" t="n">
        <v>9.199999999999999</v>
      </c>
      <c r="J324" t="n">
        <v>0</v>
      </c>
      <c r="K324" t="n">
        <v>0</v>
      </c>
      <c r="L324" t="n">
        <v>0</v>
      </c>
      <c r="M324" t="n">
        <v>0</v>
      </c>
      <c r="N324" t="n">
        <v>0</v>
      </c>
      <c r="O324" t="n">
        <v>0</v>
      </c>
      <c r="P324" t="n">
        <v>0</v>
      </c>
      <c r="Q324" t="n">
        <v>0</v>
      </c>
      <c r="R324" t="n">
        <v>0</v>
      </c>
      <c r="S324" t="n">
        <v>0</v>
      </c>
      <c r="T324" t="n">
        <v>0</v>
      </c>
      <c r="U324" s="2" t="inlineStr"/>
    </row>
    <row r="325" ht="15" customHeight="1">
      <c r="A325" t="inlineStr">
        <is>
          <t>A 35537-2025</t>
        </is>
      </c>
      <c r="B325" t="inlineStr">
        <is>
          <t>avverkningsanmälan</t>
        </is>
      </c>
      <c r="C325" t="inlineStr">
        <is>
          <t>Föryngringsavverkning</t>
        </is>
      </c>
      <c r="D325" s="1" t="n">
        <v>45856</v>
      </c>
      <c r="E325" s="1" t="n">
        <v>46217</v>
      </c>
      <c r="F325" t="inlineStr">
        <is>
          <t>GOTLANDS LÄN</t>
        </is>
      </c>
      <c r="G325" t="inlineStr">
        <is>
          <t>GOTLAND</t>
        </is>
      </c>
      <c r="I325" t="n">
        <v>16.8</v>
      </c>
      <c r="J325" t="n">
        <v>0</v>
      </c>
      <c r="K325" t="n">
        <v>0</v>
      </c>
      <c r="L325" t="n">
        <v>0</v>
      </c>
      <c r="M325" t="n">
        <v>0</v>
      </c>
      <c r="N325" t="n">
        <v>0</v>
      </c>
      <c r="O325" t="n">
        <v>0</v>
      </c>
      <c r="P325" t="n">
        <v>0</v>
      </c>
      <c r="Q325" t="n">
        <v>0</v>
      </c>
      <c r="R325" t="n">
        <v>0</v>
      </c>
      <c r="S325" t="n">
        <v>0</v>
      </c>
      <c r="T325" t="n">
        <v>0</v>
      </c>
      <c r="U325" s="2" t="inlineStr"/>
    </row>
    <row r="326" ht="15" customHeight="1">
      <c r="A326" t="inlineStr">
        <is>
          <t>A 49730-2025</t>
        </is>
      </c>
      <c r="B326" t="inlineStr">
        <is>
          <t>avverkningsanmälan</t>
        </is>
      </c>
      <c r="C326" t="inlineStr">
        <is>
          <t>Föryngringsavverkning</t>
        </is>
      </c>
      <c r="D326" s="1" t="n">
        <v>45939</v>
      </c>
      <c r="E326" s="1" t="n">
        <v>46217</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43081-2022</t>
        </is>
      </c>
      <c r="B327" t="inlineStr">
        <is>
          <t>avverkningsanmälan</t>
        </is>
      </c>
      <c r="C327" t="inlineStr">
        <is>
          <t>Föryngringsavverkning</t>
        </is>
      </c>
      <c r="D327" s="1" t="n">
        <v>44833</v>
      </c>
      <c r="E327" s="1" t="n">
        <v>46217</v>
      </c>
      <c r="F327" t="inlineStr">
        <is>
          <t>GOTLANDS LÄN</t>
        </is>
      </c>
      <c r="G327" t="inlineStr">
        <is>
          <t>GOTLAND</t>
        </is>
      </c>
      <c r="I327" t="n">
        <v>6.8</v>
      </c>
      <c r="J327" t="n">
        <v>0</v>
      </c>
      <c r="K327" t="n">
        <v>0</v>
      </c>
      <c r="L327" t="n">
        <v>0</v>
      </c>
      <c r="M327" t="n">
        <v>0</v>
      </c>
      <c r="N327" t="n">
        <v>0</v>
      </c>
      <c r="O327" t="n">
        <v>0</v>
      </c>
      <c r="P327" t="n">
        <v>0</v>
      </c>
      <c r="Q327" t="n">
        <v>0</v>
      </c>
      <c r="R327" t="n">
        <v>0</v>
      </c>
      <c r="S327" t="n">
        <v>0</v>
      </c>
      <c r="T327" t="n">
        <v>0</v>
      </c>
      <c r="U327" s="2" t="inlineStr"/>
    </row>
    <row r="328" ht="15" customHeight="1">
      <c r="A328" t="inlineStr">
        <is>
          <t>A 49690-2025</t>
        </is>
      </c>
      <c r="B328" t="inlineStr">
        <is>
          <t>avverkningsanmälan</t>
        </is>
      </c>
      <c r="C328" t="inlineStr">
        <is>
          <t>Föryngringsavverkning</t>
        </is>
      </c>
      <c r="D328" s="1" t="n">
        <v>45939</v>
      </c>
      <c r="E328" s="1" t="n">
        <v>46217</v>
      </c>
      <c r="F328" t="inlineStr">
        <is>
          <t>GOTLANDS LÄN</t>
        </is>
      </c>
      <c r="G328" t="inlineStr">
        <is>
          <t>GOTLAND</t>
        </is>
      </c>
      <c r="I328" t="n">
        <v>8.199999999999999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5884-2025</t>
        </is>
      </c>
      <c r="B329" t="inlineStr">
        <is>
          <t>avverkningsanmälan</t>
        </is>
      </c>
      <c r="C329" t="inlineStr">
        <is>
          <t>Föryngringsavverkning</t>
        </is>
      </c>
      <c r="D329" s="1" t="n">
        <v>45695</v>
      </c>
      <c r="E329" s="1" t="n">
        <v>46217</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5897-2025</t>
        </is>
      </c>
      <c r="B330" t="inlineStr">
        <is>
          <t>avverkningsanmälan</t>
        </is>
      </c>
      <c r="C330" t="inlineStr">
        <is>
          <t>Föryngringsavverkning</t>
        </is>
      </c>
      <c r="D330" s="1" t="n">
        <v>45695</v>
      </c>
      <c r="E330" s="1" t="n">
        <v>46217</v>
      </c>
      <c r="F330" t="inlineStr">
        <is>
          <t>GOTLANDS LÄN</t>
        </is>
      </c>
      <c r="G330" t="inlineStr">
        <is>
          <t>GOTLAND</t>
        </is>
      </c>
      <c r="I330" t="n">
        <v>3.7</v>
      </c>
      <c r="J330" t="n">
        <v>0</v>
      </c>
      <c r="K330" t="n">
        <v>0</v>
      </c>
      <c r="L330" t="n">
        <v>0</v>
      </c>
      <c r="M330" t="n">
        <v>0</v>
      </c>
      <c r="N330" t="n">
        <v>0</v>
      </c>
      <c r="O330" t="n">
        <v>0</v>
      </c>
      <c r="P330" t="n">
        <v>0</v>
      </c>
      <c r="Q330" t="n">
        <v>0</v>
      </c>
      <c r="R330" t="n">
        <v>0</v>
      </c>
      <c r="S330" t="n">
        <v>0</v>
      </c>
      <c r="T330" t="n">
        <v>0</v>
      </c>
      <c r="U330" s="2" t="inlineStr"/>
    </row>
    <row r="331" ht="15" customHeight="1">
      <c r="A331" t="inlineStr">
        <is>
          <t>A 49697-2023</t>
        </is>
      </c>
      <c r="B331" t="inlineStr">
        <is>
          <t>avverkningsanmälan</t>
        </is>
      </c>
      <c r="C331" t="inlineStr">
        <is>
          <t>Föryngringsavverkning</t>
        </is>
      </c>
      <c r="D331" s="1" t="n">
        <v>45212</v>
      </c>
      <c r="E331" s="1" t="n">
        <v>46217</v>
      </c>
      <c r="F331" t="inlineStr">
        <is>
          <t>GOTLANDS LÄN</t>
        </is>
      </c>
      <c r="G331" t="inlineStr">
        <is>
          <t>GOTLAND</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17901-2023</t>
        </is>
      </c>
      <c r="B332" t="inlineStr">
        <is>
          <t>avverkningsanmälan</t>
        </is>
      </c>
      <c r="C332" t="inlineStr">
        <is>
          <t>Föryngringsavverkning</t>
        </is>
      </c>
      <c r="D332" s="1" t="n">
        <v>45039</v>
      </c>
      <c r="E332" s="1" t="n">
        <v>46217</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52892-2021</t>
        </is>
      </c>
      <c r="B333" t="inlineStr">
        <is>
          <t>avverkningsanmälan</t>
        </is>
      </c>
      <c r="C333" t="inlineStr">
        <is>
          <t>Föryngringsavverkning</t>
        </is>
      </c>
      <c r="D333" s="1" t="n">
        <v>44467</v>
      </c>
      <c r="E333" s="1" t="n">
        <v>46217</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46396-2023</t>
        </is>
      </c>
      <c r="B334" t="inlineStr">
        <is>
          <t>avverkningsanmälan</t>
        </is>
      </c>
      <c r="C334" t="inlineStr">
        <is>
          <t>Föryngringsavverkning</t>
        </is>
      </c>
      <c r="D334" s="1" t="n">
        <v>45197</v>
      </c>
      <c r="E334" s="1" t="n">
        <v>46217</v>
      </c>
      <c r="F334" t="inlineStr">
        <is>
          <t>GOTLANDS LÄN</t>
        </is>
      </c>
      <c r="G334" t="inlineStr">
        <is>
          <t>GOTLAND</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17724-2024</t>
        </is>
      </c>
      <c r="B335" t="inlineStr">
        <is>
          <t>avverkningsanmälan</t>
        </is>
      </c>
      <c r="C335" t="inlineStr">
        <is>
          <t>Föryngringsavverkning</t>
        </is>
      </c>
      <c r="D335" s="1" t="n">
        <v>45418</v>
      </c>
      <c r="E335" s="1" t="n">
        <v>46217</v>
      </c>
      <c r="F335" t="inlineStr">
        <is>
          <t>GOTLANDS LÄN</t>
        </is>
      </c>
      <c r="G335" t="inlineStr">
        <is>
          <t>GOTLAND</t>
        </is>
      </c>
      <c r="I335" t="n">
        <v>2</v>
      </c>
      <c r="J335" t="n">
        <v>0</v>
      </c>
      <c r="K335" t="n">
        <v>0</v>
      </c>
      <c r="L335" t="n">
        <v>0</v>
      </c>
      <c r="M335" t="n">
        <v>0</v>
      </c>
      <c r="N335" t="n">
        <v>0</v>
      </c>
      <c r="O335" t="n">
        <v>0</v>
      </c>
      <c r="P335" t="n">
        <v>0</v>
      </c>
      <c r="Q335" t="n">
        <v>0</v>
      </c>
      <c r="R335" t="n">
        <v>0</v>
      </c>
      <c r="S335" t="n">
        <v>0</v>
      </c>
      <c r="T335" t="n">
        <v>0</v>
      </c>
      <c r="U335" s="2" t="inlineStr"/>
    </row>
    <row r="336" ht="15" customHeight="1">
      <c r="A336" t="inlineStr">
        <is>
          <t>A 7638-2025</t>
        </is>
      </c>
      <c r="B336" t="inlineStr">
        <is>
          <t>avverkningsanmälan</t>
        </is>
      </c>
      <c r="C336" t="inlineStr">
        <is>
          <t>Föryngringsavverkning</t>
        </is>
      </c>
      <c r="D336" s="1" t="n">
        <v>45705</v>
      </c>
      <c r="E336" s="1" t="n">
        <v>46217</v>
      </c>
      <c r="F336" t="inlineStr">
        <is>
          <t>GOTLANDS LÄN</t>
        </is>
      </c>
      <c r="G336" t="inlineStr">
        <is>
          <t>GOTLAND</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50482-2024</t>
        </is>
      </c>
      <c r="B337" t="inlineStr">
        <is>
          <t>avverkningsanmälan</t>
        </is>
      </c>
      <c r="C337" t="inlineStr">
        <is>
          <t>Föryngringsavverkning</t>
        </is>
      </c>
      <c r="D337" s="1" t="n">
        <v>45601</v>
      </c>
      <c r="E337" s="1" t="n">
        <v>46217</v>
      </c>
      <c r="F337" t="inlineStr">
        <is>
          <t>GOTLANDS LÄN</t>
        </is>
      </c>
      <c r="G337" t="inlineStr">
        <is>
          <t>GOTLAND</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1394-2023</t>
        </is>
      </c>
      <c r="B338" t="inlineStr">
        <is>
          <t>avverkningsanmälan</t>
        </is>
      </c>
      <c r="C338" t="inlineStr">
        <is>
          <t>Föryngringsavverkning</t>
        </is>
      </c>
      <c r="D338" s="1" t="n">
        <v>44936</v>
      </c>
      <c r="E338" s="1" t="n">
        <v>46217</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1462-2025</t>
        </is>
      </c>
      <c r="B339" t="inlineStr">
        <is>
          <t>avverkningsanmälan</t>
        </is>
      </c>
      <c r="C339" t="inlineStr">
        <is>
          <t>Föryngringsavverkning</t>
        </is>
      </c>
      <c r="D339" s="1" t="n">
        <v>45670</v>
      </c>
      <c r="E339" s="1" t="n">
        <v>46217</v>
      </c>
      <c r="F339" t="inlineStr">
        <is>
          <t>GOTLANDS LÄN</t>
        </is>
      </c>
      <c r="G339" t="inlineStr">
        <is>
          <t>GOTLAND</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25129-2023</t>
        </is>
      </c>
      <c r="B340" t="inlineStr">
        <is>
          <t>avverkningsanmälan</t>
        </is>
      </c>
      <c r="C340" t="inlineStr">
        <is>
          <t>Föryngringsavverkning</t>
        </is>
      </c>
      <c r="D340" s="1" t="n">
        <v>45086</v>
      </c>
      <c r="E340" s="1" t="n">
        <v>46217</v>
      </c>
      <c r="F340" t="inlineStr">
        <is>
          <t>GOTLANDS LÄN</t>
        </is>
      </c>
      <c r="G340" t="inlineStr">
        <is>
          <t>GOTLAND</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24192-2023</t>
        </is>
      </c>
      <c r="B341" t="inlineStr">
        <is>
          <t>avverkningsanmälan</t>
        </is>
      </c>
      <c r="C341" t="inlineStr">
        <is>
          <t>Föryngringsavverkning</t>
        </is>
      </c>
      <c r="D341" s="1" t="n">
        <v>45079</v>
      </c>
      <c r="E341" s="1" t="n">
        <v>46217</v>
      </c>
      <c r="F341" t="inlineStr">
        <is>
          <t>GOTLANDS LÄN</t>
        </is>
      </c>
      <c r="G341" t="inlineStr">
        <is>
          <t>GOTLAND</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5386-2023</t>
        </is>
      </c>
      <c r="B342" t="inlineStr">
        <is>
          <t>avverkningsanmälan</t>
        </is>
      </c>
      <c r="C342" t="inlineStr">
        <is>
          <t>Föryngringsavverkning</t>
        </is>
      </c>
      <c r="D342" s="1" t="n">
        <v>44959</v>
      </c>
      <c r="E342" s="1" t="n">
        <v>46217</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s="2" t="inlineStr"/>
    </row>
    <row r="343" ht="15" customHeight="1">
      <c r="A343" t="inlineStr">
        <is>
          <t>A 7026-2023</t>
        </is>
      </c>
      <c r="B343" t="inlineStr">
        <is>
          <t>avverkningsanmälan</t>
        </is>
      </c>
      <c r="C343" t="inlineStr">
        <is>
          <t>Föryngringsavverkning</t>
        </is>
      </c>
      <c r="D343" s="1" t="n">
        <v>44968</v>
      </c>
      <c r="E343" s="1" t="n">
        <v>46217</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20855-2023</t>
        </is>
      </c>
      <c r="B344" t="inlineStr">
        <is>
          <t>avverkningsanmälan</t>
        </is>
      </c>
      <c r="C344" t="inlineStr">
        <is>
          <t>Föryngringsavverkning</t>
        </is>
      </c>
      <c r="D344" s="1" t="n">
        <v>45058</v>
      </c>
      <c r="E344" s="1" t="n">
        <v>46217</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1000-2024</t>
        </is>
      </c>
      <c r="B345" t="inlineStr">
        <is>
          <t>avverkningsanmälan</t>
        </is>
      </c>
      <c r="C345" t="inlineStr">
        <is>
          <t>Föryngringsavverkning</t>
        </is>
      </c>
      <c r="D345" s="1" t="n">
        <v>45301</v>
      </c>
      <c r="E345" s="1" t="n">
        <v>46217</v>
      </c>
      <c r="F345" t="inlineStr">
        <is>
          <t>GOTLANDS LÄN</t>
        </is>
      </c>
      <c r="G345" t="inlineStr">
        <is>
          <t>GOTLAND</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56799-2025</t>
        </is>
      </c>
      <c r="B346" t="inlineStr">
        <is>
          <t>avverkningsanmälan</t>
        </is>
      </c>
      <c r="C346" t="inlineStr">
        <is>
          <t>Föryngringsavverkning</t>
        </is>
      </c>
      <c r="D346" s="1" t="n">
        <v>45978</v>
      </c>
      <c r="E346" s="1" t="n">
        <v>46217</v>
      </c>
      <c r="F346" t="inlineStr">
        <is>
          <t>GOTLANDS LÄN</t>
        </is>
      </c>
      <c r="G346" t="inlineStr">
        <is>
          <t>GOTLAND</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56688-2025</t>
        </is>
      </c>
      <c r="B347" t="inlineStr">
        <is>
          <t>avverkningsanmälan</t>
        </is>
      </c>
      <c r="C347" t="inlineStr">
        <is>
          <t>Föryngringsavverkning</t>
        </is>
      </c>
      <c r="D347" s="1" t="n">
        <v>45975</v>
      </c>
      <c r="E347" s="1" t="n">
        <v>46217</v>
      </c>
      <c r="F347" t="inlineStr">
        <is>
          <t>GOTLANDS LÄN</t>
        </is>
      </c>
      <c r="G347" t="inlineStr">
        <is>
          <t>GOTLAND</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47762-2023</t>
        </is>
      </c>
      <c r="B348" t="inlineStr">
        <is>
          <t>avverkningsanmälan</t>
        </is>
      </c>
      <c r="C348" t="inlineStr">
        <is>
          <t>Föryngringsavverkning</t>
        </is>
      </c>
      <c r="D348" s="1" t="n">
        <v>45203</v>
      </c>
      <c r="E348" s="1" t="n">
        <v>46217</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60086-2022</t>
        </is>
      </c>
      <c r="B349" t="inlineStr">
        <is>
          <t>avverkningsanmälan</t>
        </is>
      </c>
      <c r="C349" t="inlineStr">
        <is>
          <t>Föryngringsavverkning</t>
        </is>
      </c>
      <c r="D349" s="1" t="n">
        <v>44909</v>
      </c>
      <c r="E349" s="1" t="n">
        <v>46217</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27164-2026</t>
        </is>
      </c>
      <c r="B350" t="inlineStr">
        <is>
          <t>avverkningsanmälan</t>
        </is>
      </c>
      <c r="C350" t="inlineStr">
        <is>
          <t>Föryngringsavverkning</t>
        </is>
      </c>
      <c r="D350" s="1" t="n">
        <v>46188</v>
      </c>
      <c r="E350" s="1" t="n">
        <v>46217</v>
      </c>
      <c r="F350" t="inlineStr">
        <is>
          <t>GOTLANDS LÄN</t>
        </is>
      </c>
      <c r="G350" t="inlineStr">
        <is>
          <t>GOTLAND</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27341-2026</t>
        </is>
      </c>
      <c r="B351" t="inlineStr">
        <is>
          <t>avverkningsanmälan</t>
        </is>
      </c>
      <c r="C351" t="inlineStr">
        <is>
          <t>Föryngringsavverkning</t>
        </is>
      </c>
      <c r="D351" s="1" t="n">
        <v>46188</v>
      </c>
      <c r="E351" s="1" t="n">
        <v>46217</v>
      </c>
      <c r="F351" t="inlineStr">
        <is>
          <t>GOTLANDS LÄN</t>
        </is>
      </c>
      <c r="G351" t="inlineStr">
        <is>
          <t>GOTLAND</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27346-2026</t>
        </is>
      </c>
      <c r="B352" t="inlineStr">
        <is>
          <t>avverkningsanmälan</t>
        </is>
      </c>
      <c r="C352" t="inlineStr">
        <is>
          <t>Föryngringsavverkning</t>
        </is>
      </c>
      <c r="D352" s="1" t="n">
        <v>46188</v>
      </c>
      <c r="E352" s="1" t="n">
        <v>46217</v>
      </c>
      <c r="F352" t="inlineStr">
        <is>
          <t>GOTLANDS LÄN</t>
        </is>
      </c>
      <c r="G352" t="inlineStr">
        <is>
          <t>GOTLAND</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27354-2026</t>
        </is>
      </c>
      <c r="B353" t="inlineStr">
        <is>
          <t>avverkningsanmälan</t>
        </is>
      </c>
      <c r="C353" t="inlineStr">
        <is>
          <t>Föryngringsavverkning</t>
        </is>
      </c>
      <c r="D353" s="1" t="n">
        <v>46184</v>
      </c>
      <c r="E353" s="1" t="n">
        <v>46217</v>
      </c>
      <c r="F353" t="inlineStr">
        <is>
          <t>GOTLANDS LÄN</t>
        </is>
      </c>
      <c r="G353" t="inlineStr">
        <is>
          <t>GOTLAND</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28485-2023</t>
        </is>
      </c>
      <c r="B354" t="inlineStr">
        <is>
          <t>avverkningsanmälan</t>
        </is>
      </c>
      <c r="C354" t="inlineStr">
        <is>
          <t>Föryngringsavverkning</t>
        </is>
      </c>
      <c r="D354" s="1" t="n">
        <v>45103</v>
      </c>
      <c r="E354" s="1" t="n">
        <v>46217</v>
      </c>
      <c r="F354" t="inlineStr">
        <is>
          <t>GOTLANDS LÄN</t>
        </is>
      </c>
      <c r="G354" t="inlineStr">
        <is>
          <t>GOTLAND</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44949-2023</t>
        </is>
      </c>
      <c r="B355" t="inlineStr">
        <is>
          <t>avverkningsanmälan</t>
        </is>
      </c>
      <c r="C355" t="inlineStr">
        <is>
          <t>Föryngringsavverkning</t>
        </is>
      </c>
      <c r="D355" s="1" t="n">
        <v>45190</v>
      </c>
      <c r="E355" s="1" t="n">
        <v>46217</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46217</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3964-2024</t>
        </is>
      </c>
      <c r="B357" t="inlineStr">
        <is>
          <t>avverkningsanmälan</t>
        </is>
      </c>
      <c r="C357" t="inlineStr">
        <is>
          <t>Föryngringsavverkning</t>
        </is>
      </c>
      <c r="D357" s="1" t="n">
        <v>45322</v>
      </c>
      <c r="E357" s="1" t="n">
        <v>46217</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45084-2024</t>
        </is>
      </c>
      <c r="B358" t="inlineStr">
        <is>
          <t>avverkningsanmälan</t>
        </is>
      </c>
      <c r="C358" t="inlineStr">
        <is>
          <t>Föryngringsavverkning</t>
        </is>
      </c>
      <c r="D358" s="1" t="n">
        <v>45575</v>
      </c>
      <c r="E358" s="1" t="n">
        <v>46217</v>
      </c>
      <c r="F358" t="inlineStr">
        <is>
          <t>GOTLANDS LÄN</t>
        </is>
      </c>
      <c r="G358" t="inlineStr">
        <is>
          <t>GOTLAND</t>
        </is>
      </c>
      <c r="I358" t="n">
        <v>6.8</v>
      </c>
      <c r="J358" t="n">
        <v>0</v>
      </c>
      <c r="K358" t="n">
        <v>0</v>
      </c>
      <c r="L358" t="n">
        <v>0</v>
      </c>
      <c r="M358" t="n">
        <v>0</v>
      </c>
      <c r="N358" t="n">
        <v>0</v>
      </c>
      <c r="O358" t="n">
        <v>0</v>
      </c>
      <c r="P358" t="n">
        <v>0</v>
      </c>
      <c r="Q358" t="n">
        <v>0</v>
      </c>
      <c r="R358" t="n">
        <v>0</v>
      </c>
      <c r="S358" t="n">
        <v>0</v>
      </c>
      <c r="T358" t="n">
        <v>0</v>
      </c>
      <c r="U358" s="2" t="inlineStr"/>
    </row>
    <row r="359" ht="15" customHeight="1">
      <c r="A359" t="inlineStr">
        <is>
          <t>A 22275-2026</t>
        </is>
      </c>
      <c r="B359" t="inlineStr">
        <is>
          <t>avverkningsanmälan</t>
        </is>
      </c>
      <c r="C359" t="inlineStr">
        <is>
          <t>Föryngringsavverkning</t>
        </is>
      </c>
      <c r="D359" s="1" t="n">
        <v>46154</v>
      </c>
      <c r="E359" s="1" t="n">
        <v>46217</v>
      </c>
      <c r="F359" t="inlineStr">
        <is>
          <t>GOTLANDS LÄN</t>
        </is>
      </c>
      <c r="G359" t="inlineStr">
        <is>
          <t>GOTLAND</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22281-2026</t>
        </is>
      </c>
      <c r="B360" t="inlineStr">
        <is>
          <t>avverkningsanmälan</t>
        </is>
      </c>
      <c r="C360" t="inlineStr">
        <is>
          <t>Avverkning för annat ändamål</t>
        </is>
      </c>
      <c r="D360" s="1" t="n">
        <v>46154</v>
      </c>
      <c r="E360" s="1" t="n">
        <v>46217</v>
      </c>
      <c r="F360" t="inlineStr">
        <is>
          <t>GOTLANDS LÄN</t>
        </is>
      </c>
      <c r="G360" t="inlineStr">
        <is>
          <t>GOTLAND</t>
        </is>
      </c>
      <c r="I360" t="n">
        <v>8.1</v>
      </c>
      <c r="J360" t="n">
        <v>0</v>
      </c>
      <c r="K360" t="n">
        <v>0</v>
      </c>
      <c r="L360" t="n">
        <v>0</v>
      </c>
      <c r="M360" t="n">
        <v>0</v>
      </c>
      <c r="N360" t="n">
        <v>0</v>
      </c>
      <c r="O360" t="n">
        <v>0</v>
      </c>
      <c r="P360" t="n">
        <v>0</v>
      </c>
      <c r="Q360" t="n">
        <v>0</v>
      </c>
      <c r="R360" t="n">
        <v>0</v>
      </c>
      <c r="S360" t="n">
        <v>0</v>
      </c>
      <c r="T360" t="n">
        <v>0</v>
      </c>
      <c r="U360" s="2" t="inlineStr"/>
    </row>
    <row r="361" ht="15" customHeight="1">
      <c r="A361" t="inlineStr">
        <is>
          <t>A 5217-2023</t>
        </is>
      </c>
      <c r="B361" t="inlineStr">
        <is>
          <t>avverkningsanmälan</t>
        </is>
      </c>
      <c r="C361" t="inlineStr">
        <is>
          <t>Föryngringsavverkning</t>
        </is>
      </c>
      <c r="D361" s="1" t="n">
        <v>44959</v>
      </c>
      <c r="E361" s="1" t="n">
        <v>46217</v>
      </c>
      <c r="F361" t="inlineStr">
        <is>
          <t>GOTLANDS LÄN</t>
        </is>
      </c>
      <c r="G361" t="inlineStr">
        <is>
          <t>GOTLAND</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45244-2024</t>
        </is>
      </c>
      <c r="B362" t="inlineStr">
        <is>
          <t>avverkningsanmälan</t>
        </is>
      </c>
      <c r="C362" t="inlineStr">
        <is>
          <t>Avverkning för annat ändamål</t>
        </is>
      </c>
      <c r="D362" s="1" t="n">
        <v>45576</v>
      </c>
      <c r="E362" s="1" t="n">
        <v>46217</v>
      </c>
      <c r="F362" t="inlineStr">
        <is>
          <t>GOTLANDS LÄN</t>
        </is>
      </c>
      <c r="G362" t="inlineStr">
        <is>
          <t>GOTLAND</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22348-2026</t>
        </is>
      </c>
      <c r="B363" t="inlineStr">
        <is>
          <t>avverkningsanmälan</t>
        </is>
      </c>
      <c r="C363" t="inlineStr">
        <is>
          <t>Föryngringsavverkning</t>
        </is>
      </c>
      <c r="D363" s="1" t="n">
        <v>46154</v>
      </c>
      <c r="E363" s="1" t="n">
        <v>46217</v>
      </c>
      <c r="F363" t="inlineStr">
        <is>
          <t>GOTLANDS LÄN</t>
        </is>
      </c>
      <c r="G363" t="inlineStr">
        <is>
          <t>GOTLAND</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22351-2026</t>
        </is>
      </c>
      <c r="B364" t="inlineStr">
        <is>
          <t>avverkningsanmälan</t>
        </is>
      </c>
      <c r="C364" t="inlineStr">
        <is>
          <t>Föryngringsavverkning</t>
        </is>
      </c>
      <c r="D364" s="1" t="n">
        <v>46154</v>
      </c>
      <c r="E364" s="1" t="n">
        <v>46217</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8260-2023</t>
        </is>
      </c>
      <c r="B365" t="inlineStr">
        <is>
          <t>avverkningsanmälan</t>
        </is>
      </c>
      <c r="C365" t="inlineStr">
        <is>
          <t>Föryngringsavverkning</t>
        </is>
      </c>
      <c r="D365" s="1" t="n">
        <v>44974</v>
      </c>
      <c r="E365" s="1" t="n">
        <v>46217</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64969-2023</t>
        </is>
      </c>
      <c r="B366" t="inlineStr">
        <is>
          <t>avverkningsanmälan</t>
        </is>
      </c>
      <c r="C366" t="inlineStr">
        <is>
          <t>Föryngringsavverkning</t>
        </is>
      </c>
      <c r="D366" s="1" t="n">
        <v>45284</v>
      </c>
      <c r="E366" s="1" t="n">
        <v>46217</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48843-2024</t>
        </is>
      </c>
      <c r="B367" t="inlineStr">
        <is>
          <t>avverkningsanmälan</t>
        </is>
      </c>
      <c r="C367" t="inlineStr">
        <is>
          <t>Föryngringsavverkning</t>
        </is>
      </c>
      <c r="D367" s="1" t="n">
        <v>45593</v>
      </c>
      <c r="E367" s="1" t="n">
        <v>46217</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17541-2024</t>
        </is>
      </c>
      <c r="B368" t="inlineStr">
        <is>
          <t>avverkningsanmälan</t>
        </is>
      </c>
      <c r="C368" t="inlineStr">
        <is>
          <t>Föryngringsavverkning</t>
        </is>
      </c>
      <c r="D368" s="1" t="n">
        <v>45415</v>
      </c>
      <c r="E368" s="1" t="n">
        <v>46217</v>
      </c>
      <c r="F368" t="inlineStr">
        <is>
          <t>GOTLANDS LÄN</t>
        </is>
      </c>
      <c r="G368" t="inlineStr">
        <is>
          <t>GOTLAND</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28012-2026</t>
        </is>
      </c>
      <c r="B369" t="inlineStr">
        <is>
          <t>avverkningsanmälan</t>
        </is>
      </c>
      <c r="C369" t="inlineStr">
        <is>
          <t>Föryngringsavverkning</t>
        </is>
      </c>
      <c r="D369" s="1" t="n">
        <v>46195</v>
      </c>
      <c r="E369" s="1" t="n">
        <v>46217</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63002-2025</t>
        </is>
      </c>
      <c r="B370" t="inlineStr">
        <is>
          <t>avverkningsanmälan</t>
        </is>
      </c>
      <c r="C370" t="inlineStr">
        <is>
          <t>Föryngringsavverkning</t>
        </is>
      </c>
      <c r="D370" s="1" t="n">
        <v>46009</v>
      </c>
      <c r="E370" s="1" t="n">
        <v>46217</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15434-2024</t>
        </is>
      </c>
      <c r="B371" t="inlineStr">
        <is>
          <t>avverkningsanmälan</t>
        </is>
      </c>
      <c r="C371" t="inlineStr">
        <is>
          <t>Föryngringsavverkning</t>
        </is>
      </c>
      <c r="D371" s="1" t="n">
        <v>45401</v>
      </c>
      <c r="E371" s="1" t="n">
        <v>46217</v>
      </c>
      <c r="F371" t="inlineStr">
        <is>
          <t>GOTLANDS LÄN</t>
        </is>
      </c>
      <c r="G371" t="inlineStr">
        <is>
          <t>GOTLAND</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46217</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46217</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5943-2024</t>
        </is>
      </c>
      <c r="B374" t="inlineStr">
        <is>
          <t>avverkningsanmälan</t>
        </is>
      </c>
      <c r="C374" t="inlineStr">
        <is>
          <t>Avverkning för annat ändamål</t>
        </is>
      </c>
      <c r="D374" s="1" t="n">
        <v>45336</v>
      </c>
      <c r="E374" s="1" t="n">
        <v>46217</v>
      </c>
      <c r="F374" t="inlineStr">
        <is>
          <t>GOTLANDS LÄN</t>
        </is>
      </c>
      <c r="G374" t="inlineStr">
        <is>
          <t>GOTLAND</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54073-2022</t>
        </is>
      </c>
      <c r="B375" t="inlineStr">
        <is>
          <t>avverkningsanmälan</t>
        </is>
      </c>
      <c r="C375" t="inlineStr">
        <is>
          <t>Föryngringsavverkning</t>
        </is>
      </c>
      <c r="D375" s="1" t="n">
        <v>44881</v>
      </c>
      <c r="E375" s="1" t="n">
        <v>46217</v>
      </c>
      <c r="F375" t="inlineStr">
        <is>
          <t>GOTLANDS LÄN</t>
        </is>
      </c>
      <c r="G375" t="inlineStr">
        <is>
          <t>GOTLAND</t>
        </is>
      </c>
      <c r="I375" t="n">
        <v>3.8</v>
      </c>
      <c r="J375" t="n">
        <v>0</v>
      </c>
      <c r="K375" t="n">
        <v>0</v>
      </c>
      <c r="L375" t="n">
        <v>0</v>
      </c>
      <c r="M375" t="n">
        <v>0</v>
      </c>
      <c r="N375" t="n">
        <v>0</v>
      </c>
      <c r="O375" t="n">
        <v>0</v>
      </c>
      <c r="P375" t="n">
        <v>0</v>
      </c>
      <c r="Q375" t="n">
        <v>0</v>
      </c>
      <c r="R375" t="n">
        <v>0</v>
      </c>
      <c r="S375" t="n">
        <v>0</v>
      </c>
      <c r="T375" t="n">
        <v>0</v>
      </c>
      <c r="U375" s="2" t="inlineStr"/>
    </row>
    <row r="376" ht="15" customHeight="1">
      <c r="A376" t="inlineStr">
        <is>
          <t>A 16361-2024</t>
        </is>
      </c>
      <c r="B376" t="inlineStr">
        <is>
          <t>avverkningsanmälan</t>
        </is>
      </c>
      <c r="C376" t="inlineStr">
        <is>
          <t>Föryngringsavverkning</t>
        </is>
      </c>
      <c r="D376" s="1" t="n">
        <v>45407</v>
      </c>
      <c r="E376" s="1" t="n">
        <v>46217</v>
      </c>
      <c r="F376" t="inlineStr">
        <is>
          <t>GOTLANDS LÄN</t>
        </is>
      </c>
      <c r="G376" t="inlineStr">
        <is>
          <t>GOTLAND</t>
        </is>
      </c>
      <c r="I376" t="n">
        <v>6</v>
      </c>
      <c r="J376" t="n">
        <v>0</v>
      </c>
      <c r="K376" t="n">
        <v>0</v>
      </c>
      <c r="L376" t="n">
        <v>0</v>
      </c>
      <c r="M376" t="n">
        <v>0</v>
      </c>
      <c r="N376" t="n">
        <v>0</v>
      </c>
      <c r="O376" t="n">
        <v>0</v>
      </c>
      <c r="P376" t="n">
        <v>0</v>
      </c>
      <c r="Q376" t="n">
        <v>0</v>
      </c>
      <c r="R376" t="n">
        <v>0</v>
      </c>
      <c r="S376" t="n">
        <v>0</v>
      </c>
      <c r="T376" t="n">
        <v>0</v>
      </c>
      <c r="U376" s="2" t="inlineStr"/>
    </row>
    <row r="377" ht="15" customHeight="1">
      <c r="A377" t="inlineStr">
        <is>
          <t>A 41038-2023</t>
        </is>
      </c>
      <c r="B377" t="inlineStr">
        <is>
          <t>avverkningsanmälan</t>
        </is>
      </c>
      <c r="C377" t="inlineStr">
        <is>
          <t>Föryngringsavverkning</t>
        </is>
      </c>
      <c r="D377" s="1" t="n">
        <v>45173</v>
      </c>
      <c r="E377" s="1" t="n">
        <v>46217</v>
      </c>
      <c r="F377" t="inlineStr">
        <is>
          <t>GOTLANDS LÄN</t>
        </is>
      </c>
      <c r="G377" t="inlineStr">
        <is>
          <t>GOTLAND</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14427-2024</t>
        </is>
      </c>
      <c r="B378" t="inlineStr">
        <is>
          <t>avverkningsanmälan</t>
        </is>
      </c>
      <c r="C378" t="inlineStr">
        <is>
          <t>Avverkning för att bevara och utveckla /försöksver</t>
        </is>
      </c>
      <c r="D378" s="1" t="n">
        <v>45394</v>
      </c>
      <c r="E378" s="1" t="n">
        <v>46217</v>
      </c>
      <c r="F378" t="inlineStr">
        <is>
          <t>GOTLANDS LÄN</t>
        </is>
      </c>
      <c r="G378" t="inlineStr">
        <is>
          <t>GOTLAND</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31802-2024</t>
        </is>
      </c>
      <c r="B379" t="inlineStr">
        <is>
          <t>avverkningsanmälan</t>
        </is>
      </c>
      <c r="C379" t="inlineStr">
        <is>
          <t>Avverkning för annat ändamål</t>
        </is>
      </c>
      <c r="D379" s="1" t="n">
        <v>45509</v>
      </c>
      <c r="E379" s="1" t="n">
        <v>46217</v>
      </c>
      <c r="F379" t="inlineStr">
        <is>
          <t>GOTLANDS LÄN</t>
        </is>
      </c>
      <c r="G379" t="inlineStr">
        <is>
          <t>GOTLAND</t>
        </is>
      </c>
      <c r="I379" t="n">
        <v>2.8</v>
      </c>
      <c r="J379" t="n">
        <v>0</v>
      </c>
      <c r="K379" t="n">
        <v>0</v>
      </c>
      <c r="L379" t="n">
        <v>0</v>
      </c>
      <c r="M379" t="n">
        <v>0</v>
      </c>
      <c r="N379" t="n">
        <v>0</v>
      </c>
      <c r="O379" t="n">
        <v>0</v>
      </c>
      <c r="P379" t="n">
        <v>0</v>
      </c>
      <c r="Q379" t="n">
        <v>0</v>
      </c>
      <c r="R379" t="n">
        <v>0</v>
      </c>
      <c r="S379" t="n">
        <v>0</v>
      </c>
      <c r="T379" t="n">
        <v>0</v>
      </c>
      <c r="U379" s="2" t="inlineStr"/>
    </row>
    <row r="380" ht="15" customHeight="1">
      <c r="A380" t="inlineStr">
        <is>
          <t>A 28839-2026</t>
        </is>
      </c>
      <c r="B380" t="inlineStr">
        <is>
          <t>avverkningsanmälan</t>
        </is>
      </c>
      <c r="C380" t="inlineStr">
        <is>
          <t>Föryngringsavverkning</t>
        </is>
      </c>
      <c r="D380" s="1" t="n">
        <v>46198</v>
      </c>
      <c r="E380" s="1" t="n">
        <v>46217</v>
      </c>
      <c r="F380" t="inlineStr">
        <is>
          <t>GOTLANDS LÄN</t>
        </is>
      </c>
      <c r="G380" t="inlineStr">
        <is>
          <t>GOTLAND</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28843-2026</t>
        </is>
      </c>
      <c r="B381" t="inlineStr">
        <is>
          <t>avverkningsanmälan</t>
        </is>
      </c>
      <c r="C381" t="inlineStr">
        <is>
          <t>Föryngringsavverkning</t>
        </is>
      </c>
      <c r="D381" s="1" t="n">
        <v>46198</v>
      </c>
      <c r="E381" s="1" t="n">
        <v>46217</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12846-2025</t>
        </is>
      </c>
      <c r="B382" t="inlineStr">
        <is>
          <t>avverkningsanmälan</t>
        </is>
      </c>
      <c r="C382" t="inlineStr">
        <is>
          <t>Föryngringsavverkning</t>
        </is>
      </c>
      <c r="D382" s="1" t="n">
        <v>45733</v>
      </c>
      <c r="E382" s="1" t="n">
        <v>46217</v>
      </c>
      <c r="F382" t="inlineStr">
        <is>
          <t>GOTLANDS LÄN</t>
        </is>
      </c>
      <c r="G382" t="inlineStr">
        <is>
          <t>GOTLAND</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2415-2026</t>
        </is>
      </c>
      <c r="B383" t="inlineStr">
        <is>
          <t>avverkningsanmälan</t>
        </is>
      </c>
      <c r="C383" t="inlineStr">
        <is>
          <t>Föryngringsavverkning</t>
        </is>
      </c>
      <c r="D383" s="1" t="n">
        <v>46036</v>
      </c>
      <c r="E383" s="1" t="n">
        <v>46217</v>
      </c>
      <c r="F383" t="inlineStr">
        <is>
          <t>GOTLANDS LÄN</t>
        </is>
      </c>
      <c r="G383" t="inlineStr">
        <is>
          <t>GOTLAND</t>
        </is>
      </c>
      <c r="I383" t="n">
        <v>6.9</v>
      </c>
      <c r="J383" t="n">
        <v>0</v>
      </c>
      <c r="K383" t="n">
        <v>0</v>
      </c>
      <c r="L383" t="n">
        <v>0</v>
      </c>
      <c r="M383" t="n">
        <v>0</v>
      </c>
      <c r="N383" t="n">
        <v>0</v>
      </c>
      <c r="O383" t="n">
        <v>0</v>
      </c>
      <c r="P383" t="n">
        <v>0</v>
      </c>
      <c r="Q383" t="n">
        <v>0</v>
      </c>
      <c r="R383" t="n">
        <v>0</v>
      </c>
      <c r="S383" t="n">
        <v>0</v>
      </c>
      <c r="T383" t="n">
        <v>0</v>
      </c>
      <c r="U383" s="2" t="inlineStr"/>
    </row>
    <row r="384" ht="15" customHeight="1">
      <c r="A384" t="inlineStr">
        <is>
          <t>A 46949-2024</t>
        </is>
      </c>
      <c r="B384" t="inlineStr">
        <is>
          <t>avverkningsanmälan</t>
        </is>
      </c>
      <c r="C384" t="inlineStr">
        <is>
          <t>Föryngringsavverkning</t>
        </is>
      </c>
      <c r="D384" s="1" t="n">
        <v>45585</v>
      </c>
      <c r="E384" s="1" t="n">
        <v>46217</v>
      </c>
      <c r="F384" t="inlineStr">
        <is>
          <t>GOTLANDS LÄN</t>
        </is>
      </c>
      <c r="G384" t="inlineStr">
        <is>
          <t>GOTLAND</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10650-2022</t>
        </is>
      </c>
      <c r="B385" t="inlineStr">
        <is>
          <t>avverkningsanmälan</t>
        </is>
      </c>
      <c r="C385" t="inlineStr">
        <is>
          <t>Föryngringsavverkning</t>
        </is>
      </c>
      <c r="D385" s="1" t="n">
        <v>44624</v>
      </c>
      <c r="E385" s="1" t="n">
        <v>46217</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4646-2026</t>
        </is>
      </c>
      <c r="B386" t="inlineStr">
        <is>
          <t>avverkningsanmälan</t>
        </is>
      </c>
      <c r="C386" t="inlineStr">
        <is>
          <t>Föryngringsavverkning</t>
        </is>
      </c>
      <c r="D386" s="1" t="n">
        <v>46048</v>
      </c>
      <c r="E386" s="1" t="n">
        <v>46217</v>
      </c>
      <c r="F386" t="inlineStr">
        <is>
          <t>GOTLANDS LÄN</t>
        </is>
      </c>
      <c r="G386" t="inlineStr">
        <is>
          <t>GOTLAND</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35096-2025</t>
        </is>
      </c>
      <c r="B387" t="inlineStr">
        <is>
          <t>avverkningsanmälan</t>
        </is>
      </c>
      <c r="C387" t="inlineStr">
        <is>
          <t>Föryngringsavverkning</t>
        </is>
      </c>
      <c r="D387" s="1" t="n">
        <v>45852</v>
      </c>
      <c r="E387" s="1" t="n">
        <v>46217</v>
      </c>
      <c r="F387" t="inlineStr">
        <is>
          <t>GOTLANDS LÄN</t>
        </is>
      </c>
      <c r="G387" t="inlineStr">
        <is>
          <t>GOTLAND</t>
        </is>
      </c>
      <c r="H387" t="inlineStr">
        <is>
          <t>Kyrkan</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4634-2026</t>
        </is>
      </c>
      <c r="B388" t="inlineStr">
        <is>
          <t>avverkningsanmälan</t>
        </is>
      </c>
      <c r="C388" t="inlineStr">
        <is>
          <t>Föryngringsavverkning</t>
        </is>
      </c>
      <c r="D388" s="1" t="n">
        <v>46048</v>
      </c>
      <c r="E388" s="1" t="n">
        <v>46217</v>
      </c>
      <c r="F388" t="inlineStr">
        <is>
          <t>GOTLANDS LÄN</t>
        </is>
      </c>
      <c r="G388" t="inlineStr">
        <is>
          <t>GOTLAND</t>
        </is>
      </c>
      <c r="I388" t="n">
        <v>7.8</v>
      </c>
      <c r="J388" t="n">
        <v>0</v>
      </c>
      <c r="K388" t="n">
        <v>0</v>
      </c>
      <c r="L388" t="n">
        <v>0</v>
      </c>
      <c r="M388" t="n">
        <v>0</v>
      </c>
      <c r="N388" t="n">
        <v>0</v>
      </c>
      <c r="O388" t="n">
        <v>0</v>
      </c>
      <c r="P388" t="n">
        <v>0</v>
      </c>
      <c r="Q388" t="n">
        <v>0</v>
      </c>
      <c r="R388" t="n">
        <v>0</v>
      </c>
      <c r="S388" t="n">
        <v>0</v>
      </c>
      <c r="T388" t="n">
        <v>0</v>
      </c>
      <c r="U388" s="2" t="inlineStr"/>
    </row>
    <row r="389" ht="15" customHeight="1">
      <c r="A389" t="inlineStr">
        <is>
          <t>A 4670-2026</t>
        </is>
      </c>
      <c r="B389" t="inlineStr">
        <is>
          <t>avverkningsanmälan</t>
        </is>
      </c>
      <c r="C389" t="inlineStr">
        <is>
          <t>Föryngringsavverkning</t>
        </is>
      </c>
      <c r="D389" s="1" t="n">
        <v>46048</v>
      </c>
      <c r="E389" s="1" t="n">
        <v>46217</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22887-2026</t>
        </is>
      </c>
      <c r="B390" t="inlineStr">
        <is>
          <t>avverkningsanmälan</t>
        </is>
      </c>
      <c r="C390" t="inlineStr">
        <is>
          <t>Avverkning för att bevara och utveckla /försöksver</t>
        </is>
      </c>
      <c r="D390" s="1" t="n">
        <v>46160</v>
      </c>
      <c r="E390" s="1" t="n">
        <v>46217</v>
      </c>
      <c r="F390" t="inlineStr">
        <is>
          <t>GOTLANDS LÄN</t>
        </is>
      </c>
      <c r="G390" t="inlineStr">
        <is>
          <t>GOTLAND</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1351-2025</t>
        </is>
      </c>
      <c r="B391" t="inlineStr">
        <is>
          <t>avverkningsanmälan</t>
        </is>
      </c>
      <c r="C391" t="inlineStr">
        <is>
          <t>Föryngringsavverkning</t>
        </is>
      </c>
      <c r="D391" s="1" t="n">
        <v>45667</v>
      </c>
      <c r="E391" s="1" t="n">
        <v>46217</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39496-2022</t>
        </is>
      </c>
      <c r="B392" t="inlineStr">
        <is>
          <t>avverkningsanmälan</t>
        </is>
      </c>
      <c r="C392" t="inlineStr">
        <is>
          <t>Föryngringsavverkning</t>
        </is>
      </c>
      <c r="D392" s="1" t="n">
        <v>44818</v>
      </c>
      <c r="E392" s="1" t="n">
        <v>46217</v>
      </c>
      <c r="F392" t="inlineStr">
        <is>
          <t>GOTLANDS LÄN</t>
        </is>
      </c>
      <c r="G392" t="inlineStr">
        <is>
          <t>GOTLAND</t>
        </is>
      </c>
      <c r="I392" t="n">
        <v>2.4</v>
      </c>
      <c r="J392" t="n">
        <v>0</v>
      </c>
      <c r="K392" t="n">
        <v>0</v>
      </c>
      <c r="L392" t="n">
        <v>0</v>
      </c>
      <c r="M392" t="n">
        <v>0</v>
      </c>
      <c r="N392" t="n">
        <v>0</v>
      </c>
      <c r="O392" t="n">
        <v>0</v>
      </c>
      <c r="P392" t="n">
        <v>0</v>
      </c>
      <c r="Q392" t="n">
        <v>0</v>
      </c>
      <c r="R392" t="n">
        <v>0</v>
      </c>
      <c r="S392" t="n">
        <v>0</v>
      </c>
      <c r="T392" t="n">
        <v>0</v>
      </c>
      <c r="U392" s="2" t="inlineStr"/>
    </row>
    <row r="393" ht="15" customHeight="1">
      <c r="A393" t="inlineStr">
        <is>
          <t>A 49874-2024</t>
        </is>
      </c>
      <c r="B393" t="inlineStr">
        <is>
          <t>avverkningsanmälan</t>
        </is>
      </c>
      <c r="C393" t="inlineStr">
        <is>
          <t>Föryngringsavverkning</t>
        </is>
      </c>
      <c r="D393" s="1" t="n">
        <v>45597</v>
      </c>
      <c r="E393" s="1" t="n">
        <v>46217</v>
      </c>
      <c r="F393" t="inlineStr">
        <is>
          <t>GOTLANDS LÄN</t>
        </is>
      </c>
      <c r="G393" t="inlineStr">
        <is>
          <t>GOTLAND</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46400-2023</t>
        </is>
      </c>
      <c r="B394" t="inlineStr">
        <is>
          <t>avverkningsanmälan</t>
        </is>
      </c>
      <c r="C394" t="inlineStr">
        <is>
          <t>Föryngringsavverkning</t>
        </is>
      </c>
      <c r="D394" s="1" t="n">
        <v>45197</v>
      </c>
      <c r="E394" s="1" t="n">
        <v>46217</v>
      </c>
      <c r="F394" t="inlineStr">
        <is>
          <t>GOTLANDS LÄN</t>
        </is>
      </c>
      <c r="G394" t="inlineStr">
        <is>
          <t>GOTLAND</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21164-2024</t>
        </is>
      </c>
      <c r="B395" t="inlineStr">
        <is>
          <t>avverkningsanmälan</t>
        </is>
      </c>
      <c r="C395" t="inlineStr">
        <is>
          <t>Föryngringsavverkning</t>
        </is>
      </c>
      <c r="D395" s="1" t="n">
        <v>45440</v>
      </c>
      <c r="E395" s="1" t="n">
        <v>46217</v>
      </c>
      <c r="F395" t="inlineStr">
        <is>
          <t>GOTLANDS LÄN</t>
        </is>
      </c>
      <c r="G395" t="inlineStr">
        <is>
          <t>GOTLAND</t>
        </is>
      </c>
      <c r="I395" t="n">
        <v>6.3</v>
      </c>
      <c r="J395" t="n">
        <v>0</v>
      </c>
      <c r="K395" t="n">
        <v>0</v>
      </c>
      <c r="L395" t="n">
        <v>0</v>
      </c>
      <c r="M395" t="n">
        <v>0</v>
      </c>
      <c r="N395" t="n">
        <v>0</v>
      </c>
      <c r="O395" t="n">
        <v>0</v>
      </c>
      <c r="P395" t="n">
        <v>0</v>
      </c>
      <c r="Q395" t="n">
        <v>0</v>
      </c>
      <c r="R395" t="n">
        <v>0</v>
      </c>
      <c r="S395" t="n">
        <v>0</v>
      </c>
      <c r="T395" t="n">
        <v>0</v>
      </c>
      <c r="U395" s="2" t="inlineStr"/>
    </row>
    <row r="396" ht="15" customHeight="1">
      <c r="A396" t="inlineStr">
        <is>
          <t>A 8045-2022</t>
        </is>
      </c>
      <c r="B396" t="inlineStr">
        <is>
          <t>avverkningsanmälan</t>
        </is>
      </c>
      <c r="C396" t="inlineStr">
        <is>
          <t>Föryngringsavverkning</t>
        </is>
      </c>
      <c r="D396" s="1" t="n">
        <v>44609</v>
      </c>
      <c r="E396" s="1" t="n">
        <v>46217</v>
      </c>
      <c r="F396" t="inlineStr">
        <is>
          <t>GOTLANDS LÄN</t>
        </is>
      </c>
      <c r="G396" t="inlineStr">
        <is>
          <t>GOTLAND</t>
        </is>
      </c>
      <c r="I396" t="n">
        <v>7</v>
      </c>
      <c r="J396" t="n">
        <v>0</v>
      </c>
      <c r="K396" t="n">
        <v>0</v>
      </c>
      <c r="L396" t="n">
        <v>0</v>
      </c>
      <c r="M396" t="n">
        <v>0</v>
      </c>
      <c r="N396" t="n">
        <v>0</v>
      </c>
      <c r="O396" t="n">
        <v>0</v>
      </c>
      <c r="P396" t="n">
        <v>0</v>
      </c>
      <c r="Q396" t="n">
        <v>0</v>
      </c>
      <c r="R396" t="n">
        <v>0</v>
      </c>
      <c r="S396" t="n">
        <v>0</v>
      </c>
      <c r="T396" t="n">
        <v>0</v>
      </c>
      <c r="U396" s="2" t="inlineStr"/>
    </row>
    <row r="397" ht="15" customHeight="1">
      <c r="A397" t="inlineStr">
        <is>
          <t>A 22897-2023</t>
        </is>
      </c>
      <c r="B397" t="inlineStr">
        <is>
          <t>avverkningsanmälan</t>
        </is>
      </c>
      <c r="C397" t="inlineStr">
        <is>
          <t>Föryngringsavverkning</t>
        </is>
      </c>
      <c r="D397" s="1" t="n">
        <v>45072</v>
      </c>
      <c r="E397" s="1" t="n">
        <v>46217</v>
      </c>
      <c r="F397" t="inlineStr">
        <is>
          <t>GOTLANDS LÄN</t>
        </is>
      </c>
      <c r="G397" t="inlineStr">
        <is>
          <t>GOTLAND</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7627-2026</t>
        </is>
      </c>
      <c r="B398" t="inlineStr">
        <is>
          <t>avverkningsanmälan</t>
        </is>
      </c>
      <c r="C398" t="inlineStr">
        <is>
          <t>Föryngringsavverkning</t>
        </is>
      </c>
      <c r="D398" s="1" t="n">
        <v>46062</v>
      </c>
      <c r="E398" s="1" t="n">
        <v>46217</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61897-2024</t>
        </is>
      </c>
      <c r="B399" t="inlineStr">
        <is>
          <t>avverkningsanmälan</t>
        </is>
      </c>
      <c r="C399" t="inlineStr">
        <is>
          <t>Föryngringsavverkning</t>
        </is>
      </c>
      <c r="D399" s="1" t="n">
        <v>45652</v>
      </c>
      <c r="E399" s="1" t="n">
        <v>46217</v>
      </c>
      <c r="F399" t="inlineStr">
        <is>
          <t>GOTLANDS LÄN</t>
        </is>
      </c>
      <c r="G399" t="inlineStr">
        <is>
          <t>GOTLAND</t>
        </is>
      </c>
      <c r="I399" t="n">
        <v>6.4</v>
      </c>
      <c r="J399" t="n">
        <v>0</v>
      </c>
      <c r="K399" t="n">
        <v>0</v>
      </c>
      <c r="L399" t="n">
        <v>0</v>
      </c>
      <c r="M399" t="n">
        <v>0</v>
      </c>
      <c r="N399" t="n">
        <v>0</v>
      </c>
      <c r="O399" t="n">
        <v>0</v>
      </c>
      <c r="P399" t="n">
        <v>0</v>
      </c>
      <c r="Q399" t="n">
        <v>0</v>
      </c>
      <c r="R399" t="n">
        <v>0</v>
      </c>
      <c r="S399" t="n">
        <v>0</v>
      </c>
      <c r="T399" t="n">
        <v>0</v>
      </c>
      <c r="U399" s="2" t="inlineStr"/>
    </row>
    <row r="400" ht="15" customHeight="1">
      <c r="A400" t="inlineStr">
        <is>
          <t>A 2135-2026</t>
        </is>
      </c>
      <c r="B400" t="inlineStr">
        <is>
          <t>avverkningsanmälan</t>
        </is>
      </c>
      <c r="C400" t="inlineStr">
        <is>
          <t>Avverkning för annat ändamål</t>
        </is>
      </c>
      <c r="D400" s="1" t="n">
        <v>46036</v>
      </c>
      <c r="E400" s="1" t="n">
        <v>46217</v>
      </c>
      <c r="F400" t="inlineStr">
        <is>
          <t>GOTLANDS LÄN</t>
        </is>
      </c>
      <c r="G400" t="inlineStr">
        <is>
          <t>GOTLAND</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23103-2026</t>
        </is>
      </c>
      <c r="B401" t="inlineStr">
        <is>
          <t>avverkningsanmälan</t>
        </is>
      </c>
      <c r="C401" t="inlineStr">
        <is>
          <t>Föryngringsavverkning</t>
        </is>
      </c>
      <c r="D401" s="1" t="n">
        <v>46161</v>
      </c>
      <c r="E401" s="1" t="n">
        <v>46217</v>
      </c>
      <c r="F401" t="inlineStr">
        <is>
          <t>GOTLANDS LÄN</t>
        </is>
      </c>
      <c r="G401" t="inlineStr">
        <is>
          <t>GOTLAND</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29370-2026</t>
        </is>
      </c>
      <c r="B402" t="inlineStr">
        <is>
          <t>avverkningsanmälan</t>
        </is>
      </c>
      <c r="C402" t="inlineStr">
        <is>
          <t>Föryngringsavverkning</t>
        </is>
      </c>
      <c r="D402" s="1" t="n">
        <v>46203</v>
      </c>
      <c r="E402" s="1" t="n">
        <v>46217</v>
      </c>
      <c r="F402" t="inlineStr">
        <is>
          <t>GOTLANDS LÄN</t>
        </is>
      </c>
      <c r="G402" t="inlineStr">
        <is>
          <t>GOTLAND</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20165-2022</t>
        </is>
      </c>
      <c r="B403" t="inlineStr">
        <is>
          <t>avverkningsanmälan</t>
        </is>
      </c>
      <c r="C403" t="inlineStr">
        <is>
          <t>Föryngringsavverkning</t>
        </is>
      </c>
      <c r="D403" s="1" t="n">
        <v>44698</v>
      </c>
      <c r="E403" s="1" t="n">
        <v>46217</v>
      </c>
      <c r="F403" t="inlineStr">
        <is>
          <t>GOTLANDS LÄN</t>
        </is>
      </c>
      <c r="G403" t="inlineStr">
        <is>
          <t>GOTLAND</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12032-2025</t>
        </is>
      </c>
      <c r="B404" t="inlineStr">
        <is>
          <t>avverkningsanmälan</t>
        </is>
      </c>
      <c r="C404" t="inlineStr">
        <is>
          <t>Föryngringsavverkning</t>
        </is>
      </c>
      <c r="D404" s="1" t="n">
        <v>45728</v>
      </c>
      <c r="E404" s="1" t="n">
        <v>46217</v>
      </c>
      <c r="F404" t="inlineStr">
        <is>
          <t>GOTLANDS LÄN</t>
        </is>
      </c>
      <c r="G404" t="inlineStr">
        <is>
          <t>GOTLAND</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9518-2026</t>
        </is>
      </c>
      <c r="B405" t="inlineStr">
        <is>
          <t>avverkningsanmälan</t>
        </is>
      </c>
      <c r="C405" t="inlineStr">
        <is>
          <t>Föryngringsavverkning</t>
        </is>
      </c>
      <c r="D405" s="1" t="n">
        <v>46071</v>
      </c>
      <c r="E405" s="1" t="n">
        <v>46217</v>
      </c>
      <c r="F405" t="inlineStr">
        <is>
          <t>GOTLANDS LÄN</t>
        </is>
      </c>
      <c r="G405" t="inlineStr">
        <is>
          <t>GOTLAND</t>
        </is>
      </c>
      <c r="I405" t="n">
        <v>6.2</v>
      </c>
      <c r="J405" t="n">
        <v>0</v>
      </c>
      <c r="K405" t="n">
        <v>0</v>
      </c>
      <c r="L405" t="n">
        <v>0</v>
      </c>
      <c r="M405" t="n">
        <v>0</v>
      </c>
      <c r="N405" t="n">
        <v>0</v>
      </c>
      <c r="O405" t="n">
        <v>0</v>
      </c>
      <c r="P405" t="n">
        <v>0</v>
      </c>
      <c r="Q405" t="n">
        <v>0</v>
      </c>
      <c r="R405" t="n">
        <v>0</v>
      </c>
      <c r="S405" t="n">
        <v>0</v>
      </c>
      <c r="T405" t="n">
        <v>0</v>
      </c>
      <c r="U405" s="2" t="inlineStr"/>
    </row>
    <row r="406" ht="15" customHeight="1">
      <c r="A406" t="inlineStr">
        <is>
          <t>A 9519-2026</t>
        </is>
      </c>
      <c r="B406" t="inlineStr">
        <is>
          <t>avverkningsanmälan</t>
        </is>
      </c>
      <c r="C406" t="inlineStr">
        <is>
          <t>Föryngringsavverkning</t>
        </is>
      </c>
      <c r="D406" s="1" t="n">
        <v>46071</v>
      </c>
      <c r="E406" s="1" t="n">
        <v>46217</v>
      </c>
      <c r="F406" t="inlineStr">
        <is>
          <t>GOTLANDS LÄN</t>
        </is>
      </c>
      <c r="G406" t="inlineStr">
        <is>
          <t>GOTLAND</t>
        </is>
      </c>
      <c r="I406" t="n">
        <v>4</v>
      </c>
      <c r="J406" t="n">
        <v>0</v>
      </c>
      <c r="K406" t="n">
        <v>0</v>
      </c>
      <c r="L406" t="n">
        <v>0</v>
      </c>
      <c r="M406" t="n">
        <v>0</v>
      </c>
      <c r="N406" t="n">
        <v>0</v>
      </c>
      <c r="O406" t="n">
        <v>0</v>
      </c>
      <c r="P406" t="n">
        <v>0</v>
      </c>
      <c r="Q406" t="n">
        <v>0</v>
      </c>
      <c r="R406" t="n">
        <v>0</v>
      </c>
      <c r="S406" t="n">
        <v>0</v>
      </c>
      <c r="T406" t="n">
        <v>0</v>
      </c>
      <c r="U406" s="2" t="inlineStr"/>
    </row>
    <row r="407" ht="15" customHeight="1">
      <c r="A407" t="inlineStr">
        <is>
          <t>A 38787-2023</t>
        </is>
      </c>
      <c r="B407" t="inlineStr">
        <is>
          <t>avverkningsanmälan</t>
        </is>
      </c>
      <c r="C407" t="inlineStr">
        <is>
          <t>Föryngringsavverkning</t>
        </is>
      </c>
      <c r="D407" s="1" t="n">
        <v>45163</v>
      </c>
      <c r="E407" s="1" t="n">
        <v>46217</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s="2" t="inlineStr"/>
    </row>
    <row r="408" ht="15" customHeight="1">
      <c r="A408" t="inlineStr">
        <is>
          <t>A 9540-2026</t>
        </is>
      </c>
      <c r="B408" t="inlineStr">
        <is>
          <t>avverkningsanmälan</t>
        </is>
      </c>
      <c r="C408" t="inlineStr">
        <is>
          <t>Föryngringsavverkning</t>
        </is>
      </c>
      <c r="D408" s="1" t="n">
        <v>46071</v>
      </c>
      <c r="E408" s="1" t="n">
        <v>46217</v>
      </c>
      <c r="F408" t="inlineStr">
        <is>
          <t>GOTLANDS LÄN</t>
        </is>
      </c>
      <c r="G408" t="inlineStr">
        <is>
          <t>GOTLAND</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9521-2026</t>
        </is>
      </c>
      <c r="B409" t="inlineStr">
        <is>
          <t>avverkningsanmälan</t>
        </is>
      </c>
      <c r="C409" t="inlineStr">
        <is>
          <t>Föryngringsavverkning</t>
        </is>
      </c>
      <c r="D409" s="1" t="n">
        <v>46071</v>
      </c>
      <c r="E409" s="1" t="n">
        <v>46217</v>
      </c>
      <c r="F409" t="inlineStr">
        <is>
          <t>GOTLANDS LÄN</t>
        </is>
      </c>
      <c r="G409" t="inlineStr">
        <is>
          <t>GOTLAND</t>
        </is>
      </c>
      <c r="I409" t="n">
        <v>3.9</v>
      </c>
      <c r="J409" t="n">
        <v>0</v>
      </c>
      <c r="K409" t="n">
        <v>0</v>
      </c>
      <c r="L409" t="n">
        <v>0</v>
      </c>
      <c r="M409" t="n">
        <v>0</v>
      </c>
      <c r="N409" t="n">
        <v>0</v>
      </c>
      <c r="O409" t="n">
        <v>0</v>
      </c>
      <c r="P409" t="n">
        <v>0</v>
      </c>
      <c r="Q409" t="n">
        <v>0</v>
      </c>
      <c r="R409" t="n">
        <v>0</v>
      </c>
      <c r="S409" t="n">
        <v>0</v>
      </c>
      <c r="T409" t="n">
        <v>0</v>
      </c>
      <c r="U409" s="2" t="inlineStr"/>
    </row>
    <row r="410" ht="15" customHeight="1">
      <c r="A410" t="inlineStr">
        <is>
          <t>A 9524-2026</t>
        </is>
      </c>
      <c r="B410" t="inlineStr">
        <is>
          <t>avverkningsanmälan</t>
        </is>
      </c>
      <c r="C410" t="inlineStr">
        <is>
          <t>Föryngringsavverkning</t>
        </is>
      </c>
      <c r="D410" s="1" t="n">
        <v>46071</v>
      </c>
      <c r="E410" s="1" t="n">
        <v>46217</v>
      </c>
      <c r="F410" t="inlineStr">
        <is>
          <t>GOTLANDS LÄN</t>
        </is>
      </c>
      <c r="G410" t="inlineStr">
        <is>
          <t>GOTLAND</t>
        </is>
      </c>
      <c r="I410" t="n">
        <v>2.5</v>
      </c>
      <c r="J410" t="n">
        <v>0</v>
      </c>
      <c r="K410" t="n">
        <v>0</v>
      </c>
      <c r="L410" t="n">
        <v>0</v>
      </c>
      <c r="M410" t="n">
        <v>0</v>
      </c>
      <c r="N410" t="n">
        <v>0</v>
      </c>
      <c r="O410" t="n">
        <v>0</v>
      </c>
      <c r="P410" t="n">
        <v>0</v>
      </c>
      <c r="Q410" t="n">
        <v>0</v>
      </c>
      <c r="R410" t="n">
        <v>0</v>
      </c>
      <c r="S410" t="n">
        <v>0</v>
      </c>
      <c r="T410" t="n">
        <v>0</v>
      </c>
      <c r="U410" s="2" t="inlineStr"/>
    </row>
    <row r="411" ht="15" customHeight="1">
      <c r="A411" t="inlineStr">
        <is>
          <t>A 9543-2026</t>
        </is>
      </c>
      <c r="B411" t="inlineStr">
        <is>
          <t>avverkningsanmälan</t>
        </is>
      </c>
      <c r="C411" t="inlineStr">
        <is>
          <t>Föryngringsavverkning</t>
        </is>
      </c>
      <c r="D411" s="1" t="n">
        <v>46071</v>
      </c>
      <c r="E411" s="1" t="n">
        <v>46217</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43231-2023</t>
        </is>
      </c>
      <c r="B412" t="inlineStr">
        <is>
          <t>avverkningsanmälan</t>
        </is>
      </c>
      <c r="C412" t="inlineStr">
        <is>
          <t>Föryngringsavverkning</t>
        </is>
      </c>
      <c r="D412" s="1" t="n">
        <v>45183</v>
      </c>
      <c r="E412" s="1" t="n">
        <v>46217</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17532-2024</t>
        </is>
      </c>
      <c r="B413" t="inlineStr">
        <is>
          <t>avverkningsanmälan</t>
        </is>
      </c>
      <c r="C413" t="inlineStr">
        <is>
          <t>Föryngringsavverkning</t>
        </is>
      </c>
      <c r="D413" s="1" t="n">
        <v>45415</v>
      </c>
      <c r="E413" s="1" t="n">
        <v>46217</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s="2" t="inlineStr"/>
    </row>
    <row r="414" ht="15" customHeight="1">
      <c r="A414" t="inlineStr">
        <is>
          <t>A 10284-2026</t>
        </is>
      </c>
      <c r="B414" t="inlineStr">
        <is>
          <t>avverkningsanmälan</t>
        </is>
      </c>
      <c r="C414" t="inlineStr">
        <is>
          <t>Avverkning för annat ändamål</t>
        </is>
      </c>
      <c r="D414" s="1" t="n">
        <v>46076</v>
      </c>
      <c r="E414" s="1" t="n">
        <v>46217</v>
      </c>
      <c r="F414" t="inlineStr">
        <is>
          <t>GOTLANDS LÄN</t>
        </is>
      </c>
      <c r="G414" t="inlineStr">
        <is>
          <t>GOTLAND</t>
        </is>
      </c>
      <c r="I414" t="n">
        <v>5.2</v>
      </c>
      <c r="J414" t="n">
        <v>0</v>
      </c>
      <c r="K414" t="n">
        <v>0</v>
      </c>
      <c r="L414" t="n">
        <v>0</v>
      </c>
      <c r="M414" t="n">
        <v>0</v>
      </c>
      <c r="N414" t="n">
        <v>0</v>
      </c>
      <c r="O414" t="n">
        <v>0</v>
      </c>
      <c r="P414" t="n">
        <v>0</v>
      </c>
      <c r="Q414" t="n">
        <v>0</v>
      </c>
      <c r="R414" t="n">
        <v>0</v>
      </c>
      <c r="S414" t="n">
        <v>0</v>
      </c>
      <c r="T414" t="n">
        <v>0</v>
      </c>
      <c r="U414" s="2" t="inlineStr"/>
    </row>
    <row r="415" ht="15" customHeight="1">
      <c r="A415" t="inlineStr">
        <is>
          <t>A 11424-2026</t>
        </is>
      </c>
      <c r="B415" t="inlineStr">
        <is>
          <t>avverkningsanmälan</t>
        </is>
      </c>
      <c r="C415" t="inlineStr">
        <is>
          <t>Föryngringsavverkning</t>
        </is>
      </c>
      <c r="D415" s="1" t="n">
        <v>46083</v>
      </c>
      <c r="E415" s="1" t="n">
        <v>46217</v>
      </c>
      <c r="F415" t="inlineStr">
        <is>
          <t>GOTLANDS LÄN</t>
        </is>
      </c>
      <c r="G415" t="inlineStr">
        <is>
          <t>GOTLAND</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3067-2026</t>
        </is>
      </c>
      <c r="B416" t="inlineStr">
        <is>
          <t>avverkningsanmälan</t>
        </is>
      </c>
      <c r="C416" t="inlineStr">
        <is>
          <t>Föryngringsavverkning</t>
        </is>
      </c>
      <c r="D416" s="1" t="n">
        <v>46040</v>
      </c>
      <c r="E416" s="1" t="n">
        <v>46217</v>
      </c>
      <c r="F416" t="inlineStr">
        <is>
          <t>GOTLANDS LÄN</t>
        </is>
      </c>
      <c r="G416" t="inlineStr">
        <is>
          <t>GOTLAND</t>
        </is>
      </c>
      <c r="I416" t="n">
        <v>7.8</v>
      </c>
      <c r="J416" t="n">
        <v>0</v>
      </c>
      <c r="K416" t="n">
        <v>0</v>
      </c>
      <c r="L416" t="n">
        <v>0</v>
      </c>
      <c r="M416" t="n">
        <v>0</v>
      </c>
      <c r="N416" t="n">
        <v>0</v>
      </c>
      <c r="O416" t="n">
        <v>0</v>
      </c>
      <c r="P416" t="n">
        <v>0</v>
      </c>
      <c r="Q416" t="n">
        <v>0</v>
      </c>
      <c r="R416" t="n">
        <v>0</v>
      </c>
      <c r="S416" t="n">
        <v>0</v>
      </c>
      <c r="T416" t="n">
        <v>0</v>
      </c>
      <c r="U416" s="2" t="inlineStr"/>
    </row>
    <row r="417" ht="15" customHeight="1">
      <c r="A417" t="inlineStr">
        <is>
          <t>A 42201-2023</t>
        </is>
      </c>
      <c r="B417" t="inlineStr">
        <is>
          <t>avverkningsanmälan</t>
        </is>
      </c>
      <c r="C417" t="inlineStr">
        <is>
          <t>Föryngringsavverkning</t>
        </is>
      </c>
      <c r="D417" s="1" t="n">
        <v>45179</v>
      </c>
      <c r="E417" s="1" t="n">
        <v>46217</v>
      </c>
      <c r="F417" t="inlineStr">
        <is>
          <t>GOTLANDS LÄN</t>
        </is>
      </c>
      <c r="G417" t="inlineStr">
        <is>
          <t>GOTLAND</t>
        </is>
      </c>
      <c r="I417" t="n">
        <v>11.9</v>
      </c>
      <c r="J417" t="n">
        <v>0</v>
      </c>
      <c r="K417" t="n">
        <v>0</v>
      </c>
      <c r="L417" t="n">
        <v>0</v>
      </c>
      <c r="M417" t="n">
        <v>0</v>
      </c>
      <c r="N417" t="n">
        <v>0</v>
      </c>
      <c r="O417" t="n">
        <v>0</v>
      </c>
      <c r="P417" t="n">
        <v>0</v>
      </c>
      <c r="Q417" t="n">
        <v>0</v>
      </c>
      <c r="R417" t="n">
        <v>0</v>
      </c>
      <c r="S417" t="n">
        <v>0</v>
      </c>
      <c r="T417" t="n">
        <v>0</v>
      </c>
      <c r="U417" s="2" t="inlineStr"/>
    </row>
    <row r="418" ht="15" customHeight="1">
      <c r="A418" t="inlineStr">
        <is>
          <t>A 63000-2025</t>
        </is>
      </c>
      <c r="B418" t="inlineStr">
        <is>
          <t>avverkningsanmälan</t>
        </is>
      </c>
      <c r="C418" t="inlineStr">
        <is>
          <t>Föryngringsavverkning</t>
        </is>
      </c>
      <c r="D418" s="1" t="n">
        <v>46009</v>
      </c>
      <c r="E418" s="1" t="n">
        <v>46217</v>
      </c>
      <c r="F418" t="inlineStr">
        <is>
          <t>GOTLANDS LÄN</t>
        </is>
      </c>
      <c r="G418" t="inlineStr">
        <is>
          <t>GOTLAND</t>
        </is>
      </c>
      <c r="H418" t="inlineStr">
        <is>
          <t>Övriga Aktiebolag</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23504-2026</t>
        </is>
      </c>
      <c r="B419" t="inlineStr">
        <is>
          <t>avverkningsanmälan</t>
        </is>
      </c>
      <c r="C419" t="inlineStr">
        <is>
          <t>Föryngringsavverkning</t>
        </is>
      </c>
      <c r="D419" s="1" t="n">
        <v>46163</v>
      </c>
      <c r="E419" s="1" t="n">
        <v>46217</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13486-2026</t>
        </is>
      </c>
      <c r="B420" t="inlineStr">
        <is>
          <t>avverkningsanmälan</t>
        </is>
      </c>
      <c r="C420" t="inlineStr">
        <is>
          <t>Föryngringsavverkning</t>
        </is>
      </c>
      <c r="D420" s="1" t="n">
        <v>46094</v>
      </c>
      <c r="E420" s="1" t="n">
        <v>46217</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62751-2025</t>
        </is>
      </c>
      <c r="B421" t="inlineStr">
        <is>
          <t>avverkningsanmälan</t>
        </is>
      </c>
      <c r="C421" t="inlineStr">
        <is>
          <t>Föryngringsavverkning</t>
        </is>
      </c>
      <c r="D421" s="1" t="n">
        <v>46008</v>
      </c>
      <c r="E421" s="1" t="n">
        <v>46217</v>
      </c>
      <c r="F421" t="inlineStr">
        <is>
          <t>GOTLANDS LÄN</t>
        </is>
      </c>
      <c r="G421" t="inlineStr">
        <is>
          <t>GOTLAND</t>
        </is>
      </c>
      <c r="H421" t="inlineStr">
        <is>
          <t>Övriga Aktiebolag</t>
        </is>
      </c>
      <c r="I421" t="n">
        <v>7.8</v>
      </c>
      <c r="J421" t="n">
        <v>0</v>
      </c>
      <c r="K421" t="n">
        <v>0</v>
      </c>
      <c r="L421" t="n">
        <v>0</v>
      </c>
      <c r="M421" t="n">
        <v>0</v>
      </c>
      <c r="N421" t="n">
        <v>0</v>
      </c>
      <c r="O421" t="n">
        <v>0</v>
      </c>
      <c r="P421" t="n">
        <v>0</v>
      </c>
      <c r="Q421" t="n">
        <v>0</v>
      </c>
      <c r="R421" t="n">
        <v>0</v>
      </c>
      <c r="S421" t="n">
        <v>0</v>
      </c>
      <c r="T421" t="n">
        <v>0</v>
      </c>
      <c r="U421" s="2" t="inlineStr"/>
    </row>
    <row r="422" ht="15" customHeight="1">
      <c r="A422" t="inlineStr">
        <is>
          <t>A 42338-2023</t>
        </is>
      </c>
      <c r="B422" t="inlineStr">
        <is>
          <t>avverkningsanmälan</t>
        </is>
      </c>
      <c r="C422" t="inlineStr">
        <is>
          <t>Föryngringsavverkning</t>
        </is>
      </c>
      <c r="D422" s="1" t="n">
        <v>45180</v>
      </c>
      <c r="E422" s="1" t="n">
        <v>46217</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873-2024</t>
        </is>
      </c>
      <c r="B423" t="inlineStr">
        <is>
          <t>avverkningsanmälan</t>
        </is>
      </c>
      <c r="C423" t="inlineStr">
        <is>
          <t>Avverkning för annat ändamål</t>
        </is>
      </c>
      <c r="D423" s="1" t="n">
        <v>45301</v>
      </c>
      <c r="E423" s="1" t="n">
        <v>46217</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s="2" t="inlineStr"/>
    </row>
    <row r="424" ht="15" customHeight="1">
      <c r="A424" t="inlineStr">
        <is>
          <t>A 22275-2023</t>
        </is>
      </c>
      <c r="B424" t="inlineStr">
        <is>
          <t>avverkningsanmälan</t>
        </is>
      </c>
      <c r="C424" t="inlineStr">
        <is>
          <t>Föryngringsavverkning</t>
        </is>
      </c>
      <c r="D424" s="1" t="n">
        <v>45070</v>
      </c>
      <c r="E424" s="1" t="n">
        <v>46217</v>
      </c>
      <c r="F424" t="inlineStr">
        <is>
          <t>GOTLANDS LÄN</t>
        </is>
      </c>
      <c r="G424" t="inlineStr">
        <is>
          <t>GOTLAND</t>
        </is>
      </c>
      <c r="I424" t="n">
        <v>7.2</v>
      </c>
      <c r="J424" t="n">
        <v>0</v>
      </c>
      <c r="K424" t="n">
        <v>0</v>
      </c>
      <c r="L424" t="n">
        <v>0</v>
      </c>
      <c r="M424" t="n">
        <v>0</v>
      </c>
      <c r="N424" t="n">
        <v>0</v>
      </c>
      <c r="O424" t="n">
        <v>0</v>
      </c>
      <c r="P424" t="n">
        <v>0</v>
      </c>
      <c r="Q424" t="n">
        <v>0</v>
      </c>
      <c r="R424" t="n">
        <v>0</v>
      </c>
      <c r="S424" t="n">
        <v>0</v>
      </c>
      <c r="T424" t="n">
        <v>0</v>
      </c>
      <c r="U424" s="2" t="inlineStr"/>
    </row>
    <row r="425" ht="15" customHeight="1">
      <c r="A425" t="inlineStr">
        <is>
          <t>A 12322-2025</t>
        </is>
      </c>
      <c r="B425" t="inlineStr">
        <is>
          <t>avverkningsanmälan</t>
        </is>
      </c>
      <c r="C425" t="inlineStr">
        <is>
          <t>Föryngringsavverkning</t>
        </is>
      </c>
      <c r="D425" s="1" t="n">
        <v>45730</v>
      </c>
      <c r="E425" s="1" t="n">
        <v>46217</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14797-2024</t>
        </is>
      </c>
      <c r="B426" t="inlineStr">
        <is>
          <t>avverkningsanmälan</t>
        </is>
      </c>
      <c r="C426" t="inlineStr">
        <is>
          <t>Föryngringsavverkning</t>
        </is>
      </c>
      <c r="D426" s="1" t="n">
        <v>45397</v>
      </c>
      <c r="E426" s="1" t="n">
        <v>46217</v>
      </c>
      <c r="F426" t="inlineStr">
        <is>
          <t>GOTLANDS LÄN</t>
        </is>
      </c>
      <c r="G426" t="inlineStr">
        <is>
          <t>GOTLAND</t>
        </is>
      </c>
      <c r="I426" t="n">
        <v>8.1</v>
      </c>
      <c r="J426" t="n">
        <v>0</v>
      </c>
      <c r="K426" t="n">
        <v>0</v>
      </c>
      <c r="L426" t="n">
        <v>0</v>
      </c>
      <c r="M426" t="n">
        <v>0</v>
      </c>
      <c r="N426" t="n">
        <v>0</v>
      </c>
      <c r="O426" t="n">
        <v>0</v>
      </c>
      <c r="P426" t="n">
        <v>0</v>
      </c>
      <c r="Q426" t="n">
        <v>0</v>
      </c>
      <c r="R426" t="n">
        <v>0</v>
      </c>
      <c r="S426" t="n">
        <v>0</v>
      </c>
      <c r="T426" t="n">
        <v>0</v>
      </c>
      <c r="U426" s="2" t="inlineStr"/>
    </row>
    <row r="427" ht="15" customHeight="1">
      <c r="A427" t="inlineStr">
        <is>
          <t>A 999-2024</t>
        </is>
      </c>
      <c r="B427" t="inlineStr">
        <is>
          <t>avverkningsanmälan</t>
        </is>
      </c>
      <c r="C427" t="inlineStr">
        <is>
          <t>Föryngringsavverkning</t>
        </is>
      </c>
      <c r="D427" s="1" t="n">
        <v>45301</v>
      </c>
      <c r="E427" s="1" t="n">
        <v>46217</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61596-2023</t>
        </is>
      </c>
      <c r="B428" t="inlineStr">
        <is>
          <t>avverkningsanmälan</t>
        </is>
      </c>
      <c r="C428" t="inlineStr">
        <is>
          <t>Föryngringsavverkning</t>
        </is>
      </c>
      <c r="D428" s="1" t="n">
        <v>45265</v>
      </c>
      <c r="E428" s="1" t="n">
        <v>46217</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16993-2026</t>
        </is>
      </c>
      <c r="B429" t="inlineStr">
        <is>
          <t>avverkningsanmälan</t>
        </is>
      </c>
      <c r="C429" t="inlineStr">
        <is>
          <t>Föryngringsavverkning</t>
        </is>
      </c>
      <c r="D429" s="1" t="n">
        <v>46114</v>
      </c>
      <c r="E429" s="1" t="n">
        <v>46217</v>
      </c>
      <c r="F429" t="inlineStr">
        <is>
          <t>GOTLANDS LÄN</t>
        </is>
      </c>
      <c r="G429" t="inlineStr">
        <is>
          <t>GOTLAND</t>
        </is>
      </c>
      <c r="I429" t="n">
        <v>3</v>
      </c>
      <c r="J429" t="n">
        <v>0</v>
      </c>
      <c r="K429" t="n">
        <v>0</v>
      </c>
      <c r="L429" t="n">
        <v>0</v>
      </c>
      <c r="M429" t="n">
        <v>0</v>
      </c>
      <c r="N429" t="n">
        <v>0</v>
      </c>
      <c r="O429" t="n">
        <v>0</v>
      </c>
      <c r="P429" t="n">
        <v>0</v>
      </c>
      <c r="Q429" t="n">
        <v>0</v>
      </c>
      <c r="R429" t="n">
        <v>0</v>
      </c>
      <c r="S429" t="n">
        <v>0</v>
      </c>
      <c r="T429" t="n">
        <v>0</v>
      </c>
      <c r="U429" s="2" t="inlineStr"/>
    </row>
    <row r="430" ht="15" customHeight="1">
      <c r="A430" t="inlineStr">
        <is>
          <t>A 14638-2025</t>
        </is>
      </c>
      <c r="B430" t="inlineStr">
        <is>
          <t>avverkningsanmälan</t>
        </is>
      </c>
      <c r="C430" t="inlineStr">
        <is>
          <t>Avverkning för annat ändamål</t>
        </is>
      </c>
      <c r="D430" s="1" t="n">
        <v>45742</v>
      </c>
      <c r="E430" s="1" t="n">
        <v>46217</v>
      </c>
      <c r="F430" t="inlineStr">
        <is>
          <t>GOTLANDS LÄN</t>
        </is>
      </c>
      <c r="G430" t="inlineStr">
        <is>
          <t>GOTLAND</t>
        </is>
      </c>
      <c r="I430" t="n">
        <v>13.4</v>
      </c>
      <c r="J430" t="n">
        <v>0</v>
      </c>
      <c r="K430" t="n">
        <v>0</v>
      </c>
      <c r="L430" t="n">
        <v>0</v>
      </c>
      <c r="M430" t="n">
        <v>0</v>
      </c>
      <c r="N430" t="n">
        <v>0</v>
      </c>
      <c r="O430" t="n">
        <v>0</v>
      </c>
      <c r="P430" t="n">
        <v>0</v>
      </c>
      <c r="Q430" t="n">
        <v>0</v>
      </c>
      <c r="R430" t="n">
        <v>0</v>
      </c>
      <c r="S430" t="n">
        <v>0</v>
      </c>
      <c r="T430" t="n">
        <v>0</v>
      </c>
      <c r="U430" s="2" t="inlineStr"/>
    </row>
    <row r="431" ht="15" customHeight="1">
      <c r="A431" t="inlineStr">
        <is>
          <t>A 60675-2021</t>
        </is>
      </c>
      <c r="B431" t="inlineStr">
        <is>
          <t>avverkningsanmälan</t>
        </is>
      </c>
      <c r="C431" t="inlineStr">
        <is>
          <t>Föryngringsavverkning</t>
        </is>
      </c>
      <c r="D431" s="1" t="n">
        <v>44496</v>
      </c>
      <c r="E431" s="1" t="n">
        <v>46217</v>
      </c>
      <c r="F431" t="inlineStr">
        <is>
          <t>GOTLANDS LÄN</t>
        </is>
      </c>
      <c r="G431" t="inlineStr">
        <is>
          <t>GOTLAND</t>
        </is>
      </c>
      <c r="I431" t="n">
        <v>4.6</v>
      </c>
      <c r="J431" t="n">
        <v>0</v>
      </c>
      <c r="K431" t="n">
        <v>0</v>
      </c>
      <c r="L431" t="n">
        <v>0</v>
      </c>
      <c r="M431" t="n">
        <v>0</v>
      </c>
      <c r="N431" t="n">
        <v>0</v>
      </c>
      <c r="O431" t="n">
        <v>0</v>
      </c>
      <c r="P431" t="n">
        <v>0</v>
      </c>
      <c r="Q431" t="n">
        <v>0</v>
      </c>
      <c r="R431" t="n">
        <v>0</v>
      </c>
      <c r="S431" t="n">
        <v>0</v>
      </c>
      <c r="T431" t="n">
        <v>0</v>
      </c>
      <c r="U431" s="2" t="inlineStr"/>
    </row>
    <row r="432" ht="15" customHeight="1">
      <c r="A432" t="inlineStr">
        <is>
          <t>A 37728-2024</t>
        </is>
      </c>
      <c r="B432" t="inlineStr">
        <is>
          <t>avverkningsanmälan</t>
        </is>
      </c>
      <c r="C432" t="inlineStr">
        <is>
          <t>Föryngringsavverkning</t>
        </is>
      </c>
      <c r="D432" s="1" t="n">
        <v>45541</v>
      </c>
      <c r="E432" s="1" t="n">
        <v>46217</v>
      </c>
      <c r="F432" t="inlineStr">
        <is>
          <t>GOTLANDS LÄN</t>
        </is>
      </c>
      <c r="G432" t="inlineStr">
        <is>
          <t>GOTLAND</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22287-2022</t>
        </is>
      </c>
      <c r="B433" t="inlineStr">
        <is>
          <t>avverkningsanmälan</t>
        </is>
      </c>
      <c r="C433" t="inlineStr">
        <is>
          <t>Avverkning för annat ändamål</t>
        </is>
      </c>
      <c r="D433" s="1" t="n">
        <v>44712</v>
      </c>
      <c r="E433" s="1" t="n">
        <v>46217</v>
      </c>
      <c r="F433" t="inlineStr">
        <is>
          <t>GOTLANDS LÄN</t>
        </is>
      </c>
      <c r="G433" t="inlineStr">
        <is>
          <t>GOTLAND</t>
        </is>
      </c>
      <c r="I433" t="n">
        <v>6.1</v>
      </c>
      <c r="J433" t="n">
        <v>0</v>
      </c>
      <c r="K433" t="n">
        <v>0</v>
      </c>
      <c r="L433" t="n">
        <v>0</v>
      </c>
      <c r="M433" t="n">
        <v>0</v>
      </c>
      <c r="N433" t="n">
        <v>0</v>
      </c>
      <c r="O433" t="n">
        <v>0</v>
      </c>
      <c r="P433" t="n">
        <v>0</v>
      </c>
      <c r="Q433" t="n">
        <v>0</v>
      </c>
      <c r="R433" t="n">
        <v>0</v>
      </c>
      <c r="S433" t="n">
        <v>0</v>
      </c>
      <c r="T433" t="n">
        <v>0</v>
      </c>
      <c r="U433" s="2" t="inlineStr"/>
    </row>
    <row r="434" ht="15" customHeight="1">
      <c r="A434" t="inlineStr">
        <is>
          <t>A 54074-2022</t>
        </is>
      </c>
      <c r="B434" t="inlineStr">
        <is>
          <t>avverkningsanmälan</t>
        </is>
      </c>
      <c r="C434" t="inlineStr">
        <is>
          <t>Föryngringsavverkning</t>
        </is>
      </c>
      <c r="D434" s="1" t="n">
        <v>44881</v>
      </c>
      <c r="E434" s="1" t="n">
        <v>46217</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65249-2023</t>
        </is>
      </c>
      <c r="B435" t="inlineStr">
        <is>
          <t>avverkningsanmälan</t>
        </is>
      </c>
      <c r="C435" t="inlineStr">
        <is>
          <t>Föryngringsavverkning</t>
        </is>
      </c>
      <c r="D435" s="1" t="n">
        <v>45290</v>
      </c>
      <c r="E435" s="1" t="n">
        <v>46217</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62836-2025</t>
        </is>
      </c>
      <c r="B436" t="inlineStr">
        <is>
          <t>avverkningsanmälan</t>
        </is>
      </c>
      <c r="C436" t="inlineStr">
        <is>
          <t>Föryngringsavverkning</t>
        </is>
      </c>
      <c r="D436" s="1" t="n">
        <v>46008</v>
      </c>
      <c r="E436" s="1" t="n">
        <v>46217</v>
      </c>
      <c r="F436" t="inlineStr">
        <is>
          <t>GOTLANDS LÄN</t>
        </is>
      </c>
      <c r="G436" t="inlineStr">
        <is>
          <t>GOTLAND</t>
        </is>
      </c>
      <c r="I436" t="n">
        <v>6.5</v>
      </c>
      <c r="J436" t="n">
        <v>0</v>
      </c>
      <c r="K436" t="n">
        <v>0</v>
      </c>
      <c r="L436" t="n">
        <v>0</v>
      </c>
      <c r="M436" t="n">
        <v>0</v>
      </c>
      <c r="N436" t="n">
        <v>0</v>
      </c>
      <c r="O436" t="n">
        <v>0</v>
      </c>
      <c r="P436" t="n">
        <v>0</v>
      </c>
      <c r="Q436" t="n">
        <v>0</v>
      </c>
      <c r="R436" t="n">
        <v>0</v>
      </c>
      <c r="S436" t="n">
        <v>0</v>
      </c>
      <c r="T436" t="n">
        <v>0</v>
      </c>
      <c r="U436" s="2" t="inlineStr"/>
    </row>
    <row r="437" ht="15" customHeight="1">
      <c r="A437" t="inlineStr">
        <is>
          <t>A 18804-2026</t>
        </is>
      </c>
      <c r="B437" t="inlineStr">
        <is>
          <t>avverkningsanmälan</t>
        </is>
      </c>
      <c r="C437" t="inlineStr">
        <is>
          <t>Föryngringsavverkning</t>
        </is>
      </c>
      <c r="D437" s="1" t="n">
        <v>46128</v>
      </c>
      <c r="E437" s="1" t="n">
        <v>46217</v>
      </c>
      <c r="F437" t="inlineStr">
        <is>
          <t>GOTLANDS LÄN</t>
        </is>
      </c>
      <c r="G437" t="inlineStr">
        <is>
          <t>GOTLAND</t>
        </is>
      </c>
      <c r="H437" t="inlineStr">
        <is>
          <t>Kyrkan</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30926-2026</t>
        </is>
      </c>
      <c r="B438" t="inlineStr">
        <is>
          <t>avverkningsanmälan</t>
        </is>
      </c>
      <c r="C438" t="inlineStr">
        <is>
          <t>Föryngringsavverkning</t>
        </is>
      </c>
      <c r="D438" s="1" t="n">
        <v>46213</v>
      </c>
      <c r="E438" s="1" t="n">
        <v>46217</v>
      </c>
      <c r="F438" t="inlineStr">
        <is>
          <t>GOTLANDS LÄN</t>
        </is>
      </c>
      <c r="G438" t="inlineStr">
        <is>
          <t>GOTLAND</t>
        </is>
      </c>
      <c r="I438" t="n">
        <v>6</v>
      </c>
      <c r="J438" t="n">
        <v>0</v>
      </c>
      <c r="K438" t="n">
        <v>0</v>
      </c>
      <c r="L438" t="n">
        <v>0</v>
      </c>
      <c r="M438" t="n">
        <v>0</v>
      </c>
      <c r="N438" t="n">
        <v>0</v>
      </c>
      <c r="O438" t="n">
        <v>0</v>
      </c>
      <c r="P438" t="n">
        <v>0</v>
      </c>
      <c r="Q438" t="n">
        <v>0</v>
      </c>
      <c r="R438" t="n">
        <v>0</v>
      </c>
      <c r="S438" t="n">
        <v>0</v>
      </c>
      <c r="T438" t="n">
        <v>0</v>
      </c>
      <c r="U438" s="2" t="inlineStr"/>
    </row>
    <row r="439" ht="15" customHeight="1">
      <c r="A439" t="inlineStr">
        <is>
          <t>A 17780-2022</t>
        </is>
      </c>
      <c r="B439" t="inlineStr">
        <is>
          <t>avverkningsanmälan</t>
        </is>
      </c>
      <c r="C439" t="inlineStr">
        <is>
          <t>Föryngringsavverkning</t>
        </is>
      </c>
      <c r="D439" s="1" t="n">
        <v>44682</v>
      </c>
      <c r="E439" s="1" t="n">
        <v>46217</v>
      </c>
      <c r="F439" t="inlineStr">
        <is>
          <t>GOTLANDS LÄN</t>
        </is>
      </c>
      <c r="G439" t="inlineStr">
        <is>
          <t>GOTLAND</t>
        </is>
      </c>
      <c r="I439" t="n">
        <v>2.2</v>
      </c>
      <c r="J439" t="n">
        <v>0</v>
      </c>
      <c r="K439" t="n">
        <v>0</v>
      </c>
      <c r="L439" t="n">
        <v>0</v>
      </c>
      <c r="M439" t="n">
        <v>0</v>
      </c>
      <c r="N439" t="n">
        <v>0</v>
      </c>
      <c r="O439" t="n">
        <v>0</v>
      </c>
      <c r="P439" t="n">
        <v>0</v>
      </c>
      <c r="Q439" t="n">
        <v>0</v>
      </c>
      <c r="R439" t="n">
        <v>0</v>
      </c>
      <c r="S439" t="n">
        <v>0</v>
      </c>
      <c r="T439" t="n">
        <v>0</v>
      </c>
      <c r="U439" s="2" t="inlineStr"/>
    </row>
    <row r="440" ht="15" customHeight="1">
      <c r="A440" t="inlineStr">
        <is>
          <t>A 30925-2026</t>
        </is>
      </c>
      <c r="B440" t="inlineStr">
        <is>
          <t>avverkningsanmälan</t>
        </is>
      </c>
      <c r="C440" t="inlineStr">
        <is>
          <t>Föryngringsavverkning</t>
        </is>
      </c>
      <c r="D440" s="1" t="n">
        <v>46213</v>
      </c>
      <c r="E440" s="1" t="n">
        <v>46217</v>
      </c>
      <c r="F440" t="inlineStr">
        <is>
          <t>GOTLANDS LÄN</t>
        </is>
      </c>
      <c r="G440" t="inlineStr">
        <is>
          <t>GOTLAND</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24448-2026</t>
        </is>
      </c>
      <c r="B441" t="inlineStr">
        <is>
          <t>avverkningsanmälan</t>
        </is>
      </c>
      <c r="C441" t="inlineStr">
        <is>
          <t>Föryngringsavverkning</t>
        </is>
      </c>
      <c r="D441" s="1" t="n">
        <v>46170</v>
      </c>
      <c r="E441" s="1" t="n">
        <v>46217</v>
      </c>
      <c r="F441" t="inlineStr">
        <is>
          <t>GOTLANDS LÄN</t>
        </is>
      </c>
      <c r="G441" t="inlineStr">
        <is>
          <t>GOTLAND</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59986-2022</t>
        </is>
      </c>
      <c r="B442" t="inlineStr">
        <is>
          <t>avverkningsanmälan</t>
        </is>
      </c>
      <c r="C442" t="inlineStr">
        <is>
          <t>Avverkning för annat ändamål</t>
        </is>
      </c>
      <c r="D442" s="1" t="n">
        <v>44909</v>
      </c>
      <c r="E442" s="1" t="n">
        <v>46217</v>
      </c>
      <c r="F442" t="inlineStr">
        <is>
          <t>GOTLANDS LÄN</t>
        </is>
      </c>
      <c r="G442" t="inlineStr">
        <is>
          <t>GOTLAND</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11874-2024</t>
        </is>
      </c>
      <c r="B443" t="inlineStr">
        <is>
          <t>avverkningsanmälan</t>
        </is>
      </c>
      <c r="C443" t="inlineStr">
        <is>
          <t>Föryngringsavverkning</t>
        </is>
      </c>
      <c r="D443" s="1" t="n">
        <v>45376</v>
      </c>
      <c r="E443" s="1" t="n">
        <v>46217</v>
      </c>
      <c r="F443" t="inlineStr">
        <is>
          <t>GOTLANDS LÄN</t>
        </is>
      </c>
      <c r="G443" t="inlineStr">
        <is>
          <t>GOTLAND</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42041-2024</t>
        </is>
      </c>
      <c r="B444" t="inlineStr">
        <is>
          <t>avverkningsanmälan</t>
        </is>
      </c>
      <c r="C444" t="inlineStr">
        <is>
          <t>Föryngringsavverkning</t>
        </is>
      </c>
      <c r="D444" s="1" t="n">
        <v>45561</v>
      </c>
      <c r="E444" s="1" t="n">
        <v>46217</v>
      </c>
      <c r="F444" t="inlineStr">
        <is>
          <t>GOTLANDS LÄN</t>
        </is>
      </c>
      <c r="G444" t="inlineStr">
        <is>
          <t>GOTLAND</t>
        </is>
      </c>
      <c r="I444" t="n">
        <v>3.2</v>
      </c>
      <c r="J444" t="n">
        <v>0</v>
      </c>
      <c r="K444" t="n">
        <v>0</v>
      </c>
      <c r="L444" t="n">
        <v>0</v>
      </c>
      <c r="M444" t="n">
        <v>0</v>
      </c>
      <c r="N444" t="n">
        <v>0</v>
      </c>
      <c r="O444" t="n">
        <v>0</v>
      </c>
      <c r="P444" t="n">
        <v>0</v>
      </c>
      <c r="Q444" t="n">
        <v>0</v>
      </c>
      <c r="R444" t="n">
        <v>0</v>
      </c>
      <c r="S444" t="n">
        <v>0</v>
      </c>
      <c r="T444" t="n">
        <v>0</v>
      </c>
      <c r="U444" s="2" t="inlineStr"/>
    </row>
    <row r="445" ht="15" customHeight="1">
      <c r="A445" t="inlineStr">
        <is>
          <t>A 61694-2023</t>
        </is>
      </c>
      <c r="B445" t="inlineStr">
        <is>
          <t>avverkningsanmälan</t>
        </is>
      </c>
      <c r="C445" t="inlineStr">
        <is>
          <t>Föryngringsavverkning</t>
        </is>
      </c>
      <c r="D445" s="1" t="n">
        <v>45264</v>
      </c>
      <c r="E445" s="1" t="n">
        <v>46217</v>
      </c>
      <c r="F445" t="inlineStr">
        <is>
          <t>GOTLANDS LÄN</t>
        </is>
      </c>
      <c r="G445" t="inlineStr">
        <is>
          <t>GOTLAND</t>
        </is>
      </c>
      <c r="I445" t="n">
        <v>4.6</v>
      </c>
      <c r="J445" t="n">
        <v>0</v>
      </c>
      <c r="K445" t="n">
        <v>0</v>
      </c>
      <c r="L445" t="n">
        <v>0</v>
      </c>
      <c r="M445" t="n">
        <v>0</v>
      </c>
      <c r="N445" t="n">
        <v>0</v>
      </c>
      <c r="O445" t="n">
        <v>0</v>
      </c>
      <c r="P445" t="n">
        <v>0</v>
      </c>
      <c r="Q445" t="n">
        <v>0</v>
      </c>
      <c r="R445" t="n">
        <v>0</v>
      </c>
      <c r="S445" t="n">
        <v>0</v>
      </c>
      <c r="T445" t="n">
        <v>0</v>
      </c>
      <c r="U445" s="2" t="inlineStr"/>
    </row>
    <row r="446" ht="15" customHeight="1">
      <c r="A446" t="inlineStr">
        <is>
          <t>A 64555-2023</t>
        </is>
      </c>
      <c r="B446" t="inlineStr">
        <is>
          <t>avverkningsanmälan</t>
        </is>
      </c>
      <c r="C446" t="inlineStr">
        <is>
          <t>Avverkning för annat ändamål</t>
        </is>
      </c>
      <c r="D446" s="1" t="n">
        <v>45281</v>
      </c>
      <c r="E446" s="1" t="n">
        <v>46217</v>
      </c>
      <c r="F446" t="inlineStr">
        <is>
          <t>GOTLANDS LÄN</t>
        </is>
      </c>
      <c r="G446" t="inlineStr">
        <is>
          <t>GOTLAND</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64831-2023</t>
        </is>
      </c>
      <c r="B447" t="inlineStr">
        <is>
          <t>avverkningsanmälan</t>
        </is>
      </c>
      <c r="C447" t="inlineStr">
        <is>
          <t>Föryngringsavverkning</t>
        </is>
      </c>
      <c r="D447" s="1" t="n">
        <v>45282</v>
      </c>
      <c r="E447" s="1" t="n">
        <v>46217</v>
      </c>
      <c r="F447" t="inlineStr">
        <is>
          <t>GOTLANDS LÄN</t>
        </is>
      </c>
      <c r="G447" t="inlineStr">
        <is>
          <t>GOTLAND</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4377-2023</t>
        </is>
      </c>
      <c r="B448" t="inlineStr">
        <is>
          <t>avverkningsanmälan</t>
        </is>
      </c>
      <c r="C448" t="inlineStr">
        <is>
          <t>Föryngringsavverkning</t>
        </is>
      </c>
      <c r="D448" s="1" t="n">
        <v>44955</v>
      </c>
      <c r="E448" s="1" t="n">
        <v>46217</v>
      </c>
      <c r="F448" t="inlineStr">
        <is>
          <t>GOTLANDS LÄN</t>
        </is>
      </c>
      <c r="G448" t="inlineStr">
        <is>
          <t>GOTLAND</t>
        </is>
      </c>
      <c r="H448" t="inlineStr">
        <is>
          <t>Kyrkan</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4387-2023</t>
        </is>
      </c>
      <c r="B449" t="inlineStr">
        <is>
          <t>avverkningsanmälan</t>
        </is>
      </c>
      <c r="C449" t="inlineStr">
        <is>
          <t>Föryngringsavverkning</t>
        </is>
      </c>
      <c r="D449" s="1" t="n">
        <v>44955</v>
      </c>
      <c r="E449" s="1" t="n">
        <v>46217</v>
      </c>
      <c r="F449" t="inlineStr">
        <is>
          <t>GOTLANDS LÄN</t>
        </is>
      </c>
      <c r="G449" t="inlineStr">
        <is>
          <t>GOTLAND</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39479-2022</t>
        </is>
      </c>
      <c r="B450" t="inlineStr">
        <is>
          <t>avverkningsanmälan</t>
        </is>
      </c>
      <c r="C450" t="inlineStr">
        <is>
          <t>Föryngringsavverkning</t>
        </is>
      </c>
      <c r="D450" s="1" t="n">
        <v>44818</v>
      </c>
      <c r="E450" s="1" t="n">
        <v>46217</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51963-2024</t>
        </is>
      </c>
      <c r="B451" t="inlineStr">
        <is>
          <t>avverkningsanmälan</t>
        </is>
      </c>
      <c r="C451" t="inlineStr">
        <is>
          <t>Föryngringsavverkning</t>
        </is>
      </c>
      <c r="D451" s="1" t="n">
        <v>45607</v>
      </c>
      <c r="E451" s="1" t="n">
        <v>46217</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811-2023</t>
        </is>
      </c>
      <c r="B452" t="inlineStr">
        <is>
          <t>avverkningsanmälan</t>
        </is>
      </c>
      <c r="C452" t="inlineStr">
        <is>
          <t>Föryngringsavverkning</t>
        </is>
      </c>
      <c r="D452" s="1" t="n">
        <v>44931</v>
      </c>
      <c r="E452" s="1" t="n">
        <v>46217</v>
      </c>
      <c r="F452" t="inlineStr">
        <is>
          <t>GOTLANDS LÄN</t>
        </is>
      </c>
      <c r="G452" t="inlineStr">
        <is>
          <t>GOTLAND</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46389-2021</t>
        </is>
      </c>
      <c r="B453" t="inlineStr">
        <is>
          <t>avverkningsanmälan</t>
        </is>
      </c>
      <c r="C453" t="inlineStr">
        <is>
          <t>Föryngringsavverkning</t>
        </is>
      </c>
      <c r="D453" s="1" t="n">
        <v>44443</v>
      </c>
      <c r="E453" s="1" t="n">
        <v>46217</v>
      </c>
      <c r="F453" t="inlineStr">
        <is>
          <t>GOTLANDS LÄN</t>
        </is>
      </c>
      <c r="G453" t="inlineStr">
        <is>
          <t>GOTLAND</t>
        </is>
      </c>
      <c r="H453" t="inlineStr">
        <is>
          <t>Kyrkan</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5923-2023</t>
        </is>
      </c>
      <c r="B454" t="inlineStr">
        <is>
          <t>avverkningsanmälan</t>
        </is>
      </c>
      <c r="C454" t="inlineStr">
        <is>
          <t>Föryngringsavverkning</t>
        </is>
      </c>
      <c r="D454" s="1" t="n">
        <v>44963</v>
      </c>
      <c r="E454" s="1" t="n">
        <v>46217</v>
      </c>
      <c r="F454" t="inlineStr">
        <is>
          <t>GOTLANDS LÄN</t>
        </is>
      </c>
      <c r="G454" t="inlineStr">
        <is>
          <t>GOTLAND</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18918-2025</t>
        </is>
      </c>
      <c r="B455" t="inlineStr">
        <is>
          <t>avverkningsanmälan</t>
        </is>
      </c>
      <c r="C455" t="inlineStr">
        <is>
          <t>Avverkning för annat ändamål</t>
        </is>
      </c>
      <c r="D455" s="1" t="n">
        <v>45764</v>
      </c>
      <c r="E455" s="1" t="n">
        <v>46217</v>
      </c>
      <c r="F455" t="inlineStr">
        <is>
          <t>GOTLANDS LÄN</t>
        </is>
      </c>
      <c r="G455" t="inlineStr">
        <is>
          <t>GOTLAND</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2674-2023</t>
        </is>
      </c>
      <c r="B456" t="inlineStr">
        <is>
          <t>avverkningsanmälan</t>
        </is>
      </c>
      <c r="C456" t="inlineStr">
        <is>
          <t>Avverkning för annat ändamål</t>
        </is>
      </c>
      <c r="D456" s="1" t="n">
        <v>44944</v>
      </c>
      <c r="E456" s="1" t="n">
        <v>46217</v>
      </c>
      <c r="F456" t="inlineStr">
        <is>
          <t>GOTLANDS LÄN</t>
        </is>
      </c>
      <c r="G456" t="inlineStr">
        <is>
          <t>GOTLAND</t>
        </is>
      </c>
      <c r="I456" t="n">
        <v>2.5</v>
      </c>
      <c r="J456" t="n">
        <v>0</v>
      </c>
      <c r="K456" t="n">
        <v>0</v>
      </c>
      <c r="L456" t="n">
        <v>0</v>
      </c>
      <c r="M456" t="n">
        <v>0</v>
      </c>
      <c r="N456" t="n">
        <v>0</v>
      </c>
      <c r="O456" t="n">
        <v>0</v>
      </c>
      <c r="P456" t="n">
        <v>0</v>
      </c>
      <c r="Q456" t="n">
        <v>0</v>
      </c>
      <c r="R456" t="n">
        <v>0</v>
      </c>
      <c r="S456" t="n">
        <v>0</v>
      </c>
      <c r="T456" t="n">
        <v>0</v>
      </c>
      <c r="U456" s="2" t="inlineStr"/>
    </row>
    <row r="457" ht="15" customHeight="1">
      <c r="A457" t="inlineStr">
        <is>
          <t>A 10655-2023</t>
        </is>
      </c>
      <c r="B457" t="inlineStr">
        <is>
          <t>avverkningsanmälan</t>
        </is>
      </c>
      <c r="C457" t="inlineStr">
        <is>
          <t>Föryngringsavverkning</t>
        </is>
      </c>
      <c r="D457" s="1" t="n">
        <v>44988</v>
      </c>
      <c r="E457" s="1" t="n">
        <v>46217</v>
      </c>
      <c r="F457" t="inlineStr">
        <is>
          <t>GOTLANDS LÄN</t>
        </is>
      </c>
      <c r="G457" t="inlineStr">
        <is>
          <t>GOTLAND</t>
        </is>
      </c>
      <c r="H457" t="inlineStr">
        <is>
          <t>Kyrkan</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2719-2023</t>
        </is>
      </c>
      <c r="B458" t="inlineStr">
        <is>
          <t>avverkningsanmälan</t>
        </is>
      </c>
      <c r="C458" t="inlineStr">
        <is>
          <t>Föryngringsavverkning</t>
        </is>
      </c>
      <c r="D458" s="1" t="n">
        <v>44944</v>
      </c>
      <c r="E458" s="1" t="n">
        <v>46217</v>
      </c>
      <c r="F458" t="inlineStr">
        <is>
          <t>GOTLANDS LÄN</t>
        </is>
      </c>
      <c r="G458" t="inlineStr">
        <is>
          <t>GOTLAND</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26891-2024</t>
        </is>
      </c>
      <c r="B459" t="inlineStr">
        <is>
          <t>avverkningsanmälan</t>
        </is>
      </c>
      <c r="C459" t="inlineStr">
        <is>
          <t>Föryngringsavverkning</t>
        </is>
      </c>
      <c r="D459" s="1" t="n">
        <v>45470</v>
      </c>
      <c r="E459" s="1" t="n">
        <v>46217</v>
      </c>
      <c r="F459" t="inlineStr">
        <is>
          <t>GOTLANDS LÄN</t>
        </is>
      </c>
      <c r="G459" t="inlineStr">
        <is>
          <t>GOTLAND</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42007-2023</t>
        </is>
      </c>
      <c r="B460" t="inlineStr">
        <is>
          <t>avverkningsanmälan</t>
        </is>
      </c>
      <c r="C460" t="inlineStr">
        <is>
          <t>Avverkning för annat ändamål</t>
        </is>
      </c>
      <c r="D460" s="1" t="n">
        <v>45177</v>
      </c>
      <c r="E460" s="1" t="n">
        <v>46217</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9887-2025</t>
        </is>
      </c>
      <c r="B461" t="inlineStr">
        <is>
          <t>avverkningsanmälan</t>
        </is>
      </c>
      <c r="C461" t="inlineStr">
        <is>
          <t>Föryngringsavverkning</t>
        </is>
      </c>
      <c r="D461" s="1" t="n">
        <v>45716</v>
      </c>
      <c r="E461" s="1" t="n">
        <v>46217</v>
      </c>
      <c r="F461" t="inlineStr">
        <is>
          <t>GOTLANDS LÄN</t>
        </is>
      </c>
      <c r="G461" t="inlineStr">
        <is>
          <t>GOTLAND</t>
        </is>
      </c>
      <c r="I461" t="n">
        <v>7.5</v>
      </c>
      <c r="J461" t="n">
        <v>0</v>
      </c>
      <c r="K461" t="n">
        <v>0</v>
      </c>
      <c r="L461" t="n">
        <v>0</v>
      </c>
      <c r="M461" t="n">
        <v>0</v>
      </c>
      <c r="N461" t="n">
        <v>0</v>
      </c>
      <c r="O461" t="n">
        <v>0</v>
      </c>
      <c r="P461" t="n">
        <v>0</v>
      </c>
      <c r="Q461" t="n">
        <v>0</v>
      </c>
      <c r="R461" t="n">
        <v>0</v>
      </c>
      <c r="S461" t="n">
        <v>0</v>
      </c>
      <c r="T461" t="n">
        <v>0</v>
      </c>
      <c r="U461" s="2" t="inlineStr"/>
    </row>
    <row r="462" ht="15" customHeight="1">
      <c r="A462" t="inlineStr">
        <is>
          <t>A 27596-2023</t>
        </is>
      </c>
      <c r="B462" t="inlineStr">
        <is>
          <t>avverkningsanmälan</t>
        </is>
      </c>
      <c r="C462" t="inlineStr">
        <is>
          <t>Avverkning för annat ändamål</t>
        </is>
      </c>
      <c r="D462" s="1" t="n">
        <v>45097</v>
      </c>
      <c r="E462" s="1" t="n">
        <v>46217</v>
      </c>
      <c r="F462" t="inlineStr">
        <is>
          <t>GOTLANDS LÄN</t>
        </is>
      </c>
      <c r="G462" t="inlineStr">
        <is>
          <t>GOTLAND</t>
        </is>
      </c>
      <c r="I462" t="n">
        <v>3.6</v>
      </c>
      <c r="J462" t="n">
        <v>0</v>
      </c>
      <c r="K462" t="n">
        <v>0</v>
      </c>
      <c r="L462" t="n">
        <v>0</v>
      </c>
      <c r="M462" t="n">
        <v>0</v>
      </c>
      <c r="N462" t="n">
        <v>0</v>
      </c>
      <c r="O462" t="n">
        <v>0</v>
      </c>
      <c r="P462" t="n">
        <v>0</v>
      </c>
      <c r="Q462" t="n">
        <v>0</v>
      </c>
      <c r="R462" t="n">
        <v>0</v>
      </c>
      <c r="S462" t="n">
        <v>0</v>
      </c>
      <c r="T462" t="n">
        <v>0</v>
      </c>
      <c r="U462" s="2" t="inlineStr"/>
    </row>
    <row r="463" ht="15" customHeight="1">
      <c r="A463" t="inlineStr">
        <is>
          <t>A 24825-2024</t>
        </is>
      </c>
      <c r="B463" t="inlineStr">
        <is>
          <t>avverkningsanmälan</t>
        </is>
      </c>
      <c r="C463" t="inlineStr">
        <is>
          <t>Avverkning för annat ändamål</t>
        </is>
      </c>
      <c r="D463" s="1" t="n">
        <v>45461</v>
      </c>
      <c r="E463" s="1" t="n">
        <v>46217</v>
      </c>
      <c r="F463" t="inlineStr">
        <is>
          <t>GOTLANDS LÄN</t>
        </is>
      </c>
      <c r="G463" t="inlineStr">
        <is>
          <t>GOTLAND</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6696-2023</t>
        </is>
      </c>
      <c r="B464" t="inlineStr">
        <is>
          <t>avverkningsanmälan</t>
        </is>
      </c>
      <c r="C464" t="inlineStr">
        <is>
          <t>Föryngringsavverkning</t>
        </is>
      </c>
      <c r="D464" s="1" t="n">
        <v>44966</v>
      </c>
      <c r="E464" s="1" t="n">
        <v>46217</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21247-2022</t>
        </is>
      </c>
      <c r="B465" t="inlineStr">
        <is>
          <t>avverkningsanmälan</t>
        </is>
      </c>
      <c r="C465" t="inlineStr">
        <is>
          <t>Föryngringsavverkning</t>
        </is>
      </c>
      <c r="D465" s="1" t="n">
        <v>44705</v>
      </c>
      <c r="E465" s="1" t="n">
        <v>46217</v>
      </c>
      <c r="F465" t="inlineStr">
        <is>
          <t>GOTLANDS LÄN</t>
        </is>
      </c>
      <c r="G465" t="inlineStr">
        <is>
          <t>GOTLAND</t>
        </is>
      </c>
      <c r="I465" t="n">
        <v>16.2</v>
      </c>
      <c r="J465" t="n">
        <v>0</v>
      </c>
      <c r="K465" t="n">
        <v>0</v>
      </c>
      <c r="L465" t="n">
        <v>0</v>
      </c>
      <c r="M465" t="n">
        <v>0</v>
      </c>
      <c r="N465" t="n">
        <v>0</v>
      </c>
      <c r="O465" t="n">
        <v>0</v>
      </c>
      <c r="P465" t="n">
        <v>0</v>
      </c>
      <c r="Q465" t="n">
        <v>0</v>
      </c>
      <c r="R465" t="n">
        <v>0</v>
      </c>
      <c r="S465" t="n">
        <v>0</v>
      </c>
      <c r="T465" t="n">
        <v>0</v>
      </c>
      <c r="U465" s="2" t="inlineStr"/>
    </row>
    <row r="466" ht="15" customHeight="1">
      <c r="A466" t="inlineStr">
        <is>
          <t>A 456-2023</t>
        </is>
      </c>
      <c r="B466" t="inlineStr">
        <is>
          <t>avverkningsanmälan</t>
        </is>
      </c>
      <c r="C466" t="inlineStr">
        <is>
          <t>Föryngringsavverkning</t>
        </is>
      </c>
      <c r="D466" s="1" t="n">
        <v>44929</v>
      </c>
      <c r="E466" s="1" t="n">
        <v>46217</v>
      </c>
      <c r="F466" t="inlineStr">
        <is>
          <t>GOTLANDS LÄN</t>
        </is>
      </c>
      <c r="G466" t="inlineStr">
        <is>
          <t>GOTLAND</t>
        </is>
      </c>
      <c r="I466" t="n">
        <v>3.2</v>
      </c>
      <c r="J466" t="n">
        <v>0</v>
      </c>
      <c r="K466" t="n">
        <v>0</v>
      </c>
      <c r="L466" t="n">
        <v>0</v>
      </c>
      <c r="M466" t="n">
        <v>0</v>
      </c>
      <c r="N466" t="n">
        <v>0</v>
      </c>
      <c r="O466" t="n">
        <v>0</v>
      </c>
      <c r="P466" t="n">
        <v>0</v>
      </c>
      <c r="Q466" t="n">
        <v>0</v>
      </c>
      <c r="R466" t="n">
        <v>0</v>
      </c>
      <c r="S466" t="n">
        <v>0</v>
      </c>
      <c r="T466" t="n">
        <v>0</v>
      </c>
      <c r="U466" s="2" t="inlineStr"/>
    </row>
    <row r="467" ht="15" customHeight="1">
      <c r="A467" t="inlineStr">
        <is>
          <t>A 2714-2023</t>
        </is>
      </c>
      <c r="B467" t="inlineStr">
        <is>
          <t>avverkningsanmälan</t>
        </is>
      </c>
      <c r="C467" t="inlineStr">
        <is>
          <t>Föryngringsavverkning</t>
        </is>
      </c>
      <c r="D467" s="1" t="n">
        <v>44944</v>
      </c>
      <c r="E467" s="1" t="n">
        <v>46217</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4421-2024</t>
        </is>
      </c>
      <c r="B468" t="inlineStr">
        <is>
          <t>avverkningsanmälan</t>
        </is>
      </c>
      <c r="C468" t="inlineStr">
        <is>
          <t>Föryngringsavverkning</t>
        </is>
      </c>
      <c r="D468" s="1" t="n">
        <v>45327</v>
      </c>
      <c r="E468" s="1" t="n">
        <v>46217</v>
      </c>
      <c r="F468" t="inlineStr">
        <is>
          <t>GOTLANDS LÄN</t>
        </is>
      </c>
      <c r="G468" t="inlineStr">
        <is>
          <t>GOTLAND</t>
        </is>
      </c>
      <c r="I468" t="n">
        <v>5.1</v>
      </c>
      <c r="J468" t="n">
        <v>0</v>
      </c>
      <c r="K468" t="n">
        <v>0</v>
      </c>
      <c r="L468" t="n">
        <v>0</v>
      </c>
      <c r="M468" t="n">
        <v>0</v>
      </c>
      <c r="N468" t="n">
        <v>0</v>
      </c>
      <c r="O468" t="n">
        <v>0</v>
      </c>
      <c r="P468" t="n">
        <v>0</v>
      </c>
      <c r="Q468" t="n">
        <v>0</v>
      </c>
      <c r="R468" t="n">
        <v>0</v>
      </c>
      <c r="S468" t="n">
        <v>0</v>
      </c>
      <c r="T468" t="n">
        <v>0</v>
      </c>
      <c r="U468" s="2" t="inlineStr"/>
    </row>
    <row r="469" ht="15" customHeight="1">
      <c r="A469" t="inlineStr">
        <is>
          <t>A 51782-2023</t>
        </is>
      </c>
      <c r="B469" t="inlineStr">
        <is>
          <t>avverkningsanmälan</t>
        </is>
      </c>
      <c r="C469" t="inlineStr">
        <is>
          <t>Föryngringsavverkning</t>
        </is>
      </c>
      <c r="D469" s="1" t="n">
        <v>45222</v>
      </c>
      <c r="E469" s="1" t="n">
        <v>46217</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54268-2022</t>
        </is>
      </c>
      <c r="B470" t="inlineStr">
        <is>
          <t>avverkningsanmälan</t>
        </is>
      </c>
      <c r="C470" t="inlineStr">
        <is>
          <t>Föryngringsavverkning</t>
        </is>
      </c>
      <c r="D470" s="1" t="n">
        <v>44882</v>
      </c>
      <c r="E470" s="1" t="n">
        <v>46217</v>
      </c>
      <c r="F470" t="inlineStr">
        <is>
          <t>GOTLANDS LÄN</t>
        </is>
      </c>
      <c r="G470" t="inlineStr">
        <is>
          <t>GOTLAND</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25866-2022</t>
        </is>
      </c>
      <c r="B471" t="inlineStr">
        <is>
          <t>avverkningsanmälan</t>
        </is>
      </c>
      <c r="C471" t="inlineStr">
        <is>
          <t>Föryngringsavverkning</t>
        </is>
      </c>
      <c r="D471" s="1" t="n">
        <v>44733</v>
      </c>
      <c r="E471" s="1" t="n">
        <v>46217</v>
      </c>
      <c r="F471" t="inlineStr">
        <is>
          <t>GOTLANDS LÄN</t>
        </is>
      </c>
      <c r="G471" t="inlineStr">
        <is>
          <t>GOTLAND</t>
        </is>
      </c>
      <c r="I471" t="n">
        <v>2.9</v>
      </c>
      <c r="J471" t="n">
        <v>0</v>
      </c>
      <c r="K471" t="n">
        <v>0</v>
      </c>
      <c r="L471" t="n">
        <v>0</v>
      </c>
      <c r="M471" t="n">
        <v>0</v>
      </c>
      <c r="N471" t="n">
        <v>0</v>
      </c>
      <c r="O471" t="n">
        <v>0</v>
      </c>
      <c r="P471" t="n">
        <v>0</v>
      </c>
      <c r="Q471" t="n">
        <v>0</v>
      </c>
      <c r="R471" t="n">
        <v>0</v>
      </c>
      <c r="S471" t="n">
        <v>0</v>
      </c>
      <c r="T471" t="n">
        <v>0</v>
      </c>
      <c r="U471" s="2" t="inlineStr"/>
    </row>
    <row r="472" ht="15" customHeight="1">
      <c r="A472" t="inlineStr">
        <is>
          <t>A 43229-2023</t>
        </is>
      </c>
      <c r="B472" t="inlineStr">
        <is>
          <t>avverkningsanmälan</t>
        </is>
      </c>
      <c r="C472" t="inlineStr">
        <is>
          <t>Föryngringsavverkning</t>
        </is>
      </c>
      <c r="D472" s="1" t="n">
        <v>45183</v>
      </c>
      <c r="E472" s="1" t="n">
        <v>46217</v>
      </c>
      <c r="F472" t="inlineStr">
        <is>
          <t>GOTLANDS LÄN</t>
        </is>
      </c>
      <c r="G472" t="inlineStr">
        <is>
          <t>GOTLAND</t>
        </is>
      </c>
      <c r="I472" t="n">
        <v>7.1</v>
      </c>
      <c r="J472" t="n">
        <v>0</v>
      </c>
      <c r="K472" t="n">
        <v>0</v>
      </c>
      <c r="L472" t="n">
        <v>0</v>
      </c>
      <c r="M472" t="n">
        <v>0</v>
      </c>
      <c r="N472" t="n">
        <v>0</v>
      </c>
      <c r="O472" t="n">
        <v>0</v>
      </c>
      <c r="P472" t="n">
        <v>0</v>
      </c>
      <c r="Q472" t="n">
        <v>0</v>
      </c>
      <c r="R472" t="n">
        <v>0</v>
      </c>
      <c r="S472" t="n">
        <v>0</v>
      </c>
      <c r="T472" t="n">
        <v>0</v>
      </c>
      <c r="U472" s="2" t="inlineStr"/>
    </row>
    <row r="473" ht="15" customHeight="1">
      <c r="A473" t="inlineStr">
        <is>
          <t>A 27095-2022</t>
        </is>
      </c>
      <c r="B473" t="inlineStr">
        <is>
          <t>avverkningsanmälan</t>
        </is>
      </c>
      <c r="C473" t="inlineStr">
        <is>
          <t>Avverkning för annat ändamål</t>
        </is>
      </c>
      <c r="D473" s="1" t="n">
        <v>44741</v>
      </c>
      <c r="E473" s="1" t="n">
        <v>46217</v>
      </c>
      <c r="F473" t="inlineStr">
        <is>
          <t>GOTLANDS LÄN</t>
        </is>
      </c>
      <c r="G473" t="inlineStr">
        <is>
          <t>GOTLAND</t>
        </is>
      </c>
      <c r="H473" t="inlineStr">
        <is>
          <t>Övriga Aktiebolag</t>
        </is>
      </c>
      <c r="I473" t="n">
        <v>2.9</v>
      </c>
      <c r="J473" t="n">
        <v>0</v>
      </c>
      <c r="K473" t="n">
        <v>0</v>
      </c>
      <c r="L473" t="n">
        <v>0</v>
      </c>
      <c r="M473" t="n">
        <v>0</v>
      </c>
      <c r="N473" t="n">
        <v>0</v>
      </c>
      <c r="O473" t="n">
        <v>0</v>
      </c>
      <c r="P473" t="n">
        <v>0</v>
      </c>
      <c r="Q473" t="n">
        <v>0</v>
      </c>
      <c r="R473" t="n">
        <v>0</v>
      </c>
      <c r="S473" t="n">
        <v>0</v>
      </c>
      <c r="T473" t="n">
        <v>0</v>
      </c>
      <c r="U473" s="2" t="inlineStr"/>
    </row>
    <row r="474" ht="15" customHeight="1">
      <c r="A474" t="inlineStr">
        <is>
          <t>A 22899-2023</t>
        </is>
      </c>
      <c r="B474" t="inlineStr">
        <is>
          <t>avverkningsanmälan</t>
        </is>
      </c>
      <c r="C474" t="inlineStr">
        <is>
          <t>Föryngringsavverkning</t>
        </is>
      </c>
      <c r="D474" s="1" t="n">
        <v>45072</v>
      </c>
      <c r="E474" s="1" t="n">
        <v>46217</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23978-2023</t>
        </is>
      </c>
      <c r="B475" t="inlineStr">
        <is>
          <t>avverkningsanmälan</t>
        </is>
      </c>
      <c r="C475" t="inlineStr">
        <is>
          <t>Föryngringsavverkning</t>
        </is>
      </c>
      <c r="D475" s="1" t="n">
        <v>45078</v>
      </c>
      <c r="E475" s="1" t="n">
        <v>46217</v>
      </c>
      <c r="F475" t="inlineStr">
        <is>
          <t>GOTLANDS LÄN</t>
        </is>
      </c>
      <c r="G475" t="inlineStr">
        <is>
          <t>GOTLAND</t>
        </is>
      </c>
      <c r="H475" t="inlineStr">
        <is>
          <t>Naturvårdsverket</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34407-2023</t>
        </is>
      </c>
      <c r="B476" t="inlineStr">
        <is>
          <t>avverkningsanmälan</t>
        </is>
      </c>
      <c r="C476" t="inlineStr">
        <is>
          <t>Föryngringsavverkning</t>
        </is>
      </c>
      <c r="D476" s="1" t="n">
        <v>45132</v>
      </c>
      <c r="E476" s="1" t="n">
        <v>46217</v>
      </c>
      <c r="F476" t="inlineStr">
        <is>
          <t>GOTLANDS LÄN</t>
        </is>
      </c>
      <c r="G476" t="inlineStr">
        <is>
          <t>GOTLAND</t>
        </is>
      </c>
      <c r="I476" t="n">
        <v>4.4</v>
      </c>
      <c r="J476" t="n">
        <v>0</v>
      </c>
      <c r="K476" t="n">
        <v>0</v>
      </c>
      <c r="L476" t="n">
        <v>0</v>
      </c>
      <c r="M476" t="n">
        <v>0</v>
      </c>
      <c r="N476" t="n">
        <v>0</v>
      </c>
      <c r="O476" t="n">
        <v>0</v>
      </c>
      <c r="P476" t="n">
        <v>0</v>
      </c>
      <c r="Q476" t="n">
        <v>0</v>
      </c>
      <c r="R476" t="n">
        <v>0</v>
      </c>
      <c r="S476" t="n">
        <v>0</v>
      </c>
      <c r="T476" t="n">
        <v>0</v>
      </c>
      <c r="U476" s="2" t="inlineStr"/>
    </row>
    <row r="477" ht="15" customHeight="1">
      <c r="A477" t="inlineStr">
        <is>
          <t>A 11013-2024</t>
        </is>
      </c>
      <c r="B477" t="inlineStr">
        <is>
          <t>avverkningsanmälan</t>
        </is>
      </c>
      <c r="C477" t="inlineStr">
        <is>
          <t>Föryngringsavverkning</t>
        </is>
      </c>
      <c r="D477" s="1" t="n">
        <v>45370</v>
      </c>
      <c r="E477" s="1" t="n">
        <v>46217</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27694-2024</t>
        </is>
      </c>
      <c r="B478" t="inlineStr">
        <is>
          <t>avverkningsanmälan</t>
        </is>
      </c>
      <c r="C478" t="inlineStr">
        <is>
          <t>Föryngringsavverkning</t>
        </is>
      </c>
      <c r="D478" s="1" t="n">
        <v>45475</v>
      </c>
      <c r="E478" s="1" t="n">
        <v>46217</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15083-2025</t>
        </is>
      </c>
      <c r="B479" t="inlineStr">
        <is>
          <t>avverkningsanmälan</t>
        </is>
      </c>
      <c r="C479" t="inlineStr">
        <is>
          <t>Avverkning för annat ändamål</t>
        </is>
      </c>
      <c r="D479" s="1" t="n">
        <v>45743</v>
      </c>
      <c r="E479" s="1" t="n">
        <v>46217</v>
      </c>
      <c r="F479" t="inlineStr">
        <is>
          <t>GOTLANDS LÄN</t>
        </is>
      </c>
      <c r="G479" t="inlineStr">
        <is>
          <t>GOTLAND</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13037-2025</t>
        </is>
      </c>
      <c r="B480" t="inlineStr">
        <is>
          <t>avverkningsanmälan</t>
        </is>
      </c>
      <c r="C480" t="inlineStr">
        <is>
          <t>Avverkning för att bevara och utveckla /försöksver</t>
        </is>
      </c>
      <c r="D480" s="1" t="n">
        <v>45734</v>
      </c>
      <c r="E480" s="1" t="n">
        <v>46217</v>
      </c>
      <c r="F480" t="inlineStr">
        <is>
          <t>GOTLANDS LÄN</t>
        </is>
      </c>
      <c r="G480" t="inlineStr">
        <is>
          <t>GOTLAND</t>
        </is>
      </c>
      <c r="I480" t="n">
        <v>9.5</v>
      </c>
      <c r="J480" t="n">
        <v>0</v>
      </c>
      <c r="K480" t="n">
        <v>0</v>
      </c>
      <c r="L480" t="n">
        <v>0</v>
      </c>
      <c r="M480" t="n">
        <v>0</v>
      </c>
      <c r="N480" t="n">
        <v>0</v>
      </c>
      <c r="O480" t="n">
        <v>0</v>
      </c>
      <c r="P480" t="n">
        <v>0</v>
      </c>
      <c r="Q480" t="n">
        <v>0</v>
      </c>
      <c r="R480" t="n">
        <v>0</v>
      </c>
      <c r="S480" t="n">
        <v>0</v>
      </c>
      <c r="T480" t="n">
        <v>0</v>
      </c>
      <c r="U480" s="2" t="inlineStr"/>
    </row>
    <row r="481" ht="15" customHeight="1">
      <c r="A481" t="inlineStr">
        <is>
          <t>A 44228-2022</t>
        </is>
      </c>
      <c r="B481" t="inlineStr">
        <is>
          <t>avverkningsanmälan</t>
        </is>
      </c>
      <c r="C481" t="inlineStr">
        <is>
          <t>Föryngringsavverkning</t>
        </is>
      </c>
      <c r="D481" s="1" t="n">
        <v>44839</v>
      </c>
      <c r="E481" s="1" t="n">
        <v>46217</v>
      </c>
      <c r="F481" t="inlineStr">
        <is>
          <t>GOTLANDS LÄN</t>
        </is>
      </c>
      <c r="G481" t="inlineStr">
        <is>
          <t>GOTLAND</t>
        </is>
      </c>
      <c r="I481" t="n">
        <v>2.1</v>
      </c>
      <c r="J481" t="n">
        <v>0</v>
      </c>
      <c r="K481" t="n">
        <v>0</v>
      </c>
      <c r="L481" t="n">
        <v>0</v>
      </c>
      <c r="M481" t="n">
        <v>0</v>
      </c>
      <c r="N481" t="n">
        <v>0</v>
      </c>
      <c r="O481" t="n">
        <v>0</v>
      </c>
      <c r="P481" t="n">
        <v>0</v>
      </c>
      <c r="Q481" t="n">
        <v>0</v>
      </c>
      <c r="R481" t="n">
        <v>0</v>
      </c>
      <c r="S481" t="n">
        <v>0</v>
      </c>
      <c r="T481" t="n">
        <v>0</v>
      </c>
      <c r="U481" s="2" t="inlineStr"/>
    </row>
    <row r="482" ht="15" customHeight="1">
      <c r="A482" t="inlineStr">
        <is>
          <t>A 58132-2023</t>
        </is>
      </c>
      <c r="B482" t="inlineStr">
        <is>
          <t>avverkningsanmälan</t>
        </is>
      </c>
      <c r="C482" t="inlineStr">
        <is>
          <t>Föryngringsavverkning</t>
        </is>
      </c>
      <c r="D482" s="1" t="n">
        <v>45250</v>
      </c>
      <c r="E482" s="1" t="n">
        <v>46217</v>
      </c>
      <c r="F482" t="inlineStr">
        <is>
          <t>GOTLANDS LÄN</t>
        </is>
      </c>
      <c r="G482" t="inlineStr">
        <is>
          <t>GOTLAND</t>
        </is>
      </c>
      <c r="I482" t="n">
        <v>3.1</v>
      </c>
      <c r="J482" t="n">
        <v>0</v>
      </c>
      <c r="K482" t="n">
        <v>0</v>
      </c>
      <c r="L482" t="n">
        <v>0</v>
      </c>
      <c r="M482" t="n">
        <v>0</v>
      </c>
      <c r="N482" t="n">
        <v>0</v>
      </c>
      <c r="O482" t="n">
        <v>0</v>
      </c>
      <c r="P482" t="n">
        <v>0</v>
      </c>
      <c r="Q482" t="n">
        <v>0</v>
      </c>
      <c r="R482" t="n">
        <v>0</v>
      </c>
      <c r="S482" t="n">
        <v>0</v>
      </c>
      <c r="T482" t="n">
        <v>0</v>
      </c>
      <c r="U482" s="2" t="inlineStr"/>
    </row>
    <row r="483" ht="15" customHeight="1">
      <c r="A483" t="inlineStr">
        <is>
          <t>A 49884-2023</t>
        </is>
      </c>
      <c r="B483" t="inlineStr">
        <is>
          <t>avverkningsanmälan</t>
        </is>
      </c>
      <c r="C483" t="inlineStr">
        <is>
          <t>Föryngringsavverkning</t>
        </is>
      </c>
      <c r="D483" s="1" t="n">
        <v>45213</v>
      </c>
      <c r="E483" s="1" t="n">
        <v>46217</v>
      </c>
      <c r="F483" t="inlineStr">
        <is>
          <t>GOTLANDS LÄN</t>
        </is>
      </c>
      <c r="G483" t="inlineStr">
        <is>
          <t>GOTLAND</t>
        </is>
      </c>
      <c r="I483" t="n">
        <v>8.9</v>
      </c>
      <c r="J483" t="n">
        <v>0</v>
      </c>
      <c r="K483" t="n">
        <v>0</v>
      </c>
      <c r="L483" t="n">
        <v>0</v>
      </c>
      <c r="M483" t="n">
        <v>0</v>
      </c>
      <c r="N483" t="n">
        <v>0</v>
      </c>
      <c r="O483" t="n">
        <v>0</v>
      </c>
      <c r="P483" t="n">
        <v>0</v>
      </c>
      <c r="Q483" t="n">
        <v>0</v>
      </c>
      <c r="R483" t="n">
        <v>0</v>
      </c>
      <c r="S483" t="n">
        <v>0</v>
      </c>
      <c r="T483" t="n">
        <v>0</v>
      </c>
      <c r="U483" s="2" t="inlineStr"/>
    </row>
    <row r="484" ht="15" customHeight="1">
      <c r="A484" t="inlineStr">
        <is>
          <t>A 876-2024</t>
        </is>
      </c>
      <c r="B484" t="inlineStr">
        <is>
          <t>avverkningsanmälan</t>
        </is>
      </c>
      <c r="C484" t="inlineStr">
        <is>
          <t>Avverkning för annat ändamål</t>
        </is>
      </c>
      <c r="D484" s="1" t="n">
        <v>45301</v>
      </c>
      <c r="E484" s="1" t="n">
        <v>46217</v>
      </c>
      <c r="F484" t="inlineStr">
        <is>
          <t>GOTLANDS LÄN</t>
        </is>
      </c>
      <c r="G484" t="inlineStr">
        <is>
          <t>GOTLAND</t>
        </is>
      </c>
      <c r="I484" t="n">
        <v>5.3</v>
      </c>
      <c r="J484" t="n">
        <v>0</v>
      </c>
      <c r="K484" t="n">
        <v>0</v>
      </c>
      <c r="L484" t="n">
        <v>0</v>
      </c>
      <c r="M484" t="n">
        <v>0</v>
      </c>
      <c r="N484" t="n">
        <v>0</v>
      </c>
      <c r="O484" t="n">
        <v>0</v>
      </c>
      <c r="P484" t="n">
        <v>0</v>
      </c>
      <c r="Q484" t="n">
        <v>0</v>
      </c>
      <c r="R484" t="n">
        <v>0</v>
      </c>
      <c r="S484" t="n">
        <v>0</v>
      </c>
      <c r="T484" t="n">
        <v>0</v>
      </c>
      <c r="U484" s="2" t="inlineStr"/>
    </row>
    <row r="485" ht="15" customHeight="1">
      <c r="A485" t="inlineStr">
        <is>
          <t>A 22704-2023</t>
        </is>
      </c>
      <c r="B485" t="inlineStr">
        <is>
          <t>avverkningsanmälan</t>
        </is>
      </c>
      <c r="C485" t="inlineStr">
        <is>
          <t>Föryngringsavverkning</t>
        </is>
      </c>
      <c r="D485" s="1" t="n">
        <v>45071</v>
      </c>
      <c r="E485" s="1" t="n">
        <v>46217</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s="2" t="inlineStr"/>
    </row>
    <row r="486" ht="15" customHeight="1">
      <c r="A486" t="inlineStr">
        <is>
          <t>A 28425-2023</t>
        </is>
      </c>
      <c r="B486" t="inlineStr">
        <is>
          <t>avverkningsanmälan</t>
        </is>
      </c>
      <c r="C486" t="inlineStr">
        <is>
          <t>Föryngringsavverkning</t>
        </is>
      </c>
      <c r="D486" s="1" t="n">
        <v>45102</v>
      </c>
      <c r="E486" s="1" t="n">
        <v>46217</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43223-2023</t>
        </is>
      </c>
      <c r="B487" t="inlineStr">
        <is>
          <t>avverkningsanmälan</t>
        </is>
      </c>
      <c r="C487" t="inlineStr">
        <is>
          <t>Föryngringsavverkning</t>
        </is>
      </c>
      <c r="D487" s="1" t="n">
        <v>45183</v>
      </c>
      <c r="E487" s="1" t="n">
        <v>46217</v>
      </c>
      <c r="F487" t="inlineStr">
        <is>
          <t>GOTLANDS LÄN</t>
        </is>
      </c>
      <c r="G487" t="inlineStr">
        <is>
          <t>GOTLAND</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3431-2025</t>
        </is>
      </c>
      <c r="B488" t="inlineStr">
        <is>
          <t>avverkningsanmälan</t>
        </is>
      </c>
      <c r="C488" t="inlineStr">
        <is>
          <t>Föryngringsavverkning</t>
        </is>
      </c>
      <c r="D488" s="1" t="n">
        <v>45680</v>
      </c>
      <c r="E488" s="1" t="n">
        <v>46217</v>
      </c>
      <c r="F488" t="inlineStr">
        <is>
          <t>GOTLANDS LÄN</t>
        </is>
      </c>
      <c r="G488" t="inlineStr">
        <is>
          <t>GOTLAND</t>
        </is>
      </c>
      <c r="I488" t="n">
        <v>4.8</v>
      </c>
      <c r="J488" t="n">
        <v>0</v>
      </c>
      <c r="K488" t="n">
        <v>0</v>
      </c>
      <c r="L488" t="n">
        <v>0</v>
      </c>
      <c r="M488" t="n">
        <v>0</v>
      </c>
      <c r="N488" t="n">
        <v>0</v>
      </c>
      <c r="O488" t="n">
        <v>0</v>
      </c>
      <c r="P488" t="n">
        <v>0</v>
      </c>
      <c r="Q488" t="n">
        <v>0</v>
      </c>
      <c r="R488" t="n">
        <v>0</v>
      </c>
      <c r="S488" t="n">
        <v>0</v>
      </c>
      <c r="T488" t="n">
        <v>0</v>
      </c>
      <c r="U488" s="2" t="inlineStr"/>
    </row>
    <row r="489" ht="15" customHeight="1">
      <c r="A489" t="inlineStr">
        <is>
          <t>A 37202-2024</t>
        </is>
      </c>
      <c r="B489" t="inlineStr">
        <is>
          <t>avverkningsanmälan</t>
        </is>
      </c>
      <c r="C489" t="inlineStr">
        <is>
          <t>Föryngringsavverkning</t>
        </is>
      </c>
      <c r="D489" s="1" t="n">
        <v>45539</v>
      </c>
      <c r="E489" s="1" t="n">
        <v>46217</v>
      </c>
      <c r="F489" t="inlineStr">
        <is>
          <t>GOTLANDS LÄN</t>
        </is>
      </c>
      <c r="G489" t="inlineStr">
        <is>
          <t>GOTLAND</t>
        </is>
      </c>
      <c r="I489" t="n">
        <v>0.3</v>
      </c>
      <c r="J489" t="n">
        <v>0</v>
      </c>
      <c r="K489" t="n">
        <v>0</v>
      </c>
      <c r="L489" t="n">
        <v>0</v>
      </c>
      <c r="M489" t="n">
        <v>0</v>
      </c>
      <c r="N489" t="n">
        <v>0</v>
      </c>
      <c r="O489" t="n">
        <v>0</v>
      </c>
      <c r="P489" t="n">
        <v>0</v>
      </c>
      <c r="Q489" t="n">
        <v>0</v>
      </c>
      <c r="R489" t="n">
        <v>0</v>
      </c>
      <c r="S489" t="n">
        <v>0</v>
      </c>
      <c r="T489" t="n">
        <v>0</v>
      </c>
      <c r="U489" s="2" t="inlineStr"/>
    </row>
    <row r="490" ht="15" customHeight="1">
      <c r="A490" t="inlineStr">
        <is>
          <t>A 46527-2023</t>
        </is>
      </c>
      <c r="B490" t="inlineStr">
        <is>
          <t>avverkningsanmälan</t>
        </is>
      </c>
      <c r="C490" t="inlineStr">
        <is>
          <t>Avverkning för annat ändamål</t>
        </is>
      </c>
      <c r="D490" s="1" t="n">
        <v>45197</v>
      </c>
      <c r="E490" s="1" t="n">
        <v>46217</v>
      </c>
      <c r="F490" t="inlineStr">
        <is>
          <t>GOTLANDS LÄN</t>
        </is>
      </c>
      <c r="G490" t="inlineStr">
        <is>
          <t>GOTLAND</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2774-2024</t>
        </is>
      </c>
      <c r="B491" t="inlineStr">
        <is>
          <t>avverkningsanmälan</t>
        </is>
      </c>
      <c r="C491" t="inlineStr">
        <is>
          <t>Föryngringsavverkning</t>
        </is>
      </c>
      <c r="D491" s="1" t="n">
        <v>45314</v>
      </c>
      <c r="E491" s="1" t="n">
        <v>46217</v>
      </c>
      <c r="F491" t="inlineStr">
        <is>
          <t>GOTLANDS LÄN</t>
        </is>
      </c>
      <c r="G491" t="inlineStr">
        <is>
          <t>GOTLAND</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60709-2023</t>
        </is>
      </c>
      <c r="B492" t="inlineStr">
        <is>
          <t>avverkningsanmälan</t>
        </is>
      </c>
      <c r="C492" t="inlineStr">
        <is>
          <t>Föryngringsavverkning</t>
        </is>
      </c>
      <c r="D492" s="1" t="n">
        <v>45260</v>
      </c>
      <c r="E492" s="1" t="n">
        <v>46217</v>
      </c>
      <c r="F492" t="inlineStr">
        <is>
          <t>GOTLANDS LÄN</t>
        </is>
      </c>
      <c r="G492" t="inlineStr">
        <is>
          <t>GOTLAND</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39764-2022</t>
        </is>
      </c>
      <c r="B493" t="inlineStr">
        <is>
          <t>avverkningsanmälan</t>
        </is>
      </c>
      <c r="C493" t="inlineStr">
        <is>
          <t>Föryngringsavverkning</t>
        </is>
      </c>
      <c r="D493" s="1" t="n">
        <v>44819</v>
      </c>
      <c r="E493" s="1" t="n">
        <v>46217</v>
      </c>
      <c r="F493" t="inlineStr">
        <is>
          <t>GOTLANDS LÄN</t>
        </is>
      </c>
      <c r="G493" t="inlineStr">
        <is>
          <t>GOTLAND</t>
        </is>
      </c>
      <c r="H493" t="inlineStr">
        <is>
          <t>Kyrkan</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30956-2024</t>
        </is>
      </c>
      <c r="B494" t="inlineStr">
        <is>
          <t>avverkningsanmälan</t>
        </is>
      </c>
      <c r="C494" t="inlineStr">
        <is>
          <t>Föryngringsavverkning</t>
        </is>
      </c>
      <c r="D494" s="1" t="n">
        <v>45499</v>
      </c>
      <c r="E494" s="1" t="n">
        <v>46217</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30892-2024</t>
        </is>
      </c>
      <c r="B495" t="inlineStr">
        <is>
          <t>avverkningsanmälan</t>
        </is>
      </c>
      <c r="C495" t="inlineStr">
        <is>
          <t>Föryngringsavverkning</t>
        </is>
      </c>
      <c r="D495" s="1" t="n">
        <v>45491</v>
      </c>
      <c r="E495" s="1" t="n">
        <v>46217</v>
      </c>
      <c r="F495" t="inlineStr">
        <is>
          <t>GOTLANDS LÄN</t>
        </is>
      </c>
      <c r="G495" t="inlineStr">
        <is>
          <t>GOTLAND</t>
        </is>
      </c>
      <c r="I495" t="n">
        <v>6.1</v>
      </c>
      <c r="J495" t="n">
        <v>0</v>
      </c>
      <c r="K495" t="n">
        <v>0</v>
      </c>
      <c r="L495" t="n">
        <v>0</v>
      </c>
      <c r="M495" t="n">
        <v>0</v>
      </c>
      <c r="N495" t="n">
        <v>0</v>
      </c>
      <c r="O495" t="n">
        <v>0</v>
      </c>
      <c r="P495" t="n">
        <v>0</v>
      </c>
      <c r="Q495" t="n">
        <v>0</v>
      </c>
      <c r="R495" t="n">
        <v>0</v>
      </c>
      <c r="S495" t="n">
        <v>0</v>
      </c>
      <c r="T495" t="n">
        <v>0</v>
      </c>
      <c r="U495" s="2" t="inlineStr"/>
    </row>
    <row r="496" ht="15" customHeight="1">
      <c r="A496" t="inlineStr">
        <is>
          <t>A 14635-2023</t>
        </is>
      </c>
      <c r="B496" t="inlineStr">
        <is>
          <t>avverkningsanmälan</t>
        </is>
      </c>
      <c r="C496" t="inlineStr">
        <is>
          <t>Föryngringsavverkning</t>
        </is>
      </c>
      <c r="D496" s="1" t="n">
        <v>45013</v>
      </c>
      <c r="E496" s="1" t="n">
        <v>46217</v>
      </c>
      <c r="F496" t="inlineStr">
        <is>
          <t>GOTLANDS LÄN</t>
        </is>
      </c>
      <c r="G496" t="inlineStr">
        <is>
          <t>GOTLAND</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59469-2024</t>
        </is>
      </c>
      <c r="B497" t="inlineStr">
        <is>
          <t>avverkningsanmälan</t>
        </is>
      </c>
      <c r="C497" t="inlineStr">
        <is>
          <t>Föryngringsavverkning</t>
        </is>
      </c>
      <c r="D497" s="1" t="n">
        <v>45638</v>
      </c>
      <c r="E497" s="1" t="n">
        <v>46217</v>
      </c>
      <c r="F497" t="inlineStr">
        <is>
          <t>GOTLANDS LÄN</t>
        </is>
      </c>
      <c r="G497" t="inlineStr">
        <is>
          <t>GOTLAND</t>
        </is>
      </c>
      <c r="I497" t="n">
        <v>0.4</v>
      </c>
      <c r="J497" t="n">
        <v>0</v>
      </c>
      <c r="K497" t="n">
        <v>0</v>
      </c>
      <c r="L497" t="n">
        <v>0</v>
      </c>
      <c r="M497" t="n">
        <v>0</v>
      </c>
      <c r="N497" t="n">
        <v>0</v>
      </c>
      <c r="O497" t="n">
        <v>0</v>
      </c>
      <c r="P497" t="n">
        <v>0</v>
      </c>
      <c r="Q497" t="n">
        <v>0</v>
      </c>
      <c r="R497" t="n">
        <v>0</v>
      </c>
      <c r="S497" t="n">
        <v>0</v>
      </c>
      <c r="T497" t="n">
        <v>0</v>
      </c>
      <c r="U497" s="2" t="inlineStr"/>
    </row>
    <row r="498" ht="15" customHeight="1">
      <c r="A498" t="inlineStr">
        <is>
          <t>A 7858-2025</t>
        </is>
      </c>
      <c r="B498" t="inlineStr">
        <is>
          <t>avverkningsanmälan</t>
        </is>
      </c>
      <c r="C498" t="inlineStr">
        <is>
          <t>Föryngringsavverkning</t>
        </is>
      </c>
      <c r="D498" s="1" t="n">
        <v>45706</v>
      </c>
      <c r="E498" s="1" t="n">
        <v>46217</v>
      </c>
      <c r="F498" t="inlineStr">
        <is>
          <t>GOTLANDS LÄN</t>
        </is>
      </c>
      <c r="G498" t="inlineStr">
        <is>
          <t>GOTLAND</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53935-2024</t>
        </is>
      </c>
      <c r="B499" t="inlineStr">
        <is>
          <t>avverkningsanmälan</t>
        </is>
      </c>
      <c r="C499" t="inlineStr">
        <is>
          <t>Föryngringsavverkning</t>
        </is>
      </c>
      <c r="D499" s="1" t="n">
        <v>45615</v>
      </c>
      <c r="E499" s="1" t="n">
        <v>46217</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18223-2025</t>
        </is>
      </c>
      <c r="B500" t="inlineStr">
        <is>
          <t>avverkningsanmälan</t>
        </is>
      </c>
      <c r="C500" t="inlineStr">
        <is>
          <t>Föryngringsavverkning</t>
        </is>
      </c>
      <c r="D500" s="1" t="n">
        <v>45761</v>
      </c>
      <c r="E500" s="1" t="n">
        <v>46217</v>
      </c>
      <c r="F500" t="inlineStr">
        <is>
          <t>GOTLANDS LÄN</t>
        </is>
      </c>
      <c r="G500" t="inlineStr">
        <is>
          <t>GOTLAND</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4420-2025</t>
        </is>
      </c>
      <c r="B501" t="inlineStr">
        <is>
          <t>avverkningsanmälan</t>
        </is>
      </c>
      <c r="C501" t="inlineStr">
        <is>
          <t>Föryngringsavverkning</t>
        </is>
      </c>
      <c r="D501" s="1" t="n">
        <v>45686</v>
      </c>
      <c r="E501" s="1" t="n">
        <v>46217</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5891-2025</t>
        </is>
      </c>
      <c r="B502" t="inlineStr">
        <is>
          <t>avverkningsanmälan</t>
        </is>
      </c>
      <c r="C502" t="inlineStr">
        <is>
          <t>Föryngringsavverkning</t>
        </is>
      </c>
      <c r="D502" s="1" t="n">
        <v>45695</v>
      </c>
      <c r="E502" s="1" t="n">
        <v>46217</v>
      </c>
      <c r="F502" t="inlineStr">
        <is>
          <t>GOTLANDS LÄN</t>
        </is>
      </c>
      <c r="G502" t="inlineStr">
        <is>
          <t>GOTLAND</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7835-2024</t>
        </is>
      </c>
      <c r="B503" t="inlineStr">
        <is>
          <t>avverkningsanmälan</t>
        </is>
      </c>
      <c r="C503" t="inlineStr">
        <is>
          <t>Föryngringsavverkning</t>
        </is>
      </c>
      <c r="D503" s="1" t="n">
        <v>45349</v>
      </c>
      <c r="E503" s="1" t="n">
        <v>46217</v>
      </c>
      <c r="F503" t="inlineStr">
        <is>
          <t>GOTLANDS LÄN</t>
        </is>
      </c>
      <c r="G503" t="inlineStr">
        <is>
          <t>GOTLAND</t>
        </is>
      </c>
      <c r="I503" t="n">
        <v>3.8</v>
      </c>
      <c r="J503" t="n">
        <v>0</v>
      </c>
      <c r="K503" t="n">
        <v>0</v>
      </c>
      <c r="L503" t="n">
        <v>0</v>
      </c>
      <c r="M503" t="n">
        <v>0</v>
      </c>
      <c r="N503" t="n">
        <v>0</v>
      </c>
      <c r="O503" t="n">
        <v>0</v>
      </c>
      <c r="P503" t="n">
        <v>0</v>
      </c>
      <c r="Q503" t="n">
        <v>0</v>
      </c>
      <c r="R503" t="n">
        <v>0</v>
      </c>
      <c r="S503" t="n">
        <v>0</v>
      </c>
      <c r="T503" t="n">
        <v>0</v>
      </c>
      <c r="U503" s="2" t="inlineStr"/>
    </row>
    <row r="504" ht="15" customHeight="1">
      <c r="A504" t="inlineStr">
        <is>
          <t>A 21389-2025</t>
        </is>
      </c>
      <c r="B504" t="inlineStr">
        <is>
          <t>avverkningsanmälan</t>
        </is>
      </c>
      <c r="C504" t="inlineStr">
        <is>
          <t>Föryngringsavverkning</t>
        </is>
      </c>
      <c r="D504" s="1" t="n">
        <v>45782</v>
      </c>
      <c r="E504" s="1" t="n">
        <v>46217</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s="2" t="inlineStr"/>
    </row>
    <row r="505" ht="15" customHeight="1">
      <c r="A505" t="inlineStr">
        <is>
          <t>A 57356-2023</t>
        </is>
      </c>
      <c r="B505" t="inlineStr">
        <is>
          <t>avverkningsanmälan</t>
        </is>
      </c>
      <c r="C505" t="inlineStr">
        <is>
          <t>Föryngringsavverkning</t>
        </is>
      </c>
      <c r="D505" s="1" t="n">
        <v>45240</v>
      </c>
      <c r="E505" s="1" t="n">
        <v>46217</v>
      </c>
      <c r="F505" t="inlineStr">
        <is>
          <t>GOTLANDS LÄN</t>
        </is>
      </c>
      <c r="G505" t="inlineStr">
        <is>
          <t>GOTLAND</t>
        </is>
      </c>
      <c r="I505" t="n">
        <v>6.4</v>
      </c>
      <c r="J505" t="n">
        <v>0</v>
      </c>
      <c r="K505" t="n">
        <v>0</v>
      </c>
      <c r="L505" t="n">
        <v>0</v>
      </c>
      <c r="M505" t="n">
        <v>0</v>
      </c>
      <c r="N505" t="n">
        <v>0</v>
      </c>
      <c r="O505" t="n">
        <v>0</v>
      </c>
      <c r="P505" t="n">
        <v>0</v>
      </c>
      <c r="Q505" t="n">
        <v>0</v>
      </c>
      <c r="R505" t="n">
        <v>0</v>
      </c>
      <c r="S505" t="n">
        <v>0</v>
      </c>
      <c r="T505" t="n">
        <v>0</v>
      </c>
      <c r="U505" s="2" t="inlineStr"/>
    </row>
    <row r="506" ht="15" customHeight="1">
      <c r="A506" t="inlineStr">
        <is>
          <t>A 10656-2024</t>
        </is>
      </c>
      <c r="B506" t="inlineStr">
        <is>
          <t>avverkningsanmälan</t>
        </is>
      </c>
      <c r="C506" t="inlineStr">
        <is>
          <t>Föryngringsavverkning</t>
        </is>
      </c>
      <c r="D506" s="1" t="n">
        <v>45368</v>
      </c>
      <c r="E506" s="1" t="n">
        <v>46217</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28506-2023</t>
        </is>
      </c>
      <c r="B507" t="inlineStr">
        <is>
          <t>avverkningsanmälan</t>
        </is>
      </c>
      <c r="C507" t="inlineStr">
        <is>
          <t>Avverkning för annat ändamål</t>
        </is>
      </c>
      <c r="D507" s="1" t="n">
        <v>45103</v>
      </c>
      <c r="E507" s="1" t="n">
        <v>46217</v>
      </c>
      <c r="F507" t="inlineStr">
        <is>
          <t>GOTLANDS LÄN</t>
        </is>
      </c>
      <c r="G507" t="inlineStr">
        <is>
          <t>GOTLAND</t>
        </is>
      </c>
      <c r="I507" t="n">
        <v>3.2</v>
      </c>
      <c r="J507" t="n">
        <v>0</v>
      </c>
      <c r="K507" t="n">
        <v>0</v>
      </c>
      <c r="L507" t="n">
        <v>0</v>
      </c>
      <c r="M507" t="n">
        <v>0</v>
      </c>
      <c r="N507" t="n">
        <v>0</v>
      </c>
      <c r="O507" t="n">
        <v>0</v>
      </c>
      <c r="P507" t="n">
        <v>0</v>
      </c>
      <c r="Q507" t="n">
        <v>0</v>
      </c>
      <c r="R507" t="n">
        <v>0</v>
      </c>
      <c r="S507" t="n">
        <v>0</v>
      </c>
      <c r="T507" t="n">
        <v>0</v>
      </c>
      <c r="U507" s="2" t="inlineStr"/>
    </row>
    <row r="508" ht="15" customHeight="1">
      <c r="A508" t="inlineStr">
        <is>
          <t>A 21420-2024</t>
        </is>
      </c>
      <c r="B508" t="inlineStr">
        <is>
          <t>avverkningsanmälan</t>
        </is>
      </c>
      <c r="C508" t="inlineStr">
        <is>
          <t>Föryngringsavverkning</t>
        </is>
      </c>
      <c r="D508" s="1" t="n">
        <v>45441</v>
      </c>
      <c r="E508" s="1" t="n">
        <v>46217</v>
      </c>
      <c r="F508" t="inlineStr">
        <is>
          <t>GOTLANDS LÄN</t>
        </is>
      </c>
      <c r="G508" t="inlineStr">
        <is>
          <t>GOTLAND</t>
        </is>
      </c>
      <c r="I508" t="n">
        <v>4.1</v>
      </c>
      <c r="J508" t="n">
        <v>0</v>
      </c>
      <c r="K508" t="n">
        <v>0</v>
      </c>
      <c r="L508" t="n">
        <v>0</v>
      </c>
      <c r="M508" t="n">
        <v>0</v>
      </c>
      <c r="N508" t="n">
        <v>0</v>
      </c>
      <c r="O508" t="n">
        <v>0</v>
      </c>
      <c r="P508" t="n">
        <v>0</v>
      </c>
      <c r="Q508" t="n">
        <v>0</v>
      </c>
      <c r="R508" t="n">
        <v>0</v>
      </c>
      <c r="S508" t="n">
        <v>0</v>
      </c>
      <c r="T508" t="n">
        <v>0</v>
      </c>
      <c r="U508" s="2" t="inlineStr"/>
    </row>
    <row r="509" ht="15" customHeight="1">
      <c r="A509" t="inlineStr">
        <is>
          <t>A 23188-2025</t>
        </is>
      </c>
      <c r="B509" t="inlineStr">
        <is>
          <t>avverkningsanmälan</t>
        </is>
      </c>
      <c r="C509" t="inlineStr">
        <is>
          <t>Avverkning för annat ändamål</t>
        </is>
      </c>
      <c r="D509" s="1" t="n">
        <v>45791</v>
      </c>
      <c r="E509" s="1" t="n">
        <v>46217</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s="2" t="inlineStr"/>
    </row>
    <row r="510" ht="15" customHeight="1">
      <c r="A510" t="inlineStr">
        <is>
          <t>A 15073-2025</t>
        </is>
      </c>
      <c r="B510" t="inlineStr">
        <is>
          <t>avverkningsanmälan</t>
        </is>
      </c>
      <c r="C510" t="inlineStr">
        <is>
          <t>Avverkning för annat ändamål</t>
        </is>
      </c>
      <c r="D510" s="1" t="n">
        <v>45743</v>
      </c>
      <c r="E510" s="1" t="n">
        <v>46217</v>
      </c>
      <c r="F510" t="inlineStr">
        <is>
          <t>GOTLANDS LÄN</t>
        </is>
      </c>
      <c r="G510" t="inlineStr">
        <is>
          <t>GOTLAND</t>
        </is>
      </c>
      <c r="I510" t="n">
        <v>12.1</v>
      </c>
      <c r="J510" t="n">
        <v>0</v>
      </c>
      <c r="K510" t="n">
        <v>0</v>
      </c>
      <c r="L510" t="n">
        <v>0</v>
      </c>
      <c r="M510" t="n">
        <v>0</v>
      </c>
      <c r="N510" t="n">
        <v>0</v>
      </c>
      <c r="O510" t="n">
        <v>0</v>
      </c>
      <c r="P510" t="n">
        <v>0</v>
      </c>
      <c r="Q510" t="n">
        <v>0</v>
      </c>
      <c r="R510" t="n">
        <v>0</v>
      </c>
      <c r="S510" t="n">
        <v>0</v>
      </c>
      <c r="T510" t="n">
        <v>0</v>
      </c>
      <c r="U510" s="2" t="inlineStr"/>
    </row>
    <row r="511" ht="15" customHeight="1">
      <c r="A511" t="inlineStr">
        <is>
          <t>A 6749-2025</t>
        </is>
      </c>
      <c r="B511" t="inlineStr">
        <is>
          <t>avverkningsanmälan</t>
        </is>
      </c>
      <c r="C511" t="inlineStr">
        <is>
          <t>Föryngringsavverkning</t>
        </is>
      </c>
      <c r="D511" s="1" t="n">
        <v>45700</v>
      </c>
      <c r="E511" s="1" t="n">
        <v>46217</v>
      </c>
      <c r="F511" t="inlineStr">
        <is>
          <t>GOTLANDS LÄN</t>
        </is>
      </c>
      <c r="G511" t="inlineStr">
        <is>
          <t>GOTLAND</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23698-2025</t>
        </is>
      </c>
      <c r="B512" t="inlineStr">
        <is>
          <t>avverkningsanmälan</t>
        </is>
      </c>
      <c r="C512" t="inlineStr">
        <is>
          <t>Föryngringsavverkning</t>
        </is>
      </c>
      <c r="D512" s="1" t="n">
        <v>45793</v>
      </c>
      <c r="E512" s="1" t="n">
        <v>46217</v>
      </c>
      <c r="F512" t="inlineStr">
        <is>
          <t>GOTLANDS LÄN</t>
        </is>
      </c>
      <c r="G512" t="inlineStr">
        <is>
          <t>GOTLAND</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5462-2025</t>
        </is>
      </c>
      <c r="B513" t="inlineStr">
        <is>
          <t>avverkningsanmälan</t>
        </is>
      </c>
      <c r="C513" t="inlineStr">
        <is>
          <t>Föryngringsavverkning</t>
        </is>
      </c>
      <c r="D513" s="1" t="n">
        <v>45693</v>
      </c>
      <c r="E513" s="1" t="n">
        <v>46217</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s="2" t="inlineStr"/>
    </row>
    <row r="514" ht="15" customHeight="1">
      <c r="A514" t="inlineStr">
        <is>
          <t>A 7850-2025</t>
        </is>
      </c>
      <c r="B514" t="inlineStr">
        <is>
          <t>avverkningsanmälan</t>
        </is>
      </c>
      <c r="C514" t="inlineStr">
        <is>
          <t>Föryngringsavverkning</t>
        </is>
      </c>
      <c r="D514" s="1" t="n">
        <v>45706</v>
      </c>
      <c r="E514" s="1" t="n">
        <v>46217</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8444-2025</t>
        </is>
      </c>
      <c r="B515" t="inlineStr">
        <is>
          <t>avverkningsanmälan</t>
        </is>
      </c>
      <c r="C515" t="inlineStr">
        <is>
          <t>Föryngringsavverkning</t>
        </is>
      </c>
      <c r="D515" s="1" t="n">
        <v>45709</v>
      </c>
      <c r="E515" s="1" t="n">
        <v>46217</v>
      </c>
      <c r="F515" t="inlineStr">
        <is>
          <t>GOTLANDS LÄN</t>
        </is>
      </c>
      <c r="G515" t="inlineStr">
        <is>
          <t>GOTLAND</t>
        </is>
      </c>
      <c r="I515" t="n">
        <v>5.2</v>
      </c>
      <c r="J515" t="n">
        <v>0</v>
      </c>
      <c r="K515" t="n">
        <v>0</v>
      </c>
      <c r="L515" t="n">
        <v>0</v>
      </c>
      <c r="M515" t="n">
        <v>0</v>
      </c>
      <c r="N515" t="n">
        <v>0</v>
      </c>
      <c r="O515" t="n">
        <v>0</v>
      </c>
      <c r="P515" t="n">
        <v>0</v>
      </c>
      <c r="Q515" t="n">
        <v>0</v>
      </c>
      <c r="R515" t="n">
        <v>0</v>
      </c>
      <c r="S515" t="n">
        <v>0</v>
      </c>
      <c r="T515" t="n">
        <v>0</v>
      </c>
      <c r="U515" s="2" t="inlineStr"/>
    </row>
    <row r="516" ht="15" customHeight="1">
      <c r="A516" t="inlineStr">
        <is>
          <t>A 29196-2025</t>
        </is>
      </c>
      <c r="B516" t="inlineStr">
        <is>
          <t>avverkningsanmälan</t>
        </is>
      </c>
      <c r="C516" t="inlineStr">
        <is>
          <t>Föryngringsavverkning</t>
        </is>
      </c>
      <c r="D516" s="1" t="n">
        <v>45822</v>
      </c>
      <c r="E516" s="1" t="n">
        <v>46217</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30061-2025</t>
        </is>
      </c>
      <c r="B517" t="inlineStr">
        <is>
          <t>avverkningsanmälan</t>
        </is>
      </c>
      <c r="C517" t="inlineStr">
        <is>
          <t>Föryngringsavverkning</t>
        </is>
      </c>
      <c r="D517" s="1" t="n">
        <v>45826</v>
      </c>
      <c r="E517" s="1" t="n">
        <v>46217</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s="2" t="inlineStr"/>
    </row>
    <row r="518" ht="15" customHeight="1">
      <c r="A518" t="inlineStr">
        <is>
          <t>A 58160-2024</t>
        </is>
      </c>
      <c r="B518" t="inlineStr">
        <is>
          <t>avverkningsanmälan</t>
        </is>
      </c>
      <c r="C518" t="inlineStr">
        <is>
          <t>Föryngringsavverkning</t>
        </is>
      </c>
      <c r="D518" s="1" t="n">
        <v>45632</v>
      </c>
      <c r="E518" s="1" t="n">
        <v>46217</v>
      </c>
      <c r="F518" t="inlineStr">
        <is>
          <t>GOTLANDS LÄN</t>
        </is>
      </c>
      <c r="G518" t="inlineStr">
        <is>
          <t>GOTLAND</t>
        </is>
      </c>
      <c r="I518" t="n">
        <v>5.6</v>
      </c>
      <c r="J518" t="n">
        <v>0</v>
      </c>
      <c r="K518" t="n">
        <v>0</v>
      </c>
      <c r="L518" t="n">
        <v>0</v>
      </c>
      <c r="M518" t="n">
        <v>0</v>
      </c>
      <c r="N518" t="n">
        <v>0</v>
      </c>
      <c r="O518" t="n">
        <v>0</v>
      </c>
      <c r="P518" t="n">
        <v>0</v>
      </c>
      <c r="Q518" t="n">
        <v>0</v>
      </c>
      <c r="R518" t="n">
        <v>0</v>
      </c>
      <c r="S518" t="n">
        <v>0</v>
      </c>
      <c r="T518" t="n">
        <v>0</v>
      </c>
      <c r="U518" s="2" t="inlineStr"/>
    </row>
    <row r="519" ht="15" customHeight="1">
      <c r="A519" t="inlineStr">
        <is>
          <t>A 16109-2025</t>
        </is>
      </c>
      <c r="B519" t="inlineStr">
        <is>
          <t>avverkningsanmälan</t>
        </is>
      </c>
      <c r="C519" t="inlineStr">
        <is>
          <t>Avverkning för annat ändamål</t>
        </is>
      </c>
      <c r="D519" s="1" t="n">
        <v>45750</v>
      </c>
      <c r="E519" s="1" t="n">
        <v>46217</v>
      </c>
      <c r="F519" t="inlineStr">
        <is>
          <t>GOTLANDS LÄN</t>
        </is>
      </c>
      <c r="G519" t="inlineStr">
        <is>
          <t>GOTLAND</t>
        </is>
      </c>
      <c r="I519" t="n">
        <v>4.9</v>
      </c>
      <c r="J519" t="n">
        <v>0</v>
      </c>
      <c r="K519" t="n">
        <v>0</v>
      </c>
      <c r="L519" t="n">
        <v>0</v>
      </c>
      <c r="M519" t="n">
        <v>0</v>
      </c>
      <c r="N519" t="n">
        <v>0</v>
      </c>
      <c r="O519" t="n">
        <v>0</v>
      </c>
      <c r="P519" t="n">
        <v>0</v>
      </c>
      <c r="Q519" t="n">
        <v>0</v>
      </c>
      <c r="R519" t="n">
        <v>0</v>
      </c>
      <c r="S519" t="n">
        <v>0</v>
      </c>
      <c r="T519" t="n">
        <v>0</v>
      </c>
      <c r="U519" s="2" t="inlineStr"/>
    </row>
    <row r="520" ht="15" customHeight="1">
      <c r="A520" t="inlineStr">
        <is>
          <t>A 35123-2025</t>
        </is>
      </c>
      <c r="B520" t="inlineStr">
        <is>
          <t>avverkningsanmälan</t>
        </is>
      </c>
      <c r="C520" t="inlineStr">
        <is>
          <t>Föryngringsavverkning</t>
        </is>
      </c>
      <c r="D520" s="1" t="n">
        <v>45852</v>
      </c>
      <c r="E520" s="1" t="n">
        <v>46217</v>
      </c>
      <c r="F520" t="inlineStr">
        <is>
          <t>GOTLANDS LÄN</t>
        </is>
      </c>
      <c r="G520" t="inlineStr">
        <is>
          <t>GOTLAND</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32669-2024</t>
        </is>
      </c>
      <c r="B521" t="inlineStr">
        <is>
          <t>avverkningsanmälan</t>
        </is>
      </c>
      <c r="C521" t="inlineStr">
        <is>
          <t>Föryngringsavverkning</t>
        </is>
      </c>
      <c r="D521" s="1" t="n">
        <v>45514</v>
      </c>
      <c r="E521" s="1" t="n">
        <v>46217</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s="2" t="inlineStr"/>
    </row>
    <row r="522" ht="15" customHeight="1">
      <c r="A522" t="inlineStr">
        <is>
          <t>A 15216-2025</t>
        </is>
      </c>
      <c r="B522" t="inlineStr">
        <is>
          <t>avverkningsanmälan</t>
        </is>
      </c>
      <c r="C522" t="inlineStr">
        <is>
          <t>Föryngringsavverkning</t>
        </is>
      </c>
      <c r="D522" s="1" t="n">
        <v>45744</v>
      </c>
      <c r="E522" s="1" t="n">
        <v>46217</v>
      </c>
      <c r="F522" t="inlineStr">
        <is>
          <t>GOTLANDS LÄN</t>
        </is>
      </c>
      <c r="G522" t="inlineStr">
        <is>
          <t>GOTLAND</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43790-2024</t>
        </is>
      </c>
      <c r="B523" t="inlineStr">
        <is>
          <t>avverkningsanmälan</t>
        </is>
      </c>
      <c r="C523" t="inlineStr">
        <is>
          <t>Föryngringsavverkning</t>
        </is>
      </c>
      <c r="D523" s="1" t="n">
        <v>45571</v>
      </c>
      <c r="E523" s="1" t="n">
        <v>46217</v>
      </c>
      <c r="F523" t="inlineStr">
        <is>
          <t>GOTLANDS LÄN</t>
        </is>
      </c>
      <c r="G523" t="inlineStr">
        <is>
          <t>GOTLAND</t>
        </is>
      </c>
      <c r="I523" t="n">
        <v>3.5</v>
      </c>
      <c r="J523" t="n">
        <v>0</v>
      </c>
      <c r="K523" t="n">
        <v>0</v>
      </c>
      <c r="L523" t="n">
        <v>0</v>
      </c>
      <c r="M523" t="n">
        <v>0</v>
      </c>
      <c r="N523" t="n">
        <v>0</v>
      </c>
      <c r="O523" t="n">
        <v>0</v>
      </c>
      <c r="P523" t="n">
        <v>0</v>
      </c>
      <c r="Q523" t="n">
        <v>0</v>
      </c>
      <c r="R523" t="n">
        <v>0</v>
      </c>
      <c r="S523" t="n">
        <v>0</v>
      </c>
      <c r="T523" t="n">
        <v>0</v>
      </c>
      <c r="U523" s="2" t="inlineStr"/>
    </row>
    <row r="524" ht="15" customHeight="1">
      <c r="A524" t="inlineStr">
        <is>
          <t>A 15001-2025</t>
        </is>
      </c>
      <c r="B524" t="inlineStr">
        <is>
          <t>avverkningsanmälan</t>
        </is>
      </c>
      <c r="C524" t="inlineStr">
        <is>
          <t>Föryngringsavverkning</t>
        </is>
      </c>
      <c r="D524" s="1" t="n">
        <v>45743</v>
      </c>
      <c r="E524" s="1" t="n">
        <v>46217</v>
      </c>
      <c r="F524" t="inlineStr">
        <is>
          <t>GOTLANDS LÄN</t>
        </is>
      </c>
      <c r="G524" t="inlineStr">
        <is>
          <t>GOTLAND</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30488-2025</t>
        </is>
      </c>
      <c r="B525" t="inlineStr">
        <is>
          <t>avverkningsanmälan</t>
        </is>
      </c>
      <c r="C525" t="inlineStr">
        <is>
          <t>Föryngringsavverkning</t>
        </is>
      </c>
      <c r="D525" s="1" t="n">
        <v>45830</v>
      </c>
      <c r="E525" s="1" t="n">
        <v>46217</v>
      </c>
      <c r="F525" t="inlineStr">
        <is>
          <t>GOTLANDS LÄN</t>
        </is>
      </c>
      <c r="G525" t="inlineStr">
        <is>
          <t>GOTLAND</t>
        </is>
      </c>
      <c r="H525" t="inlineStr">
        <is>
          <t>Kyrkan</t>
        </is>
      </c>
      <c r="I525" t="n">
        <v>3.9</v>
      </c>
      <c r="J525" t="n">
        <v>0</v>
      </c>
      <c r="K525" t="n">
        <v>0</v>
      </c>
      <c r="L525" t="n">
        <v>0</v>
      </c>
      <c r="M525" t="n">
        <v>0</v>
      </c>
      <c r="N525" t="n">
        <v>0</v>
      </c>
      <c r="O525" t="n">
        <v>0</v>
      </c>
      <c r="P525" t="n">
        <v>0</v>
      </c>
      <c r="Q525" t="n">
        <v>0</v>
      </c>
      <c r="R525" t="n">
        <v>0</v>
      </c>
      <c r="S525" t="n">
        <v>0</v>
      </c>
      <c r="T525" t="n">
        <v>0</v>
      </c>
      <c r="U525" s="2" t="inlineStr"/>
    </row>
    <row r="526" ht="15" customHeight="1">
      <c r="A526" t="inlineStr">
        <is>
          <t>A 17847-2025</t>
        </is>
      </c>
      <c r="B526" t="inlineStr">
        <is>
          <t>avverkningsanmälan</t>
        </is>
      </c>
      <c r="C526" t="inlineStr">
        <is>
          <t>Föryngringsavverkning</t>
        </is>
      </c>
      <c r="D526" s="1" t="n">
        <v>45758</v>
      </c>
      <c r="E526" s="1" t="n">
        <v>46217</v>
      </c>
      <c r="F526" t="inlineStr">
        <is>
          <t>GOTLANDS LÄN</t>
        </is>
      </c>
      <c r="G526" t="inlineStr">
        <is>
          <t>GOTLAND</t>
        </is>
      </c>
      <c r="I526" t="n">
        <v>1.9</v>
      </c>
      <c r="J526" t="n">
        <v>0</v>
      </c>
      <c r="K526" t="n">
        <v>0</v>
      </c>
      <c r="L526" t="n">
        <v>0</v>
      </c>
      <c r="M526" t="n">
        <v>0</v>
      </c>
      <c r="N526" t="n">
        <v>0</v>
      </c>
      <c r="O526" t="n">
        <v>0</v>
      </c>
      <c r="P526" t="n">
        <v>0</v>
      </c>
      <c r="Q526" t="n">
        <v>0</v>
      </c>
      <c r="R526" t="n">
        <v>0</v>
      </c>
      <c r="S526" t="n">
        <v>0</v>
      </c>
      <c r="T526" t="n">
        <v>0</v>
      </c>
      <c r="U526" s="2" t="inlineStr"/>
    </row>
    <row r="527" ht="15" customHeight="1">
      <c r="A527" t="inlineStr">
        <is>
          <t>A 18742-2025</t>
        </is>
      </c>
      <c r="B527" t="inlineStr">
        <is>
          <t>avverkningsanmälan</t>
        </is>
      </c>
      <c r="C527" t="inlineStr">
        <is>
          <t>Avverkning för annat ändamål</t>
        </is>
      </c>
      <c r="D527" s="1" t="n">
        <v>45763</v>
      </c>
      <c r="E527" s="1" t="n">
        <v>46217</v>
      </c>
      <c r="F527" t="inlineStr">
        <is>
          <t>GOTLANDS LÄN</t>
        </is>
      </c>
      <c r="G527" t="inlineStr">
        <is>
          <t>GOTLAND</t>
        </is>
      </c>
      <c r="I527" t="n">
        <v>3.4</v>
      </c>
      <c r="J527" t="n">
        <v>0</v>
      </c>
      <c r="K527" t="n">
        <v>0</v>
      </c>
      <c r="L527" t="n">
        <v>0</v>
      </c>
      <c r="M527" t="n">
        <v>0</v>
      </c>
      <c r="N527" t="n">
        <v>0</v>
      </c>
      <c r="O527" t="n">
        <v>0</v>
      </c>
      <c r="P527" t="n">
        <v>0</v>
      </c>
      <c r="Q527" t="n">
        <v>0</v>
      </c>
      <c r="R527" t="n">
        <v>0</v>
      </c>
      <c r="S527" t="n">
        <v>0</v>
      </c>
      <c r="T527" t="n">
        <v>0</v>
      </c>
      <c r="U527" s="2" t="inlineStr"/>
    </row>
    <row r="528" ht="15" customHeight="1">
      <c r="A528" t="inlineStr">
        <is>
          <t>A 35129-2025</t>
        </is>
      </c>
      <c r="B528" t="inlineStr">
        <is>
          <t>avverkningsanmälan</t>
        </is>
      </c>
      <c r="C528" t="inlineStr">
        <is>
          <t>Föryngringsavverkning</t>
        </is>
      </c>
      <c r="D528" s="1" t="n">
        <v>45852</v>
      </c>
      <c r="E528" s="1" t="n">
        <v>46217</v>
      </c>
      <c r="F528" t="inlineStr">
        <is>
          <t>GOTLANDS LÄN</t>
        </is>
      </c>
      <c r="G528" t="inlineStr">
        <is>
          <t>GOTLAND</t>
        </is>
      </c>
      <c r="I528" t="n">
        <v>3.2</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46217</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46217</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46217</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46217</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46217</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46217</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46217</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46217</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46217</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46217</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46217</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46217</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2026-07-14T09:00:18Z</dcterms:created>
  <dcterms:modified xmlns:dcterms="http://purl.org/dc/terms/" xmlns:xsi="http://www.w3.org/2001/XMLSchema-instance" xsi:type="dcterms:W3CDTF">2026-07-14T09:00:19Z</dcterms:modified>
</cp:coreProperties>
</file>