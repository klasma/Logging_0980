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46129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46129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46129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46129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46129</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46129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46129</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46129</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46129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46129</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46129</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46129</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46129</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46129</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46129</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46129</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46129</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46129</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62551-2022</t>
        </is>
      </c>
      <c r="B20" s="1" t="n">
        <v>44924</v>
      </c>
      <c r="C20" s="1" t="n">
        <v>46129</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46129</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46129</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46129</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46129</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46129</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46129</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46129</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46129</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46129</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46129</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46129</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46129</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44204-2022</t>
        </is>
      </c>
      <c r="B33" s="1" t="n">
        <v>44839</v>
      </c>
      <c r="C33" s="1" t="n">
        <v>46129</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46129</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46129</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46129</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46129</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46129</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46129</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46129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46129</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11176-2024</t>
        </is>
      </c>
      <c r="B42" s="1" t="n">
        <v>45371</v>
      </c>
      <c r="C42" s="1" t="n">
        <v>46129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6052-2024</t>
        </is>
      </c>
      <c r="B43" s="1" t="n">
        <v>45336</v>
      </c>
      <c r="C43" s="1" t="n">
        <v>46129</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52223-2025</t>
        </is>
      </c>
      <c r="B44" s="1" t="n">
        <v>45953.44509259259</v>
      </c>
      <c r="C44" s="1" t="n">
        <v>46129</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46129</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46129</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46129</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46129</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46129</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45248-2024</t>
        </is>
      </c>
      <c r="B50" s="1" t="n">
        <v>45576</v>
      </c>
      <c r="C50" s="1" t="n">
        <v>46129</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27280-2023</t>
        </is>
      </c>
      <c r="B51" s="1" t="n">
        <v>45096</v>
      </c>
      <c r="C51" s="1" t="n">
        <v>46129</v>
      </c>
      <c r="D51" t="inlineStr">
        <is>
          <t>GOTLANDS LÄN</t>
        </is>
      </c>
      <c r="E51" t="inlineStr">
        <is>
          <t>GOTLAND</t>
        </is>
      </c>
      <c r="G51" t="n">
        <v>2.7</v>
      </c>
      <c r="H51" t="n">
        <v>10</v>
      </c>
      <c r="I51" t="n">
        <v>2</v>
      </c>
      <c r="J51" t="n">
        <v>3</v>
      </c>
      <c r="K51" t="n">
        <v>1</v>
      </c>
      <c r="L51" t="n">
        <v>0</v>
      </c>
      <c r="M51" t="n">
        <v>0</v>
      </c>
      <c r="N51" t="n">
        <v>0</v>
      </c>
      <c r="O51" t="n">
        <v>4</v>
      </c>
      <c r="P51" t="n">
        <v>1</v>
      </c>
      <c r="Q51" t="n">
        <v>10</v>
      </c>
      <c r="R51" s="2" t="inlineStr">
        <is>
          <t>Stare
Björktrast
Mindre hackspett
Spillkråka
Skogsknipprot
Tvåblad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33153-2024</t>
        </is>
      </c>
      <c r="B52" s="1" t="n">
        <v>45518</v>
      </c>
      <c r="C52" s="1" t="n">
        <v>46129</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46129</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46129</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46129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46129</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27168-2022</t>
        </is>
      </c>
      <c r="B57" s="1" t="n">
        <v>44741</v>
      </c>
      <c r="C57" s="1" t="n">
        <v>46129</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7039-2023</t>
        </is>
      </c>
      <c r="B58" s="1" t="n">
        <v>44968</v>
      </c>
      <c r="C58" s="1" t="n">
        <v>46129</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46129</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46129</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46129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46129</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46129</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46129</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46129</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46129</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46129</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46129</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46129</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46129</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53584-2025</t>
        </is>
      </c>
      <c r="B71" s="1" t="n">
        <v>45960.43130787037</v>
      </c>
      <c r="C71" s="1" t="n">
        <v>46129</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7038-2023</t>
        </is>
      </c>
      <c r="B72" s="1" t="n">
        <v>44968</v>
      </c>
      <c r="C72" s="1" t="n">
        <v>46129</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446-2023</t>
        </is>
      </c>
      <c r="B73" s="1" t="n">
        <v>44929</v>
      </c>
      <c r="C73" s="1" t="n">
        <v>46129</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54527-2023</t>
        </is>
      </c>
      <c r="B74" s="1" t="n">
        <v>45233</v>
      </c>
      <c r="C74" s="1" t="n">
        <v>46129</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46129</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54527-2023</t>
        </is>
      </c>
      <c r="B76" s="1" t="n">
        <v>45233</v>
      </c>
      <c r="C76" s="1" t="n">
        <v>46129</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66091-2021</t>
        </is>
      </c>
      <c r="B77" s="1" t="n">
        <v>44517</v>
      </c>
      <c r="C77" s="1" t="n">
        <v>46129</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16375-2025</t>
        </is>
      </c>
      <c r="B78" s="1" t="n">
        <v>45751.41064814815</v>
      </c>
      <c r="C78" s="1" t="n">
        <v>46129</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46129</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32326-2024</t>
        </is>
      </c>
      <c r="B80" s="1" t="n">
        <v>45512</v>
      </c>
      <c r="C80" s="1" t="n">
        <v>46129</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52245-2025</t>
        </is>
      </c>
      <c r="B81" s="1" t="n">
        <v>45953.47115740741</v>
      </c>
      <c r="C81" s="1" t="n">
        <v>46129</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6839-2026</t>
        </is>
      </c>
      <c r="B82" s="1" t="n">
        <v>46057.41193287037</v>
      </c>
      <c r="C82" s="1" t="n">
        <v>46129</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39425-2023</t>
        </is>
      </c>
      <c r="B83" s="1" t="n">
        <v>45166</v>
      </c>
      <c r="C83" s="1" t="n">
        <v>46129</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46129</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10274-2026</t>
        </is>
      </c>
      <c r="B85" s="1" t="n">
        <v>46076.58261574074</v>
      </c>
      <c r="C85" s="1" t="n">
        <v>46129</v>
      </c>
      <c r="D85" t="inlineStr">
        <is>
          <t>GOTLANDS LÄN</t>
        </is>
      </c>
      <c r="E85" t="inlineStr">
        <is>
          <t>GOTLAND</t>
        </is>
      </c>
      <c r="G85" t="n">
        <v>9.800000000000001</v>
      </c>
      <c r="H85" t="n">
        <v>2</v>
      </c>
      <c r="I85" t="n">
        <v>2</v>
      </c>
      <c r="J85" t="n">
        <v>1</v>
      </c>
      <c r="K85" t="n">
        <v>1</v>
      </c>
      <c r="L85" t="n">
        <v>0</v>
      </c>
      <c r="M85" t="n">
        <v>0</v>
      </c>
      <c r="N85" t="n">
        <v>0</v>
      </c>
      <c r="O85" t="n">
        <v>2</v>
      </c>
      <c r="P85" t="n">
        <v>1</v>
      </c>
      <c r="Q85" t="n">
        <v>5</v>
      </c>
      <c r="R85" s="2" t="inlineStr">
        <is>
          <t>Gråfingerört
Spillkråka
Axag
Grönpyrola
Alvarstånds</t>
        </is>
      </c>
      <c r="S85">
        <f>HYPERLINK("https://klasma.github.io/Logging_0980/artfynd/A 10274-2026 artfynd.xlsx", "A 10274-2026")</f>
        <v/>
      </c>
      <c r="T85">
        <f>HYPERLINK("https://klasma.github.io/Logging_0980/kartor/A 10274-2026 karta.png", "A 10274-2026")</f>
        <v/>
      </c>
      <c r="V85">
        <f>HYPERLINK("https://klasma.github.io/Logging_0980/klagomål/A 10274-2026 FSC-klagomål.docx", "A 10274-2026")</f>
        <v/>
      </c>
      <c r="W85">
        <f>HYPERLINK("https://klasma.github.io/Logging_0980/klagomålsmail/A 10274-2026 FSC-klagomål mail.docx", "A 10274-2026")</f>
        <v/>
      </c>
      <c r="X85">
        <f>HYPERLINK("https://klasma.github.io/Logging_0980/tillsyn/A 10274-2026 tillsynsbegäran.docx", "A 10274-2026")</f>
        <v/>
      </c>
      <c r="Y85">
        <f>HYPERLINK("https://klasma.github.io/Logging_0980/tillsynsmail/A 10274-2026 tillsynsbegäran mail.docx", "A 10274-2026")</f>
        <v/>
      </c>
      <c r="Z85">
        <f>HYPERLINK("https://klasma.github.io/Logging_0980/fåglar/A 10274-2026 prioriterade fågelarter.docx", "A 10274-2026")</f>
        <v/>
      </c>
    </row>
    <row r="86" ht="15" customHeight="1">
      <c r="A86" t="inlineStr">
        <is>
          <t>A 42936-2024</t>
        </is>
      </c>
      <c r="B86" s="1" t="n">
        <v>45567</v>
      </c>
      <c r="C86" s="1" t="n">
        <v>46129</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46129</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46129</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46129</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46129</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46129</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54523-2023</t>
        </is>
      </c>
      <c r="B92" s="1" t="n">
        <v>45233</v>
      </c>
      <c r="C92" s="1" t="n">
        <v>46129</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20833-2024</t>
        </is>
      </c>
      <c r="B93" s="1" t="n">
        <v>45439</v>
      </c>
      <c r="C93" s="1" t="n">
        <v>46129</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2485-2025</t>
        </is>
      </c>
      <c r="B94" s="1" t="n">
        <v>45673</v>
      </c>
      <c r="C94" s="1" t="n">
        <v>46129</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46129</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57463-2025</t>
        </is>
      </c>
      <c r="B96" s="1" t="n">
        <v>45980.54174768519</v>
      </c>
      <c r="C96" s="1" t="n">
        <v>46129</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43197-2023</t>
        </is>
      </c>
      <c r="B97" s="1" t="n">
        <v>45183</v>
      </c>
      <c r="C97" s="1" t="n">
        <v>46129</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52250-2025</t>
        </is>
      </c>
      <c r="B98" s="1" t="n">
        <v>45953.48998842593</v>
      </c>
      <c r="C98" s="1" t="n">
        <v>46129</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13203-2026</t>
        </is>
      </c>
      <c r="B99" s="1" t="n">
        <v>46093</v>
      </c>
      <c r="C99" s="1" t="n">
        <v>46129</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6836-2026</t>
        </is>
      </c>
      <c r="B100" s="1" t="n">
        <v>46057.40902777778</v>
      </c>
      <c r="C100" s="1" t="n">
        <v>46129</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1971-2023</t>
        </is>
      </c>
      <c r="B101" s="1" t="n">
        <v>44939</v>
      </c>
      <c r="C101" s="1" t="n">
        <v>46129</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46129</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46129</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46129</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46129</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46129</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46129</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46129</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46129</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46129</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46129</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30490-2025</t>
        </is>
      </c>
      <c r="B112" s="1" t="n">
        <v>45830</v>
      </c>
      <c r="C112" s="1" t="n">
        <v>46129</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48126-2022</t>
        </is>
      </c>
      <c r="B113" s="1" t="n">
        <v>44857</v>
      </c>
      <c r="C113" s="1" t="n">
        <v>46129</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55334-2024</t>
        </is>
      </c>
      <c r="B114" s="1" t="n">
        <v>45621</v>
      </c>
      <c r="C114" s="1" t="n">
        <v>46129</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46129</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20831-2024</t>
        </is>
      </c>
      <c r="B116" s="1" t="n">
        <v>45439</v>
      </c>
      <c r="C116" s="1" t="n">
        <v>46129</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1520-2026</t>
        </is>
      </c>
      <c r="B117" s="1" t="n">
        <v>46034.35891203704</v>
      </c>
      <c r="C117" s="1" t="n">
        <v>46129</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17975-2024</t>
        </is>
      </c>
      <c r="B118" s="1" t="n">
        <v>45419.85546296297</v>
      </c>
      <c r="C118" s="1" t="n">
        <v>46129</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46129</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46129</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46129</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46129</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46129</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46129</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46129</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28261-2024</t>
        </is>
      </c>
      <c r="B126" s="1" t="n">
        <v>45477</v>
      </c>
      <c r="C126" s="1" t="n">
        <v>46129</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55649-2024</t>
        </is>
      </c>
      <c r="B127" s="1" t="n">
        <v>45622.63053240741</v>
      </c>
      <c r="C127" s="1" t="n">
        <v>46129</v>
      </c>
      <c r="D127" t="inlineStr">
        <is>
          <t>GOTLANDS LÄN</t>
        </is>
      </c>
      <c r="E127" t="inlineStr">
        <is>
          <t>GOTLAND</t>
        </is>
      </c>
      <c r="G127" t="n">
        <v>4.6</v>
      </c>
      <c r="H127" t="n">
        <v>2</v>
      </c>
      <c r="I127" t="n">
        <v>0</v>
      </c>
      <c r="J127" t="n">
        <v>0</v>
      </c>
      <c r="K127" t="n">
        <v>0</v>
      </c>
      <c r="L127" t="n">
        <v>0</v>
      </c>
      <c r="M127" t="n">
        <v>0</v>
      </c>
      <c r="N127" t="n">
        <v>0</v>
      </c>
      <c r="O127" t="n">
        <v>0</v>
      </c>
      <c r="P127" t="n">
        <v>0</v>
      </c>
      <c r="Q127" t="n">
        <v>2</v>
      </c>
      <c r="R127" s="2" t="inlineStr">
        <is>
          <t>Sankt pers nycklar
Blåsippa</t>
        </is>
      </c>
      <c r="S127">
        <f>HYPERLINK("https://klasma.github.io/Logging_0980/artfynd/A 55649-2024 artfynd.xlsx", "A 55649-2024")</f>
        <v/>
      </c>
      <c r="T127">
        <f>HYPERLINK("https://klasma.github.io/Logging_0980/kartor/A 55649-2024 karta.png", "A 55649-2024")</f>
        <v/>
      </c>
      <c r="V127">
        <f>HYPERLINK("https://klasma.github.io/Logging_0980/klagomål/A 55649-2024 FSC-klagomål.docx", "A 55649-2024")</f>
        <v/>
      </c>
      <c r="W127">
        <f>HYPERLINK("https://klasma.github.io/Logging_0980/klagomålsmail/A 55649-2024 FSC-klagomål mail.docx", "A 55649-2024")</f>
        <v/>
      </c>
      <c r="X127">
        <f>HYPERLINK("https://klasma.github.io/Logging_0980/tillsyn/A 55649-2024 tillsynsbegäran.docx", "A 55649-2024")</f>
        <v/>
      </c>
      <c r="Y127">
        <f>HYPERLINK("https://klasma.github.io/Logging_0980/tillsynsmail/A 55649-2024 tillsynsbegäran mail.docx", "A 55649-2024")</f>
        <v/>
      </c>
    </row>
    <row r="128" ht="15" customHeight="1">
      <c r="A128" t="inlineStr">
        <is>
          <t>A 7070-2022</t>
        </is>
      </c>
      <c r="B128" s="1" t="n">
        <v>44603</v>
      </c>
      <c r="C128" s="1" t="n">
        <v>46129</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20429-2025</t>
        </is>
      </c>
      <c r="B129" s="1" t="n">
        <v>45775.47728009259</v>
      </c>
      <c r="C129" s="1" t="n">
        <v>46129</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12914-2025</t>
        </is>
      </c>
      <c r="B130" s="1" t="n">
        <v>45733</v>
      </c>
      <c r="C130" s="1" t="n">
        <v>46129</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46129</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20838-2024</t>
        </is>
      </c>
      <c r="B132" s="1" t="n">
        <v>45439</v>
      </c>
      <c r="C132" s="1" t="n">
        <v>46129</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63162-2025</t>
        </is>
      </c>
      <c r="B133" s="1" t="n">
        <v>46010.37629629629</v>
      </c>
      <c r="C133" s="1" t="n">
        <v>46129</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62760-2025</t>
        </is>
      </c>
      <c r="B134" s="1" t="n">
        <v>46008</v>
      </c>
      <c r="C134" s="1" t="n">
        <v>46129</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16997-2026</t>
        </is>
      </c>
      <c r="B135" s="1" t="n">
        <v>46114.42539351852</v>
      </c>
      <c r="C135" s="1" t="n">
        <v>46129</v>
      </c>
      <c r="D135" t="inlineStr">
        <is>
          <t>GOTLANDS LÄN</t>
        </is>
      </c>
      <c r="E135" t="inlineStr">
        <is>
          <t>GOTLAND</t>
        </is>
      </c>
      <c r="G135" t="n">
        <v>0.7</v>
      </c>
      <c r="H135" t="n">
        <v>0</v>
      </c>
      <c r="I135" t="n">
        <v>1</v>
      </c>
      <c r="J135" t="n">
        <v>0</v>
      </c>
      <c r="K135" t="n">
        <v>0</v>
      </c>
      <c r="L135" t="n">
        <v>1</v>
      </c>
      <c r="M135" t="n">
        <v>0</v>
      </c>
      <c r="N135" t="n">
        <v>0</v>
      </c>
      <c r="O135" t="n">
        <v>1</v>
      </c>
      <c r="P135" t="n">
        <v>1</v>
      </c>
      <c r="Q135" t="n">
        <v>2</v>
      </c>
      <c r="R135" s="2" t="inlineStr">
        <is>
          <t>Ask
Hasselticka</t>
        </is>
      </c>
      <c r="S135">
        <f>HYPERLINK("https://klasma.github.io/Logging_0980/artfynd/A 16997-2026 artfynd.xlsx", "A 16997-2026")</f>
        <v/>
      </c>
      <c r="T135">
        <f>HYPERLINK("https://klasma.github.io/Logging_0980/kartor/A 16997-2026 karta.png", "A 16997-2026")</f>
        <v/>
      </c>
      <c r="V135">
        <f>HYPERLINK("https://klasma.github.io/Logging_0980/klagomål/A 16997-2026 FSC-klagomål.docx", "A 16997-2026")</f>
        <v/>
      </c>
      <c r="W135">
        <f>HYPERLINK("https://klasma.github.io/Logging_0980/klagomålsmail/A 16997-2026 FSC-klagomål mail.docx", "A 16997-2026")</f>
        <v/>
      </c>
      <c r="X135">
        <f>HYPERLINK("https://klasma.github.io/Logging_0980/tillsyn/A 16997-2026 tillsynsbegäran.docx", "A 16997-2026")</f>
        <v/>
      </c>
      <c r="Y135">
        <f>HYPERLINK("https://klasma.github.io/Logging_0980/tillsynsmail/A 16997-2026 tillsynsbegäran mail.docx", "A 16997-2026")</f>
        <v/>
      </c>
    </row>
    <row r="136" ht="15" customHeight="1">
      <c r="A136" t="inlineStr">
        <is>
          <t>A 26077-2024</t>
        </is>
      </c>
      <c r="B136" s="1" t="n">
        <v>45467</v>
      </c>
      <c r="C136" s="1" t="n">
        <v>46129</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43219-2023</t>
        </is>
      </c>
      <c r="B137" s="1" t="n">
        <v>45183</v>
      </c>
      <c r="C137" s="1" t="n">
        <v>46129</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46129</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46129</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46129</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46129</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46129</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10440-2024</t>
        </is>
      </c>
      <c r="B143" s="1" t="n">
        <v>45366.32818287037</v>
      </c>
      <c r="C143" s="1" t="n">
        <v>46129</v>
      </c>
      <c r="D143" t="inlineStr">
        <is>
          <t>GOTLANDS LÄN</t>
        </is>
      </c>
      <c r="E143" t="inlineStr">
        <is>
          <t>GOTLAND</t>
        </is>
      </c>
      <c r="G143" t="n">
        <v>2.5</v>
      </c>
      <c r="H143" t="n">
        <v>1</v>
      </c>
      <c r="I143" t="n">
        <v>0</v>
      </c>
      <c r="J143" t="n">
        <v>1</v>
      </c>
      <c r="K143" t="n">
        <v>0</v>
      </c>
      <c r="L143" t="n">
        <v>0</v>
      </c>
      <c r="M143" t="n">
        <v>0</v>
      </c>
      <c r="N143" t="n">
        <v>0</v>
      </c>
      <c r="O143" t="n">
        <v>1</v>
      </c>
      <c r="P143" t="n">
        <v>0</v>
      </c>
      <c r="Q143" t="n">
        <v>1</v>
      </c>
      <c r="R143" s="2" t="inlineStr">
        <is>
          <t>Mindre hackspett</t>
        </is>
      </c>
      <c r="S143">
        <f>HYPERLINK("https://klasma.github.io/Logging_0980/artfynd/A 10440-2024 artfynd.xlsx", "A 10440-2024")</f>
        <v/>
      </c>
      <c r="T143">
        <f>HYPERLINK("https://klasma.github.io/Logging_0980/kartor/A 10440-2024 karta.png", "A 10440-2024")</f>
        <v/>
      </c>
      <c r="V143">
        <f>HYPERLINK("https://klasma.github.io/Logging_0980/klagomål/A 10440-2024 FSC-klagomål.docx", "A 10440-2024")</f>
        <v/>
      </c>
      <c r="W143">
        <f>HYPERLINK("https://klasma.github.io/Logging_0980/klagomålsmail/A 10440-2024 FSC-klagomål mail.docx", "A 10440-2024")</f>
        <v/>
      </c>
      <c r="X143">
        <f>HYPERLINK("https://klasma.github.io/Logging_0980/tillsyn/A 10440-2024 tillsynsbegäran.docx", "A 10440-2024")</f>
        <v/>
      </c>
      <c r="Y143">
        <f>HYPERLINK("https://klasma.github.io/Logging_0980/tillsynsmail/A 10440-2024 tillsynsbegäran mail.docx", "A 10440-2024")</f>
        <v/>
      </c>
      <c r="Z143">
        <f>HYPERLINK("https://klasma.github.io/Logging_0980/fåglar/A 10440-2024 prioriterade fågelarter.docx", "A 10440-2024")</f>
        <v/>
      </c>
    </row>
    <row r="144" ht="15" customHeight="1">
      <c r="A144" t="inlineStr">
        <is>
          <t>A 39812-2025</t>
        </is>
      </c>
      <c r="B144" s="1" t="n">
        <v>45891</v>
      </c>
      <c r="C144" s="1" t="n">
        <v>46129</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44308-2021</t>
        </is>
      </c>
      <c r="B145" s="1" t="n">
        <v>44434</v>
      </c>
      <c r="C145" s="1" t="n">
        <v>46129</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26461-2025</t>
        </is>
      </c>
      <c r="B146" s="1" t="n">
        <v>45807.43337962963</v>
      </c>
      <c r="C146" s="1" t="n">
        <v>46129</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46527-2023</t>
        </is>
      </c>
      <c r="B147" s="1" t="n">
        <v>45197</v>
      </c>
      <c r="C147" s="1" t="n">
        <v>46129</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35467-2021</t>
        </is>
      </c>
      <c r="B148" s="1" t="n">
        <v>44385</v>
      </c>
      <c r="C148" s="1" t="n">
        <v>46129</v>
      </c>
      <c r="D148" t="inlineStr">
        <is>
          <t>GOTLANDS LÄN</t>
        </is>
      </c>
      <c r="E148" t="inlineStr">
        <is>
          <t>GOTLAND</t>
        </is>
      </c>
      <c r="G148" t="n">
        <v>12.7</v>
      </c>
      <c r="H148" t="n">
        <v>0</v>
      </c>
      <c r="I148" t="n">
        <v>0</v>
      </c>
      <c r="J148" t="n">
        <v>1</v>
      </c>
      <c r="K148" t="n">
        <v>0</v>
      </c>
      <c r="L148" t="n">
        <v>0</v>
      </c>
      <c r="M148" t="n">
        <v>0</v>
      </c>
      <c r="N148" t="n">
        <v>0</v>
      </c>
      <c r="O148" t="n">
        <v>1</v>
      </c>
      <c r="P148" t="n">
        <v>0</v>
      </c>
      <c r="Q148" t="n">
        <v>1</v>
      </c>
      <c r="R148" s="2" t="inlineStr">
        <is>
          <t>Loppstarr</t>
        </is>
      </c>
      <c r="S148">
        <f>HYPERLINK("https://klasma.github.io/Logging_0980/artfynd/A 35467-2021 artfynd.xlsx", "A 35467-2021")</f>
        <v/>
      </c>
      <c r="T148">
        <f>HYPERLINK("https://klasma.github.io/Logging_0980/kartor/A 35467-2021 karta.png", "A 35467-2021")</f>
        <v/>
      </c>
      <c r="V148">
        <f>HYPERLINK("https://klasma.github.io/Logging_0980/klagomål/A 35467-2021 FSC-klagomål.docx", "A 35467-2021")</f>
        <v/>
      </c>
      <c r="W148">
        <f>HYPERLINK("https://klasma.github.io/Logging_0980/klagomålsmail/A 35467-2021 FSC-klagomål mail.docx", "A 35467-2021")</f>
        <v/>
      </c>
      <c r="X148">
        <f>HYPERLINK("https://klasma.github.io/Logging_0980/tillsyn/A 35467-2021 tillsynsbegäran.docx", "A 35467-2021")</f>
        <v/>
      </c>
      <c r="Y148">
        <f>HYPERLINK("https://klasma.github.io/Logging_0980/tillsynsmail/A 35467-2021 tillsynsbegäran mail.docx", "A 35467-2021")</f>
        <v/>
      </c>
    </row>
    <row r="149" ht="15" customHeight="1">
      <c r="A149" t="inlineStr">
        <is>
          <t>A 44619-2025</t>
        </is>
      </c>
      <c r="B149" s="1" t="n">
        <v>45917</v>
      </c>
      <c r="C149" s="1" t="n">
        <v>46129</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Ögonpyrola</t>
        </is>
      </c>
      <c r="S149">
        <f>HYPERLINK("https://klasma.github.io/Logging_0980/artfynd/A 44619-2025 artfynd.xlsx", "A 44619-2025")</f>
        <v/>
      </c>
      <c r="T149">
        <f>HYPERLINK("https://klasma.github.io/Logging_0980/kartor/A 44619-2025 karta.png", "A 44619-2025")</f>
        <v/>
      </c>
      <c r="V149">
        <f>HYPERLINK("https://klasma.github.io/Logging_0980/klagomål/A 44619-2025 FSC-klagomål.docx", "A 44619-2025")</f>
        <v/>
      </c>
      <c r="W149">
        <f>HYPERLINK("https://klasma.github.io/Logging_0980/klagomålsmail/A 44619-2025 FSC-klagomål mail.docx", "A 44619-2025")</f>
        <v/>
      </c>
      <c r="X149">
        <f>HYPERLINK("https://klasma.github.io/Logging_0980/tillsyn/A 44619-2025 tillsynsbegäran.docx", "A 44619-2025")</f>
        <v/>
      </c>
      <c r="Y149">
        <f>HYPERLINK("https://klasma.github.io/Logging_0980/tillsynsmail/A 44619-2025 tillsynsbegäran mail.docx", "A 44619-2025")</f>
        <v/>
      </c>
    </row>
    <row r="150" ht="15" customHeight="1">
      <c r="A150" t="inlineStr">
        <is>
          <t>A 6303-2024</t>
        </is>
      </c>
      <c r="B150" s="1" t="n">
        <v>45338.35376157407</v>
      </c>
      <c r="C150" s="1" t="n">
        <v>46129</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46129</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25977-2024</t>
        </is>
      </c>
      <c r="B152" s="1" t="n">
        <v>45467.69356481481</v>
      </c>
      <c r="C152" s="1" t="n">
        <v>46129</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9862-2024</t>
        </is>
      </c>
      <c r="B153" s="1" t="n">
        <v>45363</v>
      </c>
      <c r="C153" s="1" t="n">
        <v>46129</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34141-2024</t>
        </is>
      </c>
      <c r="B154" s="1" t="n">
        <v>45524.36229166666</v>
      </c>
      <c r="C154" s="1" t="n">
        <v>46129</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27589-2023</t>
        </is>
      </c>
      <c r="B155" s="1" t="n">
        <v>45097</v>
      </c>
      <c r="C155" s="1" t="n">
        <v>46129</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49726-2025</t>
        </is>
      </c>
      <c r="B156" s="1" t="n">
        <v>45939.84466435185</v>
      </c>
      <c r="C156" s="1" t="n">
        <v>46129</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65927-2021</t>
        </is>
      </c>
      <c r="B157" s="1" t="n">
        <v>44516</v>
      </c>
      <c r="C157" s="1" t="n">
        <v>46129</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46129</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12924-2025</t>
        </is>
      </c>
      <c r="B159" s="1" t="n">
        <v>45734</v>
      </c>
      <c r="C159" s="1" t="n">
        <v>46129</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61561-2023</t>
        </is>
      </c>
      <c r="B160" s="1" t="n">
        <v>45265</v>
      </c>
      <c r="C160" s="1" t="n">
        <v>46129</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12324-2025</t>
        </is>
      </c>
      <c r="B161" s="1" t="n">
        <v>45730</v>
      </c>
      <c r="C161" s="1" t="n">
        <v>46129</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2476-2025</t>
        </is>
      </c>
      <c r="B162" s="1" t="n">
        <v>45673</v>
      </c>
      <c r="C162" s="1" t="n">
        <v>46129</v>
      </c>
      <c r="D162" t="inlineStr">
        <is>
          <t>GOTLANDS LÄN</t>
        </is>
      </c>
      <c r="E162" t="inlineStr">
        <is>
          <t>GOTLAND</t>
        </is>
      </c>
      <c r="G162" t="n">
        <v>3.1</v>
      </c>
      <c r="H162" t="n">
        <v>0</v>
      </c>
      <c r="I162" t="n">
        <v>1</v>
      </c>
      <c r="J162" t="n">
        <v>0</v>
      </c>
      <c r="K162" t="n">
        <v>0</v>
      </c>
      <c r="L162" t="n">
        <v>0</v>
      </c>
      <c r="M162" t="n">
        <v>0</v>
      </c>
      <c r="N162" t="n">
        <v>0</v>
      </c>
      <c r="O162" t="n">
        <v>0</v>
      </c>
      <c r="P162" t="n">
        <v>0</v>
      </c>
      <c r="Q162" t="n">
        <v>1</v>
      </c>
      <c r="R162" s="2" t="inlineStr">
        <is>
          <t>Kryddspindling</t>
        </is>
      </c>
      <c r="S162">
        <f>HYPERLINK("https://klasma.github.io/Logging_0980/artfynd/A 2476-2025 artfynd.xlsx", "A 2476-2025")</f>
        <v/>
      </c>
      <c r="T162">
        <f>HYPERLINK("https://klasma.github.io/Logging_0980/kartor/A 2476-2025 karta.png", "A 2476-2025")</f>
        <v/>
      </c>
      <c r="V162">
        <f>HYPERLINK("https://klasma.github.io/Logging_0980/klagomål/A 2476-2025 FSC-klagomål.docx", "A 2476-2025")</f>
        <v/>
      </c>
      <c r="W162">
        <f>HYPERLINK("https://klasma.github.io/Logging_0980/klagomålsmail/A 2476-2025 FSC-klagomål mail.docx", "A 2476-2025")</f>
        <v/>
      </c>
      <c r="X162">
        <f>HYPERLINK("https://klasma.github.io/Logging_0980/tillsyn/A 2476-2025 tillsynsbegäran.docx", "A 2476-2025")</f>
        <v/>
      </c>
      <c r="Y162">
        <f>HYPERLINK("https://klasma.github.io/Logging_0980/tillsynsmail/A 2476-2025 tillsynsbegäran mail.docx", "A 2476-2025")</f>
        <v/>
      </c>
    </row>
    <row r="163" ht="15" customHeight="1">
      <c r="A163" t="inlineStr">
        <is>
          <t>A 44304-2021</t>
        </is>
      </c>
      <c r="B163" s="1" t="n">
        <v>44434</v>
      </c>
      <c r="C163" s="1" t="n">
        <v>46129</v>
      </c>
      <c r="D163" t="inlineStr">
        <is>
          <t>GOTLANDS LÄN</t>
        </is>
      </c>
      <c r="E163" t="inlineStr">
        <is>
          <t>GOTLAND</t>
        </is>
      </c>
      <c r="G163" t="n">
        <v>5.8</v>
      </c>
      <c r="H163" t="n">
        <v>0</v>
      </c>
      <c r="I163" t="n">
        <v>0</v>
      </c>
      <c r="J163" t="n">
        <v>1</v>
      </c>
      <c r="K163" t="n">
        <v>0</v>
      </c>
      <c r="L163" t="n">
        <v>0</v>
      </c>
      <c r="M163" t="n">
        <v>0</v>
      </c>
      <c r="N163" t="n">
        <v>0</v>
      </c>
      <c r="O163" t="n">
        <v>1</v>
      </c>
      <c r="P163" t="n">
        <v>0</v>
      </c>
      <c r="Q163" t="n">
        <v>1</v>
      </c>
      <c r="R163" s="2" t="inlineStr">
        <is>
          <t>Svinrot</t>
        </is>
      </c>
      <c r="S163">
        <f>HYPERLINK("https://klasma.github.io/Logging_0980/artfynd/A 44304-2021 artfynd.xlsx", "A 44304-2021")</f>
        <v/>
      </c>
      <c r="T163">
        <f>HYPERLINK("https://klasma.github.io/Logging_0980/kartor/A 44304-2021 karta.png", "A 44304-2021")</f>
        <v/>
      </c>
      <c r="V163">
        <f>HYPERLINK("https://klasma.github.io/Logging_0980/klagomål/A 44304-2021 FSC-klagomål.docx", "A 44304-2021")</f>
        <v/>
      </c>
      <c r="W163">
        <f>HYPERLINK("https://klasma.github.io/Logging_0980/klagomålsmail/A 44304-2021 FSC-klagomål mail.docx", "A 44304-2021")</f>
        <v/>
      </c>
      <c r="X163">
        <f>HYPERLINK("https://klasma.github.io/Logging_0980/tillsyn/A 44304-2021 tillsynsbegäran.docx", "A 44304-2021")</f>
        <v/>
      </c>
      <c r="Y163">
        <f>HYPERLINK("https://klasma.github.io/Logging_0980/tillsynsmail/A 44304-2021 tillsynsbegäran mail.docx", "A 44304-2021")</f>
        <v/>
      </c>
    </row>
    <row r="164" ht="15" customHeight="1">
      <c r="A164" t="inlineStr">
        <is>
          <t>A 13482-2026</t>
        </is>
      </c>
      <c r="B164" s="1" t="n">
        <v>46094</v>
      </c>
      <c r="C164" s="1" t="n">
        <v>46129</v>
      </c>
      <c r="D164" t="inlineStr">
        <is>
          <t>GOTLANDS LÄN</t>
        </is>
      </c>
      <c r="E164" t="inlineStr">
        <is>
          <t>GOTLAND</t>
        </is>
      </c>
      <c r="G164" t="n">
        <v>1.7</v>
      </c>
      <c r="H164" t="n">
        <v>1</v>
      </c>
      <c r="I164" t="n">
        <v>0</v>
      </c>
      <c r="J164" t="n">
        <v>1</v>
      </c>
      <c r="K164" t="n">
        <v>0</v>
      </c>
      <c r="L164" t="n">
        <v>0</v>
      </c>
      <c r="M164" t="n">
        <v>0</v>
      </c>
      <c r="N164" t="n">
        <v>0</v>
      </c>
      <c r="O164" t="n">
        <v>1</v>
      </c>
      <c r="P164" t="n">
        <v>0</v>
      </c>
      <c r="Q164" t="n">
        <v>1</v>
      </c>
      <c r="R164" s="2" t="inlineStr">
        <is>
          <t>Spillkråka</t>
        </is>
      </c>
      <c r="S164">
        <f>HYPERLINK("https://klasma.github.io/Logging_0980/artfynd/A 13482-2026 artfynd.xlsx", "A 13482-2026")</f>
        <v/>
      </c>
      <c r="T164">
        <f>HYPERLINK("https://klasma.github.io/Logging_0980/kartor/A 13482-2026 karta.png", "A 13482-2026")</f>
        <v/>
      </c>
      <c r="V164">
        <f>HYPERLINK("https://klasma.github.io/Logging_0980/klagomål/A 13482-2026 FSC-klagomål.docx", "A 13482-2026")</f>
        <v/>
      </c>
      <c r="W164">
        <f>HYPERLINK("https://klasma.github.io/Logging_0980/klagomålsmail/A 13482-2026 FSC-klagomål mail.docx", "A 13482-2026")</f>
        <v/>
      </c>
      <c r="X164">
        <f>HYPERLINK("https://klasma.github.io/Logging_0980/tillsyn/A 13482-2026 tillsynsbegäran.docx", "A 13482-2026")</f>
        <v/>
      </c>
      <c r="Y164">
        <f>HYPERLINK("https://klasma.github.io/Logging_0980/tillsynsmail/A 13482-2026 tillsynsbegäran mail.docx", "A 13482-2026")</f>
        <v/>
      </c>
      <c r="Z164">
        <f>HYPERLINK("https://klasma.github.io/Logging_0980/fåglar/A 13482-2026 prioriterade fågelarter.docx", "A 13482-2026")</f>
        <v/>
      </c>
    </row>
    <row r="165" ht="15" customHeight="1">
      <c r="A165" t="inlineStr">
        <is>
          <t>A 447-2023</t>
        </is>
      </c>
      <c r="B165" s="1" t="n">
        <v>44929</v>
      </c>
      <c r="C165" s="1" t="n">
        <v>46129</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34809-2024</t>
        </is>
      </c>
      <c r="B166" s="1" t="n">
        <v>45526</v>
      </c>
      <c r="C166" s="1" t="n">
        <v>46129</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49304-2024</t>
        </is>
      </c>
      <c r="B167" s="1" t="n">
        <v>45595.54996527778</v>
      </c>
      <c r="C167" s="1" t="n">
        <v>46129</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22782-2023</t>
        </is>
      </c>
      <c r="B168" s="1" t="n">
        <v>45072</v>
      </c>
      <c r="C168" s="1" t="n">
        <v>46129</v>
      </c>
      <c r="D168" t="inlineStr">
        <is>
          <t>GOTLANDS LÄN</t>
        </is>
      </c>
      <c r="E168" t="inlineStr">
        <is>
          <t>GOTLAND</t>
        </is>
      </c>
      <c r="F168" t="inlineStr">
        <is>
          <t>Kyrkan</t>
        </is>
      </c>
      <c r="G168" t="n">
        <v>3.1</v>
      </c>
      <c r="H168" t="n">
        <v>1</v>
      </c>
      <c r="I168" t="n">
        <v>0</v>
      </c>
      <c r="J168" t="n">
        <v>0</v>
      </c>
      <c r="K168" t="n">
        <v>0</v>
      </c>
      <c r="L168" t="n">
        <v>0</v>
      </c>
      <c r="M168" t="n">
        <v>0</v>
      </c>
      <c r="N168" t="n">
        <v>0</v>
      </c>
      <c r="O168" t="n">
        <v>0</v>
      </c>
      <c r="P168" t="n">
        <v>0</v>
      </c>
      <c r="Q168" t="n">
        <v>1</v>
      </c>
      <c r="R168" s="2" t="inlineStr">
        <is>
          <t>Ängsnycklar × skogsnycklar</t>
        </is>
      </c>
      <c r="S168">
        <f>HYPERLINK("https://klasma.github.io/Logging_0980/artfynd/A 22782-2023 artfynd.xlsx", "A 22782-2023")</f>
        <v/>
      </c>
      <c r="T168">
        <f>HYPERLINK("https://klasma.github.io/Logging_0980/kartor/A 22782-2023 karta.png", "A 22782-2023")</f>
        <v/>
      </c>
      <c r="V168">
        <f>HYPERLINK("https://klasma.github.io/Logging_0980/klagomål/A 22782-2023 FSC-klagomål.docx", "A 22782-2023")</f>
        <v/>
      </c>
      <c r="W168">
        <f>HYPERLINK("https://klasma.github.io/Logging_0980/klagomålsmail/A 22782-2023 FSC-klagomål mail.docx", "A 22782-2023")</f>
        <v/>
      </c>
      <c r="X168">
        <f>HYPERLINK("https://klasma.github.io/Logging_0980/tillsyn/A 22782-2023 tillsynsbegäran.docx", "A 22782-2023")</f>
        <v/>
      </c>
      <c r="Y168">
        <f>HYPERLINK("https://klasma.github.io/Logging_0980/tillsynsmail/A 22782-2023 tillsynsbegäran mail.docx", "A 22782-2023")</f>
        <v/>
      </c>
    </row>
    <row r="169" ht="15" customHeight="1">
      <c r="A169" t="inlineStr">
        <is>
          <t>A 44088-2022</t>
        </is>
      </c>
      <c r="B169" s="1" t="n">
        <v>44839</v>
      </c>
      <c r="C169" s="1" t="n">
        <v>46129</v>
      </c>
      <c r="D169" t="inlineStr">
        <is>
          <t>GOTLANDS LÄN</t>
        </is>
      </c>
      <c r="E169" t="inlineStr">
        <is>
          <t>GOTLAND</t>
        </is>
      </c>
      <c r="G169" t="n">
        <v>1.5</v>
      </c>
      <c r="H169" t="n">
        <v>0</v>
      </c>
      <c r="I169" t="n">
        <v>1</v>
      </c>
      <c r="J169" t="n">
        <v>0</v>
      </c>
      <c r="K169" t="n">
        <v>0</v>
      </c>
      <c r="L169" t="n">
        <v>0</v>
      </c>
      <c r="M169" t="n">
        <v>0</v>
      </c>
      <c r="N169" t="n">
        <v>0</v>
      </c>
      <c r="O169" t="n">
        <v>0</v>
      </c>
      <c r="P169" t="n">
        <v>0</v>
      </c>
      <c r="Q169" t="n">
        <v>1</v>
      </c>
      <c r="R169" s="2" t="inlineStr">
        <is>
          <t>Strävlosta</t>
        </is>
      </c>
      <c r="S169">
        <f>HYPERLINK("https://klasma.github.io/Logging_0980/artfynd/A 44088-2022 artfynd.xlsx", "A 44088-2022")</f>
        <v/>
      </c>
      <c r="T169">
        <f>HYPERLINK("https://klasma.github.io/Logging_0980/kartor/A 44088-2022 karta.png", "A 44088-2022")</f>
        <v/>
      </c>
      <c r="V169">
        <f>HYPERLINK("https://klasma.github.io/Logging_0980/klagomål/A 44088-2022 FSC-klagomål.docx", "A 44088-2022")</f>
        <v/>
      </c>
      <c r="W169">
        <f>HYPERLINK("https://klasma.github.io/Logging_0980/klagomålsmail/A 44088-2022 FSC-klagomål mail.docx", "A 44088-2022")</f>
        <v/>
      </c>
      <c r="X169">
        <f>HYPERLINK("https://klasma.github.io/Logging_0980/tillsyn/A 44088-2022 tillsynsbegäran.docx", "A 44088-2022")</f>
        <v/>
      </c>
      <c r="Y169">
        <f>HYPERLINK("https://klasma.github.io/Logging_0980/tillsynsmail/A 44088-2022 tillsynsbegäran mail.docx", "A 44088-2022")</f>
        <v/>
      </c>
    </row>
    <row r="170" ht="15" customHeight="1">
      <c r="A170" t="inlineStr">
        <is>
          <t>A 10013-2026</t>
        </is>
      </c>
      <c r="B170" s="1" t="n">
        <v>46073</v>
      </c>
      <c r="C170" s="1" t="n">
        <v>46129</v>
      </c>
      <c r="D170" t="inlineStr">
        <is>
          <t>GOTLANDS LÄN</t>
        </is>
      </c>
      <c r="E170" t="inlineStr">
        <is>
          <t>GOTLAND</t>
        </is>
      </c>
      <c r="G170" t="n">
        <v>10.5</v>
      </c>
      <c r="H170" t="n">
        <v>0</v>
      </c>
      <c r="I170" t="n">
        <v>0</v>
      </c>
      <c r="J170" t="n">
        <v>0</v>
      </c>
      <c r="K170" t="n">
        <v>1</v>
      </c>
      <c r="L170" t="n">
        <v>0</v>
      </c>
      <c r="M170" t="n">
        <v>0</v>
      </c>
      <c r="N170" t="n">
        <v>0</v>
      </c>
      <c r="O170" t="n">
        <v>1</v>
      </c>
      <c r="P170" t="n">
        <v>1</v>
      </c>
      <c r="Q170" t="n">
        <v>1</v>
      </c>
      <c r="R170" s="2" t="inlineStr">
        <is>
          <t>Skogskorn</t>
        </is>
      </c>
      <c r="S170">
        <f>HYPERLINK("https://klasma.github.io/Logging_0980/artfynd/A 10013-2026 artfynd.xlsx", "A 10013-2026")</f>
        <v/>
      </c>
      <c r="T170">
        <f>HYPERLINK("https://klasma.github.io/Logging_0980/kartor/A 10013-2026 karta.png", "A 10013-2026")</f>
        <v/>
      </c>
      <c r="V170">
        <f>HYPERLINK("https://klasma.github.io/Logging_0980/klagomål/A 10013-2026 FSC-klagomål.docx", "A 10013-2026")</f>
        <v/>
      </c>
      <c r="W170">
        <f>HYPERLINK("https://klasma.github.io/Logging_0980/klagomålsmail/A 10013-2026 FSC-klagomål mail.docx", "A 10013-2026")</f>
        <v/>
      </c>
      <c r="X170">
        <f>HYPERLINK("https://klasma.github.io/Logging_0980/tillsyn/A 10013-2026 tillsynsbegäran.docx", "A 10013-2026")</f>
        <v/>
      </c>
      <c r="Y170">
        <f>HYPERLINK("https://klasma.github.io/Logging_0980/tillsynsmail/A 10013-2026 tillsynsbegäran mail.docx", "A 10013-2026")</f>
        <v/>
      </c>
    </row>
    <row r="171" ht="15" customHeight="1">
      <c r="A171" t="inlineStr">
        <is>
          <t>A 63149-2025</t>
        </is>
      </c>
      <c r="B171" s="1" t="n">
        <v>46010</v>
      </c>
      <c r="C171" s="1" t="n">
        <v>46129</v>
      </c>
      <c r="D171" t="inlineStr">
        <is>
          <t>GOTLANDS LÄN</t>
        </is>
      </c>
      <c r="E171" t="inlineStr">
        <is>
          <t>GOTLAND</t>
        </is>
      </c>
      <c r="G171" t="n">
        <v>4.3</v>
      </c>
      <c r="H171" t="n">
        <v>0</v>
      </c>
      <c r="I171" t="n">
        <v>1</v>
      </c>
      <c r="J171" t="n">
        <v>0</v>
      </c>
      <c r="K171" t="n">
        <v>0</v>
      </c>
      <c r="L171" t="n">
        <v>0</v>
      </c>
      <c r="M171" t="n">
        <v>0</v>
      </c>
      <c r="N171" t="n">
        <v>0</v>
      </c>
      <c r="O171" t="n">
        <v>0</v>
      </c>
      <c r="P171" t="n">
        <v>0</v>
      </c>
      <c r="Q171" t="n">
        <v>1</v>
      </c>
      <c r="R171" s="2" t="inlineStr">
        <is>
          <t>Anisspindling</t>
        </is>
      </c>
      <c r="S171">
        <f>HYPERLINK("https://klasma.github.io/Logging_0980/artfynd/A 63149-2025 artfynd.xlsx", "A 63149-2025")</f>
        <v/>
      </c>
      <c r="T171">
        <f>HYPERLINK("https://klasma.github.io/Logging_0980/kartor/A 63149-2025 karta.png", "A 63149-2025")</f>
        <v/>
      </c>
      <c r="V171">
        <f>HYPERLINK("https://klasma.github.io/Logging_0980/klagomål/A 63149-2025 FSC-klagomål.docx", "A 63149-2025")</f>
        <v/>
      </c>
      <c r="W171">
        <f>HYPERLINK("https://klasma.github.io/Logging_0980/klagomålsmail/A 63149-2025 FSC-klagomål mail.docx", "A 63149-2025")</f>
        <v/>
      </c>
      <c r="X171">
        <f>HYPERLINK("https://klasma.github.io/Logging_0980/tillsyn/A 63149-2025 tillsynsbegäran.docx", "A 63149-2025")</f>
        <v/>
      </c>
      <c r="Y171">
        <f>HYPERLINK("https://klasma.github.io/Logging_0980/tillsynsmail/A 63149-2025 tillsynsbegäran mail.docx", "A 63149-2025")</f>
        <v/>
      </c>
    </row>
    <row r="172" ht="15" customHeight="1">
      <c r="A172" t="inlineStr">
        <is>
          <t>A 17854-2026</t>
        </is>
      </c>
      <c r="B172" s="1" t="n">
        <v>46121</v>
      </c>
      <c r="C172" s="1" t="n">
        <v>46129</v>
      </c>
      <c r="D172" t="inlineStr">
        <is>
          <t>GOTLANDS LÄN</t>
        </is>
      </c>
      <c r="E172" t="inlineStr">
        <is>
          <t>GOTLAND</t>
        </is>
      </c>
      <c r="G172" t="n">
        <v>6.6</v>
      </c>
      <c r="H172" t="n">
        <v>0</v>
      </c>
      <c r="I172" t="n">
        <v>1</v>
      </c>
      <c r="J172" t="n">
        <v>0</v>
      </c>
      <c r="K172" t="n">
        <v>0</v>
      </c>
      <c r="L172" t="n">
        <v>0</v>
      </c>
      <c r="M172" t="n">
        <v>0</v>
      </c>
      <c r="N172" t="n">
        <v>0</v>
      </c>
      <c r="O172" t="n">
        <v>0</v>
      </c>
      <c r="P172" t="n">
        <v>0</v>
      </c>
      <c r="Q172" t="n">
        <v>1</v>
      </c>
      <c r="R172" s="2" t="inlineStr">
        <is>
          <t>Blå slemspindling</t>
        </is>
      </c>
      <c r="S172">
        <f>HYPERLINK("https://klasma.github.io/Logging_0980/artfynd/A 17854-2026 artfynd.xlsx", "A 17854-2026")</f>
        <v/>
      </c>
      <c r="T172">
        <f>HYPERLINK("https://klasma.github.io/Logging_0980/kartor/A 17854-2026 karta.png", "A 17854-2026")</f>
        <v/>
      </c>
      <c r="V172">
        <f>HYPERLINK("https://klasma.github.io/Logging_0980/klagomål/A 17854-2026 FSC-klagomål.docx", "A 17854-2026")</f>
        <v/>
      </c>
      <c r="W172">
        <f>HYPERLINK("https://klasma.github.io/Logging_0980/klagomålsmail/A 17854-2026 FSC-klagomål mail.docx", "A 17854-2026")</f>
        <v/>
      </c>
      <c r="X172">
        <f>HYPERLINK("https://klasma.github.io/Logging_0980/tillsyn/A 17854-2026 tillsynsbegäran.docx", "A 17854-2026")</f>
        <v/>
      </c>
      <c r="Y172">
        <f>HYPERLINK("https://klasma.github.io/Logging_0980/tillsynsmail/A 17854-2026 tillsynsbegäran mail.docx", "A 17854-2026")</f>
        <v/>
      </c>
    </row>
    <row r="173" ht="15" customHeight="1">
      <c r="A173" t="inlineStr">
        <is>
          <t>A 11708-2026</t>
        </is>
      </c>
      <c r="B173" s="1" t="n">
        <v>46084</v>
      </c>
      <c r="C173" s="1" t="n">
        <v>46129</v>
      </c>
      <c r="D173" t="inlineStr">
        <is>
          <t>GOTLANDS LÄN</t>
        </is>
      </c>
      <c r="E173" t="inlineStr">
        <is>
          <t>GOTLAND</t>
        </is>
      </c>
      <c r="G173" t="n">
        <v>8.4</v>
      </c>
      <c r="H173" t="n">
        <v>1</v>
      </c>
      <c r="I173" t="n">
        <v>0</v>
      </c>
      <c r="J173" t="n">
        <v>1</v>
      </c>
      <c r="K173" t="n">
        <v>0</v>
      </c>
      <c r="L173" t="n">
        <v>0</v>
      </c>
      <c r="M173" t="n">
        <v>0</v>
      </c>
      <c r="N173" t="n">
        <v>0</v>
      </c>
      <c r="O173" t="n">
        <v>1</v>
      </c>
      <c r="P173" t="n">
        <v>0</v>
      </c>
      <c r="Q173" t="n">
        <v>1</v>
      </c>
      <c r="R173" s="2" t="inlineStr">
        <is>
          <t>Bredarun</t>
        </is>
      </c>
      <c r="S173">
        <f>HYPERLINK("https://klasma.github.io/Logging_0980/artfynd/A 11708-2026 artfynd.xlsx", "A 11708-2026")</f>
        <v/>
      </c>
      <c r="T173">
        <f>HYPERLINK("https://klasma.github.io/Logging_0980/kartor/A 11708-2026 karta.png", "A 11708-2026")</f>
        <v/>
      </c>
      <c r="V173">
        <f>HYPERLINK("https://klasma.github.io/Logging_0980/klagomål/A 11708-2026 FSC-klagomål.docx", "A 11708-2026")</f>
        <v/>
      </c>
      <c r="W173">
        <f>HYPERLINK("https://klasma.github.io/Logging_0980/klagomålsmail/A 11708-2026 FSC-klagomål mail.docx", "A 11708-2026")</f>
        <v/>
      </c>
      <c r="X173">
        <f>HYPERLINK("https://klasma.github.io/Logging_0980/tillsyn/A 11708-2026 tillsynsbegäran.docx", "A 11708-2026")</f>
        <v/>
      </c>
      <c r="Y173">
        <f>HYPERLINK("https://klasma.github.io/Logging_0980/tillsynsmail/A 11708-2026 tillsynsbegäran mail.docx", "A 11708-2026")</f>
        <v/>
      </c>
    </row>
    <row r="174" ht="15" customHeight="1">
      <c r="A174" t="inlineStr">
        <is>
          <t>A 1477-2024</t>
        </is>
      </c>
      <c r="B174" s="1" t="n">
        <v>45305.37987268518</v>
      </c>
      <c r="C174" s="1" t="n">
        <v>46129</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18036-2026</t>
        </is>
      </c>
      <c r="B175" s="1" t="n">
        <v>46125.39576388889</v>
      </c>
      <c r="C175" s="1" t="n">
        <v>46129</v>
      </c>
      <c r="D175" t="inlineStr">
        <is>
          <t>GOTLANDS LÄN</t>
        </is>
      </c>
      <c r="E175" t="inlineStr">
        <is>
          <t>GOTLAND</t>
        </is>
      </c>
      <c r="G175" t="n">
        <v>1.8</v>
      </c>
      <c r="H175" t="n">
        <v>0</v>
      </c>
      <c r="I175" t="n">
        <v>0</v>
      </c>
      <c r="J175" t="n">
        <v>1</v>
      </c>
      <c r="K175" t="n">
        <v>0</v>
      </c>
      <c r="L175" t="n">
        <v>0</v>
      </c>
      <c r="M175" t="n">
        <v>0</v>
      </c>
      <c r="N175" t="n">
        <v>0</v>
      </c>
      <c r="O175" t="n">
        <v>1</v>
      </c>
      <c r="P175" t="n">
        <v>0</v>
      </c>
      <c r="Q175" t="n">
        <v>1</v>
      </c>
      <c r="R175" s="2" t="inlineStr">
        <is>
          <t>Sommarfibbla</t>
        </is>
      </c>
      <c r="S175">
        <f>HYPERLINK("https://klasma.github.io/Logging_0980/artfynd/A 18036-2026 artfynd.xlsx", "A 18036-2026")</f>
        <v/>
      </c>
      <c r="T175">
        <f>HYPERLINK("https://klasma.github.io/Logging_0980/kartor/A 18036-2026 karta.png", "A 18036-2026")</f>
        <v/>
      </c>
      <c r="V175">
        <f>HYPERLINK("https://klasma.github.io/Logging_0980/klagomål/A 18036-2026 FSC-klagomål.docx", "A 18036-2026")</f>
        <v/>
      </c>
      <c r="W175">
        <f>HYPERLINK("https://klasma.github.io/Logging_0980/klagomålsmail/A 18036-2026 FSC-klagomål mail.docx", "A 18036-2026")</f>
        <v/>
      </c>
      <c r="X175">
        <f>HYPERLINK("https://klasma.github.io/Logging_0980/tillsyn/A 18036-2026 tillsynsbegäran.docx", "A 18036-2026")</f>
        <v/>
      </c>
      <c r="Y175">
        <f>HYPERLINK("https://klasma.github.io/Logging_0980/tillsynsmail/A 18036-2026 tillsynsbegäran mail.docx", "A 18036-2026")</f>
        <v/>
      </c>
    </row>
    <row r="176" ht="15" customHeight="1">
      <c r="A176" t="inlineStr">
        <is>
          <t>A 7637-2025</t>
        </is>
      </c>
      <c r="B176" s="1" t="n">
        <v>45705.77181712963</v>
      </c>
      <c r="C176" s="1" t="n">
        <v>46129</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46129</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46129</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46129</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46129</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46129</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46129</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46129</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46129</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46129</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46129</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46129</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46129</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46129</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46129</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46129</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46129</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46129</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46129</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46129</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46129</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19892-2021</t>
        </is>
      </c>
      <c r="B197" s="1" t="n">
        <v>44312</v>
      </c>
      <c r="C197" s="1" t="n">
        <v>46129</v>
      </c>
      <c r="D197" t="inlineStr">
        <is>
          <t>GOTLANDS LÄN</t>
        </is>
      </c>
      <c r="E197" t="inlineStr">
        <is>
          <t>GOTLAND</t>
        </is>
      </c>
      <c r="G197" t="n">
        <v>5.3</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46129</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46129</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46129</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46129</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46129</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46129</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46129</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46129</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46129</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46129</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46129</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31239-2022</t>
        </is>
      </c>
      <c r="B209" s="1" t="n">
        <v>44771.49383101852</v>
      </c>
      <c r="C209" s="1" t="n">
        <v>46129</v>
      </c>
      <c r="D209" t="inlineStr">
        <is>
          <t>GOTLANDS LÄN</t>
        </is>
      </c>
      <c r="E209" t="inlineStr">
        <is>
          <t>GOTLAND</t>
        </is>
      </c>
      <c r="G209" t="n">
        <v>1.9</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46129</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46129</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71010-2021</t>
        </is>
      </c>
      <c r="B212" s="1" t="n">
        <v>44538.63775462963</v>
      </c>
      <c r="C212" s="1" t="n">
        <v>46129</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22495-2022</t>
        </is>
      </c>
      <c r="B213" s="1" t="n">
        <v>44713.6452199074</v>
      </c>
      <c r="C213" s="1" t="n">
        <v>46129</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46129</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46129</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46129</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46129</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23910-2021</t>
        </is>
      </c>
      <c r="B218" s="1" t="n">
        <v>44335</v>
      </c>
      <c r="C218" s="1" t="n">
        <v>46129</v>
      </c>
      <c r="D218" t="inlineStr">
        <is>
          <t>GOTLANDS LÄN</t>
        </is>
      </c>
      <c r="E218" t="inlineStr">
        <is>
          <t>GOTLAND</t>
        </is>
      </c>
      <c r="G218" t="n">
        <v>1.5</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46129</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46129</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56951-2021</t>
        </is>
      </c>
      <c r="B221" s="1" t="n">
        <v>44482.37388888889</v>
      </c>
      <c r="C221" s="1" t="n">
        <v>46129</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46129</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46129</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46129</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57219-2021</t>
        </is>
      </c>
      <c r="B225" s="1" t="n">
        <v>44483</v>
      </c>
      <c r="C225" s="1" t="n">
        <v>46129</v>
      </c>
      <c r="D225" t="inlineStr">
        <is>
          <t>GOTLANDS LÄN</t>
        </is>
      </c>
      <c r="E225" t="inlineStr">
        <is>
          <t>GOTLAND</t>
        </is>
      </c>
      <c r="F225" t="inlineStr">
        <is>
          <t>Kyrkan</t>
        </is>
      </c>
      <c r="G225" t="n">
        <v>4</v>
      </c>
      <c r="H225" t="n">
        <v>0</v>
      </c>
      <c r="I225" t="n">
        <v>0</v>
      </c>
      <c r="J225" t="n">
        <v>0</v>
      </c>
      <c r="K225" t="n">
        <v>0</v>
      </c>
      <c r="L225" t="n">
        <v>0</v>
      </c>
      <c r="M225" t="n">
        <v>0</v>
      </c>
      <c r="N225" t="n">
        <v>0</v>
      </c>
      <c r="O225" t="n">
        <v>0</v>
      </c>
      <c r="P225" t="n">
        <v>0</v>
      </c>
      <c r="Q225" t="n">
        <v>0</v>
      </c>
      <c r="R225" s="2" t="inlineStr"/>
    </row>
    <row r="226" ht="15" customHeight="1">
      <c r="A226" t="inlineStr">
        <is>
          <t>A 17901-2023</t>
        </is>
      </c>
      <c r="B226" s="1" t="n">
        <v>45039</v>
      </c>
      <c r="C226" s="1" t="n">
        <v>46129</v>
      </c>
      <c r="D226" t="inlineStr">
        <is>
          <t>GOTLANDS LÄN</t>
        </is>
      </c>
      <c r="E226" t="inlineStr">
        <is>
          <t>GOTLAND</t>
        </is>
      </c>
      <c r="F226" t="inlineStr">
        <is>
          <t>Kyrkan</t>
        </is>
      </c>
      <c r="G226" t="n">
        <v>0.6</v>
      </c>
      <c r="H226" t="n">
        <v>0</v>
      </c>
      <c r="I226" t="n">
        <v>0</v>
      </c>
      <c r="J226" t="n">
        <v>0</v>
      </c>
      <c r="K226" t="n">
        <v>0</v>
      </c>
      <c r="L226" t="n">
        <v>0</v>
      </c>
      <c r="M226" t="n">
        <v>0</v>
      </c>
      <c r="N226" t="n">
        <v>0</v>
      </c>
      <c r="O226" t="n">
        <v>0</v>
      </c>
      <c r="P226" t="n">
        <v>0</v>
      </c>
      <c r="Q226" t="n">
        <v>0</v>
      </c>
      <c r="R226" s="2" t="inlineStr"/>
    </row>
    <row r="227" ht="15" customHeight="1">
      <c r="A227" t="inlineStr">
        <is>
          <t>A 58476-2022</t>
        </is>
      </c>
      <c r="B227" s="1" t="n">
        <v>44902</v>
      </c>
      <c r="C227" s="1" t="n">
        <v>46129</v>
      </c>
      <c r="D227" t="inlineStr">
        <is>
          <t>GOTLANDS LÄN</t>
        </is>
      </c>
      <c r="E227" t="inlineStr">
        <is>
          <t>GOTLAND</t>
        </is>
      </c>
      <c r="G227" t="n">
        <v>0.9</v>
      </c>
      <c r="H227" t="n">
        <v>0</v>
      </c>
      <c r="I227" t="n">
        <v>0</v>
      </c>
      <c r="J227" t="n">
        <v>0</v>
      </c>
      <c r="K227" t="n">
        <v>0</v>
      </c>
      <c r="L227" t="n">
        <v>0</v>
      </c>
      <c r="M227" t="n">
        <v>0</v>
      </c>
      <c r="N227" t="n">
        <v>0</v>
      </c>
      <c r="O227" t="n">
        <v>0</v>
      </c>
      <c r="P227" t="n">
        <v>0</v>
      </c>
      <c r="Q227" t="n">
        <v>0</v>
      </c>
      <c r="R227" s="2" t="inlineStr"/>
    </row>
    <row r="228" ht="15" customHeight="1">
      <c r="A228" t="inlineStr">
        <is>
          <t>A 61596-2023</t>
        </is>
      </c>
      <c r="B228" s="1" t="n">
        <v>45265</v>
      </c>
      <c r="C228" s="1" t="n">
        <v>46129</v>
      </c>
      <c r="D228" t="inlineStr">
        <is>
          <t>GOTLANDS LÄN</t>
        </is>
      </c>
      <c r="E228" t="inlineStr">
        <is>
          <t>GOTLAND</t>
        </is>
      </c>
      <c r="G228" t="n">
        <v>1.7</v>
      </c>
      <c r="H228" t="n">
        <v>0</v>
      </c>
      <c r="I228" t="n">
        <v>0</v>
      </c>
      <c r="J228" t="n">
        <v>0</v>
      </c>
      <c r="K228" t="n">
        <v>0</v>
      </c>
      <c r="L228" t="n">
        <v>0</v>
      </c>
      <c r="M228" t="n">
        <v>0</v>
      </c>
      <c r="N228" t="n">
        <v>0</v>
      </c>
      <c r="O228" t="n">
        <v>0</v>
      </c>
      <c r="P228" t="n">
        <v>0</v>
      </c>
      <c r="Q228" t="n">
        <v>0</v>
      </c>
      <c r="R228" s="2" t="inlineStr"/>
    </row>
    <row r="229" ht="15" customHeight="1">
      <c r="A229" t="inlineStr">
        <is>
          <t>A 873-2024</t>
        </is>
      </c>
      <c r="B229" s="1" t="n">
        <v>45301</v>
      </c>
      <c r="C229" s="1" t="n">
        <v>46129</v>
      </c>
      <c r="D229" t="inlineStr">
        <is>
          <t>GOTLANDS LÄN</t>
        </is>
      </c>
      <c r="E229" t="inlineStr">
        <is>
          <t>GOTLAND</t>
        </is>
      </c>
      <c r="G229" t="n">
        <v>2.7</v>
      </c>
      <c r="H229" t="n">
        <v>0</v>
      </c>
      <c r="I229" t="n">
        <v>0</v>
      </c>
      <c r="J229" t="n">
        <v>0</v>
      </c>
      <c r="K229" t="n">
        <v>0</v>
      </c>
      <c r="L229" t="n">
        <v>0</v>
      </c>
      <c r="M229" t="n">
        <v>0</v>
      </c>
      <c r="N229" t="n">
        <v>0</v>
      </c>
      <c r="O229" t="n">
        <v>0</v>
      </c>
      <c r="P229" t="n">
        <v>0</v>
      </c>
      <c r="Q229" t="n">
        <v>0</v>
      </c>
      <c r="R229" s="2" t="inlineStr"/>
    </row>
    <row r="230" ht="15" customHeight="1">
      <c r="A230" t="inlineStr">
        <is>
          <t>A 63229-2021</t>
        </is>
      </c>
      <c r="B230" s="1" t="n">
        <v>44508.34518518519</v>
      </c>
      <c r="C230" s="1" t="n">
        <v>46129</v>
      </c>
      <c r="D230" t="inlineStr">
        <is>
          <t>GOTLANDS LÄN</t>
        </is>
      </c>
      <c r="E230" t="inlineStr">
        <is>
          <t>GOTLAND</t>
        </is>
      </c>
      <c r="F230" t="inlineStr">
        <is>
          <t>Kyrkan</t>
        </is>
      </c>
      <c r="G230" t="n">
        <v>3.8</v>
      </c>
      <c r="H230" t="n">
        <v>0</v>
      </c>
      <c r="I230" t="n">
        <v>0</v>
      </c>
      <c r="J230" t="n">
        <v>0</v>
      </c>
      <c r="K230" t="n">
        <v>0</v>
      </c>
      <c r="L230" t="n">
        <v>0</v>
      </c>
      <c r="M230" t="n">
        <v>0</v>
      </c>
      <c r="N230" t="n">
        <v>0</v>
      </c>
      <c r="O230" t="n">
        <v>0</v>
      </c>
      <c r="P230" t="n">
        <v>0</v>
      </c>
      <c r="Q230" t="n">
        <v>0</v>
      </c>
      <c r="R230" s="2" t="inlineStr"/>
    </row>
    <row r="231" ht="15" customHeight="1">
      <c r="A231" t="inlineStr">
        <is>
          <t>A 44228-2022</t>
        </is>
      </c>
      <c r="B231" s="1" t="n">
        <v>44839.51599537037</v>
      </c>
      <c r="C231" s="1" t="n">
        <v>46129</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61386-2023</t>
        </is>
      </c>
      <c r="B232" s="1" t="n">
        <v>45264</v>
      </c>
      <c r="C232" s="1" t="n">
        <v>46129</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27593-2023</t>
        </is>
      </c>
      <c r="B233" s="1" t="n">
        <v>45097</v>
      </c>
      <c r="C233" s="1" t="n">
        <v>46129</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25129-2023</t>
        </is>
      </c>
      <c r="B234" s="1" t="n">
        <v>45086.44261574074</v>
      </c>
      <c r="C234" s="1" t="n">
        <v>46129</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456-2023</t>
        </is>
      </c>
      <c r="B235" s="1" t="n">
        <v>44929.87122685185</v>
      </c>
      <c r="C235" s="1" t="n">
        <v>46129</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56009-2024</t>
        </is>
      </c>
      <c r="B236" s="1" t="n">
        <v>45623.80864583333</v>
      </c>
      <c r="C236" s="1" t="n">
        <v>46129</v>
      </c>
      <c r="D236" t="inlineStr">
        <is>
          <t>GOTLANDS LÄN</t>
        </is>
      </c>
      <c r="E236" t="inlineStr">
        <is>
          <t>GOTLAND</t>
        </is>
      </c>
      <c r="G236" t="n">
        <v>2.8</v>
      </c>
      <c r="H236" t="n">
        <v>0</v>
      </c>
      <c r="I236" t="n">
        <v>0</v>
      </c>
      <c r="J236" t="n">
        <v>0</v>
      </c>
      <c r="K236" t="n">
        <v>0</v>
      </c>
      <c r="L236" t="n">
        <v>0</v>
      </c>
      <c r="M236" t="n">
        <v>0</v>
      </c>
      <c r="N236" t="n">
        <v>0</v>
      </c>
      <c r="O236" t="n">
        <v>0</v>
      </c>
      <c r="P236" t="n">
        <v>0</v>
      </c>
      <c r="Q236" t="n">
        <v>0</v>
      </c>
      <c r="R236" s="2" t="inlineStr"/>
    </row>
    <row r="237" ht="15" customHeight="1">
      <c r="A237" t="inlineStr">
        <is>
          <t>A 54073-2022</t>
        </is>
      </c>
      <c r="B237" s="1" t="n">
        <v>44881.50380787037</v>
      </c>
      <c r="C237" s="1" t="n">
        <v>46129</v>
      </c>
      <c r="D237" t="inlineStr">
        <is>
          <t>GOTLANDS LÄN</t>
        </is>
      </c>
      <c r="E237" t="inlineStr">
        <is>
          <t>GOTLAND</t>
        </is>
      </c>
      <c r="G237" t="n">
        <v>3.8</v>
      </c>
      <c r="H237" t="n">
        <v>0</v>
      </c>
      <c r="I237" t="n">
        <v>0</v>
      </c>
      <c r="J237" t="n">
        <v>0</v>
      </c>
      <c r="K237" t="n">
        <v>0</v>
      </c>
      <c r="L237" t="n">
        <v>0</v>
      </c>
      <c r="M237" t="n">
        <v>0</v>
      </c>
      <c r="N237" t="n">
        <v>0</v>
      </c>
      <c r="O237" t="n">
        <v>0</v>
      </c>
      <c r="P237" t="n">
        <v>0</v>
      </c>
      <c r="Q237" t="n">
        <v>0</v>
      </c>
      <c r="R237" s="2" t="inlineStr"/>
    </row>
    <row r="238" ht="15" customHeight="1">
      <c r="A238" t="inlineStr">
        <is>
          <t>A 20356-2022</t>
        </is>
      </c>
      <c r="B238" s="1" t="n">
        <v>44699</v>
      </c>
      <c r="C238" s="1" t="n">
        <v>46129</v>
      </c>
      <c r="D238" t="inlineStr">
        <is>
          <t>GOTLANDS LÄN</t>
        </is>
      </c>
      <c r="E238" t="inlineStr">
        <is>
          <t>GOTLAND</t>
        </is>
      </c>
      <c r="F238" t="inlineStr">
        <is>
          <t>Övriga Aktiebolag</t>
        </is>
      </c>
      <c r="G238" t="n">
        <v>4.4</v>
      </c>
      <c r="H238" t="n">
        <v>0</v>
      </c>
      <c r="I238" t="n">
        <v>0</v>
      </c>
      <c r="J238" t="n">
        <v>0</v>
      </c>
      <c r="K238" t="n">
        <v>0</v>
      </c>
      <c r="L238" t="n">
        <v>0</v>
      </c>
      <c r="M238" t="n">
        <v>0</v>
      </c>
      <c r="N238" t="n">
        <v>0</v>
      </c>
      <c r="O238" t="n">
        <v>0</v>
      </c>
      <c r="P238" t="n">
        <v>0</v>
      </c>
      <c r="Q238" t="n">
        <v>0</v>
      </c>
      <c r="R238" s="2" t="inlineStr"/>
    </row>
    <row r="239" ht="15" customHeight="1">
      <c r="A239" t="inlineStr">
        <is>
          <t>A 21420-2024</t>
        </is>
      </c>
      <c r="B239" s="1" t="n">
        <v>45441.38293981482</v>
      </c>
      <c r="C239" s="1" t="n">
        <v>46129</v>
      </c>
      <c r="D239" t="inlineStr">
        <is>
          <t>GOTLANDS LÄN</t>
        </is>
      </c>
      <c r="E239" t="inlineStr">
        <is>
          <t>GOTLAND</t>
        </is>
      </c>
      <c r="G239" t="n">
        <v>4.1</v>
      </c>
      <c r="H239" t="n">
        <v>0</v>
      </c>
      <c r="I239" t="n">
        <v>0</v>
      </c>
      <c r="J239" t="n">
        <v>0</v>
      </c>
      <c r="K239" t="n">
        <v>0</v>
      </c>
      <c r="L239" t="n">
        <v>0</v>
      </c>
      <c r="M239" t="n">
        <v>0</v>
      </c>
      <c r="N239" t="n">
        <v>0</v>
      </c>
      <c r="O239" t="n">
        <v>0</v>
      </c>
      <c r="P239" t="n">
        <v>0</v>
      </c>
      <c r="Q239" t="n">
        <v>0</v>
      </c>
      <c r="R239" s="2" t="inlineStr"/>
    </row>
    <row r="240" ht="15" customHeight="1">
      <c r="A240" t="inlineStr">
        <is>
          <t>A 10656-2024</t>
        </is>
      </c>
      <c r="B240" s="1" t="n">
        <v>45368</v>
      </c>
      <c r="C240" s="1" t="n">
        <v>46129</v>
      </c>
      <c r="D240" t="inlineStr">
        <is>
          <t>GOTLANDS LÄN</t>
        </is>
      </c>
      <c r="E240" t="inlineStr">
        <is>
          <t>GOTLAND</t>
        </is>
      </c>
      <c r="G240" t="n">
        <v>1.5</v>
      </c>
      <c r="H240" t="n">
        <v>0</v>
      </c>
      <c r="I240" t="n">
        <v>0</v>
      </c>
      <c r="J240" t="n">
        <v>0</v>
      </c>
      <c r="K240" t="n">
        <v>0</v>
      </c>
      <c r="L240" t="n">
        <v>0</v>
      </c>
      <c r="M240" t="n">
        <v>0</v>
      </c>
      <c r="N240" t="n">
        <v>0</v>
      </c>
      <c r="O240" t="n">
        <v>0</v>
      </c>
      <c r="P240" t="n">
        <v>0</v>
      </c>
      <c r="Q240" t="n">
        <v>0</v>
      </c>
      <c r="R240" s="2" t="inlineStr"/>
    </row>
    <row r="241" ht="15" customHeight="1">
      <c r="A241" t="inlineStr">
        <is>
          <t>A 3964-2024</t>
        </is>
      </c>
      <c r="B241" s="1" t="n">
        <v>45322</v>
      </c>
      <c r="C241" s="1" t="n">
        <v>46129</v>
      </c>
      <c r="D241" t="inlineStr">
        <is>
          <t>GOTLANDS LÄN</t>
        </is>
      </c>
      <c r="E241" t="inlineStr">
        <is>
          <t>GOTLAND</t>
        </is>
      </c>
      <c r="G241" t="n">
        <v>1.4</v>
      </c>
      <c r="H241" t="n">
        <v>0</v>
      </c>
      <c r="I241" t="n">
        <v>0</v>
      </c>
      <c r="J241" t="n">
        <v>0</v>
      </c>
      <c r="K241" t="n">
        <v>0</v>
      </c>
      <c r="L241" t="n">
        <v>0</v>
      </c>
      <c r="M241" t="n">
        <v>0</v>
      </c>
      <c r="N241" t="n">
        <v>0</v>
      </c>
      <c r="O241" t="n">
        <v>0</v>
      </c>
      <c r="P241" t="n">
        <v>0</v>
      </c>
      <c r="Q241" t="n">
        <v>0</v>
      </c>
      <c r="R241" s="2" t="inlineStr"/>
    </row>
    <row r="242" ht="15" customHeight="1">
      <c r="A242" t="inlineStr">
        <is>
          <t>A 57356-2023</t>
        </is>
      </c>
      <c r="B242" s="1" t="n">
        <v>45240</v>
      </c>
      <c r="C242" s="1" t="n">
        <v>46129</v>
      </c>
      <c r="D242" t="inlineStr">
        <is>
          <t>GOTLANDS LÄN</t>
        </is>
      </c>
      <c r="E242" t="inlineStr">
        <is>
          <t>GOTLAND</t>
        </is>
      </c>
      <c r="G242" t="n">
        <v>6.4</v>
      </c>
      <c r="H242" t="n">
        <v>0</v>
      </c>
      <c r="I242" t="n">
        <v>0</v>
      </c>
      <c r="J242" t="n">
        <v>0</v>
      </c>
      <c r="K242" t="n">
        <v>0</v>
      </c>
      <c r="L242" t="n">
        <v>0</v>
      </c>
      <c r="M242" t="n">
        <v>0</v>
      </c>
      <c r="N242" t="n">
        <v>0</v>
      </c>
      <c r="O242" t="n">
        <v>0</v>
      </c>
      <c r="P242" t="n">
        <v>0</v>
      </c>
      <c r="Q242" t="n">
        <v>0</v>
      </c>
      <c r="R242" s="2" t="inlineStr"/>
    </row>
    <row r="243" ht="15" customHeight="1">
      <c r="A243" t="inlineStr">
        <is>
          <t>A 28506-2023</t>
        </is>
      </c>
      <c r="B243" s="1" t="n">
        <v>45103</v>
      </c>
      <c r="C243" s="1" t="n">
        <v>46129</v>
      </c>
      <c r="D243" t="inlineStr">
        <is>
          <t>GOTLANDS LÄN</t>
        </is>
      </c>
      <c r="E243" t="inlineStr">
        <is>
          <t>GOTLAND</t>
        </is>
      </c>
      <c r="G243" t="n">
        <v>3.2</v>
      </c>
      <c r="H243" t="n">
        <v>0</v>
      </c>
      <c r="I243" t="n">
        <v>0</v>
      </c>
      <c r="J243" t="n">
        <v>0</v>
      </c>
      <c r="K243" t="n">
        <v>0</v>
      </c>
      <c r="L243" t="n">
        <v>0</v>
      </c>
      <c r="M243" t="n">
        <v>0</v>
      </c>
      <c r="N243" t="n">
        <v>0</v>
      </c>
      <c r="O243" t="n">
        <v>0</v>
      </c>
      <c r="P243" t="n">
        <v>0</v>
      </c>
      <c r="Q243" t="n">
        <v>0</v>
      </c>
      <c r="R243" s="2" t="inlineStr"/>
    </row>
    <row r="244" ht="15" customHeight="1">
      <c r="A244" t="inlineStr">
        <is>
          <t>A 45106-2024</t>
        </is>
      </c>
      <c r="B244" s="1" t="n">
        <v>45575</v>
      </c>
      <c r="C244" s="1" t="n">
        <v>46129</v>
      </c>
      <c r="D244" t="inlineStr">
        <is>
          <t>GOTLANDS LÄN</t>
        </is>
      </c>
      <c r="E244" t="inlineStr">
        <is>
          <t>GOTLAND</t>
        </is>
      </c>
      <c r="G244" t="n">
        <v>10</v>
      </c>
      <c r="H244" t="n">
        <v>0</v>
      </c>
      <c r="I244" t="n">
        <v>0</v>
      </c>
      <c r="J244" t="n">
        <v>0</v>
      </c>
      <c r="K244" t="n">
        <v>0</v>
      </c>
      <c r="L244" t="n">
        <v>0</v>
      </c>
      <c r="M244" t="n">
        <v>0</v>
      </c>
      <c r="N244" t="n">
        <v>0</v>
      </c>
      <c r="O244" t="n">
        <v>0</v>
      </c>
      <c r="P244" t="n">
        <v>0</v>
      </c>
      <c r="Q244" t="n">
        <v>0</v>
      </c>
      <c r="R244" s="2" t="inlineStr"/>
    </row>
    <row r="245" ht="15" customHeight="1">
      <c r="A245" t="inlineStr">
        <is>
          <t>A 45112-2024</t>
        </is>
      </c>
      <c r="B245" s="1" t="n">
        <v>45575</v>
      </c>
      <c r="C245" s="1" t="n">
        <v>46129</v>
      </c>
      <c r="D245" t="inlineStr">
        <is>
          <t>GOTLANDS LÄN</t>
        </is>
      </c>
      <c r="E245" t="inlineStr">
        <is>
          <t>GOTLAND</t>
        </is>
      </c>
      <c r="G245" t="n">
        <v>5.1</v>
      </c>
      <c r="H245" t="n">
        <v>0</v>
      </c>
      <c r="I245" t="n">
        <v>0</v>
      </c>
      <c r="J245" t="n">
        <v>0</v>
      </c>
      <c r="K245" t="n">
        <v>0</v>
      </c>
      <c r="L245" t="n">
        <v>0</v>
      </c>
      <c r="M245" t="n">
        <v>0</v>
      </c>
      <c r="N245" t="n">
        <v>0</v>
      </c>
      <c r="O245" t="n">
        <v>0</v>
      </c>
      <c r="P245" t="n">
        <v>0</v>
      </c>
      <c r="Q245" t="n">
        <v>0</v>
      </c>
      <c r="R245" s="2" t="inlineStr"/>
    </row>
    <row r="246" ht="15" customHeight="1">
      <c r="A246" t="inlineStr">
        <is>
          <t>A 35142-2025</t>
        </is>
      </c>
      <c r="B246" s="1" t="n">
        <v>45852.65532407408</v>
      </c>
      <c r="C246" s="1" t="n">
        <v>46129</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23188-2025</t>
        </is>
      </c>
      <c r="B247" s="1" t="n">
        <v>45791</v>
      </c>
      <c r="C247" s="1" t="n">
        <v>46129</v>
      </c>
      <c r="D247" t="inlineStr">
        <is>
          <t>GOTLANDS LÄN</t>
        </is>
      </c>
      <c r="E247" t="inlineStr">
        <is>
          <t>GOTLAND</t>
        </is>
      </c>
      <c r="G247" t="n">
        <v>6.2</v>
      </c>
      <c r="H247" t="n">
        <v>0</v>
      </c>
      <c r="I247" t="n">
        <v>0</v>
      </c>
      <c r="J247" t="n">
        <v>0</v>
      </c>
      <c r="K247" t="n">
        <v>0</v>
      </c>
      <c r="L247" t="n">
        <v>0</v>
      </c>
      <c r="M247" t="n">
        <v>0</v>
      </c>
      <c r="N247" t="n">
        <v>0</v>
      </c>
      <c r="O247" t="n">
        <v>0</v>
      </c>
      <c r="P247" t="n">
        <v>0</v>
      </c>
      <c r="Q247" t="n">
        <v>0</v>
      </c>
      <c r="R247" s="2" t="inlineStr"/>
    </row>
    <row r="248" ht="15" customHeight="1">
      <c r="A248" t="inlineStr">
        <is>
          <t>A 7026-2023</t>
        </is>
      </c>
      <c r="B248" s="1" t="n">
        <v>44968.30340277778</v>
      </c>
      <c r="C248" s="1" t="n">
        <v>46129</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35141-2025</t>
        </is>
      </c>
      <c r="B249" s="1" t="n">
        <v>45852.65206018519</v>
      </c>
      <c r="C249" s="1" t="n">
        <v>46129</v>
      </c>
      <c r="D249" t="inlineStr">
        <is>
          <t>GOTLANDS LÄN</t>
        </is>
      </c>
      <c r="E249" t="inlineStr">
        <is>
          <t>GOTLAND</t>
        </is>
      </c>
      <c r="G249" t="n">
        <v>1</v>
      </c>
      <c r="H249" t="n">
        <v>0</v>
      </c>
      <c r="I249" t="n">
        <v>0</v>
      </c>
      <c r="J249" t="n">
        <v>0</v>
      </c>
      <c r="K249" t="n">
        <v>0</v>
      </c>
      <c r="L249" t="n">
        <v>0</v>
      </c>
      <c r="M249" t="n">
        <v>0</v>
      </c>
      <c r="N249" t="n">
        <v>0</v>
      </c>
      <c r="O249" t="n">
        <v>0</v>
      </c>
      <c r="P249" t="n">
        <v>0</v>
      </c>
      <c r="Q249" t="n">
        <v>0</v>
      </c>
      <c r="R249" s="2" t="inlineStr"/>
    </row>
    <row r="250" ht="15" customHeight="1">
      <c r="A250" t="inlineStr">
        <is>
          <t>A 52892-2021</t>
        </is>
      </c>
      <c r="B250" s="1" t="n">
        <v>44467.49048611111</v>
      </c>
      <c r="C250" s="1" t="n">
        <v>46129</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1351-2025</t>
        </is>
      </c>
      <c r="B251" s="1" t="n">
        <v>45667.62246527777</v>
      </c>
      <c r="C251" s="1" t="n">
        <v>46129</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49874-2024</t>
        </is>
      </c>
      <c r="B252" s="1" t="n">
        <v>45597.49274305555</v>
      </c>
      <c r="C252" s="1" t="n">
        <v>46129</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23856-2025</t>
        </is>
      </c>
      <c r="B253" s="1" t="n">
        <v>45793</v>
      </c>
      <c r="C253" s="1" t="n">
        <v>46129</v>
      </c>
      <c r="D253" t="inlineStr">
        <is>
          <t>GOTLANDS LÄN</t>
        </is>
      </c>
      <c r="E253" t="inlineStr">
        <is>
          <t>GOTLAND</t>
        </is>
      </c>
      <c r="G253" t="n">
        <v>4.4</v>
      </c>
      <c r="H253" t="n">
        <v>0</v>
      </c>
      <c r="I253" t="n">
        <v>0</v>
      </c>
      <c r="J253" t="n">
        <v>0</v>
      </c>
      <c r="K253" t="n">
        <v>0</v>
      </c>
      <c r="L253" t="n">
        <v>0</v>
      </c>
      <c r="M253" t="n">
        <v>0</v>
      </c>
      <c r="N253" t="n">
        <v>0</v>
      </c>
      <c r="O253" t="n">
        <v>0</v>
      </c>
      <c r="P253" t="n">
        <v>0</v>
      </c>
      <c r="Q253" t="n">
        <v>0</v>
      </c>
      <c r="R253" s="2" t="inlineStr"/>
    </row>
    <row r="254" ht="15" customHeight="1">
      <c r="A254" t="inlineStr">
        <is>
          <t>A 23473-2025</t>
        </is>
      </c>
      <c r="B254" s="1" t="n">
        <v>45792</v>
      </c>
      <c r="C254" s="1" t="n">
        <v>46129</v>
      </c>
      <c r="D254" t="inlineStr">
        <is>
          <t>GOTLANDS LÄN</t>
        </is>
      </c>
      <c r="E254" t="inlineStr">
        <is>
          <t>GOTLAND</t>
        </is>
      </c>
      <c r="G254" t="n">
        <v>3.6</v>
      </c>
      <c r="H254" t="n">
        <v>0</v>
      </c>
      <c r="I254" t="n">
        <v>0</v>
      </c>
      <c r="J254" t="n">
        <v>0</v>
      </c>
      <c r="K254" t="n">
        <v>0</v>
      </c>
      <c r="L254" t="n">
        <v>0</v>
      </c>
      <c r="M254" t="n">
        <v>0</v>
      </c>
      <c r="N254" t="n">
        <v>0</v>
      </c>
      <c r="O254" t="n">
        <v>0</v>
      </c>
      <c r="P254" t="n">
        <v>0</v>
      </c>
      <c r="Q254" t="n">
        <v>0</v>
      </c>
      <c r="R254" s="2" t="inlineStr"/>
    </row>
    <row r="255" ht="15" customHeight="1">
      <c r="A255" t="inlineStr">
        <is>
          <t>A 56688-2025</t>
        </is>
      </c>
      <c r="B255" s="1" t="n">
        <v>45975.84331018518</v>
      </c>
      <c r="C255" s="1" t="n">
        <v>46129</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23698-2025</t>
        </is>
      </c>
      <c r="B256" s="1" t="n">
        <v>45793</v>
      </c>
      <c r="C256" s="1" t="n">
        <v>46129</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15073-2025</t>
        </is>
      </c>
      <c r="B257" s="1" t="n">
        <v>45743</v>
      </c>
      <c r="C257" s="1" t="n">
        <v>46129</v>
      </c>
      <c r="D257" t="inlineStr">
        <is>
          <t>GOTLANDS LÄN</t>
        </is>
      </c>
      <c r="E257" t="inlineStr">
        <is>
          <t>GOTLAND</t>
        </is>
      </c>
      <c r="G257" t="n">
        <v>12.1</v>
      </c>
      <c r="H257" t="n">
        <v>0</v>
      </c>
      <c r="I257" t="n">
        <v>0</v>
      </c>
      <c r="J257" t="n">
        <v>0</v>
      </c>
      <c r="K257" t="n">
        <v>0</v>
      </c>
      <c r="L257" t="n">
        <v>0</v>
      </c>
      <c r="M257" t="n">
        <v>0</v>
      </c>
      <c r="N257" t="n">
        <v>0</v>
      </c>
      <c r="O257" t="n">
        <v>0</v>
      </c>
      <c r="P257" t="n">
        <v>0</v>
      </c>
      <c r="Q257" t="n">
        <v>0</v>
      </c>
      <c r="R257" s="2" t="inlineStr"/>
    </row>
    <row r="258" ht="15" customHeight="1">
      <c r="A258" t="inlineStr">
        <is>
          <t>A 39849-2025</t>
        </is>
      </c>
      <c r="B258" s="1" t="n">
        <v>45891.58502314815</v>
      </c>
      <c r="C258" s="1" t="n">
        <v>46129</v>
      </c>
      <c r="D258" t="inlineStr">
        <is>
          <t>GOTLANDS LÄN</t>
        </is>
      </c>
      <c r="E258" t="inlineStr">
        <is>
          <t>GOTLAND</t>
        </is>
      </c>
      <c r="G258" t="n">
        <v>6.1</v>
      </c>
      <c r="H258" t="n">
        <v>0</v>
      </c>
      <c r="I258" t="n">
        <v>0</v>
      </c>
      <c r="J258" t="n">
        <v>0</v>
      </c>
      <c r="K258" t="n">
        <v>0</v>
      </c>
      <c r="L258" t="n">
        <v>0</v>
      </c>
      <c r="M258" t="n">
        <v>0</v>
      </c>
      <c r="N258" t="n">
        <v>0</v>
      </c>
      <c r="O258" t="n">
        <v>0</v>
      </c>
      <c r="P258" t="n">
        <v>0</v>
      </c>
      <c r="Q258" t="n">
        <v>0</v>
      </c>
      <c r="R258" s="2" t="inlineStr"/>
    </row>
    <row r="259" ht="15" customHeight="1">
      <c r="A259" t="inlineStr">
        <is>
          <t>A 39814-2025</t>
        </is>
      </c>
      <c r="B259" s="1" t="n">
        <v>45891.52694444444</v>
      </c>
      <c r="C259" s="1" t="n">
        <v>46129</v>
      </c>
      <c r="D259" t="inlineStr">
        <is>
          <t>GOTLANDS LÄN</t>
        </is>
      </c>
      <c r="E259" t="inlineStr">
        <is>
          <t>GOTLAND</t>
        </is>
      </c>
      <c r="G259" t="n">
        <v>4.5</v>
      </c>
      <c r="H259" t="n">
        <v>0</v>
      </c>
      <c r="I259" t="n">
        <v>0</v>
      </c>
      <c r="J259" t="n">
        <v>0</v>
      </c>
      <c r="K259" t="n">
        <v>0</v>
      </c>
      <c r="L259" t="n">
        <v>0</v>
      </c>
      <c r="M259" t="n">
        <v>0</v>
      </c>
      <c r="N259" t="n">
        <v>0</v>
      </c>
      <c r="O259" t="n">
        <v>0</v>
      </c>
      <c r="P259" t="n">
        <v>0</v>
      </c>
      <c r="Q259" t="n">
        <v>0</v>
      </c>
      <c r="R259" s="2" t="inlineStr"/>
    </row>
    <row r="260" ht="15" customHeight="1">
      <c r="A260" t="inlineStr">
        <is>
          <t>A 39819-2025</t>
        </is>
      </c>
      <c r="B260" s="1" t="n">
        <v>45891.53418981482</v>
      </c>
      <c r="C260" s="1" t="n">
        <v>46129</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6749-2025</t>
        </is>
      </c>
      <c r="B261" s="1" t="n">
        <v>45700</v>
      </c>
      <c r="C261" s="1" t="n">
        <v>46129</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51782-2023</t>
        </is>
      </c>
      <c r="B262" s="1" t="n">
        <v>45222.80952546297</v>
      </c>
      <c r="C262" s="1" t="n">
        <v>46129</v>
      </c>
      <c r="D262" t="inlineStr">
        <is>
          <t>GOTLANDS LÄN</t>
        </is>
      </c>
      <c r="E262" t="inlineStr">
        <is>
          <t>GOTLAND</t>
        </is>
      </c>
      <c r="G262" t="n">
        <v>1.2</v>
      </c>
      <c r="H262" t="n">
        <v>0</v>
      </c>
      <c r="I262" t="n">
        <v>0</v>
      </c>
      <c r="J262" t="n">
        <v>0</v>
      </c>
      <c r="K262" t="n">
        <v>0</v>
      </c>
      <c r="L262" t="n">
        <v>0</v>
      </c>
      <c r="M262" t="n">
        <v>0</v>
      </c>
      <c r="N262" t="n">
        <v>0</v>
      </c>
      <c r="O262" t="n">
        <v>0</v>
      </c>
      <c r="P262" t="n">
        <v>0</v>
      </c>
      <c r="Q262" t="n">
        <v>0</v>
      </c>
      <c r="R262" s="2" t="inlineStr"/>
    </row>
    <row r="263" ht="15" customHeight="1">
      <c r="A263" t="inlineStr">
        <is>
          <t>A 39752-2025</t>
        </is>
      </c>
      <c r="B263" s="1" t="n">
        <v>45891</v>
      </c>
      <c r="C263" s="1" t="n">
        <v>46129</v>
      </c>
      <c r="D263" t="inlineStr">
        <is>
          <t>GOTLANDS LÄN</t>
        </is>
      </c>
      <c r="E263" t="inlineStr">
        <is>
          <t>GOTLAND</t>
        </is>
      </c>
      <c r="G263" t="n">
        <v>5.3</v>
      </c>
      <c r="H263" t="n">
        <v>0</v>
      </c>
      <c r="I263" t="n">
        <v>0</v>
      </c>
      <c r="J263" t="n">
        <v>0</v>
      </c>
      <c r="K263" t="n">
        <v>0</v>
      </c>
      <c r="L263" t="n">
        <v>0</v>
      </c>
      <c r="M263" t="n">
        <v>0</v>
      </c>
      <c r="N263" t="n">
        <v>0</v>
      </c>
      <c r="O263" t="n">
        <v>0</v>
      </c>
      <c r="P263" t="n">
        <v>0</v>
      </c>
      <c r="Q263" t="n">
        <v>0</v>
      </c>
      <c r="R263" s="2" t="inlineStr"/>
    </row>
    <row r="264" ht="15" customHeight="1">
      <c r="A264" t="inlineStr">
        <is>
          <t>A 39816-2025</t>
        </is>
      </c>
      <c r="B264" s="1" t="n">
        <v>45891</v>
      </c>
      <c r="C264" s="1" t="n">
        <v>46129</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40372-2025</t>
        </is>
      </c>
      <c r="B265" s="1" t="n">
        <v>45895.5162037037</v>
      </c>
      <c r="C265" s="1" t="n">
        <v>46129</v>
      </c>
      <c r="D265" t="inlineStr">
        <is>
          <t>GOTLANDS LÄN</t>
        </is>
      </c>
      <c r="E265" t="inlineStr">
        <is>
          <t>GOTLAND</t>
        </is>
      </c>
      <c r="G265" t="n">
        <v>3.3</v>
      </c>
      <c r="H265" t="n">
        <v>0</v>
      </c>
      <c r="I265" t="n">
        <v>0</v>
      </c>
      <c r="J265" t="n">
        <v>0</v>
      </c>
      <c r="K265" t="n">
        <v>0</v>
      </c>
      <c r="L265" t="n">
        <v>0</v>
      </c>
      <c r="M265" t="n">
        <v>0</v>
      </c>
      <c r="N265" t="n">
        <v>0</v>
      </c>
      <c r="O265" t="n">
        <v>0</v>
      </c>
      <c r="P265" t="n">
        <v>0</v>
      </c>
      <c r="Q265" t="n">
        <v>0</v>
      </c>
      <c r="R265" s="2" t="inlineStr"/>
    </row>
    <row r="266" ht="15" customHeight="1">
      <c r="A266" t="inlineStr">
        <is>
          <t>A 60675-2021</t>
        </is>
      </c>
      <c r="B266" s="1" t="n">
        <v>44496.64855324074</v>
      </c>
      <c r="C266" s="1" t="n">
        <v>46129</v>
      </c>
      <c r="D266" t="inlineStr">
        <is>
          <t>GOTLANDS LÄN</t>
        </is>
      </c>
      <c r="E266" t="inlineStr">
        <is>
          <t>GOTLAND</t>
        </is>
      </c>
      <c r="G266" t="n">
        <v>4.6</v>
      </c>
      <c r="H266" t="n">
        <v>0</v>
      </c>
      <c r="I266" t="n">
        <v>0</v>
      </c>
      <c r="J266" t="n">
        <v>0</v>
      </c>
      <c r="K266" t="n">
        <v>0</v>
      </c>
      <c r="L266" t="n">
        <v>0</v>
      </c>
      <c r="M266" t="n">
        <v>0</v>
      </c>
      <c r="N266" t="n">
        <v>0</v>
      </c>
      <c r="O266" t="n">
        <v>0</v>
      </c>
      <c r="P266" t="n">
        <v>0</v>
      </c>
      <c r="Q266" t="n">
        <v>0</v>
      </c>
      <c r="R266" s="2" t="inlineStr"/>
    </row>
    <row r="267" ht="15" customHeight="1">
      <c r="A267" t="inlineStr">
        <is>
          <t>A 40373-2025</t>
        </is>
      </c>
      <c r="B267" s="1" t="n">
        <v>45895.51821759259</v>
      </c>
      <c r="C267" s="1" t="n">
        <v>46129</v>
      </c>
      <c r="D267" t="inlineStr">
        <is>
          <t>GOTLANDS LÄN</t>
        </is>
      </c>
      <c r="E267" t="inlineStr">
        <is>
          <t>GOTLAND</t>
        </is>
      </c>
      <c r="G267" t="n">
        <v>0.6</v>
      </c>
      <c r="H267" t="n">
        <v>0</v>
      </c>
      <c r="I267" t="n">
        <v>0</v>
      </c>
      <c r="J267" t="n">
        <v>0</v>
      </c>
      <c r="K267" t="n">
        <v>0</v>
      </c>
      <c r="L267" t="n">
        <v>0</v>
      </c>
      <c r="M267" t="n">
        <v>0</v>
      </c>
      <c r="N267" t="n">
        <v>0</v>
      </c>
      <c r="O267" t="n">
        <v>0</v>
      </c>
      <c r="P267" t="n">
        <v>0</v>
      </c>
      <c r="Q267" t="n">
        <v>0</v>
      </c>
      <c r="R267" s="2" t="inlineStr"/>
    </row>
    <row r="268" ht="15" customHeight="1">
      <c r="A268" t="inlineStr">
        <is>
          <t>A 5217-2023</t>
        </is>
      </c>
      <c r="B268" s="1" t="n">
        <v>44959.39582175926</v>
      </c>
      <c r="C268" s="1" t="n">
        <v>46129</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56799-2025</t>
        </is>
      </c>
      <c r="B269" s="1" t="n">
        <v>45978.43392361111</v>
      </c>
      <c r="C269" s="1" t="n">
        <v>46129</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14638-2025</t>
        </is>
      </c>
      <c r="B270" s="1" t="n">
        <v>45742</v>
      </c>
      <c r="C270" s="1" t="n">
        <v>46129</v>
      </c>
      <c r="D270" t="inlineStr">
        <is>
          <t>GOTLANDS LÄN</t>
        </is>
      </c>
      <c r="E270" t="inlineStr">
        <is>
          <t>GOTLAND</t>
        </is>
      </c>
      <c r="G270" t="n">
        <v>13.4</v>
      </c>
      <c r="H270" t="n">
        <v>0</v>
      </c>
      <c r="I270" t="n">
        <v>0</v>
      </c>
      <c r="J270" t="n">
        <v>0</v>
      </c>
      <c r="K270" t="n">
        <v>0</v>
      </c>
      <c r="L270" t="n">
        <v>0</v>
      </c>
      <c r="M270" t="n">
        <v>0</v>
      </c>
      <c r="N270" t="n">
        <v>0</v>
      </c>
      <c r="O270" t="n">
        <v>0</v>
      </c>
      <c r="P270" t="n">
        <v>0</v>
      </c>
      <c r="Q270" t="n">
        <v>0</v>
      </c>
      <c r="R270" s="2" t="inlineStr"/>
    </row>
    <row r="271" ht="15" customHeight="1">
      <c r="A271" t="inlineStr">
        <is>
          <t>A 5462-2025</t>
        </is>
      </c>
      <c r="B271" s="1" t="n">
        <v>45693.29331018519</v>
      </c>
      <c r="C271" s="1" t="n">
        <v>46129</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40103-2025</t>
        </is>
      </c>
      <c r="B272" s="1" t="n">
        <v>45894.4880324074</v>
      </c>
      <c r="C272" s="1" t="n">
        <v>46129</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4421-2024</t>
        </is>
      </c>
      <c r="B273" s="1" t="n">
        <v>45327.45173611111</v>
      </c>
      <c r="C273" s="1" t="n">
        <v>46129</v>
      </c>
      <c r="D273" t="inlineStr">
        <is>
          <t>GOTLANDS LÄN</t>
        </is>
      </c>
      <c r="E273" t="inlineStr">
        <is>
          <t>GOTLAND</t>
        </is>
      </c>
      <c r="G273" t="n">
        <v>5.1</v>
      </c>
      <c r="H273" t="n">
        <v>0</v>
      </c>
      <c r="I273" t="n">
        <v>0</v>
      </c>
      <c r="J273" t="n">
        <v>0</v>
      </c>
      <c r="K273" t="n">
        <v>0</v>
      </c>
      <c r="L273" t="n">
        <v>0</v>
      </c>
      <c r="M273" t="n">
        <v>0</v>
      </c>
      <c r="N273" t="n">
        <v>0</v>
      </c>
      <c r="O273" t="n">
        <v>0</v>
      </c>
      <c r="P273" t="n">
        <v>0</v>
      </c>
      <c r="Q273" t="n">
        <v>0</v>
      </c>
      <c r="R273" s="2" t="inlineStr"/>
    </row>
    <row r="274" ht="15" customHeight="1">
      <c r="A274" t="inlineStr">
        <is>
          <t>A 40499-2025</t>
        </is>
      </c>
      <c r="B274" s="1" t="n">
        <v>45896.32517361111</v>
      </c>
      <c r="C274" s="1" t="n">
        <v>46129</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20165-2022</t>
        </is>
      </c>
      <c r="B275" s="1" t="n">
        <v>44698.49854166667</v>
      </c>
      <c r="C275" s="1" t="n">
        <v>46129</v>
      </c>
      <c r="D275" t="inlineStr">
        <is>
          <t>GOTLANDS LÄN</t>
        </is>
      </c>
      <c r="E275" t="inlineStr">
        <is>
          <t>GOTLAND</t>
        </is>
      </c>
      <c r="G275" t="n">
        <v>4.1</v>
      </c>
      <c r="H275" t="n">
        <v>0</v>
      </c>
      <c r="I275" t="n">
        <v>0</v>
      </c>
      <c r="J275" t="n">
        <v>0</v>
      </c>
      <c r="K275" t="n">
        <v>0</v>
      </c>
      <c r="L275" t="n">
        <v>0</v>
      </c>
      <c r="M275" t="n">
        <v>0</v>
      </c>
      <c r="N275" t="n">
        <v>0</v>
      </c>
      <c r="O275" t="n">
        <v>0</v>
      </c>
      <c r="P275" t="n">
        <v>0</v>
      </c>
      <c r="Q275" t="n">
        <v>0</v>
      </c>
      <c r="R275" s="2" t="inlineStr"/>
    </row>
    <row r="276" ht="15" customHeight="1">
      <c r="A276" t="inlineStr">
        <is>
          <t>A 31264-2021</t>
        </is>
      </c>
      <c r="B276" s="1" t="n">
        <v>44368</v>
      </c>
      <c r="C276" s="1" t="n">
        <v>46129</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41551-2025</t>
        </is>
      </c>
      <c r="B277" s="1" t="n">
        <v>45901.58854166666</v>
      </c>
      <c r="C277" s="1" t="n">
        <v>46129</v>
      </c>
      <c r="D277" t="inlineStr">
        <is>
          <t>GOTLANDS LÄN</t>
        </is>
      </c>
      <c r="E277" t="inlineStr">
        <is>
          <t>GOTLAND</t>
        </is>
      </c>
      <c r="G277" t="n">
        <v>5.6</v>
      </c>
      <c r="H277" t="n">
        <v>0</v>
      </c>
      <c r="I277" t="n">
        <v>0</v>
      </c>
      <c r="J277" t="n">
        <v>0</v>
      </c>
      <c r="K277" t="n">
        <v>0</v>
      </c>
      <c r="L277" t="n">
        <v>0</v>
      </c>
      <c r="M277" t="n">
        <v>0</v>
      </c>
      <c r="N277" t="n">
        <v>0</v>
      </c>
      <c r="O277" t="n">
        <v>0</v>
      </c>
      <c r="P277" t="n">
        <v>0</v>
      </c>
      <c r="Q277" t="n">
        <v>0</v>
      </c>
      <c r="R277" s="2" t="inlineStr"/>
    </row>
    <row r="278" ht="15" customHeight="1">
      <c r="A278" t="inlineStr">
        <is>
          <t>A 33876-2024</t>
        </is>
      </c>
      <c r="B278" s="1" t="n">
        <v>45521.87988425926</v>
      </c>
      <c r="C278" s="1" t="n">
        <v>46129</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39278-2025</t>
        </is>
      </c>
      <c r="B279" s="1" t="n">
        <v>45889</v>
      </c>
      <c r="C279" s="1" t="n">
        <v>46129</v>
      </c>
      <c r="D279" t="inlineStr">
        <is>
          <t>GOTLANDS LÄN</t>
        </is>
      </c>
      <c r="E279" t="inlineStr">
        <is>
          <t>GOTLAND</t>
        </is>
      </c>
      <c r="G279" t="n">
        <v>3.7</v>
      </c>
      <c r="H279" t="n">
        <v>0</v>
      </c>
      <c r="I279" t="n">
        <v>0</v>
      </c>
      <c r="J279" t="n">
        <v>0</v>
      </c>
      <c r="K279" t="n">
        <v>0</v>
      </c>
      <c r="L279" t="n">
        <v>0</v>
      </c>
      <c r="M279" t="n">
        <v>0</v>
      </c>
      <c r="N279" t="n">
        <v>0</v>
      </c>
      <c r="O279" t="n">
        <v>0</v>
      </c>
      <c r="P279" t="n">
        <v>0</v>
      </c>
      <c r="Q279" t="n">
        <v>0</v>
      </c>
      <c r="R279" s="2" t="inlineStr"/>
    </row>
    <row r="280" ht="15" customHeight="1">
      <c r="A280" t="inlineStr">
        <is>
          <t>A 43223-2023</t>
        </is>
      </c>
      <c r="B280" s="1" t="n">
        <v>45183.45642361111</v>
      </c>
      <c r="C280" s="1" t="n">
        <v>46129</v>
      </c>
      <c r="D280" t="inlineStr">
        <is>
          <t>GOTLANDS LÄN</t>
        </is>
      </c>
      <c r="E280" t="inlineStr">
        <is>
          <t>GOTLAND</t>
        </is>
      </c>
      <c r="G280" t="n">
        <v>1.8</v>
      </c>
      <c r="H280" t="n">
        <v>0</v>
      </c>
      <c r="I280" t="n">
        <v>0</v>
      </c>
      <c r="J280" t="n">
        <v>0</v>
      </c>
      <c r="K280" t="n">
        <v>0</v>
      </c>
      <c r="L280" t="n">
        <v>0</v>
      </c>
      <c r="M280" t="n">
        <v>0</v>
      </c>
      <c r="N280" t="n">
        <v>0</v>
      </c>
      <c r="O280" t="n">
        <v>0</v>
      </c>
      <c r="P280" t="n">
        <v>0</v>
      </c>
      <c r="Q280" t="n">
        <v>0</v>
      </c>
      <c r="R280" s="2" t="inlineStr"/>
    </row>
    <row r="281" ht="15" customHeight="1">
      <c r="A281" t="inlineStr">
        <is>
          <t>A 41435-2025</t>
        </is>
      </c>
      <c r="B281" s="1" t="n">
        <v>45901.39974537037</v>
      </c>
      <c r="C281" s="1" t="n">
        <v>46129</v>
      </c>
      <c r="D281" t="inlineStr">
        <is>
          <t>GOTLANDS LÄN</t>
        </is>
      </c>
      <c r="E281" t="inlineStr">
        <is>
          <t>GOTLAND</t>
        </is>
      </c>
      <c r="G281" t="n">
        <v>4.9</v>
      </c>
      <c r="H281" t="n">
        <v>0</v>
      </c>
      <c r="I281" t="n">
        <v>0</v>
      </c>
      <c r="J281" t="n">
        <v>0</v>
      </c>
      <c r="K281" t="n">
        <v>0</v>
      </c>
      <c r="L281" t="n">
        <v>0</v>
      </c>
      <c r="M281" t="n">
        <v>0</v>
      </c>
      <c r="N281" t="n">
        <v>0</v>
      </c>
      <c r="O281" t="n">
        <v>0</v>
      </c>
      <c r="P281" t="n">
        <v>0</v>
      </c>
      <c r="Q281" t="n">
        <v>0</v>
      </c>
      <c r="R281" s="2" t="inlineStr"/>
    </row>
    <row r="282" ht="15" customHeight="1">
      <c r="A282" t="inlineStr">
        <is>
          <t>A 61962-2024</t>
        </is>
      </c>
      <c r="B282" s="1" t="n">
        <v>45653.54340277778</v>
      </c>
      <c r="C282" s="1" t="n">
        <v>46129</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27930-2021</t>
        </is>
      </c>
      <c r="B283" s="1" t="n">
        <v>44354</v>
      </c>
      <c r="C283" s="1" t="n">
        <v>46129</v>
      </c>
      <c r="D283" t="inlineStr">
        <is>
          <t>GOTLANDS LÄN</t>
        </is>
      </c>
      <c r="E283" t="inlineStr">
        <is>
          <t>GOTLAND</t>
        </is>
      </c>
      <c r="G283" t="n">
        <v>2.5</v>
      </c>
      <c r="H283" t="n">
        <v>0</v>
      </c>
      <c r="I283" t="n">
        <v>0</v>
      </c>
      <c r="J283" t="n">
        <v>0</v>
      </c>
      <c r="K283" t="n">
        <v>0</v>
      </c>
      <c r="L283" t="n">
        <v>0</v>
      </c>
      <c r="M283" t="n">
        <v>0</v>
      </c>
      <c r="N283" t="n">
        <v>0</v>
      </c>
      <c r="O283" t="n">
        <v>0</v>
      </c>
      <c r="P283" t="n">
        <v>0</v>
      </c>
      <c r="Q283" t="n">
        <v>0</v>
      </c>
      <c r="R283" s="2" t="inlineStr"/>
    </row>
    <row r="284" ht="15" customHeight="1">
      <c r="A284" t="inlineStr">
        <is>
          <t>A 59469-2024</t>
        </is>
      </c>
      <c r="B284" s="1" t="n">
        <v>45638</v>
      </c>
      <c r="C284" s="1" t="n">
        <v>46129</v>
      </c>
      <c r="D284" t="inlineStr">
        <is>
          <t>GOTLANDS LÄN</t>
        </is>
      </c>
      <c r="E284" t="inlineStr">
        <is>
          <t>GOTLAND</t>
        </is>
      </c>
      <c r="G284" t="n">
        <v>0.4</v>
      </c>
      <c r="H284" t="n">
        <v>0</v>
      </c>
      <c r="I284" t="n">
        <v>0</v>
      </c>
      <c r="J284" t="n">
        <v>0</v>
      </c>
      <c r="K284" t="n">
        <v>0</v>
      </c>
      <c r="L284" t="n">
        <v>0</v>
      </c>
      <c r="M284" t="n">
        <v>0</v>
      </c>
      <c r="N284" t="n">
        <v>0</v>
      </c>
      <c r="O284" t="n">
        <v>0</v>
      </c>
      <c r="P284" t="n">
        <v>0</v>
      </c>
      <c r="Q284" t="n">
        <v>0</v>
      </c>
      <c r="R284" s="2" t="inlineStr"/>
    </row>
    <row r="285" ht="15" customHeight="1">
      <c r="A285" t="inlineStr">
        <is>
          <t>A 25796-2025</t>
        </is>
      </c>
      <c r="B285" s="1" t="n">
        <v>45804.39543981481</v>
      </c>
      <c r="C285" s="1" t="n">
        <v>46129</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5751-2024</t>
        </is>
      </c>
      <c r="B286" s="1" t="n">
        <v>45335.32702546296</v>
      </c>
      <c r="C286" s="1" t="n">
        <v>46129</v>
      </c>
      <c r="D286" t="inlineStr">
        <is>
          <t>GOTLANDS LÄN</t>
        </is>
      </c>
      <c r="E286" t="inlineStr">
        <is>
          <t>GOTLAND</t>
        </is>
      </c>
      <c r="G286" t="n">
        <v>4.2</v>
      </c>
      <c r="H286" t="n">
        <v>0</v>
      </c>
      <c r="I286" t="n">
        <v>0</v>
      </c>
      <c r="J286" t="n">
        <v>0</v>
      </c>
      <c r="K286" t="n">
        <v>0</v>
      </c>
      <c r="L286" t="n">
        <v>0</v>
      </c>
      <c r="M286" t="n">
        <v>0</v>
      </c>
      <c r="N286" t="n">
        <v>0</v>
      </c>
      <c r="O286" t="n">
        <v>0</v>
      </c>
      <c r="P286" t="n">
        <v>0</v>
      </c>
      <c r="Q286" t="n">
        <v>0</v>
      </c>
      <c r="R286" s="2" t="inlineStr"/>
    </row>
    <row r="287" ht="15" customHeight="1">
      <c r="A287" t="inlineStr">
        <is>
          <t>A 26465-2025</t>
        </is>
      </c>
      <c r="B287" s="1" t="n">
        <v>45807.44377314814</v>
      </c>
      <c r="C287" s="1" t="n">
        <v>46129</v>
      </c>
      <c r="D287" t="inlineStr">
        <is>
          <t>GOTLANDS LÄN</t>
        </is>
      </c>
      <c r="E287" t="inlineStr">
        <is>
          <t>GOTLAND</t>
        </is>
      </c>
      <c r="G287" t="n">
        <v>4.5</v>
      </c>
      <c r="H287" t="n">
        <v>0</v>
      </c>
      <c r="I287" t="n">
        <v>0</v>
      </c>
      <c r="J287" t="n">
        <v>0</v>
      </c>
      <c r="K287" t="n">
        <v>0</v>
      </c>
      <c r="L287" t="n">
        <v>0</v>
      </c>
      <c r="M287" t="n">
        <v>0</v>
      </c>
      <c r="N287" t="n">
        <v>0</v>
      </c>
      <c r="O287" t="n">
        <v>0</v>
      </c>
      <c r="P287" t="n">
        <v>0</v>
      </c>
      <c r="Q287" t="n">
        <v>0</v>
      </c>
      <c r="R287" s="2" t="inlineStr"/>
    </row>
    <row r="288" ht="15" customHeight="1">
      <c r="A288" t="inlineStr">
        <is>
          <t>A 6696-2023</t>
        </is>
      </c>
      <c r="B288" s="1" t="n">
        <v>44966.66425925926</v>
      </c>
      <c r="C288" s="1" t="n">
        <v>46129</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26457-2025</t>
        </is>
      </c>
      <c r="B289" s="1" t="n">
        <v>45807.42773148148</v>
      </c>
      <c r="C289" s="1" t="n">
        <v>46129</v>
      </c>
      <c r="D289" t="inlineStr">
        <is>
          <t>GOTLANDS LÄN</t>
        </is>
      </c>
      <c r="E289" t="inlineStr">
        <is>
          <t>GOTLAND</t>
        </is>
      </c>
      <c r="G289" t="n">
        <v>5.7</v>
      </c>
      <c r="H289" t="n">
        <v>0</v>
      </c>
      <c r="I289" t="n">
        <v>0</v>
      </c>
      <c r="J289" t="n">
        <v>0</v>
      </c>
      <c r="K289" t="n">
        <v>0</v>
      </c>
      <c r="L289" t="n">
        <v>0</v>
      </c>
      <c r="M289" t="n">
        <v>0</v>
      </c>
      <c r="N289" t="n">
        <v>0</v>
      </c>
      <c r="O289" t="n">
        <v>0</v>
      </c>
      <c r="P289" t="n">
        <v>0</v>
      </c>
      <c r="Q289" t="n">
        <v>0</v>
      </c>
      <c r="R289" s="2" t="inlineStr"/>
    </row>
    <row r="290" ht="15" customHeight="1">
      <c r="A290" t="inlineStr">
        <is>
          <t>A 26467-2025</t>
        </is>
      </c>
      <c r="B290" s="1" t="n">
        <v>45807.44640046296</v>
      </c>
      <c r="C290" s="1" t="n">
        <v>46129</v>
      </c>
      <c r="D290" t="inlineStr">
        <is>
          <t>GOTLANDS LÄN</t>
        </is>
      </c>
      <c r="E290" t="inlineStr">
        <is>
          <t>GOTLAND</t>
        </is>
      </c>
      <c r="G290" t="n">
        <v>0.7</v>
      </c>
      <c r="H290" t="n">
        <v>0</v>
      </c>
      <c r="I290" t="n">
        <v>0</v>
      </c>
      <c r="J290" t="n">
        <v>0</v>
      </c>
      <c r="K290" t="n">
        <v>0</v>
      </c>
      <c r="L290" t="n">
        <v>0</v>
      </c>
      <c r="M290" t="n">
        <v>0</v>
      </c>
      <c r="N290" t="n">
        <v>0</v>
      </c>
      <c r="O290" t="n">
        <v>0</v>
      </c>
      <c r="P290" t="n">
        <v>0</v>
      </c>
      <c r="Q290" t="n">
        <v>0</v>
      </c>
      <c r="R290" s="2" t="inlineStr"/>
    </row>
    <row r="291" ht="15" customHeight="1">
      <c r="A291" t="inlineStr">
        <is>
          <t>A 28480-2023</t>
        </is>
      </c>
      <c r="B291" s="1" t="n">
        <v>45103</v>
      </c>
      <c r="C291" s="1" t="n">
        <v>46129</v>
      </c>
      <c r="D291" t="inlineStr">
        <is>
          <t>GOTLANDS LÄN</t>
        </is>
      </c>
      <c r="E291" t="inlineStr">
        <is>
          <t>GOTLAND</t>
        </is>
      </c>
      <c r="G291" t="n">
        <v>5.7</v>
      </c>
      <c r="H291" t="n">
        <v>0</v>
      </c>
      <c r="I291" t="n">
        <v>0</v>
      </c>
      <c r="J291" t="n">
        <v>0</v>
      </c>
      <c r="K291" t="n">
        <v>0</v>
      </c>
      <c r="L291" t="n">
        <v>0</v>
      </c>
      <c r="M291" t="n">
        <v>0</v>
      </c>
      <c r="N291" t="n">
        <v>0</v>
      </c>
      <c r="O291" t="n">
        <v>0</v>
      </c>
      <c r="P291" t="n">
        <v>0</v>
      </c>
      <c r="Q291" t="n">
        <v>0</v>
      </c>
      <c r="R291" s="2" t="inlineStr"/>
    </row>
    <row r="292" ht="15" customHeight="1">
      <c r="A292" t="inlineStr">
        <is>
          <t>A 28485-2023</t>
        </is>
      </c>
      <c r="B292" s="1" t="n">
        <v>45103.43731481482</v>
      </c>
      <c r="C292" s="1" t="n">
        <v>46129</v>
      </c>
      <c r="D292" t="inlineStr">
        <is>
          <t>GOTLANDS LÄN</t>
        </is>
      </c>
      <c r="E292" t="inlineStr">
        <is>
          <t>GOTLAND</t>
        </is>
      </c>
      <c r="G292" t="n">
        <v>2.3</v>
      </c>
      <c r="H292" t="n">
        <v>0</v>
      </c>
      <c r="I292" t="n">
        <v>0</v>
      </c>
      <c r="J292" t="n">
        <v>0</v>
      </c>
      <c r="K292" t="n">
        <v>0</v>
      </c>
      <c r="L292" t="n">
        <v>0</v>
      </c>
      <c r="M292" t="n">
        <v>0</v>
      </c>
      <c r="N292" t="n">
        <v>0</v>
      </c>
      <c r="O292" t="n">
        <v>0</v>
      </c>
      <c r="P292" t="n">
        <v>0</v>
      </c>
      <c r="Q292" t="n">
        <v>0</v>
      </c>
      <c r="R292" s="2" t="inlineStr"/>
    </row>
    <row r="293" ht="15" customHeight="1">
      <c r="A293" t="inlineStr">
        <is>
          <t>A 42608-2025</t>
        </is>
      </c>
      <c r="B293" s="1" t="n">
        <v>45905</v>
      </c>
      <c r="C293" s="1" t="n">
        <v>46129</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4990-2025</t>
        </is>
      </c>
      <c r="B294" s="1" t="n">
        <v>45691</v>
      </c>
      <c r="C294" s="1" t="n">
        <v>46129</v>
      </c>
      <c r="D294" t="inlineStr">
        <is>
          <t>GOTLANDS LÄN</t>
        </is>
      </c>
      <c r="E294" t="inlineStr">
        <is>
          <t>GOTLAND</t>
        </is>
      </c>
      <c r="G294" t="n">
        <v>7.7</v>
      </c>
      <c r="H294" t="n">
        <v>0</v>
      </c>
      <c r="I294" t="n">
        <v>0</v>
      </c>
      <c r="J294" t="n">
        <v>0</v>
      </c>
      <c r="K294" t="n">
        <v>0</v>
      </c>
      <c r="L294" t="n">
        <v>0</v>
      </c>
      <c r="M294" t="n">
        <v>0</v>
      </c>
      <c r="N294" t="n">
        <v>0</v>
      </c>
      <c r="O294" t="n">
        <v>0</v>
      </c>
      <c r="P294" t="n">
        <v>0</v>
      </c>
      <c r="Q294" t="n">
        <v>0</v>
      </c>
      <c r="R294" s="2" t="inlineStr"/>
    </row>
    <row r="295" ht="15" customHeight="1">
      <c r="A295" t="inlineStr">
        <is>
          <t>A 16373-2025</t>
        </is>
      </c>
      <c r="B295" s="1" t="n">
        <v>45751</v>
      </c>
      <c r="C295" s="1" t="n">
        <v>46129</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26660-2025</t>
        </is>
      </c>
      <c r="B296" s="1" t="n">
        <v>45810.39737268518</v>
      </c>
      <c r="C296" s="1" t="n">
        <v>46129</v>
      </c>
      <c r="D296" t="inlineStr">
        <is>
          <t>GOTLANDS LÄN</t>
        </is>
      </c>
      <c r="E296" t="inlineStr">
        <is>
          <t>GOTLAND</t>
        </is>
      </c>
      <c r="G296" t="n">
        <v>1.8</v>
      </c>
      <c r="H296" t="n">
        <v>0</v>
      </c>
      <c r="I296" t="n">
        <v>0</v>
      </c>
      <c r="J296" t="n">
        <v>0</v>
      </c>
      <c r="K296" t="n">
        <v>0</v>
      </c>
      <c r="L296" t="n">
        <v>0</v>
      </c>
      <c r="M296" t="n">
        <v>0</v>
      </c>
      <c r="N296" t="n">
        <v>0</v>
      </c>
      <c r="O296" t="n">
        <v>0</v>
      </c>
      <c r="P296" t="n">
        <v>0</v>
      </c>
      <c r="Q296" t="n">
        <v>0</v>
      </c>
      <c r="R296" s="2" t="inlineStr"/>
    </row>
    <row r="297" ht="15" customHeight="1">
      <c r="A297" t="inlineStr">
        <is>
          <t>A 38165-2023</t>
        </is>
      </c>
      <c r="B297" s="1" t="n">
        <v>45161</v>
      </c>
      <c r="C297" s="1" t="n">
        <v>46129</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27355-2025</t>
        </is>
      </c>
      <c r="B298" s="1" t="n">
        <v>45812</v>
      </c>
      <c r="C298" s="1" t="n">
        <v>46129</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27371-2025</t>
        </is>
      </c>
      <c r="B299" s="1" t="n">
        <v>45812</v>
      </c>
      <c r="C299" s="1" t="n">
        <v>46129</v>
      </c>
      <c r="D299" t="inlineStr">
        <is>
          <t>GOTLANDS LÄN</t>
        </is>
      </c>
      <c r="E299" t="inlineStr">
        <is>
          <t>GOTLAND</t>
        </is>
      </c>
      <c r="G299" t="n">
        <v>8</v>
      </c>
      <c r="H299" t="n">
        <v>0</v>
      </c>
      <c r="I299" t="n">
        <v>0</v>
      </c>
      <c r="J299" t="n">
        <v>0</v>
      </c>
      <c r="K299" t="n">
        <v>0</v>
      </c>
      <c r="L299" t="n">
        <v>0</v>
      </c>
      <c r="M299" t="n">
        <v>0</v>
      </c>
      <c r="N299" t="n">
        <v>0</v>
      </c>
      <c r="O299" t="n">
        <v>0</v>
      </c>
      <c r="P299" t="n">
        <v>0</v>
      </c>
      <c r="Q299" t="n">
        <v>0</v>
      </c>
      <c r="R299" s="2" t="inlineStr"/>
    </row>
    <row r="300" ht="15" customHeight="1">
      <c r="A300" t="inlineStr">
        <is>
          <t>A 10158-2025</t>
        </is>
      </c>
      <c r="B300" s="1" t="n">
        <v>45719</v>
      </c>
      <c r="C300" s="1" t="n">
        <v>46129</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7850-2025</t>
        </is>
      </c>
      <c r="B301" s="1" t="n">
        <v>45706</v>
      </c>
      <c r="C301" s="1" t="n">
        <v>46129</v>
      </c>
      <c r="D301" t="inlineStr">
        <is>
          <t>GOTLANDS LÄN</t>
        </is>
      </c>
      <c r="E301" t="inlineStr">
        <is>
          <t>GOTLAND</t>
        </is>
      </c>
      <c r="G301" t="n">
        <v>0.5</v>
      </c>
      <c r="H301" t="n">
        <v>0</v>
      </c>
      <c r="I301" t="n">
        <v>0</v>
      </c>
      <c r="J301" t="n">
        <v>0</v>
      </c>
      <c r="K301" t="n">
        <v>0</v>
      </c>
      <c r="L301" t="n">
        <v>0</v>
      </c>
      <c r="M301" t="n">
        <v>0</v>
      </c>
      <c r="N301" t="n">
        <v>0</v>
      </c>
      <c r="O301" t="n">
        <v>0</v>
      </c>
      <c r="P301" t="n">
        <v>0</v>
      </c>
      <c r="Q301" t="n">
        <v>0</v>
      </c>
      <c r="R301" s="2" t="inlineStr"/>
    </row>
    <row r="302" ht="15" customHeight="1">
      <c r="A302" t="inlineStr">
        <is>
          <t>A 6739-2025</t>
        </is>
      </c>
      <c r="B302" s="1" t="n">
        <v>45700</v>
      </c>
      <c r="C302" s="1" t="n">
        <v>46129</v>
      </c>
      <c r="D302" t="inlineStr">
        <is>
          <t>GOTLANDS LÄN</t>
        </is>
      </c>
      <c r="E302" t="inlineStr">
        <is>
          <t>GOTLAND</t>
        </is>
      </c>
      <c r="G302" t="n">
        <v>4.5</v>
      </c>
      <c r="H302" t="n">
        <v>0</v>
      </c>
      <c r="I302" t="n">
        <v>0</v>
      </c>
      <c r="J302" t="n">
        <v>0</v>
      </c>
      <c r="K302" t="n">
        <v>0</v>
      </c>
      <c r="L302" t="n">
        <v>0</v>
      </c>
      <c r="M302" t="n">
        <v>0</v>
      </c>
      <c r="N302" t="n">
        <v>0</v>
      </c>
      <c r="O302" t="n">
        <v>0</v>
      </c>
      <c r="P302" t="n">
        <v>0</v>
      </c>
      <c r="Q302" t="n">
        <v>0</v>
      </c>
      <c r="R302" s="2" t="inlineStr"/>
    </row>
    <row r="303" ht="15" customHeight="1">
      <c r="A303" t="inlineStr">
        <is>
          <t>A 43911-2025</t>
        </is>
      </c>
      <c r="B303" s="1" t="n">
        <v>45914.3881712963</v>
      </c>
      <c r="C303" s="1" t="n">
        <v>46129</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49693-2023</t>
        </is>
      </c>
      <c r="B304" s="1" t="n">
        <v>45212.38138888889</v>
      </c>
      <c r="C304" s="1" t="n">
        <v>46129</v>
      </c>
      <c r="D304" t="inlineStr">
        <is>
          <t>GOTLANDS LÄN</t>
        </is>
      </c>
      <c r="E304" t="inlineStr">
        <is>
          <t>GOTLAND</t>
        </is>
      </c>
      <c r="G304" t="n">
        <v>2.4</v>
      </c>
      <c r="H304" t="n">
        <v>0</v>
      </c>
      <c r="I304" t="n">
        <v>0</v>
      </c>
      <c r="J304" t="n">
        <v>0</v>
      </c>
      <c r="K304" t="n">
        <v>0</v>
      </c>
      <c r="L304" t="n">
        <v>0</v>
      </c>
      <c r="M304" t="n">
        <v>0</v>
      </c>
      <c r="N304" t="n">
        <v>0</v>
      </c>
      <c r="O304" t="n">
        <v>0</v>
      </c>
      <c r="P304" t="n">
        <v>0</v>
      </c>
      <c r="Q304" t="n">
        <v>0</v>
      </c>
      <c r="R304" s="2" t="inlineStr"/>
    </row>
    <row r="305" ht="15" customHeight="1">
      <c r="A305" t="inlineStr">
        <is>
          <t>A 49697-2023</t>
        </is>
      </c>
      <c r="B305" s="1" t="n">
        <v>45212.38909722222</v>
      </c>
      <c r="C305" s="1" t="n">
        <v>46129</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34312-2024</t>
        </is>
      </c>
      <c r="B306" s="1" t="n">
        <v>45524.69703703704</v>
      </c>
      <c r="C306" s="1" t="n">
        <v>46129</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8444-2025</t>
        </is>
      </c>
      <c r="B307" s="1" t="n">
        <v>45709</v>
      </c>
      <c r="C307" s="1" t="n">
        <v>46129</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19905-2025</t>
        </is>
      </c>
      <c r="B308" s="1" t="n">
        <v>45771</v>
      </c>
      <c r="C308" s="1" t="n">
        <v>46129</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59197-2025</t>
        </is>
      </c>
      <c r="B309" s="1" t="n">
        <v>45988.59846064815</v>
      </c>
      <c r="C309" s="1" t="n">
        <v>46129</v>
      </c>
      <c r="D309" t="inlineStr">
        <is>
          <t>GOTLANDS LÄN</t>
        </is>
      </c>
      <c r="E309" t="inlineStr">
        <is>
          <t>GOTLAND</t>
        </is>
      </c>
      <c r="G309" t="n">
        <v>2.3</v>
      </c>
      <c r="H309" t="n">
        <v>0</v>
      </c>
      <c r="I309" t="n">
        <v>0</v>
      </c>
      <c r="J309" t="n">
        <v>0</v>
      </c>
      <c r="K309" t="n">
        <v>0</v>
      </c>
      <c r="L309" t="n">
        <v>0</v>
      </c>
      <c r="M309" t="n">
        <v>0</v>
      </c>
      <c r="N309" t="n">
        <v>0</v>
      </c>
      <c r="O309" t="n">
        <v>0</v>
      </c>
      <c r="P309" t="n">
        <v>0</v>
      </c>
      <c r="Q309" t="n">
        <v>0</v>
      </c>
      <c r="R309" s="2" t="inlineStr"/>
    </row>
    <row r="310" ht="15" customHeight="1">
      <c r="A310" t="inlineStr">
        <is>
          <t>A 43951-2025</t>
        </is>
      </c>
      <c r="B310" s="1" t="n">
        <v>45915.38119212963</v>
      </c>
      <c r="C310" s="1" t="n">
        <v>46129</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44410-2025</t>
        </is>
      </c>
      <c r="B311" s="1" t="n">
        <v>45916.53699074074</v>
      </c>
      <c r="C311" s="1" t="n">
        <v>46129</v>
      </c>
      <c r="D311" t="inlineStr">
        <is>
          <t>GOTLANDS LÄN</t>
        </is>
      </c>
      <c r="E311" t="inlineStr">
        <is>
          <t>GOTLAND</t>
        </is>
      </c>
      <c r="G311" t="n">
        <v>2.3</v>
      </c>
      <c r="H311" t="n">
        <v>0</v>
      </c>
      <c r="I311" t="n">
        <v>0</v>
      </c>
      <c r="J311" t="n">
        <v>0</v>
      </c>
      <c r="K311" t="n">
        <v>0</v>
      </c>
      <c r="L311" t="n">
        <v>0</v>
      </c>
      <c r="M311" t="n">
        <v>0</v>
      </c>
      <c r="N311" t="n">
        <v>0</v>
      </c>
      <c r="O311" t="n">
        <v>0</v>
      </c>
      <c r="P311" t="n">
        <v>0</v>
      </c>
      <c r="Q311" t="n">
        <v>0</v>
      </c>
      <c r="R311" s="2" t="inlineStr"/>
    </row>
    <row r="312" ht="15" customHeight="1">
      <c r="A312" t="inlineStr">
        <is>
          <t>A 36319-2025</t>
        </is>
      </c>
      <c r="B312" s="1" t="n">
        <v>45868</v>
      </c>
      <c r="C312" s="1" t="n">
        <v>46129</v>
      </c>
      <c r="D312" t="inlineStr">
        <is>
          <t>GOTLANDS LÄN</t>
        </is>
      </c>
      <c r="E312" t="inlineStr">
        <is>
          <t>GOTLAND</t>
        </is>
      </c>
      <c r="G312" t="n">
        <v>2.9</v>
      </c>
      <c r="H312" t="n">
        <v>0</v>
      </c>
      <c r="I312" t="n">
        <v>0</v>
      </c>
      <c r="J312" t="n">
        <v>0</v>
      </c>
      <c r="K312" t="n">
        <v>0</v>
      </c>
      <c r="L312" t="n">
        <v>0</v>
      </c>
      <c r="M312" t="n">
        <v>0</v>
      </c>
      <c r="N312" t="n">
        <v>0</v>
      </c>
      <c r="O312" t="n">
        <v>0</v>
      </c>
      <c r="P312" t="n">
        <v>0</v>
      </c>
      <c r="Q312" t="n">
        <v>0</v>
      </c>
      <c r="R312" s="2" t="inlineStr"/>
    </row>
    <row r="313" ht="15" customHeight="1">
      <c r="A313" t="inlineStr">
        <is>
          <t>A 48503-2023</t>
        </is>
      </c>
      <c r="B313" s="1" t="n">
        <v>45207</v>
      </c>
      <c r="C313" s="1" t="n">
        <v>46129</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44405-2025</t>
        </is>
      </c>
      <c r="B314" s="1" t="n">
        <v>45916.52405092592</v>
      </c>
      <c r="C314" s="1" t="n">
        <v>46129</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29207-2025</t>
        </is>
      </c>
      <c r="B315" s="1" t="n">
        <v>45823</v>
      </c>
      <c r="C315" s="1" t="n">
        <v>46129</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29196-2025</t>
        </is>
      </c>
      <c r="B316" s="1" t="n">
        <v>45822</v>
      </c>
      <c r="C316" s="1" t="n">
        <v>46129</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24825-2024</t>
        </is>
      </c>
      <c r="B317" s="1" t="n">
        <v>45461</v>
      </c>
      <c r="C317" s="1" t="n">
        <v>46129</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22031-2024</t>
        </is>
      </c>
      <c r="B318" s="1" t="n">
        <v>45443.60075231481</v>
      </c>
      <c r="C318" s="1" t="n">
        <v>46129</v>
      </c>
      <c r="D318" t="inlineStr">
        <is>
          <t>GOTLANDS LÄN</t>
        </is>
      </c>
      <c r="E318" t="inlineStr">
        <is>
          <t>GOTLAND</t>
        </is>
      </c>
      <c r="G318" t="n">
        <v>2.3</v>
      </c>
      <c r="H318" t="n">
        <v>0</v>
      </c>
      <c r="I318" t="n">
        <v>0</v>
      </c>
      <c r="J318" t="n">
        <v>0</v>
      </c>
      <c r="K318" t="n">
        <v>0</v>
      </c>
      <c r="L318" t="n">
        <v>0</v>
      </c>
      <c r="M318" t="n">
        <v>0</v>
      </c>
      <c r="N318" t="n">
        <v>0</v>
      </c>
      <c r="O318" t="n">
        <v>0</v>
      </c>
      <c r="P318" t="n">
        <v>0</v>
      </c>
      <c r="Q318" t="n">
        <v>0</v>
      </c>
      <c r="R318" s="2" t="inlineStr"/>
    </row>
    <row r="319" ht="15" customHeight="1">
      <c r="A319" t="inlineStr">
        <is>
          <t>A 17688-2024</t>
        </is>
      </c>
      <c r="B319" s="1" t="n">
        <v>45418.43575231481</v>
      </c>
      <c r="C319" s="1" t="n">
        <v>46129</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30061-2025</t>
        </is>
      </c>
      <c r="B320" s="1" t="n">
        <v>45826.61488425926</v>
      </c>
      <c r="C320" s="1" t="n">
        <v>46129</v>
      </c>
      <c r="D320" t="inlineStr">
        <is>
          <t>GOTLANDS LÄN</t>
        </is>
      </c>
      <c r="E320" t="inlineStr">
        <is>
          <t>GOTLAND</t>
        </is>
      </c>
      <c r="G320" t="n">
        <v>4.1</v>
      </c>
      <c r="H320" t="n">
        <v>0</v>
      </c>
      <c r="I320" t="n">
        <v>0</v>
      </c>
      <c r="J320" t="n">
        <v>0</v>
      </c>
      <c r="K320" t="n">
        <v>0</v>
      </c>
      <c r="L320" t="n">
        <v>0</v>
      </c>
      <c r="M320" t="n">
        <v>0</v>
      </c>
      <c r="N320" t="n">
        <v>0</v>
      </c>
      <c r="O320" t="n">
        <v>0</v>
      </c>
      <c r="P320" t="n">
        <v>0</v>
      </c>
      <c r="Q320" t="n">
        <v>0</v>
      </c>
      <c r="R320" s="2" t="inlineStr"/>
    </row>
    <row r="321" ht="15" customHeight="1">
      <c r="A321" t="inlineStr">
        <is>
          <t>A 27694-2024</t>
        </is>
      </c>
      <c r="B321" s="1" t="n">
        <v>45475</v>
      </c>
      <c r="C321" s="1" t="n">
        <v>46129</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58160-2024</t>
        </is>
      </c>
      <c r="B322" s="1" t="n">
        <v>45632.44927083333</v>
      </c>
      <c r="C322" s="1" t="n">
        <v>46129</v>
      </c>
      <c r="D322" t="inlineStr">
        <is>
          <t>GOTLANDS LÄN</t>
        </is>
      </c>
      <c r="E322" t="inlineStr">
        <is>
          <t>GOTLAND</t>
        </is>
      </c>
      <c r="G322" t="n">
        <v>5.6</v>
      </c>
      <c r="H322" t="n">
        <v>0</v>
      </c>
      <c r="I322" t="n">
        <v>0</v>
      </c>
      <c r="J322" t="n">
        <v>0</v>
      </c>
      <c r="K322" t="n">
        <v>0</v>
      </c>
      <c r="L322" t="n">
        <v>0</v>
      </c>
      <c r="M322" t="n">
        <v>0</v>
      </c>
      <c r="N322" t="n">
        <v>0</v>
      </c>
      <c r="O322" t="n">
        <v>0</v>
      </c>
      <c r="P322" t="n">
        <v>0</v>
      </c>
      <c r="Q322" t="n">
        <v>0</v>
      </c>
      <c r="R322" s="2" t="inlineStr"/>
    </row>
    <row r="323" ht="15" customHeight="1">
      <c r="A323" t="inlineStr">
        <is>
          <t>A 39764-2022</t>
        </is>
      </c>
      <c r="B323" s="1" t="n">
        <v>44819</v>
      </c>
      <c r="C323" s="1" t="n">
        <v>46129</v>
      </c>
      <c r="D323" t="inlineStr">
        <is>
          <t>GOTLANDS LÄN</t>
        </is>
      </c>
      <c r="E323" t="inlineStr">
        <is>
          <t>GOTLAND</t>
        </is>
      </c>
      <c r="F323" t="inlineStr">
        <is>
          <t>Kyrkan</t>
        </is>
      </c>
      <c r="G323" t="n">
        <v>3.7</v>
      </c>
      <c r="H323" t="n">
        <v>0</v>
      </c>
      <c r="I323" t="n">
        <v>0</v>
      </c>
      <c r="J323" t="n">
        <v>0</v>
      </c>
      <c r="K323" t="n">
        <v>0</v>
      </c>
      <c r="L323" t="n">
        <v>0</v>
      </c>
      <c r="M323" t="n">
        <v>0</v>
      </c>
      <c r="N323" t="n">
        <v>0</v>
      </c>
      <c r="O323" t="n">
        <v>0</v>
      </c>
      <c r="P323" t="n">
        <v>0</v>
      </c>
      <c r="Q323" t="n">
        <v>0</v>
      </c>
      <c r="R323" s="2" t="inlineStr"/>
    </row>
    <row r="324" ht="15" customHeight="1">
      <c r="A324" t="inlineStr">
        <is>
          <t>A 6099-2024</t>
        </is>
      </c>
      <c r="B324" s="1" t="n">
        <v>45337</v>
      </c>
      <c r="C324" s="1" t="n">
        <v>46129</v>
      </c>
      <c r="D324" t="inlineStr">
        <is>
          <t>GOTLANDS LÄN</t>
        </is>
      </c>
      <c r="E324" t="inlineStr">
        <is>
          <t>GOTLAND</t>
        </is>
      </c>
      <c r="G324" t="n">
        <v>12.6</v>
      </c>
      <c r="H324" t="n">
        <v>0</v>
      </c>
      <c r="I324" t="n">
        <v>0</v>
      </c>
      <c r="J324" t="n">
        <v>0</v>
      </c>
      <c r="K324" t="n">
        <v>0</v>
      </c>
      <c r="L324" t="n">
        <v>0</v>
      </c>
      <c r="M324" t="n">
        <v>0</v>
      </c>
      <c r="N324" t="n">
        <v>0</v>
      </c>
      <c r="O324" t="n">
        <v>0</v>
      </c>
      <c r="P324" t="n">
        <v>0</v>
      </c>
      <c r="Q324" t="n">
        <v>0</v>
      </c>
      <c r="R324" s="2" t="inlineStr"/>
    </row>
    <row r="325" ht="15" customHeight="1">
      <c r="A325" t="inlineStr">
        <is>
          <t>A 8260-2023</t>
        </is>
      </c>
      <c r="B325" s="1" t="n">
        <v>44974.61608796296</v>
      </c>
      <c r="C325" s="1" t="n">
        <v>46129</v>
      </c>
      <c r="D325" t="inlineStr">
        <is>
          <t>GOTLANDS LÄN</t>
        </is>
      </c>
      <c r="E325" t="inlineStr">
        <is>
          <t>GOTLAND</t>
        </is>
      </c>
      <c r="G325" t="n">
        <v>2.9</v>
      </c>
      <c r="H325" t="n">
        <v>0</v>
      </c>
      <c r="I325" t="n">
        <v>0</v>
      </c>
      <c r="J325" t="n">
        <v>0</v>
      </c>
      <c r="K325" t="n">
        <v>0</v>
      </c>
      <c r="L325" t="n">
        <v>0</v>
      </c>
      <c r="M325" t="n">
        <v>0</v>
      </c>
      <c r="N325" t="n">
        <v>0</v>
      </c>
      <c r="O325" t="n">
        <v>0</v>
      </c>
      <c r="P325" t="n">
        <v>0</v>
      </c>
      <c r="Q325" t="n">
        <v>0</v>
      </c>
      <c r="R325" s="2" t="inlineStr"/>
    </row>
    <row r="326" ht="15" customHeight="1">
      <c r="A326" t="inlineStr">
        <is>
          <t>A 22287-2022</t>
        </is>
      </c>
      <c r="B326" s="1" t="n">
        <v>44712</v>
      </c>
      <c r="C326" s="1" t="n">
        <v>46129</v>
      </c>
      <c r="D326" t="inlineStr">
        <is>
          <t>GOTLANDS LÄN</t>
        </is>
      </c>
      <c r="E326" t="inlineStr">
        <is>
          <t>GOTLAND</t>
        </is>
      </c>
      <c r="G326" t="n">
        <v>6.1</v>
      </c>
      <c r="H326" t="n">
        <v>0</v>
      </c>
      <c r="I326" t="n">
        <v>0</v>
      </c>
      <c r="J326" t="n">
        <v>0</v>
      </c>
      <c r="K326" t="n">
        <v>0</v>
      </c>
      <c r="L326" t="n">
        <v>0</v>
      </c>
      <c r="M326" t="n">
        <v>0</v>
      </c>
      <c r="N326" t="n">
        <v>0</v>
      </c>
      <c r="O326" t="n">
        <v>0</v>
      </c>
      <c r="P326" t="n">
        <v>0</v>
      </c>
      <c r="Q326" t="n">
        <v>0</v>
      </c>
      <c r="R326" s="2" t="inlineStr"/>
    </row>
    <row r="327" ht="15" customHeight="1">
      <c r="A327" t="inlineStr">
        <is>
          <t>A 57534-2022</t>
        </is>
      </c>
      <c r="B327" s="1" t="n">
        <v>44896</v>
      </c>
      <c r="C327" s="1" t="n">
        <v>46129</v>
      </c>
      <c r="D327" t="inlineStr">
        <is>
          <t>GOTLANDS LÄN</t>
        </is>
      </c>
      <c r="E327" t="inlineStr">
        <is>
          <t>GOTLAND</t>
        </is>
      </c>
      <c r="G327" t="n">
        <v>0.6</v>
      </c>
      <c r="H327" t="n">
        <v>0</v>
      </c>
      <c r="I327" t="n">
        <v>0</v>
      </c>
      <c r="J327" t="n">
        <v>0</v>
      </c>
      <c r="K327" t="n">
        <v>0</v>
      </c>
      <c r="L327" t="n">
        <v>0</v>
      </c>
      <c r="M327" t="n">
        <v>0</v>
      </c>
      <c r="N327" t="n">
        <v>0</v>
      </c>
      <c r="O327" t="n">
        <v>0</v>
      </c>
      <c r="P327" t="n">
        <v>0</v>
      </c>
      <c r="Q327" t="n">
        <v>0</v>
      </c>
      <c r="R327" s="2" t="inlineStr"/>
    </row>
    <row r="328" ht="15" customHeight="1">
      <c r="A328" t="inlineStr">
        <is>
          <t>A 26391-2025</t>
        </is>
      </c>
      <c r="B328" s="1" t="n">
        <v>45806</v>
      </c>
      <c r="C328" s="1" t="n">
        <v>46129</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46836-2025</t>
        </is>
      </c>
      <c r="B329" s="1" t="n">
        <v>45928.31511574074</v>
      </c>
      <c r="C329" s="1" t="n">
        <v>46129</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16109-2025</t>
        </is>
      </c>
      <c r="B330" s="1" t="n">
        <v>45750</v>
      </c>
      <c r="C330" s="1" t="n">
        <v>46129</v>
      </c>
      <c r="D330" t="inlineStr">
        <is>
          <t>GOTLANDS LÄN</t>
        </is>
      </c>
      <c r="E330" t="inlineStr">
        <is>
          <t>GOTLAND</t>
        </is>
      </c>
      <c r="G330" t="n">
        <v>4.9</v>
      </c>
      <c r="H330" t="n">
        <v>0</v>
      </c>
      <c r="I330" t="n">
        <v>0</v>
      </c>
      <c r="J330" t="n">
        <v>0</v>
      </c>
      <c r="K330" t="n">
        <v>0</v>
      </c>
      <c r="L330" t="n">
        <v>0</v>
      </c>
      <c r="M330" t="n">
        <v>0</v>
      </c>
      <c r="N330" t="n">
        <v>0</v>
      </c>
      <c r="O330" t="n">
        <v>0</v>
      </c>
      <c r="P330" t="n">
        <v>0</v>
      </c>
      <c r="Q330" t="n">
        <v>0</v>
      </c>
      <c r="R330" s="2" t="inlineStr"/>
    </row>
    <row r="331" ht="15" customHeight="1">
      <c r="A331" t="inlineStr">
        <is>
          <t>A 32467-2025</t>
        </is>
      </c>
      <c r="B331" s="1" t="n">
        <v>45838.42111111111</v>
      </c>
      <c r="C331" s="1" t="n">
        <v>46129</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47637-2025</t>
        </is>
      </c>
      <c r="B332" s="1" t="n">
        <v>45931.49753472222</v>
      </c>
      <c r="C332" s="1" t="n">
        <v>46129</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64660-2023</t>
        </is>
      </c>
      <c r="B333" s="1" t="n">
        <v>45281.60122685185</v>
      </c>
      <c r="C333" s="1" t="n">
        <v>46129</v>
      </c>
      <c r="D333" t="inlineStr">
        <is>
          <t>GOTLANDS LÄN</t>
        </is>
      </c>
      <c r="E333" t="inlineStr">
        <is>
          <t>GOTLAND</t>
        </is>
      </c>
      <c r="G333" t="n">
        <v>6.3</v>
      </c>
      <c r="H333" t="n">
        <v>0</v>
      </c>
      <c r="I333" t="n">
        <v>0</v>
      </c>
      <c r="J333" t="n">
        <v>0</v>
      </c>
      <c r="K333" t="n">
        <v>0</v>
      </c>
      <c r="L333" t="n">
        <v>0</v>
      </c>
      <c r="M333" t="n">
        <v>0</v>
      </c>
      <c r="N333" t="n">
        <v>0</v>
      </c>
      <c r="O333" t="n">
        <v>0</v>
      </c>
      <c r="P333" t="n">
        <v>0</v>
      </c>
      <c r="Q333" t="n">
        <v>0</v>
      </c>
      <c r="R333" s="2" t="inlineStr"/>
    </row>
    <row r="334" ht="15" customHeight="1">
      <c r="A334" t="inlineStr">
        <is>
          <t>A 32379-2025</t>
        </is>
      </c>
      <c r="B334" s="1" t="n">
        <v>45837</v>
      </c>
      <c r="C334" s="1" t="n">
        <v>46129</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33007-2025</t>
        </is>
      </c>
      <c r="B335" s="1" t="n">
        <v>45840</v>
      </c>
      <c r="C335" s="1" t="n">
        <v>46129</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32378-2025</t>
        </is>
      </c>
      <c r="B336" s="1" t="n">
        <v>45837</v>
      </c>
      <c r="C336" s="1" t="n">
        <v>46129</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20855-2023</t>
        </is>
      </c>
      <c r="B337" s="1" t="n">
        <v>45058.82172453704</v>
      </c>
      <c r="C337" s="1" t="n">
        <v>46129</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60709-2023</t>
        </is>
      </c>
      <c r="B338" s="1" t="n">
        <v>45260</v>
      </c>
      <c r="C338" s="1" t="n">
        <v>46129</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35550-2025</t>
        </is>
      </c>
      <c r="B339" s="1" t="n">
        <v>45856.49324074074</v>
      </c>
      <c r="C339" s="1" t="n">
        <v>46129</v>
      </c>
      <c r="D339" t="inlineStr">
        <is>
          <t>GOTLANDS LÄN</t>
        </is>
      </c>
      <c r="E339" t="inlineStr">
        <is>
          <t>GOTLAND</t>
        </is>
      </c>
      <c r="G339" t="n">
        <v>3.2</v>
      </c>
      <c r="H339" t="n">
        <v>0</v>
      </c>
      <c r="I339" t="n">
        <v>0</v>
      </c>
      <c r="J339" t="n">
        <v>0</v>
      </c>
      <c r="K339" t="n">
        <v>0</v>
      </c>
      <c r="L339" t="n">
        <v>0</v>
      </c>
      <c r="M339" t="n">
        <v>0</v>
      </c>
      <c r="N339" t="n">
        <v>0</v>
      </c>
      <c r="O339" t="n">
        <v>0</v>
      </c>
      <c r="P339" t="n">
        <v>0</v>
      </c>
      <c r="Q339" t="n">
        <v>0</v>
      </c>
      <c r="R339" s="2" t="inlineStr"/>
    </row>
    <row r="340" ht="15" customHeight="1">
      <c r="A340" t="inlineStr">
        <is>
          <t>A 1000-2024</t>
        </is>
      </c>
      <c r="B340" s="1" t="n">
        <v>45301.63371527778</v>
      </c>
      <c r="C340" s="1" t="n">
        <v>46129</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1010-2024</t>
        </is>
      </c>
      <c r="B341" s="1" t="n">
        <v>45301</v>
      </c>
      <c r="C341" s="1" t="n">
        <v>46129</v>
      </c>
      <c r="D341" t="inlineStr">
        <is>
          <t>GOTLANDS LÄN</t>
        </is>
      </c>
      <c r="E341" t="inlineStr">
        <is>
          <t>GOTLAND</t>
        </is>
      </c>
      <c r="G341" t="n">
        <v>2.4</v>
      </c>
      <c r="H341" t="n">
        <v>0</v>
      </c>
      <c r="I341" t="n">
        <v>0</v>
      </c>
      <c r="J341" t="n">
        <v>0</v>
      </c>
      <c r="K341" t="n">
        <v>0</v>
      </c>
      <c r="L341" t="n">
        <v>0</v>
      </c>
      <c r="M341" t="n">
        <v>0</v>
      </c>
      <c r="N341" t="n">
        <v>0</v>
      </c>
      <c r="O341" t="n">
        <v>0</v>
      </c>
      <c r="P341" t="n">
        <v>0</v>
      </c>
      <c r="Q341" t="n">
        <v>0</v>
      </c>
      <c r="R341" s="2" t="inlineStr"/>
    </row>
    <row r="342" ht="15" customHeight="1">
      <c r="A342" t="inlineStr">
        <is>
          <t>A 65249-2023</t>
        </is>
      </c>
      <c r="B342" s="1" t="n">
        <v>45290</v>
      </c>
      <c r="C342" s="1" t="n">
        <v>46129</v>
      </c>
      <c r="D342" t="inlineStr">
        <is>
          <t>GOTLANDS LÄN</t>
        </is>
      </c>
      <c r="E342" t="inlineStr">
        <is>
          <t>GOTLAND</t>
        </is>
      </c>
      <c r="G342" t="n">
        <v>2.4</v>
      </c>
      <c r="H342" t="n">
        <v>0</v>
      </c>
      <c r="I342" t="n">
        <v>0</v>
      </c>
      <c r="J342" t="n">
        <v>0</v>
      </c>
      <c r="K342" t="n">
        <v>0</v>
      </c>
      <c r="L342" t="n">
        <v>0</v>
      </c>
      <c r="M342" t="n">
        <v>0</v>
      </c>
      <c r="N342" t="n">
        <v>0</v>
      </c>
      <c r="O342" t="n">
        <v>0</v>
      </c>
      <c r="P342" t="n">
        <v>0</v>
      </c>
      <c r="Q342" t="n">
        <v>0</v>
      </c>
      <c r="R342" s="2" t="inlineStr"/>
    </row>
    <row r="343" ht="15" customHeight="1">
      <c r="A343" t="inlineStr">
        <is>
          <t>A 30956-2024</t>
        </is>
      </c>
      <c r="B343" s="1" t="n">
        <v>45499.42527777778</v>
      </c>
      <c r="C343" s="1" t="n">
        <v>46129</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47578-2025</t>
        </is>
      </c>
      <c r="B344" s="1" t="n">
        <v>45931</v>
      </c>
      <c r="C344" s="1" t="n">
        <v>46129</v>
      </c>
      <c r="D344" t="inlineStr">
        <is>
          <t>GOTLANDS LÄN</t>
        </is>
      </c>
      <c r="E344" t="inlineStr">
        <is>
          <t>GOTLAND</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15413-2025</t>
        </is>
      </c>
      <c r="B345" s="1" t="n">
        <v>45747.451875</v>
      </c>
      <c r="C345" s="1" t="n">
        <v>46129</v>
      </c>
      <c r="D345" t="inlineStr">
        <is>
          <t>GOTLANDS LÄN</t>
        </is>
      </c>
      <c r="E345" t="inlineStr">
        <is>
          <t>GOTLAND</t>
        </is>
      </c>
      <c r="G345" t="n">
        <v>0.6</v>
      </c>
      <c r="H345" t="n">
        <v>0</v>
      </c>
      <c r="I345" t="n">
        <v>0</v>
      </c>
      <c r="J345" t="n">
        <v>0</v>
      </c>
      <c r="K345" t="n">
        <v>0</v>
      </c>
      <c r="L345" t="n">
        <v>0</v>
      </c>
      <c r="M345" t="n">
        <v>0</v>
      </c>
      <c r="N345" t="n">
        <v>0</v>
      </c>
      <c r="O345" t="n">
        <v>0</v>
      </c>
      <c r="P345" t="n">
        <v>0</v>
      </c>
      <c r="Q345" t="n">
        <v>0</v>
      </c>
      <c r="R345" s="2" t="inlineStr"/>
    </row>
    <row r="346" ht="15" customHeight="1">
      <c r="A346" t="inlineStr">
        <is>
          <t>A 12596-2023</t>
        </is>
      </c>
      <c r="B346" s="1" t="n">
        <v>45000.43310185185</v>
      </c>
      <c r="C346" s="1" t="n">
        <v>46129</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33011-2025</t>
        </is>
      </c>
      <c r="B347" s="1" t="n">
        <v>45840</v>
      </c>
      <c r="C347" s="1" t="n">
        <v>46129</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35096-2025</t>
        </is>
      </c>
      <c r="B348" s="1" t="n">
        <v>45852.54356481481</v>
      </c>
      <c r="C348" s="1" t="n">
        <v>46129</v>
      </c>
      <c r="D348" t="inlineStr">
        <is>
          <t>GOTLANDS LÄN</t>
        </is>
      </c>
      <c r="E348" t="inlineStr">
        <is>
          <t>GOTLAND</t>
        </is>
      </c>
      <c r="F348" t="inlineStr">
        <is>
          <t>Kyrkan</t>
        </is>
      </c>
      <c r="G348" t="n">
        <v>1</v>
      </c>
      <c r="H348" t="n">
        <v>0</v>
      </c>
      <c r="I348" t="n">
        <v>0</v>
      </c>
      <c r="J348" t="n">
        <v>0</v>
      </c>
      <c r="K348" t="n">
        <v>0</v>
      </c>
      <c r="L348" t="n">
        <v>0</v>
      </c>
      <c r="M348" t="n">
        <v>0</v>
      </c>
      <c r="N348" t="n">
        <v>0</v>
      </c>
      <c r="O348" t="n">
        <v>0</v>
      </c>
      <c r="P348" t="n">
        <v>0</v>
      </c>
      <c r="Q348" t="n">
        <v>0</v>
      </c>
      <c r="R348" s="2" t="inlineStr"/>
    </row>
    <row r="349" ht="15" customHeight="1">
      <c r="A349" t="inlineStr">
        <is>
          <t>A 8045-2022</t>
        </is>
      </c>
      <c r="B349" s="1" t="n">
        <v>44609</v>
      </c>
      <c r="C349" s="1" t="n">
        <v>46129</v>
      </c>
      <c r="D349" t="inlineStr">
        <is>
          <t>GOTLANDS LÄN</t>
        </is>
      </c>
      <c r="E349" t="inlineStr">
        <is>
          <t>GOTLAND</t>
        </is>
      </c>
      <c r="G349" t="n">
        <v>7</v>
      </c>
      <c r="H349" t="n">
        <v>0</v>
      </c>
      <c r="I349" t="n">
        <v>0</v>
      </c>
      <c r="J349" t="n">
        <v>0</v>
      </c>
      <c r="K349" t="n">
        <v>0</v>
      </c>
      <c r="L349" t="n">
        <v>0</v>
      </c>
      <c r="M349" t="n">
        <v>0</v>
      </c>
      <c r="N349" t="n">
        <v>0</v>
      </c>
      <c r="O349" t="n">
        <v>0</v>
      </c>
      <c r="P349" t="n">
        <v>0</v>
      </c>
      <c r="Q349" t="n">
        <v>0</v>
      </c>
      <c r="R349" s="2" t="inlineStr"/>
    </row>
    <row r="350" ht="15" customHeight="1">
      <c r="A350" t="inlineStr">
        <is>
          <t>A 35123-2025</t>
        </is>
      </c>
      <c r="B350" s="1" t="n">
        <v>45852.614375</v>
      </c>
      <c r="C350" s="1" t="n">
        <v>46129</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49690-2025</t>
        </is>
      </c>
      <c r="B351" s="1" t="n">
        <v>45939.66730324074</v>
      </c>
      <c r="C351" s="1" t="n">
        <v>46129</v>
      </c>
      <c r="D351" t="inlineStr">
        <is>
          <t>GOTLANDS LÄN</t>
        </is>
      </c>
      <c r="E351" t="inlineStr">
        <is>
          <t>GOTLAND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35290-2025</t>
        </is>
      </c>
      <c r="B352" s="1" t="n">
        <v>45854.38502314815</v>
      </c>
      <c r="C352" s="1" t="n">
        <v>46129</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30104-2025</t>
        </is>
      </c>
      <c r="B353" s="1" t="n">
        <v>45826.68806712963</v>
      </c>
      <c r="C353" s="1" t="n">
        <v>46129</v>
      </c>
      <c r="D353" t="inlineStr">
        <is>
          <t>GOTLANDS LÄN</t>
        </is>
      </c>
      <c r="E353" t="inlineStr">
        <is>
          <t>GOTLAND</t>
        </is>
      </c>
      <c r="G353" t="n">
        <v>15.4</v>
      </c>
      <c r="H353" t="n">
        <v>0</v>
      </c>
      <c r="I353" t="n">
        <v>0</v>
      </c>
      <c r="J353" t="n">
        <v>0</v>
      </c>
      <c r="K353" t="n">
        <v>0</v>
      </c>
      <c r="L353" t="n">
        <v>0</v>
      </c>
      <c r="M353" t="n">
        <v>0</v>
      </c>
      <c r="N353" t="n">
        <v>0</v>
      </c>
      <c r="O353" t="n">
        <v>0</v>
      </c>
      <c r="P353" t="n">
        <v>0</v>
      </c>
      <c r="Q353" t="n">
        <v>0</v>
      </c>
      <c r="R353" s="2" t="inlineStr"/>
    </row>
    <row r="354" ht="15" customHeight="1">
      <c r="A354" t="inlineStr">
        <is>
          <t>A 32669-2024</t>
        </is>
      </c>
      <c r="B354" s="1" t="n">
        <v>45514</v>
      </c>
      <c r="C354" s="1" t="n">
        <v>46129</v>
      </c>
      <c r="D354" t="inlineStr">
        <is>
          <t>GOTLANDS LÄN</t>
        </is>
      </c>
      <c r="E354" t="inlineStr">
        <is>
          <t>GOTLAND</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35537-2025</t>
        </is>
      </c>
      <c r="B355" s="1" t="n">
        <v>45856</v>
      </c>
      <c r="C355" s="1" t="n">
        <v>46129</v>
      </c>
      <c r="D355" t="inlineStr">
        <is>
          <t>GOTLANDS LÄN</t>
        </is>
      </c>
      <c r="E355" t="inlineStr">
        <is>
          <t>GOTLAND</t>
        </is>
      </c>
      <c r="G355" t="n">
        <v>16.8</v>
      </c>
      <c r="H355" t="n">
        <v>0</v>
      </c>
      <c r="I355" t="n">
        <v>0</v>
      </c>
      <c r="J355" t="n">
        <v>0</v>
      </c>
      <c r="K355" t="n">
        <v>0</v>
      </c>
      <c r="L355" t="n">
        <v>0</v>
      </c>
      <c r="M355" t="n">
        <v>0</v>
      </c>
      <c r="N355" t="n">
        <v>0</v>
      </c>
      <c r="O355" t="n">
        <v>0</v>
      </c>
      <c r="P355" t="n">
        <v>0</v>
      </c>
      <c r="Q355" t="n">
        <v>0</v>
      </c>
      <c r="R355" s="2" t="inlineStr"/>
    </row>
    <row r="356" ht="15" customHeight="1">
      <c r="A356" t="inlineStr">
        <is>
          <t>A 999-2024</t>
        </is>
      </c>
      <c r="B356" s="1" t="n">
        <v>45301</v>
      </c>
      <c r="C356" s="1" t="n">
        <v>46129</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65901-2021</t>
        </is>
      </c>
      <c r="B357" s="1" t="n">
        <v>44516</v>
      </c>
      <c r="C357" s="1" t="n">
        <v>46129</v>
      </c>
      <c r="D357" t="inlineStr">
        <is>
          <t>GOTLANDS LÄN</t>
        </is>
      </c>
      <c r="E357" t="inlineStr">
        <is>
          <t>GOTLAND</t>
        </is>
      </c>
      <c r="G357" t="n">
        <v>4.9</v>
      </c>
      <c r="H357" t="n">
        <v>0</v>
      </c>
      <c r="I357" t="n">
        <v>0</v>
      </c>
      <c r="J357" t="n">
        <v>0</v>
      </c>
      <c r="K357" t="n">
        <v>0</v>
      </c>
      <c r="L357" t="n">
        <v>0</v>
      </c>
      <c r="M357" t="n">
        <v>0</v>
      </c>
      <c r="N357" t="n">
        <v>0</v>
      </c>
      <c r="O357" t="n">
        <v>0</v>
      </c>
      <c r="P357" t="n">
        <v>0</v>
      </c>
      <c r="Q357" t="n">
        <v>0</v>
      </c>
      <c r="R357" s="2" t="inlineStr"/>
    </row>
    <row r="358" ht="15" customHeight="1">
      <c r="A358" t="inlineStr">
        <is>
          <t>A 49724-2025</t>
        </is>
      </c>
      <c r="B358" s="1" t="n">
        <v>45939.83730324074</v>
      </c>
      <c r="C358" s="1" t="n">
        <v>46129</v>
      </c>
      <c r="D358" t="inlineStr">
        <is>
          <t>GOTLANDS LÄN</t>
        </is>
      </c>
      <c r="E358" t="inlineStr">
        <is>
          <t>GOTLAND</t>
        </is>
      </c>
      <c r="F358" t="inlineStr">
        <is>
          <t>Kyrkan</t>
        </is>
      </c>
      <c r="G358" t="n">
        <v>3.1</v>
      </c>
      <c r="H358" t="n">
        <v>0</v>
      </c>
      <c r="I358" t="n">
        <v>0</v>
      </c>
      <c r="J358" t="n">
        <v>0</v>
      </c>
      <c r="K358" t="n">
        <v>0</v>
      </c>
      <c r="L358" t="n">
        <v>0</v>
      </c>
      <c r="M358" t="n">
        <v>0</v>
      </c>
      <c r="N358" t="n">
        <v>0</v>
      </c>
      <c r="O358" t="n">
        <v>0</v>
      </c>
      <c r="P358" t="n">
        <v>0</v>
      </c>
      <c r="Q358" t="n">
        <v>0</v>
      </c>
      <c r="R358" s="2" t="inlineStr"/>
    </row>
    <row r="359" ht="15" customHeight="1">
      <c r="A359" t="inlineStr">
        <is>
          <t>A 49730-2025</t>
        </is>
      </c>
      <c r="B359" s="1" t="n">
        <v>45939.87613425926</v>
      </c>
      <c r="C359" s="1" t="n">
        <v>46129</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47762-2023</t>
        </is>
      </c>
      <c r="B360" s="1" t="n">
        <v>45203.86256944444</v>
      </c>
      <c r="C360" s="1" t="n">
        <v>46129</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40294-2022</t>
        </is>
      </c>
      <c r="B361" s="1" t="n">
        <v>44821</v>
      </c>
      <c r="C361" s="1" t="n">
        <v>46129</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50421-2025</t>
        </is>
      </c>
      <c r="B362" s="1" t="n">
        <v>45944.66049768519</v>
      </c>
      <c r="C362" s="1" t="n">
        <v>46129</v>
      </c>
      <c r="D362" t="inlineStr">
        <is>
          <t>GOTLANDS LÄN</t>
        </is>
      </c>
      <c r="E362" t="inlineStr">
        <is>
          <t>GOTLAND</t>
        </is>
      </c>
      <c r="G362" t="n">
        <v>3.9</v>
      </c>
      <c r="H362" t="n">
        <v>0</v>
      </c>
      <c r="I362" t="n">
        <v>0</v>
      </c>
      <c r="J362" t="n">
        <v>0</v>
      </c>
      <c r="K362" t="n">
        <v>0</v>
      </c>
      <c r="L362" t="n">
        <v>0</v>
      </c>
      <c r="M362" t="n">
        <v>0</v>
      </c>
      <c r="N362" t="n">
        <v>0</v>
      </c>
      <c r="O362" t="n">
        <v>0</v>
      </c>
      <c r="P362" t="n">
        <v>0</v>
      </c>
      <c r="Q362" t="n">
        <v>0</v>
      </c>
      <c r="R362" s="2" t="inlineStr"/>
    </row>
    <row r="363" ht="15" customHeight="1">
      <c r="A363" t="inlineStr">
        <is>
          <t>A 27602-2023</t>
        </is>
      </c>
      <c r="B363" s="1" t="n">
        <v>45097</v>
      </c>
      <c r="C363" s="1" t="n">
        <v>46129</v>
      </c>
      <c r="D363" t="inlineStr">
        <is>
          <t>GOTLANDS LÄN</t>
        </is>
      </c>
      <c r="E363" t="inlineStr">
        <is>
          <t>GOTLAND</t>
        </is>
      </c>
      <c r="G363" t="n">
        <v>2.7</v>
      </c>
      <c r="H363" t="n">
        <v>0</v>
      </c>
      <c r="I363" t="n">
        <v>0</v>
      </c>
      <c r="J363" t="n">
        <v>0</v>
      </c>
      <c r="K363" t="n">
        <v>0</v>
      </c>
      <c r="L363" t="n">
        <v>0</v>
      </c>
      <c r="M363" t="n">
        <v>0</v>
      </c>
      <c r="N363" t="n">
        <v>0</v>
      </c>
      <c r="O363" t="n">
        <v>0</v>
      </c>
      <c r="P363" t="n">
        <v>0</v>
      </c>
      <c r="Q363" t="n">
        <v>0</v>
      </c>
      <c r="R363" s="2" t="inlineStr"/>
    </row>
    <row r="364" ht="15" customHeight="1">
      <c r="A364" t="inlineStr">
        <is>
          <t>A 58780-2024</t>
        </is>
      </c>
      <c r="B364" s="1" t="n">
        <v>45635.84113425926</v>
      </c>
      <c r="C364" s="1" t="n">
        <v>46129</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12322-2025</t>
        </is>
      </c>
      <c r="B365" s="1" t="n">
        <v>45730</v>
      </c>
      <c r="C365" s="1" t="n">
        <v>46129</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50431-2025</t>
        </is>
      </c>
      <c r="B366" s="1" t="n">
        <v>45944.68453703704</v>
      </c>
      <c r="C366" s="1" t="n">
        <v>46129</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30488-2025</t>
        </is>
      </c>
      <c r="B367" s="1" t="n">
        <v>45830</v>
      </c>
      <c r="C367" s="1" t="n">
        <v>46129</v>
      </c>
      <c r="D367" t="inlineStr">
        <is>
          <t>GOTLANDS LÄN</t>
        </is>
      </c>
      <c r="E367" t="inlineStr">
        <is>
          <t>GOTLAND</t>
        </is>
      </c>
      <c r="F367" t="inlineStr">
        <is>
          <t>Kyrkan</t>
        </is>
      </c>
      <c r="G367" t="n">
        <v>3.9</v>
      </c>
      <c r="H367" t="n">
        <v>0</v>
      </c>
      <c r="I367" t="n">
        <v>0</v>
      </c>
      <c r="J367" t="n">
        <v>0</v>
      </c>
      <c r="K367" t="n">
        <v>0</v>
      </c>
      <c r="L367" t="n">
        <v>0</v>
      </c>
      <c r="M367" t="n">
        <v>0</v>
      </c>
      <c r="N367" t="n">
        <v>0</v>
      </c>
      <c r="O367" t="n">
        <v>0</v>
      </c>
      <c r="P367" t="n">
        <v>0</v>
      </c>
      <c r="Q367" t="n">
        <v>0</v>
      </c>
      <c r="R367" s="2" t="inlineStr"/>
    </row>
    <row r="368" ht="15" customHeight="1">
      <c r="A368" t="inlineStr">
        <is>
          <t>A 15216-2025</t>
        </is>
      </c>
      <c r="B368" s="1" t="n">
        <v>45744</v>
      </c>
      <c r="C368" s="1" t="n">
        <v>46129</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15001-2025</t>
        </is>
      </c>
      <c r="B369" s="1" t="n">
        <v>45743</v>
      </c>
      <c r="C369" s="1" t="n">
        <v>46129</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43790-2024</t>
        </is>
      </c>
      <c r="B370" s="1" t="n">
        <v>45571</v>
      </c>
      <c r="C370" s="1" t="n">
        <v>46129</v>
      </c>
      <c r="D370" t="inlineStr">
        <is>
          <t>GOTLANDS LÄN</t>
        </is>
      </c>
      <c r="E370" t="inlineStr">
        <is>
          <t>GOTLAND</t>
        </is>
      </c>
      <c r="G370" t="n">
        <v>3.5</v>
      </c>
      <c r="H370" t="n">
        <v>0</v>
      </c>
      <c r="I370" t="n">
        <v>0</v>
      </c>
      <c r="J370" t="n">
        <v>0</v>
      </c>
      <c r="K370" t="n">
        <v>0</v>
      </c>
      <c r="L370" t="n">
        <v>0</v>
      </c>
      <c r="M370" t="n">
        <v>0</v>
      </c>
      <c r="N370" t="n">
        <v>0</v>
      </c>
      <c r="O370" t="n">
        <v>0</v>
      </c>
      <c r="P370" t="n">
        <v>0</v>
      </c>
      <c r="Q370" t="n">
        <v>0</v>
      </c>
      <c r="R370" s="2" t="inlineStr"/>
    </row>
    <row r="371" ht="15" customHeight="1">
      <c r="A371" t="inlineStr">
        <is>
          <t>A 17847-2025</t>
        </is>
      </c>
      <c r="B371" s="1" t="n">
        <v>45758</v>
      </c>
      <c r="C371" s="1" t="n">
        <v>46129</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24192-2023</t>
        </is>
      </c>
      <c r="B372" s="1" t="n">
        <v>45079</v>
      </c>
      <c r="C372" s="1" t="n">
        <v>46129</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30282-2022</t>
        </is>
      </c>
      <c r="B373" s="1" t="n">
        <v>44760</v>
      </c>
      <c r="C373" s="1" t="n">
        <v>46129</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18742-2025</t>
        </is>
      </c>
      <c r="B374" s="1" t="n">
        <v>45763</v>
      </c>
      <c r="C374" s="1" t="n">
        <v>46129</v>
      </c>
      <c r="D374" t="inlineStr">
        <is>
          <t>GOTLANDS LÄN</t>
        </is>
      </c>
      <c r="E374" t="inlineStr">
        <is>
          <t>GOTLAND</t>
        </is>
      </c>
      <c r="G374" t="n">
        <v>3.4</v>
      </c>
      <c r="H374" t="n">
        <v>0</v>
      </c>
      <c r="I374" t="n">
        <v>0</v>
      </c>
      <c r="J374" t="n">
        <v>0</v>
      </c>
      <c r="K374" t="n">
        <v>0</v>
      </c>
      <c r="L374" t="n">
        <v>0</v>
      </c>
      <c r="M374" t="n">
        <v>0</v>
      </c>
      <c r="N374" t="n">
        <v>0</v>
      </c>
      <c r="O374" t="n">
        <v>0</v>
      </c>
      <c r="P374" t="n">
        <v>0</v>
      </c>
      <c r="Q374" t="n">
        <v>0</v>
      </c>
      <c r="R374" s="2" t="inlineStr"/>
    </row>
    <row r="375" ht="15" customHeight="1">
      <c r="A375" t="inlineStr">
        <is>
          <t>A 7835-2024</t>
        </is>
      </c>
      <c r="B375" s="1" t="n">
        <v>45349.83138888889</v>
      </c>
      <c r="C375" s="1" t="n">
        <v>46129</v>
      </c>
      <c r="D375" t="inlineStr">
        <is>
          <t>GOTLANDS LÄN</t>
        </is>
      </c>
      <c r="E375" t="inlineStr">
        <is>
          <t>GOTLAND</t>
        </is>
      </c>
      <c r="G375" t="n">
        <v>3.8</v>
      </c>
      <c r="H375" t="n">
        <v>0</v>
      </c>
      <c r="I375" t="n">
        <v>0</v>
      </c>
      <c r="J375" t="n">
        <v>0</v>
      </c>
      <c r="K375" t="n">
        <v>0</v>
      </c>
      <c r="L375" t="n">
        <v>0</v>
      </c>
      <c r="M375" t="n">
        <v>0</v>
      </c>
      <c r="N375" t="n">
        <v>0</v>
      </c>
      <c r="O375" t="n">
        <v>0</v>
      </c>
      <c r="P375" t="n">
        <v>0</v>
      </c>
      <c r="Q375" t="n">
        <v>0</v>
      </c>
      <c r="R375" s="2" t="inlineStr"/>
    </row>
    <row r="376" ht="15" customHeight="1">
      <c r="A376" t="inlineStr">
        <is>
          <t>A 35129-2025</t>
        </is>
      </c>
      <c r="B376" s="1" t="n">
        <v>45852.63224537037</v>
      </c>
      <c r="C376" s="1" t="n">
        <v>46129</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10650-2022</t>
        </is>
      </c>
      <c r="B377" s="1" t="n">
        <v>44624.57945601852</v>
      </c>
      <c r="C377" s="1" t="n">
        <v>46129</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50928-2025</t>
        </is>
      </c>
      <c r="B378" s="1" t="n">
        <v>45946.67896990741</v>
      </c>
      <c r="C378" s="1" t="n">
        <v>46129</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51262-2025</t>
        </is>
      </c>
      <c r="B379" s="1" t="n">
        <v>45949.49872685185</v>
      </c>
      <c r="C379" s="1" t="n">
        <v>46129</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26810-2021</t>
        </is>
      </c>
      <c r="B380" s="1" t="n">
        <v>44349.55087962963</v>
      </c>
      <c r="C380" s="1" t="n">
        <v>46129</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28425-2023</t>
        </is>
      </c>
      <c r="B381" s="1" t="n">
        <v>45102</v>
      </c>
      <c r="C381" s="1" t="n">
        <v>46129</v>
      </c>
      <c r="D381" t="inlineStr">
        <is>
          <t>GOTLANDS LÄN</t>
        </is>
      </c>
      <c r="E381" t="inlineStr">
        <is>
          <t>GOTLAND</t>
        </is>
      </c>
      <c r="G381" t="n">
        <v>0.5</v>
      </c>
      <c r="H381" t="n">
        <v>0</v>
      </c>
      <c r="I381" t="n">
        <v>0</v>
      </c>
      <c r="J381" t="n">
        <v>0</v>
      </c>
      <c r="K381" t="n">
        <v>0</v>
      </c>
      <c r="L381" t="n">
        <v>0</v>
      </c>
      <c r="M381" t="n">
        <v>0</v>
      </c>
      <c r="N381" t="n">
        <v>0</v>
      </c>
      <c r="O381" t="n">
        <v>0</v>
      </c>
      <c r="P381" t="n">
        <v>0</v>
      </c>
      <c r="Q381" t="n">
        <v>0</v>
      </c>
      <c r="R381" s="2" t="inlineStr"/>
    </row>
    <row r="382" ht="15" customHeight="1">
      <c r="A382" t="inlineStr">
        <is>
          <t>A 13037-2025</t>
        </is>
      </c>
      <c r="B382" s="1" t="n">
        <v>45734</v>
      </c>
      <c r="C382" s="1" t="n">
        <v>46129</v>
      </c>
      <c r="D382" t="inlineStr">
        <is>
          <t>GOTLANDS LÄN</t>
        </is>
      </c>
      <c r="E382" t="inlineStr">
        <is>
          <t>GOTLAND</t>
        </is>
      </c>
      <c r="G382" t="n">
        <v>9.5</v>
      </c>
      <c r="H382" t="n">
        <v>0</v>
      </c>
      <c r="I382" t="n">
        <v>0</v>
      </c>
      <c r="J382" t="n">
        <v>0</v>
      </c>
      <c r="K382" t="n">
        <v>0</v>
      </c>
      <c r="L382" t="n">
        <v>0</v>
      </c>
      <c r="M382" t="n">
        <v>0</v>
      </c>
      <c r="N382" t="n">
        <v>0</v>
      </c>
      <c r="O382" t="n">
        <v>0</v>
      </c>
      <c r="P382" t="n">
        <v>0</v>
      </c>
      <c r="Q382" t="n">
        <v>0</v>
      </c>
      <c r="R382" s="2" t="inlineStr"/>
    </row>
    <row r="383" ht="15" customHeight="1">
      <c r="A383" t="inlineStr">
        <is>
          <t>A 52249-2025</t>
        </is>
      </c>
      <c r="B383" s="1" t="n">
        <v>45953.48637731482</v>
      </c>
      <c r="C383" s="1" t="n">
        <v>46129</v>
      </c>
      <c r="D383" t="inlineStr">
        <is>
          <t>GOTLANDS LÄN</t>
        </is>
      </c>
      <c r="E383" t="inlineStr">
        <is>
          <t>GOTLAND</t>
        </is>
      </c>
      <c r="F383" t="inlineStr">
        <is>
          <t>Övriga Aktiebolag</t>
        </is>
      </c>
      <c r="G383" t="n">
        <v>1</v>
      </c>
      <c r="H383" t="n">
        <v>0</v>
      </c>
      <c r="I383" t="n">
        <v>0</v>
      </c>
      <c r="J383" t="n">
        <v>0</v>
      </c>
      <c r="K383" t="n">
        <v>0</v>
      </c>
      <c r="L383" t="n">
        <v>0</v>
      </c>
      <c r="M383" t="n">
        <v>0</v>
      </c>
      <c r="N383" t="n">
        <v>0</v>
      </c>
      <c r="O383" t="n">
        <v>0</v>
      </c>
      <c r="P383" t="n">
        <v>0</v>
      </c>
      <c r="Q383" t="n">
        <v>0</v>
      </c>
      <c r="R383" s="2" t="inlineStr"/>
    </row>
    <row r="384" ht="15" customHeight="1">
      <c r="A384" t="inlineStr">
        <is>
          <t>A 52637-2025</t>
        </is>
      </c>
      <c r="B384" s="1" t="n">
        <v>45954.75099537037</v>
      </c>
      <c r="C384" s="1" t="n">
        <v>46129</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30489-2025</t>
        </is>
      </c>
      <c r="B385" s="1" t="n">
        <v>45830</v>
      </c>
      <c r="C385" s="1" t="n">
        <v>46129</v>
      </c>
      <c r="D385" t="inlineStr">
        <is>
          <t>GOTLANDS LÄN</t>
        </is>
      </c>
      <c r="E385" t="inlineStr">
        <is>
          <t>GOTLAND</t>
        </is>
      </c>
      <c r="G385" t="n">
        <v>4.6</v>
      </c>
      <c r="H385" t="n">
        <v>0</v>
      </c>
      <c r="I385" t="n">
        <v>0</v>
      </c>
      <c r="J385" t="n">
        <v>0</v>
      </c>
      <c r="K385" t="n">
        <v>0</v>
      </c>
      <c r="L385" t="n">
        <v>0</v>
      </c>
      <c r="M385" t="n">
        <v>0</v>
      </c>
      <c r="N385" t="n">
        <v>0</v>
      </c>
      <c r="O385" t="n">
        <v>0</v>
      </c>
      <c r="P385" t="n">
        <v>0</v>
      </c>
      <c r="Q385" t="n">
        <v>0</v>
      </c>
      <c r="R385" s="2" t="inlineStr"/>
    </row>
    <row r="386" ht="15" customHeight="1">
      <c r="A386" t="inlineStr">
        <is>
          <t>A 21142-2025</t>
        </is>
      </c>
      <c r="B386" s="1" t="n">
        <v>45779</v>
      </c>
      <c r="C386" s="1" t="n">
        <v>46129</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6108-2025</t>
        </is>
      </c>
      <c r="B387" s="1" t="n">
        <v>45698.29880787037</v>
      </c>
      <c r="C387" s="1" t="n">
        <v>46129</v>
      </c>
      <c r="D387" t="inlineStr">
        <is>
          <t>GOTLANDS LÄN</t>
        </is>
      </c>
      <c r="E387" t="inlineStr">
        <is>
          <t>GOTLAND</t>
        </is>
      </c>
      <c r="G387" t="n">
        <v>2.8</v>
      </c>
      <c r="H387" t="n">
        <v>0</v>
      </c>
      <c r="I387" t="n">
        <v>0</v>
      </c>
      <c r="J387" t="n">
        <v>0</v>
      </c>
      <c r="K387" t="n">
        <v>0</v>
      </c>
      <c r="L387" t="n">
        <v>0</v>
      </c>
      <c r="M387" t="n">
        <v>0</v>
      </c>
      <c r="N387" t="n">
        <v>0</v>
      </c>
      <c r="O387" t="n">
        <v>0</v>
      </c>
      <c r="P387" t="n">
        <v>0</v>
      </c>
      <c r="Q387" t="n">
        <v>0</v>
      </c>
      <c r="R387" s="2" t="inlineStr"/>
    </row>
    <row r="388" ht="15" customHeight="1">
      <c r="A388" t="inlineStr">
        <is>
          <t>A 17343-2025</t>
        </is>
      </c>
      <c r="B388" s="1" t="n">
        <v>45756.6687037037</v>
      </c>
      <c r="C388" s="1" t="n">
        <v>46129</v>
      </c>
      <c r="D388" t="inlineStr">
        <is>
          <t>GOTLANDS LÄN</t>
        </is>
      </c>
      <c r="E388" t="inlineStr">
        <is>
          <t>GOTLAND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18938-2025</t>
        </is>
      </c>
      <c r="B389" s="1" t="n">
        <v>45764.49172453704</v>
      </c>
      <c r="C389" s="1" t="n">
        <v>46129</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20307-2025</t>
        </is>
      </c>
      <c r="B390" s="1" t="n">
        <v>45774.95546296296</v>
      </c>
      <c r="C390" s="1" t="n">
        <v>46129</v>
      </c>
      <c r="D390" t="inlineStr">
        <is>
          <t>GOTLANDS LÄN</t>
        </is>
      </c>
      <c r="E390" t="inlineStr">
        <is>
          <t>GOTLAND</t>
        </is>
      </c>
      <c r="G390" t="n">
        <v>6.8</v>
      </c>
      <c r="H390" t="n">
        <v>0</v>
      </c>
      <c r="I390" t="n">
        <v>0</v>
      </c>
      <c r="J390" t="n">
        <v>0</v>
      </c>
      <c r="K390" t="n">
        <v>0</v>
      </c>
      <c r="L390" t="n">
        <v>0</v>
      </c>
      <c r="M390" t="n">
        <v>0</v>
      </c>
      <c r="N390" t="n">
        <v>0</v>
      </c>
      <c r="O390" t="n">
        <v>0</v>
      </c>
      <c r="P390" t="n">
        <v>0</v>
      </c>
      <c r="Q390" t="n">
        <v>0</v>
      </c>
      <c r="R390" s="2" t="inlineStr"/>
    </row>
    <row r="391" ht="15" customHeight="1">
      <c r="A391" t="inlineStr">
        <is>
          <t>A 10746-2025</t>
        </is>
      </c>
      <c r="B391" s="1" t="n">
        <v>45722.42766203704</v>
      </c>
      <c r="C391" s="1" t="n">
        <v>46129</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53577-2025</t>
        </is>
      </c>
      <c r="B392" s="1" t="n">
        <v>45960.42224537037</v>
      </c>
      <c r="C392" s="1" t="n">
        <v>46129</v>
      </c>
      <c r="D392" t="inlineStr">
        <is>
          <t>GOTLANDS LÄN</t>
        </is>
      </c>
      <c r="E392" t="inlineStr">
        <is>
          <t>GOTLAND</t>
        </is>
      </c>
      <c r="F392" t="inlineStr">
        <is>
          <t>Övriga Aktiebolag</t>
        </is>
      </c>
      <c r="G392" t="n">
        <v>3.3</v>
      </c>
      <c r="H392" t="n">
        <v>0</v>
      </c>
      <c r="I392" t="n">
        <v>0</v>
      </c>
      <c r="J392" t="n">
        <v>0</v>
      </c>
      <c r="K392" t="n">
        <v>0</v>
      </c>
      <c r="L392" t="n">
        <v>0</v>
      </c>
      <c r="M392" t="n">
        <v>0</v>
      </c>
      <c r="N392" t="n">
        <v>0</v>
      </c>
      <c r="O392" t="n">
        <v>0</v>
      </c>
      <c r="P392" t="n">
        <v>0</v>
      </c>
      <c r="Q392" t="n">
        <v>0</v>
      </c>
      <c r="R392" s="2" t="inlineStr"/>
    </row>
    <row r="393" ht="15" customHeight="1">
      <c r="A393" t="inlineStr">
        <is>
          <t>A 53569-2025</t>
        </is>
      </c>
      <c r="B393" s="1" t="n">
        <v>45960.41155092593</v>
      </c>
      <c r="C393" s="1" t="n">
        <v>46129</v>
      </c>
      <c r="D393" t="inlineStr">
        <is>
          <t>GOTLANDS LÄN</t>
        </is>
      </c>
      <c r="E393" t="inlineStr">
        <is>
          <t>GOTLAND</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18993-2025</t>
        </is>
      </c>
      <c r="B394" s="1" t="n">
        <v>45764</v>
      </c>
      <c r="C394" s="1" t="n">
        <v>46129</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30135-2025</t>
        </is>
      </c>
      <c r="B395" s="1" t="n">
        <v>45826</v>
      </c>
      <c r="C395" s="1" t="n">
        <v>46129</v>
      </c>
      <c r="D395" t="inlineStr">
        <is>
          <t>GOTLANDS LÄN</t>
        </is>
      </c>
      <c r="E395" t="inlineStr">
        <is>
          <t>GOTLAND</t>
        </is>
      </c>
      <c r="G395" t="n">
        <v>2.7</v>
      </c>
      <c r="H395" t="n">
        <v>0</v>
      </c>
      <c r="I395" t="n">
        <v>0</v>
      </c>
      <c r="J395" t="n">
        <v>0</v>
      </c>
      <c r="K395" t="n">
        <v>0</v>
      </c>
      <c r="L395" t="n">
        <v>0</v>
      </c>
      <c r="M395" t="n">
        <v>0</v>
      </c>
      <c r="N395" t="n">
        <v>0</v>
      </c>
      <c r="O395" t="n">
        <v>0</v>
      </c>
      <c r="P395" t="n">
        <v>0</v>
      </c>
      <c r="Q395" t="n">
        <v>0</v>
      </c>
      <c r="R395" s="2" t="inlineStr"/>
    </row>
    <row r="396" ht="15" customHeight="1">
      <c r="A396" t="inlineStr">
        <is>
          <t>A 62066-2025</t>
        </is>
      </c>
      <c r="B396" s="1" t="n">
        <v>46006.34738425926</v>
      </c>
      <c r="C396" s="1" t="n">
        <v>46129</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62103-2025</t>
        </is>
      </c>
      <c r="B397" s="1" t="n">
        <v>46006</v>
      </c>
      <c r="C397" s="1" t="n">
        <v>46129</v>
      </c>
      <c r="D397" t="inlineStr">
        <is>
          <t>GOTLANDS LÄN</t>
        </is>
      </c>
      <c r="E397" t="inlineStr">
        <is>
          <t>GOTLAND</t>
        </is>
      </c>
      <c r="F397" t="inlineStr">
        <is>
          <t>Övriga Aktiebolag</t>
        </is>
      </c>
      <c r="G397" t="n">
        <v>1.7</v>
      </c>
      <c r="H397" t="n">
        <v>0</v>
      </c>
      <c r="I397" t="n">
        <v>0</v>
      </c>
      <c r="J397" t="n">
        <v>0</v>
      </c>
      <c r="K397" t="n">
        <v>0</v>
      </c>
      <c r="L397" t="n">
        <v>0</v>
      </c>
      <c r="M397" t="n">
        <v>0</v>
      </c>
      <c r="N397" t="n">
        <v>0</v>
      </c>
      <c r="O397" t="n">
        <v>0</v>
      </c>
      <c r="P397" t="n">
        <v>0</v>
      </c>
      <c r="Q397" t="n">
        <v>0</v>
      </c>
      <c r="R397" s="2" t="inlineStr"/>
    </row>
    <row r="398" ht="15" customHeight="1">
      <c r="A398" t="inlineStr">
        <is>
          <t>A 43229-2023</t>
        </is>
      </c>
      <c r="B398" s="1" t="n">
        <v>45183.46704861111</v>
      </c>
      <c r="C398" s="1" t="n">
        <v>46129</v>
      </c>
      <c r="D398" t="inlineStr">
        <is>
          <t>GOTLANDS LÄN</t>
        </is>
      </c>
      <c r="E398" t="inlineStr">
        <is>
          <t>GOTLAND</t>
        </is>
      </c>
      <c r="G398" t="n">
        <v>7.1</v>
      </c>
      <c r="H398" t="n">
        <v>0</v>
      </c>
      <c r="I398" t="n">
        <v>0</v>
      </c>
      <c r="J398" t="n">
        <v>0</v>
      </c>
      <c r="K398" t="n">
        <v>0</v>
      </c>
      <c r="L398" t="n">
        <v>0</v>
      </c>
      <c r="M398" t="n">
        <v>0</v>
      </c>
      <c r="N398" t="n">
        <v>0</v>
      </c>
      <c r="O398" t="n">
        <v>0</v>
      </c>
      <c r="P398" t="n">
        <v>0</v>
      </c>
      <c r="Q398" t="n">
        <v>0</v>
      </c>
      <c r="R398" s="2" t="inlineStr"/>
    </row>
    <row r="399" ht="15" customHeight="1">
      <c r="A399" t="inlineStr">
        <is>
          <t>A 41038-2023</t>
        </is>
      </c>
      <c r="B399" s="1" t="n">
        <v>45173.60959490741</v>
      </c>
      <c r="C399" s="1" t="n">
        <v>46129</v>
      </c>
      <c r="D399" t="inlineStr">
        <is>
          <t>GOTLANDS LÄN</t>
        </is>
      </c>
      <c r="E399" t="inlineStr">
        <is>
          <t>GOTLAND</t>
        </is>
      </c>
      <c r="G399" t="n">
        <v>2.7</v>
      </c>
      <c r="H399" t="n">
        <v>0</v>
      </c>
      <c r="I399" t="n">
        <v>0</v>
      </c>
      <c r="J399" t="n">
        <v>0</v>
      </c>
      <c r="K399" t="n">
        <v>0</v>
      </c>
      <c r="L399" t="n">
        <v>0</v>
      </c>
      <c r="M399" t="n">
        <v>0</v>
      </c>
      <c r="N399" t="n">
        <v>0</v>
      </c>
      <c r="O399" t="n">
        <v>0</v>
      </c>
      <c r="P399" t="n">
        <v>0</v>
      </c>
      <c r="Q399" t="n">
        <v>0</v>
      </c>
      <c r="R399" s="2" t="inlineStr"/>
    </row>
    <row r="400" ht="15" customHeight="1">
      <c r="A400" t="inlineStr">
        <is>
          <t>A 12599-2025</t>
        </is>
      </c>
      <c r="B400" s="1" t="n">
        <v>45733.29546296296</v>
      </c>
      <c r="C400" s="1" t="n">
        <v>46129</v>
      </c>
      <c r="D400" t="inlineStr">
        <is>
          <t>GOTLANDS LÄN</t>
        </is>
      </c>
      <c r="E400" t="inlineStr">
        <is>
          <t>GOTLAND</t>
        </is>
      </c>
      <c r="G400" t="n">
        <v>4.7</v>
      </c>
      <c r="H400" t="n">
        <v>0</v>
      </c>
      <c r="I400" t="n">
        <v>0</v>
      </c>
      <c r="J400" t="n">
        <v>0</v>
      </c>
      <c r="K400" t="n">
        <v>0</v>
      </c>
      <c r="L400" t="n">
        <v>0</v>
      </c>
      <c r="M400" t="n">
        <v>0</v>
      </c>
      <c r="N400" t="n">
        <v>0</v>
      </c>
      <c r="O400" t="n">
        <v>0</v>
      </c>
      <c r="P400" t="n">
        <v>0</v>
      </c>
      <c r="Q400" t="n">
        <v>0</v>
      </c>
      <c r="R400" s="2" t="inlineStr"/>
    </row>
    <row r="401" ht="15" customHeight="1">
      <c r="A401" t="inlineStr">
        <is>
          <t>A 63002-2025</t>
        </is>
      </c>
      <c r="B401" s="1" t="n">
        <v>46009.56564814815</v>
      </c>
      <c r="C401" s="1" t="n">
        <v>46129</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24966-2023</t>
        </is>
      </c>
      <c r="B402" s="1" t="n">
        <v>45085</v>
      </c>
      <c r="C402" s="1" t="n">
        <v>46129</v>
      </c>
      <c r="D402" t="inlineStr">
        <is>
          <t>GOTLANDS LÄN</t>
        </is>
      </c>
      <c r="E402" t="inlineStr">
        <is>
          <t>GOTLAND</t>
        </is>
      </c>
      <c r="G402" t="n">
        <v>7</v>
      </c>
      <c r="H402" t="n">
        <v>0</v>
      </c>
      <c r="I402" t="n">
        <v>0</v>
      </c>
      <c r="J402" t="n">
        <v>0</v>
      </c>
      <c r="K402" t="n">
        <v>0</v>
      </c>
      <c r="L402" t="n">
        <v>0</v>
      </c>
      <c r="M402" t="n">
        <v>0</v>
      </c>
      <c r="N402" t="n">
        <v>0</v>
      </c>
      <c r="O402" t="n">
        <v>0</v>
      </c>
      <c r="P402" t="n">
        <v>0</v>
      </c>
      <c r="Q402" t="n">
        <v>0</v>
      </c>
      <c r="R402" s="2" t="inlineStr"/>
    </row>
    <row r="403" ht="15" customHeight="1">
      <c r="A403" t="inlineStr">
        <is>
          <t>A 57652-2023</t>
        </is>
      </c>
      <c r="B403" s="1" t="n">
        <v>45246</v>
      </c>
      <c r="C403" s="1" t="n">
        <v>46129</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46189-2022</t>
        </is>
      </c>
      <c r="B404" s="1" t="n">
        <v>44847</v>
      </c>
      <c r="C404" s="1" t="n">
        <v>46129</v>
      </c>
      <c r="D404" t="inlineStr">
        <is>
          <t>GOTLANDS LÄN</t>
        </is>
      </c>
      <c r="E404" t="inlineStr">
        <is>
          <t>GOTLAND</t>
        </is>
      </c>
      <c r="G404" t="n">
        <v>0.4</v>
      </c>
      <c r="H404" t="n">
        <v>0</v>
      </c>
      <c r="I404" t="n">
        <v>0</v>
      </c>
      <c r="J404" t="n">
        <v>0</v>
      </c>
      <c r="K404" t="n">
        <v>0</v>
      </c>
      <c r="L404" t="n">
        <v>0</v>
      </c>
      <c r="M404" t="n">
        <v>0</v>
      </c>
      <c r="N404" t="n">
        <v>0</v>
      </c>
      <c r="O404" t="n">
        <v>0</v>
      </c>
      <c r="P404" t="n">
        <v>0</v>
      </c>
      <c r="Q404" t="n">
        <v>0</v>
      </c>
      <c r="R404" s="2" t="inlineStr"/>
    </row>
    <row r="405" ht="15" customHeight="1">
      <c r="A405" t="inlineStr">
        <is>
          <t>A 57522-2022</t>
        </is>
      </c>
      <c r="B405" s="1" t="n">
        <v>44896</v>
      </c>
      <c r="C405" s="1" t="n">
        <v>46129</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14797-2024</t>
        </is>
      </c>
      <c r="B406" s="1" t="n">
        <v>45397.87030092593</v>
      </c>
      <c r="C406" s="1" t="n">
        <v>46129</v>
      </c>
      <c r="D406" t="inlineStr">
        <is>
          <t>GOTLANDS LÄN</t>
        </is>
      </c>
      <c r="E406" t="inlineStr">
        <is>
          <t>GOTLAND</t>
        </is>
      </c>
      <c r="G406" t="n">
        <v>8.1</v>
      </c>
      <c r="H406" t="n">
        <v>0</v>
      </c>
      <c r="I406" t="n">
        <v>0</v>
      </c>
      <c r="J406" t="n">
        <v>0</v>
      </c>
      <c r="K406" t="n">
        <v>0</v>
      </c>
      <c r="L406" t="n">
        <v>0</v>
      </c>
      <c r="M406" t="n">
        <v>0</v>
      </c>
      <c r="N406" t="n">
        <v>0</v>
      </c>
      <c r="O406" t="n">
        <v>0</v>
      </c>
      <c r="P406" t="n">
        <v>0</v>
      </c>
      <c r="Q406" t="n">
        <v>0</v>
      </c>
      <c r="R406" s="2" t="inlineStr"/>
    </row>
    <row r="407" ht="15" customHeight="1">
      <c r="A407" t="inlineStr">
        <is>
          <t>A 38649-2025</t>
        </is>
      </c>
      <c r="B407" s="1" t="n">
        <v>45884</v>
      </c>
      <c r="C407" s="1" t="n">
        <v>46129</v>
      </c>
      <c r="D407" t="inlineStr">
        <is>
          <t>GOTLANDS LÄN</t>
        </is>
      </c>
      <c r="E407" t="inlineStr">
        <is>
          <t>GOTLAND</t>
        </is>
      </c>
      <c r="G407" t="n">
        <v>1.5</v>
      </c>
      <c r="H407" t="n">
        <v>0</v>
      </c>
      <c r="I407" t="n">
        <v>0</v>
      </c>
      <c r="J407" t="n">
        <v>0</v>
      </c>
      <c r="K407" t="n">
        <v>0</v>
      </c>
      <c r="L407" t="n">
        <v>0</v>
      </c>
      <c r="M407" t="n">
        <v>0</v>
      </c>
      <c r="N407" t="n">
        <v>0</v>
      </c>
      <c r="O407" t="n">
        <v>0</v>
      </c>
      <c r="P407" t="n">
        <v>0</v>
      </c>
      <c r="Q407" t="n">
        <v>0</v>
      </c>
      <c r="R407" s="2" t="inlineStr"/>
    </row>
    <row r="408" ht="15" customHeight="1">
      <c r="A408" t="inlineStr">
        <is>
          <t>A 7837-2024</t>
        </is>
      </c>
      <c r="B408" s="1" t="n">
        <v>45349.83787037037</v>
      </c>
      <c r="C408" s="1" t="n">
        <v>46129</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61078-2025</t>
        </is>
      </c>
      <c r="B409" s="1" t="n">
        <v>46000</v>
      </c>
      <c r="C409" s="1" t="n">
        <v>46129</v>
      </c>
      <c r="D409" t="inlineStr">
        <is>
          <t>GOTLANDS LÄN</t>
        </is>
      </c>
      <c r="E409" t="inlineStr">
        <is>
          <t>GOTLAND</t>
        </is>
      </c>
      <c r="G409" t="n">
        <v>0.7</v>
      </c>
      <c r="H409" t="n">
        <v>0</v>
      </c>
      <c r="I409" t="n">
        <v>0</v>
      </c>
      <c r="J409" t="n">
        <v>0</v>
      </c>
      <c r="K409" t="n">
        <v>0</v>
      </c>
      <c r="L409" t="n">
        <v>0</v>
      </c>
      <c r="M409" t="n">
        <v>0</v>
      </c>
      <c r="N409" t="n">
        <v>0</v>
      </c>
      <c r="O409" t="n">
        <v>0</v>
      </c>
      <c r="P409" t="n">
        <v>0</v>
      </c>
      <c r="Q409" t="n">
        <v>0</v>
      </c>
      <c r="R409" s="2" t="inlineStr"/>
    </row>
    <row r="410" ht="15" customHeight="1">
      <c r="A410" t="inlineStr">
        <is>
          <t>A 1394-2023</t>
        </is>
      </c>
      <c r="B410" s="1" t="n">
        <v>44936.72997685185</v>
      </c>
      <c r="C410" s="1" t="n">
        <v>46129</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2676-2023</t>
        </is>
      </c>
      <c r="B411" s="1" t="n">
        <v>44944</v>
      </c>
      <c r="C411" s="1" t="n">
        <v>46129</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4387-2023</t>
        </is>
      </c>
      <c r="B412" s="1" t="n">
        <v>44955.73359953704</v>
      </c>
      <c r="C412" s="1" t="n">
        <v>46129</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36-2026</t>
        </is>
      </c>
      <c r="B413" s="1" t="n">
        <v>46024.38886574074</v>
      </c>
      <c r="C413" s="1" t="n">
        <v>46129</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49411-2023</t>
        </is>
      </c>
      <c r="B414" s="1" t="n">
        <v>45205</v>
      </c>
      <c r="C414" s="1" t="n">
        <v>46129</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37728-2024</t>
        </is>
      </c>
      <c r="B415" s="1" t="n">
        <v>45541</v>
      </c>
      <c r="C415" s="1" t="n">
        <v>46129</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62674-2025</t>
        </is>
      </c>
      <c r="B416" s="1" t="n">
        <v>46008</v>
      </c>
      <c r="C416" s="1" t="n">
        <v>46129</v>
      </c>
      <c r="D416" t="inlineStr">
        <is>
          <t>GOTLANDS LÄN</t>
        </is>
      </c>
      <c r="E416" t="inlineStr">
        <is>
          <t>GOTLAND</t>
        </is>
      </c>
      <c r="G416" t="n">
        <v>5</v>
      </c>
      <c r="H416" t="n">
        <v>0</v>
      </c>
      <c r="I416" t="n">
        <v>0</v>
      </c>
      <c r="J416" t="n">
        <v>0</v>
      </c>
      <c r="K416" t="n">
        <v>0</v>
      </c>
      <c r="L416" t="n">
        <v>0</v>
      </c>
      <c r="M416" t="n">
        <v>0</v>
      </c>
      <c r="N416" t="n">
        <v>0</v>
      </c>
      <c r="O416" t="n">
        <v>0</v>
      </c>
      <c r="P416" t="n">
        <v>0</v>
      </c>
      <c r="Q416" t="n">
        <v>0</v>
      </c>
      <c r="R416" s="2" t="inlineStr"/>
    </row>
    <row r="417" ht="15" customHeight="1">
      <c r="A417" t="inlineStr">
        <is>
          <t>A 2241-2025</t>
        </is>
      </c>
      <c r="B417" s="1" t="n">
        <v>45673.48710648148</v>
      </c>
      <c r="C417" s="1" t="n">
        <v>46129</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1355-2026</t>
        </is>
      </c>
      <c r="B418" s="1" t="n">
        <v>46031.59909722222</v>
      </c>
      <c r="C418" s="1" t="n">
        <v>46129</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22275-2023</t>
        </is>
      </c>
      <c r="B419" s="1" t="n">
        <v>45070.39875</v>
      </c>
      <c r="C419" s="1" t="n">
        <v>46129</v>
      </c>
      <c r="D419" t="inlineStr">
        <is>
          <t>GOTLANDS LÄN</t>
        </is>
      </c>
      <c r="E419" t="inlineStr">
        <is>
          <t>GOTLAND</t>
        </is>
      </c>
      <c r="G419" t="n">
        <v>7.2</v>
      </c>
      <c r="H419" t="n">
        <v>0</v>
      </c>
      <c r="I419" t="n">
        <v>0</v>
      </c>
      <c r="J419" t="n">
        <v>0</v>
      </c>
      <c r="K419" t="n">
        <v>0</v>
      </c>
      <c r="L419" t="n">
        <v>0</v>
      </c>
      <c r="M419" t="n">
        <v>0</v>
      </c>
      <c r="N419" t="n">
        <v>0</v>
      </c>
      <c r="O419" t="n">
        <v>0</v>
      </c>
      <c r="P419" t="n">
        <v>0</v>
      </c>
      <c r="Q419" t="n">
        <v>0</v>
      </c>
      <c r="R419" s="2" t="inlineStr"/>
    </row>
    <row r="420" ht="15" customHeight="1">
      <c r="A420" t="inlineStr">
        <is>
          <t>A 14635-2023</t>
        </is>
      </c>
      <c r="B420" s="1" t="n">
        <v>45013.69365740741</v>
      </c>
      <c r="C420" s="1" t="n">
        <v>46129</v>
      </c>
      <c r="D420" t="inlineStr">
        <is>
          <t>GOTLANDS LÄN</t>
        </is>
      </c>
      <c r="E420" t="inlineStr">
        <is>
          <t>GOTLAND</t>
        </is>
      </c>
      <c r="G420" t="n">
        <v>3.1</v>
      </c>
      <c r="H420" t="n">
        <v>0</v>
      </c>
      <c r="I420" t="n">
        <v>0</v>
      </c>
      <c r="J420" t="n">
        <v>0</v>
      </c>
      <c r="K420" t="n">
        <v>0</v>
      </c>
      <c r="L420" t="n">
        <v>0</v>
      </c>
      <c r="M420" t="n">
        <v>0</v>
      </c>
      <c r="N420" t="n">
        <v>0</v>
      </c>
      <c r="O420" t="n">
        <v>0</v>
      </c>
      <c r="P420" t="n">
        <v>0</v>
      </c>
      <c r="Q420" t="n">
        <v>0</v>
      </c>
      <c r="R420" s="2" t="inlineStr"/>
    </row>
    <row r="421" ht="15" customHeight="1">
      <c r="A421" t="inlineStr">
        <is>
          <t>A 63763-2023</t>
        </is>
      </c>
      <c r="B421" s="1" t="n">
        <v>45278.33944444444</v>
      </c>
      <c r="C421" s="1" t="n">
        <v>46129</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7635-2025</t>
        </is>
      </c>
      <c r="B422" s="1" t="n">
        <v>45705</v>
      </c>
      <c r="C422" s="1" t="n">
        <v>46129</v>
      </c>
      <c r="D422" t="inlineStr">
        <is>
          <t>GOTLANDS LÄN</t>
        </is>
      </c>
      <c r="E422" t="inlineStr">
        <is>
          <t>GOTLAND</t>
        </is>
      </c>
      <c r="G422" t="n">
        <v>0.9</v>
      </c>
      <c r="H422" t="n">
        <v>0</v>
      </c>
      <c r="I422" t="n">
        <v>0</v>
      </c>
      <c r="J422" t="n">
        <v>0</v>
      </c>
      <c r="K422" t="n">
        <v>0</v>
      </c>
      <c r="L422" t="n">
        <v>0</v>
      </c>
      <c r="M422" t="n">
        <v>0</v>
      </c>
      <c r="N422" t="n">
        <v>0</v>
      </c>
      <c r="O422" t="n">
        <v>0</v>
      </c>
      <c r="P422" t="n">
        <v>0</v>
      </c>
      <c r="Q422" t="n">
        <v>0</v>
      </c>
      <c r="R422" s="2" t="inlineStr"/>
    </row>
    <row r="423" ht="15" customHeight="1">
      <c r="A423" t="inlineStr">
        <is>
          <t>A 7636-2025</t>
        </is>
      </c>
      <c r="B423" s="1" t="n">
        <v>45705.7687962963</v>
      </c>
      <c r="C423" s="1" t="n">
        <v>46129</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7639-2025</t>
        </is>
      </c>
      <c r="B424" s="1" t="n">
        <v>45705.77465277778</v>
      </c>
      <c r="C424" s="1" t="n">
        <v>46129</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1898-2026</t>
        </is>
      </c>
      <c r="B425" s="1" t="n">
        <v>46035.52024305556</v>
      </c>
      <c r="C425" s="1" t="n">
        <v>46129</v>
      </c>
      <c r="D425" t="inlineStr">
        <is>
          <t>GOTLANDS LÄN</t>
        </is>
      </c>
      <c r="E425" t="inlineStr">
        <is>
          <t>GOTLAND</t>
        </is>
      </c>
      <c r="G425" t="n">
        <v>3.7</v>
      </c>
      <c r="H425" t="n">
        <v>0</v>
      </c>
      <c r="I425" t="n">
        <v>0</v>
      </c>
      <c r="J425" t="n">
        <v>0</v>
      </c>
      <c r="K425" t="n">
        <v>0</v>
      </c>
      <c r="L425" t="n">
        <v>0</v>
      </c>
      <c r="M425" t="n">
        <v>0</v>
      </c>
      <c r="N425" t="n">
        <v>0</v>
      </c>
      <c r="O425" t="n">
        <v>0</v>
      </c>
      <c r="P425" t="n">
        <v>0</v>
      </c>
      <c r="Q425" t="n">
        <v>0</v>
      </c>
      <c r="R425" s="2" t="inlineStr"/>
    </row>
    <row r="426" ht="15" customHeight="1">
      <c r="A426" t="inlineStr">
        <is>
          <t>A 61682-2024</t>
        </is>
      </c>
      <c r="B426" s="1" t="n">
        <v>45647.48824074074</v>
      </c>
      <c r="C426" s="1" t="n">
        <v>46129</v>
      </c>
      <c r="D426" t="inlineStr">
        <is>
          <t>GOTLANDS LÄN</t>
        </is>
      </c>
      <c r="E426" t="inlineStr">
        <is>
          <t>GOTLAND</t>
        </is>
      </c>
      <c r="G426" t="n">
        <v>1.9</v>
      </c>
      <c r="H426" t="n">
        <v>0</v>
      </c>
      <c r="I426" t="n">
        <v>0</v>
      </c>
      <c r="J426" t="n">
        <v>0</v>
      </c>
      <c r="K426" t="n">
        <v>0</v>
      </c>
      <c r="L426" t="n">
        <v>0</v>
      </c>
      <c r="M426" t="n">
        <v>0</v>
      </c>
      <c r="N426" t="n">
        <v>0</v>
      </c>
      <c r="O426" t="n">
        <v>0</v>
      </c>
      <c r="P426" t="n">
        <v>0</v>
      </c>
      <c r="Q426" t="n">
        <v>0</v>
      </c>
      <c r="R426" s="2" t="inlineStr"/>
    </row>
    <row r="427" ht="15" customHeight="1">
      <c r="A427" t="inlineStr">
        <is>
          <t>A 15434-2024</t>
        </is>
      </c>
      <c r="B427" s="1" t="n">
        <v>45401.38836805556</v>
      </c>
      <c r="C427" s="1" t="n">
        <v>46129</v>
      </c>
      <c r="D427" t="inlineStr">
        <is>
          <t>GOTLANDS LÄN</t>
        </is>
      </c>
      <c r="E427" t="inlineStr">
        <is>
          <t>GOTLAND</t>
        </is>
      </c>
      <c r="G427" t="n">
        <v>2.5</v>
      </c>
      <c r="H427" t="n">
        <v>0</v>
      </c>
      <c r="I427" t="n">
        <v>0</v>
      </c>
      <c r="J427" t="n">
        <v>0</v>
      </c>
      <c r="K427" t="n">
        <v>0</v>
      </c>
      <c r="L427" t="n">
        <v>0</v>
      </c>
      <c r="M427" t="n">
        <v>0</v>
      </c>
      <c r="N427" t="n">
        <v>0</v>
      </c>
      <c r="O427" t="n">
        <v>0</v>
      </c>
      <c r="P427" t="n">
        <v>0</v>
      </c>
      <c r="Q427" t="n">
        <v>0</v>
      </c>
      <c r="R427" s="2" t="inlineStr"/>
    </row>
    <row r="428" ht="15" customHeight="1">
      <c r="A428" t="inlineStr">
        <is>
          <t>A 7034-2023</t>
        </is>
      </c>
      <c r="B428" s="1" t="n">
        <v>44968.32108796296</v>
      </c>
      <c r="C428" s="1" t="n">
        <v>46129</v>
      </c>
      <c r="D428" t="inlineStr">
        <is>
          <t>GOTLANDS LÄN</t>
        </is>
      </c>
      <c r="E428" t="inlineStr">
        <is>
          <t>GOTLAND</t>
        </is>
      </c>
      <c r="G428" t="n">
        <v>1.6</v>
      </c>
      <c r="H428" t="n">
        <v>0</v>
      </c>
      <c r="I428" t="n">
        <v>0</v>
      </c>
      <c r="J428" t="n">
        <v>0</v>
      </c>
      <c r="K428" t="n">
        <v>0</v>
      </c>
      <c r="L428" t="n">
        <v>0</v>
      </c>
      <c r="M428" t="n">
        <v>0</v>
      </c>
      <c r="N428" t="n">
        <v>0</v>
      </c>
      <c r="O428" t="n">
        <v>0</v>
      </c>
      <c r="P428" t="n">
        <v>0</v>
      </c>
      <c r="Q428" t="n">
        <v>0</v>
      </c>
      <c r="R428" s="2" t="inlineStr"/>
    </row>
    <row r="429" ht="15" customHeight="1">
      <c r="A429" t="inlineStr">
        <is>
          <t>A 7042-2023</t>
        </is>
      </c>
      <c r="B429" s="1" t="n">
        <v>44968</v>
      </c>
      <c r="C429" s="1" t="n">
        <v>46129</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2180-2025</t>
        </is>
      </c>
      <c r="B430" s="1" t="n">
        <v>45673</v>
      </c>
      <c r="C430" s="1" t="n">
        <v>46129</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2415-2026</t>
        </is>
      </c>
      <c r="B431" s="1" t="n">
        <v>46036.76203703704</v>
      </c>
      <c r="C431" s="1" t="n">
        <v>46129</v>
      </c>
      <c r="D431" t="inlineStr">
        <is>
          <t>GOTLANDS LÄN</t>
        </is>
      </c>
      <c r="E431" t="inlineStr">
        <is>
          <t>GOTLAND</t>
        </is>
      </c>
      <c r="G431" t="n">
        <v>6.9</v>
      </c>
      <c r="H431" t="n">
        <v>0</v>
      </c>
      <c r="I431" t="n">
        <v>0</v>
      </c>
      <c r="J431" t="n">
        <v>0</v>
      </c>
      <c r="K431" t="n">
        <v>0</v>
      </c>
      <c r="L431" t="n">
        <v>0</v>
      </c>
      <c r="M431" t="n">
        <v>0</v>
      </c>
      <c r="N431" t="n">
        <v>0</v>
      </c>
      <c r="O431" t="n">
        <v>0</v>
      </c>
      <c r="P431" t="n">
        <v>0</v>
      </c>
      <c r="Q431" t="n">
        <v>0</v>
      </c>
      <c r="R431" s="2" t="inlineStr"/>
    </row>
    <row r="432" ht="15" customHeight="1">
      <c r="A432" t="inlineStr">
        <is>
          <t>A 54074-2022</t>
        </is>
      </c>
      <c r="B432" s="1" t="n">
        <v>44881</v>
      </c>
      <c r="C432" s="1" t="n">
        <v>46129</v>
      </c>
      <c r="D432" t="inlineStr">
        <is>
          <t>GOTLANDS LÄN</t>
        </is>
      </c>
      <c r="E432" t="inlineStr">
        <is>
          <t>GOTLAND</t>
        </is>
      </c>
      <c r="G432" t="n">
        <v>0.9</v>
      </c>
      <c r="H432" t="n">
        <v>0</v>
      </c>
      <c r="I432" t="n">
        <v>0</v>
      </c>
      <c r="J432" t="n">
        <v>0</v>
      </c>
      <c r="K432" t="n">
        <v>0</v>
      </c>
      <c r="L432" t="n">
        <v>0</v>
      </c>
      <c r="M432" t="n">
        <v>0</v>
      </c>
      <c r="N432" t="n">
        <v>0</v>
      </c>
      <c r="O432" t="n">
        <v>0</v>
      </c>
      <c r="P432" t="n">
        <v>0</v>
      </c>
      <c r="Q432" t="n">
        <v>0</v>
      </c>
      <c r="R432" s="2" t="inlineStr"/>
    </row>
    <row r="433" ht="15" customHeight="1">
      <c r="A433" t="inlineStr">
        <is>
          <t>A 61694-2023</t>
        </is>
      </c>
      <c r="B433" s="1" t="n">
        <v>45264</v>
      </c>
      <c r="C433" s="1" t="n">
        <v>46129</v>
      </c>
      <c r="D433" t="inlineStr">
        <is>
          <t>GOTLANDS LÄN</t>
        </is>
      </c>
      <c r="E433" t="inlineStr">
        <is>
          <t>GOTLAND</t>
        </is>
      </c>
      <c r="G433" t="n">
        <v>4.6</v>
      </c>
      <c r="H433" t="n">
        <v>0</v>
      </c>
      <c r="I433" t="n">
        <v>0</v>
      </c>
      <c r="J433" t="n">
        <v>0</v>
      </c>
      <c r="K433" t="n">
        <v>0</v>
      </c>
      <c r="L433" t="n">
        <v>0</v>
      </c>
      <c r="M433" t="n">
        <v>0</v>
      </c>
      <c r="N433" t="n">
        <v>0</v>
      </c>
      <c r="O433" t="n">
        <v>0</v>
      </c>
      <c r="P433" t="n">
        <v>0</v>
      </c>
      <c r="Q433" t="n">
        <v>0</v>
      </c>
      <c r="R433" s="2" t="inlineStr"/>
    </row>
    <row r="434" ht="15" customHeight="1">
      <c r="A434" t="inlineStr">
        <is>
          <t>A 3253-2026</t>
        </is>
      </c>
      <c r="B434" s="1" t="n">
        <v>46041.58902777778</v>
      </c>
      <c r="C434" s="1" t="n">
        <v>46129</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64208-2021</t>
        </is>
      </c>
      <c r="B435" s="1" t="n">
        <v>44510</v>
      </c>
      <c r="C435" s="1" t="n">
        <v>46129</v>
      </c>
      <c r="D435" t="inlineStr">
        <is>
          <t>GOTLANDS LÄN</t>
        </is>
      </c>
      <c r="E435" t="inlineStr">
        <is>
          <t>GOTLAND</t>
        </is>
      </c>
      <c r="G435" t="n">
        <v>4.7</v>
      </c>
      <c r="H435" t="n">
        <v>0</v>
      </c>
      <c r="I435" t="n">
        <v>0</v>
      </c>
      <c r="J435" t="n">
        <v>0</v>
      </c>
      <c r="K435" t="n">
        <v>0</v>
      </c>
      <c r="L435" t="n">
        <v>0</v>
      </c>
      <c r="M435" t="n">
        <v>0</v>
      </c>
      <c r="N435" t="n">
        <v>0</v>
      </c>
      <c r="O435" t="n">
        <v>0</v>
      </c>
      <c r="P435" t="n">
        <v>0</v>
      </c>
      <c r="Q435" t="n">
        <v>0</v>
      </c>
      <c r="R435" s="2" t="inlineStr"/>
    </row>
    <row r="436" ht="15" customHeight="1">
      <c r="A436" t="inlineStr">
        <is>
          <t>A 54268-2022</t>
        </is>
      </c>
      <c r="B436" s="1" t="n">
        <v>44882</v>
      </c>
      <c r="C436" s="1" t="n">
        <v>46129</v>
      </c>
      <c r="D436" t="inlineStr">
        <is>
          <t>GOTLANDS LÄN</t>
        </is>
      </c>
      <c r="E436" t="inlineStr">
        <is>
          <t>GOTLAND</t>
        </is>
      </c>
      <c r="G436" t="n">
        <v>2.7</v>
      </c>
      <c r="H436" t="n">
        <v>0</v>
      </c>
      <c r="I436" t="n">
        <v>0</v>
      </c>
      <c r="J436" t="n">
        <v>0</v>
      </c>
      <c r="K436" t="n">
        <v>0</v>
      </c>
      <c r="L436" t="n">
        <v>0</v>
      </c>
      <c r="M436" t="n">
        <v>0</v>
      </c>
      <c r="N436" t="n">
        <v>0</v>
      </c>
      <c r="O436" t="n">
        <v>0</v>
      </c>
      <c r="P436" t="n">
        <v>0</v>
      </c>
      <c r="Q436" t="n">
        <v>0</v>
      </c>
      <c r="R436" s="2" t="inlineStr"/>
    </row>
    <row r="437" ht="15" customHeight="1">
      <c r="A437" t="inlineStr">
        <is>
          <t>A 1446-2025</t>
        </is>
      </c>
      <c r="B437" s="1" t="n">
        <v>45669.86035879629</v>
      </c>
      <c r="C437" s="1" t="n">
        <v>46129</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1462-2025</t>
        </is>
      </c>
      <c r="B438" s="1" t="n">
        <v>45670.36319444444</v>
      </c>
      <c r="C438" s="1" t="n">
        <v>46129</v>
      </c>
      <c r="D438" t="inlineStr">
        <is>
          <t>GOTLANDS LÄN</t>
        </is>
      </c>
      <c r="E438" t="inlineStr">
        <is>
          <t>GOTLAND</t>
        </is>
      </c>
      <c r="G438" t="n">
        <v>2.8</v>
      </c>
      <c r="H438" t="n">
        <v>0</v>
      </c>
      <c r="I438" t="n">
        <v>0</v>
      </c>
      <c r="J438" t="n">
        <v>0</v>
      </c>
      <c r="K438" t="n">
        <v>0</v>
      </c>
      <c r="L438" t="n">
        <v>0</v>
      </c>
      <c r="M438" t="n">
        <v>0</v>
      </c>
      <c r="N438" t="n">
        <v>0</v>
      </c>
      <c r="O438" t="n">
        <v>0</v>
      </c>
      <c r="P438" t="n">
        <v>0</v>
      </c>
      <c r="Q438" t="n">
        <v>0</v>
      </c>
      <c r="R438" s="2" t="inlineStr"/>
    </row>
    <row r="439" ht="15" customHeight="1">
      <c r="A439" t="inlineStr">
        <is>
          <t>A 57685-2022</t>
        </is>
      </c>
      <c r="B439" s="1" t="n">
        <v>44897.4777662037</v>
      </c>
      <c r="C439" s="1" t="n">
        <v>46129</v>
      </c>
      <c r="D439" t="inlineStr">
        <is>
          <t>GOTLANDS LÄN</t>
        </is>
      </c>
      <c r="E439" t="inlineStr">
        <is>
          <t>GOTLAND</t>
        </is>
      </c>
      <c r="G439" t="n">
        <v>3.7</v>
      </c>
      <c r="H439" t="n">
        <v>0</v>
      </c>
      <c r="I439" t="n">
        <v>0</v>
      </c>
      <c r="J439" t="n">
        <v>0</v>
      </c>
      <c r="K439" t="n">
        <v>0</v>
      </c>
      <c r="L439" t="n">
        <v>0</v>
      </c>
      <c r="M439" t="n">
        <v>0</v>
      </c>
      <c r="N439" t="n">
        <v>0</v>
      </c>
      <c r="O439" t="n">
        <v>0</v>
      </c>
      <c r="P439" t="n">
        <v>0</v>
      </c>
      <c r="Q439" t="n">
        <v>0</v>
      </c>
      <c r="R439" s="2" t="inlineStr"/>
    </row>
    <row r="440" ht="15" customHeight="1">
      <c r="A440" t="inlineStr">
        <is>
          <t>A 811-2023</t>
        </is>
      </c>
      <c r="B440" s="1" t="n">
        <v>44931</v>
      </c>
      <c r="C440" s="1" t="n">
        <v>46129</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5905-2024</t>
        </is>
      </c>
      <c r="B441" s="1" t="n">
        <v>45335.88993055555</v>
      </c>
      <c r="C441" s="1" t="n">
        <v>46129</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3431-2025</t>
        </is>
      </c>
      <c r="B442" s="1" t="n">
        <v>45680.42935185185</v>
      </c>
      <c r="C442" s="1" t="n">
        <v>46129</v>
      </c>
      <c r="D442" t="inlineStr">
        <is>
          <t>GOTLANDS LÄN</t>
        </is>
      </c>
      <c r="E442" t="inlineStr">
        <is>
          <t>GOTLAND</t>
        </is>
      </c>
      <c r="G442" t="n">
        <v>4.8</v>
      </c>
      <c r="H442" t="n">
        <v>0</v>
      </c>
      <c r="I442" t="n">
        <v>0</v>
      </c>
      <c r="J442" t="n">
        <v>0</v>
      </c>
      <c r="K442" t="n">
        <v>0</v>
      </c>
      <c r="L442" t="n">
        <v>0</v>
      </c>
      <c r="M442" t="n">
        <v>0</v>
      </c>
      <c r="N442" t="n">
        <v>0</v>
      </c>
      <c r="O442" t="n">
        <v>0</v>
      </c>
      <c r="P442" t="n">
        <v>0</v>
      </c>
      <c r="Q442" t="n">
        <v>0</v>
      </c>
      <c r="R442" s="2" t="inlineStr"/>
    </row>
    <row r="443" ht="15" customHeight="1">
      <c r="A443" t="inlineStr">
        <is>
          <t>A 34407-2023</t>
        </is>
      </c>
      <c r="B443" s="1" t="n">
        <v>45132</v>
      </c>
      <c r="C443" s="1" t="n">
        <v>46129</v>
      </c>
      <c r="D443" t="inlineStr">
        <is>
          <t>GOTLANDS LÄN</t>
        </is>
      </c>
      <c r="E443" t="inlineStr">
        <is>
          <t>GOTLAND</t>
        </is>
      </c>
      <c r="G443" t="n">
        <v>4.4</v>
      </c>
      <c r="H443" t="n">
        <v>0</v>
      </c>
      <c r="I443" t="n">
        <v>0</v>
      </c>
      <c r="J443" t="n">
        <v>0</v>
      </c>
      <c r="K443" t="n">
        <v>0</v>
      </c>
      <c r="L443" t="n">
        <v>0</v>
      </c>
      <c r="M443" t="n">
        <v>0</v>
      </c>
      <c r="N443" t="n">
        <v>0</v>
      </c>
      <c r="O443" t="n">
        <v>0</v>
      </c>
      <c r="P443" t="n">
        <v>0</v>
      </c>
      <c r="Q443" t="n">
        <v>0</v>
      </c>
      <c r="R443" s="2" t="inlineStr"/>
    </row>
    <row r="444" ht="15" customHeight="1">
      <c r="A444" t="inlineStr">
        <is>
          <t>A 30892-2024</t>
        </is>
      </c>
      <c r="B444" s="1" t="n">
        <v>45491</v>
      </c>
      <c r="C444" s="1" t="n">
        <v>46129</v>
      </c>
      <c r="D444" t="inlineStr">
        <is>
          <t>GOTLANDS LÄN</t>
        </is>
      </c>
      <c r="E444" t="inlineStr">
        <is>
          <t>GOTLAND</t>
        </is>
      </c>
      <c r="G444" t="n">
        <v>6.1</v>
      </c>
      <c r="H444" t="n">
        <v>0</v>
      </c>
      <c r="I444" t="n">
        <v>0</v>
      </c>
      <c r="J444" t="n">
        <v>0</v>
      </c>
      <c r="K444" t="n">
        <v>0</v>
      </c>
      <c r="L444" t="n">
        <v>0</v>
      </c>
      <c r="M444" t="n">
        <v>0</v>
      </c>
      <c r="N444" t="n">
        <v>0</v>
      </c>
      <c r="O444" t="n">
        <v>0</v>
      </c>
      <c r="P444" t="n">
        <v>0</v>
      </c>
      <c r="Q444" t="n">
        <v>0</v>
      </c>
      <c r="R444" s="2" t="inlineStr"/>
    </row>
    <row r="445" ht="15" customHeight="1">
      <c r="A445" t="inlineStr">
        <is>
          <t>A 32958-2021</t>
        </is>
      </c>
      <c r="B445" s="1" t="n">
        <v>44376</v>
      </c>
      <c r="C445" s="1" t="n">
        <v>46129</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7858-2025</t>
        </is>
      </c>
      <c r="B446" s="1" t="n">
        <v>45706.68633101852</v>
      </c>
      <c r="C446" s="1" t="n">
        <v>46129</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46545-2024</t>
        </is>
      </c>
      <c r="B447" s="1" t="n">
        <v>45582.65831018519</v>
      </c>
      <c r="C447" s="1" t="n">
        <v>46129</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999-2023</t>
        </is>
      </c>
      <c r="B448" s="1" t="n">
        <v>44935</v>
      </c>
      <c r="C448" s="1" t="n">
        <v>46129</v>
      </c>
      <c r="D448" t="inlineStr">
        <is>
          <t>GOTLANDS LÄN</t>
        </is>
      </c>
      <c r="E448" t="inlineStr">
        <is>
          <t>GOTLAND</t>
        </is>
      </c>
      <c r="G448" t="n">
        <v>4.7</v>
      </c>
      <c r="H448" t="n">
        <v>0</v>
      </c>
      <c r="I448" t="n">
        <v>0</v>
      </c>
      <c r="J448" t="n">
        <v>0</v>
      </c>
      <c r="K448" t="n">
        <v>0</v>
      </c>
      <c r="L448" t="n">
        <v>0</v>
      </c>
      <c r="M448" t="n">
        <v>0</v>
      </c>
      <c r="N448" t="n">
        <v>0</v>
      </c>
      <c r="O448" t="n">
        <v>0</v>
      </c>
      <c r="P448" t="n">
        <v>0</v>
      </c>
      <c r="Q448" t="n">
        <v>0</v>
      </c>
      <c r="R448" s="2" t="inlineStr"/>
    </row>
    <row r="449" ht="15" customHeight="1">
      <c r="A449" t="inlineStr">
        <is>
          <t>A 1364-2025</t>
        </is>
      </c>
      <c r="B449" s="1" t="n">
        <v>45667.63929398148</v>
      </c>
      <c r="C449" s="1" t="n">
        <v>46129</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2125-2025</t>
        </is>
      </c>
      <c r="B450" s="1" t="n">
        <v>45672.64940972222</v>
      </c>
      <c r="C450" s="1" t="n">
        <v>46129</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1839-2026</t>
        </is>
      </c>
      <c r="B451" s="1" t="n">
        <v>46035.3942824074</v>
      </c>
      <c r="C451" s="1" t="n">
        <v>46129</v>
      </c>
      <c r="D451" t="inlineStr">
        <is>
          <t>GOTLANDS LÄN</t>
        </is>
      </c>
      <c r="E451" t="inlineStr">
        <is>
          <t>GOTLAND</t>
        </is>
      </c>
      <c r="G451" t="n">
        <v>3.5</v>
      </c>
      <c r="H451" t="n">
        <v>0</v>
      </c>
      <c r="I451" t="n">
        <v>0</v>
      </c>
      <c r="J451" t="n">
        <v>0</v>
      </c>
      <c r="K451" t="n">
        <v>0</v>
      </c>
      <c r="L451" t="n">
        <v>0</v>
      </c>
      <c r="M451" t="n">
        <v>0</v>
      </c>
      <c r="N451" t="n">
        <v>0</v>
      </c>
      <c r="O451" t="n">
        <v>0</v>
      </c>
      <c r="P451" t="n">
        <v>0</v>
      </c>
      <c r="Q451" t="n">
        <v>0</v>
      </c>
      <c r="R451" s="2" t="inlineStr"/>
    </row>
    <row r="452" ht="15" customHeight="1">
      <c r="A452" t="inlineStr">
        <is>
          <t>A 4639-2026</t>
        </is>
      </c>
      <c r="B452" s="1" t="n">
        <v>46048.39880787037</v>
      </c>
      <c r="C452" s="1" t="n">
        <v>46129</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4662-2026</t>
        </is>
      </c>
      <c r="B453" s="1" t="n">
        <v>46048.40949074074</v>
      </c>
      <c r="C453" s="1" t="n">
        <v>46129</v>
      </c>
      <c r="D453" t="inlineStr">
        <is>
          <t>GOTLANDS LÄN</t>
        </is>
      </c>
      <c r="E453" t="inlineStr">
        <is>
          <t>GOTLAND</t>
        </is>
      </c>
      <c r="G453" t="n">
        <v>7.6</v>
      </c>
      <c r="H453" t="n">
        <v>0</v>
      </c>
      <c r="I453" t="n">
        <v>0</v>
      </c>
      <c r="J453" t="n">
        <v>0</v>
      </c>
      <c r="K453" t="n">
        <v>0</v>
      </c>
      <c r="L453" t="n">
        <v>0</v>
      </c>
      <c r="M453" t="n">
        <v>0</v>
      </c>
      <c r="N453" t="n">
        <v>0</v>
      </c>
      <c r="O453" t="n">
        <v>0</v>
      </c>
      <c r="P453" t="n">
        <v>0</v>
      </c>
      <c r="Q453" t="n">
        <v>0</v>
      </c>
      <c r="R453" s="2" t="inlineStr"/>
    </row>
    <row r="454" ht="15" customHeight="1">
      <c r="A454" t="inlineStr">
        <is>
          <t>A 4646-2026</t>
        </is>
      </c>
      <c r="B454" s="1" t="n">
        <v>46048.40357638889</v>
      </c>
      <c r="C454" s="1" t="n">
        <v>46129</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14141-2024</t>
        </is>
      </c>
      <c r="B455" s="1" t="n">
        <v>45392.85193287037</v>
      </c>
      <c r="C455" s="1" t="n">
        <v>46129</v>
      </c>
      <c r="D455" t="inlineStr">
        <is>
          <t>GOTLANDS LÄN</t>
        </is>
      </c>
      <c r="E455" t="inlineStr">
        <is>
          <t>GOTLAND</t>
        </is>
      </c>
      <c r="G455" t="n">
        <v>5.3</v>
      </c>
      <c r="H455" t="n">
        <v>0</v>
      </c>
      <c r="I455" t="n">
        <v>0</v>
      </c>
      <c r="J455" t="n">
        <v>0</v>
      </c>
      <c r="K455" t="n">
        <v>0</v>
      </c>
      <c r="L455" t="n">
        <v>0</v>
      </c>
      <c r="M455" t="n">
        <v>0</v>
      </c>
      <c r="N455" t="n">
        <v>0</v>
      </c>
      <c r="O455" t="n">
        <v>0</v>
      </c>
      <c r="P455" t="n">
        <v>0</v>
      </c>
      <c r="Q455" t="n">
        <v>0</v>
      </c>
      <c r="R455" s="2" t="inlineStr"/>
    </row>
    <row r="456" ht="15" customHeight="1">
      <c r="A456" t="inlineStr">
        <is>
          <t>A 12155-2023</t>
        </is>
      </c>
      <c r="B456" s="1" t="n">
        <v>44998.49106481481</v>
      </c>
      <c r="C456" s="1" t="n">
        <v>46129</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4634-2026</t>
        </is>
      </c>
      <c r="B457" s="1" t="n">
        <v>46048.39304398148</v>
      </c>
      <c r="C457" s="1" t="n">
        <v>46129</v>
      </c>
      <c r="D457" t="inlineStr">
        <is>
          <t>GOTLANDS LÄN</t>
        </is>
      </c>
      <c r="E457" t="inlineStr">
        <is>
          <t>GOTLAND</t>
        </is>
      </c>
      <c r="G457" t="n">
        <v>7.8</v>
      </c>
      <c r="H457" t="n">
        <v>0</v>
      </c>
      <c r="I457" t="n">
        <v>0</v>
      </c>
      <c r="J457" t="n">
        <v>0</v>
      </c>
      <c r="K457" t="n">
        <v>0</v>
      </c>
      <c r="L457" t="n">
        <v>0</v>
      </c>
      <c r="M457" t="n">
        <v>0</v>
      </c>
      <c r="N457" t="n">
        <v>0</v>
      </c>
      <c r="O457" t="n">
        <v>0</v>
      </c>
      <c r="P457" t="n">
        <v>0</v>
      </c>
      <c r="Q457" t="n">
        <v>0</v>
      </c>
      <c r="R457" s="2" t="inlineStr"/>
    </row>
    <row r="458" ht="15" customHeight="1">
      <c r="A458" t="inlineStr">
        <is>
          <t>A 4670-2026</t>
        </is>
      </c>
      <c r="B458" s="1" t="n">
        <v>46048.41733796296</v>
      </c>
      <c r="C458" s="1" t="n">
        <v>46129</v>
      </c>
      <c r="D458" t="inlineStr">
        <is>
          <t>GOTLANDS LÄN</t>
        </is>
      </c>
      <c r="E458" t="inlineStr">
        <is>
          <t>GOTLAND</t>
        </is>
      </c>
      <c r="G458" t="n">
        <v>1.7</v>
      </c>
      <c r="H458" t="n">
        <v>0</v>
      </c>
      <c r="I458" t="n">
        <v>0</v>
      </c>
      <c r="J458" t="n">
        <v>0</v>
      </c>
      <c r="K458" t="n">
        <v>0</v>
      </c>
      <c r="L458" t="n">
        <v>0</v>
      </c>
      <c r="M458" t="n">
        <v>0</v>
      </c>
      <c r="N458" t="n">
        <v>0</v>
      </c>
      <c r="O458" t="n">
        <v>0</v>
      </c>
      <c r="P458" t="n">
        <v>0</v>
      </c>
      <c r="Q458" t="n">
        <v>0</v>
      </c>
      <c r="R458" s="2" t="inlineStr"/>
    </row>
    <row r="459" ht="15" customHeight="1">
      <c r="A459" t="inlineStr">
        <is>
          <t>A 2774-2024</t>
        </is>
      </c>
      <c r="B459" s="1" t="n">
        <v>45314.62375</v>
      </c>
      <c r="C459" s="1" t="n">
        <v>46129</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9947-2024</t>
        </is>
      </c>
      <c r="B460" s="1" t="n">
        <v>45363</v>
      </c>
      <c r="C460" s="1" t="n">
        <v>46129</v>
      </c>
      <c r="D460" t="inlineStr">
        <is>
          <t>GOTLANDS LÄN</t>
        </is>
      </c>
      <c r="E460" t="inlineStr">
        <is>
          <t>GOTLAND</t>
        </is>
      </c>
      <c r="G460" t="n">
        <v>2</v>
      </c>
      <c r="H460" t="n">
        <v>0</v>
      </c>
      <c r="I460" t="n">
        <v>0</v>
      </c>
      <c r="J460" t="n">
        <v>0</v>
      </c>
      <c r="K460" t="n">
        <v>0</v>
      </c>
      <c r="L460" t="n">
        <v>0</v>
      </c>
      <c r="M460" t="n">
        <v>0</v>
      </c>
      <c r="N460" t="n">
        <v>0</v>
      </c>
      <c r="O460" t="n">
        <v>0</v>
      </c>
      <c r="P460" t="n">
        <v>0</v>
      </c>
      <c r="Q460" t="n">
        <v>0</v>
      </c>
      <c r="R460" s="2" t="inlineStr"/>
    </row>
    <row r="461" ht="15" customHeight="1">
      <c r="A461" t="inlineStr">
        <is>
          <t>A 42007-2023</t>
        </is>
      </c>
      <c r="B461" s="1" t="n">
        <v>45177</v>
      </c>
      <c r="C461" s="1" t="n">
        <v>46129</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1854-2026</t>
        </is>
      </c>
      <c r="B462" s="1" t="n">
        <v>46035.4171875</v>
      </c>
      <c r="C462" s="1" t="n">
        <v>46129</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15083-2025</t>
        </is>
      </c>
      <c r="B463" s="1" t="n">
        <v>45743</v>
      </c>
      <c r="C463" s="1" t="n">
        <v>46129</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13486-2026</t>
        </is>
      </c>
      <c r="B464" s="1" t="n">
        <v>46094</v>
      </c>
      <c r="C464" s="1" t="n">
        <v>46129</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6207-2026</t>
        </is>
      </c>
      <c r="B465" s="1" t="n">
        <v>46055.42083333333</v>
      </c>
      <c r="C465" s="1" t="n">
        <v>46129</v>
      </c>
      <c r="D465" t="inlineStr">
        <is>
          <t>GOTLANDS LÄN</t>
        </is>
      </c>
      <c r="E465" t="inlineStr">
        <is>
          <t>GOTLAND</t>
        </is>
      </c>
      <c r="G465" t="n">
        <v>7.6</v>
      </c>
      <c r="H465" t="n">
        <v>0</v>
      </c>
      <c r="I465" t="n">
        <v>0</v>
      </c>
      <c r="J465" t="n">
        <v>0</v>
      </c>
      <c r="K465" t="n">
        <v>0</v>
      </c>
      <c r="L465" t="n">
        <v>0</v>
      </c>
      <c r="M465" t="n">
        <v>0</v>
      </c>
      <c r="N465" t="n">
        <v>0</v>
      </c>
      <c r="O465" t="n">
        <v>0</v>
      </c>
      <c r="P465" t="n">
        <v>0</v>
      </c>
      <c r="Q465" t="n">
        <v>0</v>
      </c>
      <c r="R465" s="2" t="inlineStr"/>
    </row>
    <row r="466" ht="15" customHeight="1">
      <c r="A466" t="inlineStr">
        <is>
          <t>A 6218-2026</t>
        </is>
      </c>
      <c r="B466" s="1" t="n">
        <v>46055.42859953704</v>
      </c>
      <c r="C466" s="1" t="n">
        <v>46129</v>
      </c>
      <c r="D466" t="inlineStr">
        <is>
          <t>GOTLANDS LÄN</t>
        </is>
      </c>
      <c r="E466" t="inlineStr">
        <is>
          <t>GOTLAND</t>
        </is>
      </c>
      <c r="G466" t="n">
        <v>4.3</v>
      </c>
      <c r="H466" t="n">
        <v>0</v>
      </c>
      <c r="I466" t="n">
        <v>0</v>
      </c>
      <c r="J466" t="n">
        <v>0</v>
      </c>
      <c r="K466" t="n">
        <v>0</v>
      </c>
      <c r="L466" t="n">
        <v>0</v>
      </c>
      <c r="M466" t="n">
        <v>0</v>
      </c>
      <c r="N466" t="n">
        <v>0</v>
      </c>
      <c r="O466" t="n">
        <v>0</v>
      </c>
      <c r="P466" t="n">
        <v>0</v>
      </c>
      <c r="Q466" t="n">
        <v>0</v>
      </c>
      <c r="R466" s="2" t="inlineStr"/>
    </row>
    <row r="467" ht="15" customHeight="1">
      <c r="A467" t="inlineStr">
        <is>
          <t>A 1066-2024</t>
        </is>
      </c>
      <c r="B467" s="1" t="n">
        <v>45302.285</v>
      </c>
      <c r="C467" s="1" t="n">
        <v>46129</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6959-2026</t>
        </is>
      </c>
      <c r="B468" s="1" t="n">
        <v>46057.580625</v>
      </c>
      <c r="C468" s="1" t="n">
        <v>46129</v>
      </c>
      <c r="D468" t="inlineStr">
        <is>
          <t>GOTLANDS LÄN</t>
        </is>
      </c>
      <c r="E468" t="inlineStr">
        <is>
          <t>GOTLAND</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37202-2024</t>
        </is>
      </c>
      <c r="B469" s="1" t="n">
        <v>45539.67310185185</v>
      </c>
      <c r="C469" s="1" t="n">
        <v>46129</v>
      </c>
      <c r="D469" t="inlineStr">
        <is>
          <t>GOTLANDS LÄN</t>
        </is>
      </c>
      <c r="E469" t="inlineStr">
        <is>
          <t>GOTLAND</t>
        </is>
      </c>
      <c r="G469" t="n">
        <v>0.3</v>
      </c>
      <c r="H469" t="n">
        <v>0</v>
      </c>
      <c r="I469" t="n">
        <v>0</v>
      </c>
      <c r="J469" t="n">
        <v>0</v>
      </c>
      <c r="K469" t="n">
        <v>0</v>
      </c>
      <c r="L469" t="n">
        <v>0</v>
      </c>
      <c r="M469" t="n">
        <v>0</v>
      </c>
      <c r="N469" t="n">
        <v>0</v>
      </c>
      <c r="O469" t="n">
        <v>0</v>
      </c>
      <c r="P469" t="n">
        <v>0</v>
      </c>
      <c r="Q469" t="n">
        <v>0</v>
      </c>
      <c r="R469" s="2" t="inlineStr"/>
    </row>
    <row r="470" ht="15" customHeight="1">
      <c r="A470" t="inlineStr">
        <is>
          <t>A 6960-2026</t>
        </is>
      </c>
      <c r="B470" s="1" t="n">
        <v>46057.58105324074</v>
      </c>
      <c r="C470" s="1" t="n">
        <v>46129</v>
      </c>
      <c r="D470" t="inlineStr">
        <is>
          <t>GOTLANDS LÄN</t>
        </is>
      </c>
      <c r="E470" t="inlineStr">
        <is>
          <t>GOTLAND</t>
        </is>
      </c>
      <c r="F470" t="inlineStr">
        <is>
          <t>Kyrkan</t>
        </is>
      </c>
      <c r="G470" t="n">
        <v>2.4</v>
      </c>
      <c r="H470" t="n">
        <v>0</v>
      </c>
      <c r="I470" t="n">
        <v>0</v>
      </c>
      <c r="J470" t="n">
        <v>0</v>
      </c>
      <c r="K470" t="n">
        <v>0</v>
      </c>
      <c r="L470" t="n">
        <v>0</v>
      </c>
      <c r="M470" t="n">
        <v>0</v>
      </c>
      <c r="N470" t="n">
        <v>0</v>
      </c>
      <c r="O470" t="n">
        <v>0</v>
      </c>
      <c r="P470" t="n">
        <v>0</v>
      </c>
      <c r="Q470" t="n">
        <v>0</v>
      </c>
      <c r="R470" s="2" t="inlineStr"/>
    </row>
    <row r="471" ht="15" customHeight="1">
      <c r="A471" t="inlineStr">
        <is>
          <t>A 30815-2023</t>
        </is>
      </c>
      <c r="B471" s="1" t="n">
        <v>45112</v>
      </c>
      <c r="C471" s="1" t="n">
        <v>46129</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46400-2023</t>
        </is>
      </c>
      <c r="B472" s="1" t="n">
        <v>45197.49290509259</v>
      </c>
      <c r="C472" s="1" t="n">
        <v>46129</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10492-2023</t>
        </is>
      </c>
      <c r="B473" s="1" t="n">
        <v>44987</v>
      </c>
      <c r="C473" s="1" t="n">
        <v>46129</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44919-2022</t>
        </is>
      </c>
      <c r="B474" s="1" t="n">
        <v>44841</v>
      </c>
      <c r="C474" s="1" t="n">
        <v>46129</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16501-2023</t>
        </is>
      </c>
      <c r="B475" s="1" t="n">
        <v>45029</v>
      </c>
      <c r="C475" s="1" t="n">
        <v>46129</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46129</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458-2023</t>
        </is>
      </c>
      <c r="B477" s="1" t="n">
        <v>44929</v>
      </c>
      <c r="C477" s="1" t="n">
        <v>46129</v>
      </c>
      <c r="D477" t="inlineStr">
        <is>
          <t>GOTLANDS LÄN</t>
        </is>
      </c>
      <c r="E477" t="inlineStr">
        <is>
          <t>GOTLAND</t>
        </is>
      </c>
      <c r="G477" t="n">
        <v>3.6</v>
      </c>
      <c r="H477" t="n">
        <v>0</v>
      </c>
      <c r="I477" t="n">
        <v>0</v>
      </c>
      <c r="J477" t="n">
        <v>0</v>
      </c>
      <c r="K477" t="n">
        <v>0</v>
      </c>
      <c r="L477" t="n">
        <v>0</v>
      </c>
      <c r="M477" t="n">
        <v>0</v>
      </c>
      <c r="N477" t="n">
        <v>0</v>
      </c>
      <c r="O477" t="n">
        <v>0</v>
      </c>
      <c r="P477" t="n">
        <v>0</v>
      </c>
      <c r="Q477" t="n">
        <v>0</v>
      </c>
      <c r="R477" s="2" t="inlineStr"/>
    </row>
    <row r="478" ht="15" customHeight="1">
      <c r="A478" t="inlineStr">
        <is>
          <t>A 1291-2023</t>
        </is>
      </c>
      <c r="B478" s="1" t="n">
        <v>44936.47561342592</v>
      </c>
      <c r="C478" s="1" t="n">
        <v>46129</v>
      </c>
      <c r="D478" t="inlineStr">
        <is>
          <t>GOTLANDS LÄN</t>
        </is>
      </c>
      <c r="E478" t="inlineStr">
        <is>
          <t>GOTLAND</t>
        </is>
      </c>
      <c r="G478" t="n">
        <v>7.4</v>
      </c>
      <c r="H478" t="n">
        <v>0</v>
      </c>
      <c r="I478" t="n">
        <v>0</v>
      </c>
      <c r="J478" t="n">
        <v>0</v>
      </c>
      <c r="K478" t="n">
        <v>0</v>
      </c>
      <c r="L478" t="n">
        <v>0</v>
      </c>
      <c r="M478" t="n">
        <v>0</v>
      </c>
      <c r="N478" t="n">
        <v>0</v>
      </c>
      <c r="O478" t="n">
        <v>0</v>
      </c>
      <c r="P478" t="n">
        <v>0</v>
      </c>
      <c r="Q478" t="n">
        <v>0</v>
      </c>
      <c r="R478" s="2" t="inlineStr"/>
    </row>
    <row r="479" ht="15" customHeight="1">
      <c r="A479" t="inlineStr">
        <is>
          <t>A 32330-2024</t>
        </is>
      </c>
      <c r="B479" s="1" t="n">
        <v>45512</v>
      </c>
      <c r="C479" s="1" t="n">
        <v>46129</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5891-2025</t>
        </is>
      </c>
      <c r="B480" s="1" t="n">
        <v>45695.38327546296</v>
      </c>
      <c r="C480" s="1" t="n">
        <v>46129</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5863-2026</t>
        </is>
      </c>
      <c r="B481" s="1" t="n">
        <v>46052.36697916667</v>
      </c>
      <c r="C481" s="1" t="n">
        <v>46129</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7627-2026</t>
        </is>
      </c>
      <c r="B482" s="1" t="n">
        <v>46062.35465277778</v>
      </c>
      <c r="C482" s="1" t="n">
        <v>46129</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63105-2025</t>
        </is>
      </c>
      <c r="B483" s="1" t="n">
        <v>46009</v>
      </c>
      <c r="C483" s="1" t="n">
        <v>46129</v>
      </c>
      <c r="D483" t="inlineStr">
        <is>
          <t>GOTLANDS LÄN</t>
        </is>
      </c>
      <c r="E483" t="inlineStr">
        <is>
          <t>GOTLAND</t>
        </is>
      </c>
      <c r="G483" t="n">
        <v>2.6</v>
      </c>
      <c r="H483" t="n">
        <v>0</v>
      </c>
      <c r="I483" t="n">
        <v>0</v>
      </c>
      <c r="J483" t="n">
        <v>0</v>
      </c>
      <c r="K483" t="n">
        <v>0</v>
      </c>
      <c r="L483" t="n">
        <v>0</v>
      </c>
      <c r="M483" t="n">
        <v>0</v>
      </c>
      <c r="N483" t="n">
        <v>0</v>
      </c>
      <c r="O483" t="n">
        <v>0</v>
      </c>
      <c r="P483" t="n">
        <v>0</v>
      </c>
      <c r="Q483" t="n">
        <v>0</v>
      </c>
      <c r="R483" s="2" t="inlineStr"/>
    </row>
    <row r="484" ht="15" customHeight="1">
      <c r="A484" t="inlineStr">
        <is>
          <t>A 14840-2026</t>
        </is>
      </c>
      <c r="B484" s="1" t="n">
        <v>46104.39498842593</v>
      </c>
      <c r="C484" s="1" t="n">
        <v>46129</v>
      </c>
      <c r="D484" t="inlineStr">
        <is>
          <t>GOTLANDS LÄN</t>
        </is>
      </c>
      <c r="E484" t="inlineStr">
        <is>
          <t>GOTLAND</t>
        </is>
      </c>
      <c r="G484" t="n">
        <v>2.5</v>
      </c>
      <c r="H484" t="n">
        <v>0</v>
      </c>
      <c r="I484" t="n">
        <v>0</v>
      </c>
      <c r="J484" t="n">
        <v>0</v>
      </c>
      <c r="K484" t="n">
        <v>0</v>
      </c>
      <c r="L484" t="n">
        <v>0</v>
      </c>
      <c r="M484" t="n">
        <v>0</v>
      </c>
      <c r="N484" t="n">
        <v>0</v>
      </c>
      <c r="O484" t="n">
        <v>0</v>
      </c>
      <c r="P484" t="n">
        <v>0</v>
      </c>
      <c r="Q484" t="n">
        <v>0</v>
      </c>
      <c r="R484" s="2" t="inlineStr"/>
    </row>
    <row r="485" ht="15" customHeight="1">
      <c r="A485" t="inlineStr">
        <is>
          <t>A 2719-2023</t>
        </is>
      </c>
      <c r="B485" s="1" t="n">
        <v>44944.55361111111</v>
      </c>
      <c r="C485" s="1" t="n">
        <v>46129</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17144-2025</t>
        </is>
      </c>
      <c r="B486" s="1" t="n">
        <v>45755.9499537037</v>
      </c>
      <c r="C486" s="1" t="n">
        <v>46129</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7625-2026</t>
        </is>
      </c>
      <c r="B487" s="1" t="n">
        <v>46062.35135416667</v>
      </c>
      <c r="C487" s="1" t="n">
        <v>46129</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49314-2024</t>
        </is>
      </c>
      <c r="B488" s="1" t="n">
        <v>45595.55893518519</v>
      </c>
      <c r="C488" s="1" t="n">
        <v>46129</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9875-2025</t>
        </is>
      </c>
      <c r="B489" s="1" t="n">
        <v>45716</v>
      </c>
      <c r="C489" s="1" t="n">
        <v>46129</v>
      </c>
      <c r="D489" t="inlineStr">
        <is>
          <t>GOTLANDS LÄN</t>
        </is>
      </c>
      <c r="E489" t="inlineStr">
        <is>
          <t>GOTLAND</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2135-2026</t>
        </is>
      </c>
      <c r="B490" s="1" t="n">
        <v>46036</v>
      </c>
      <c r="C490" s="1" t="n">
        <v>46129</v>
      </c>
      <c r="D490" t="inlineStr">
        <is>
          <t>GOTLANDS LÄN</t>
        </is>
      </c>
      <c r="E490" t="inlineStr">
        <is>
          <t>GOTLAND</t>
        </is>
      </c>
      <c r="G490" t="n">
        <v>0.5</v>
      </c>
      <c r="H490" t="n">
        <v>0</v>
      </c>
      <c r="I490" t="n">
        <v>0</v>
      </c>
      <c r="J490" t="n">
        <v>0</v>
      </c>
      <c r="K490" t="n">
        <v>0</v>
      </c>
      <c r="L490" t="n">
        <v>0</v>
      </c>
      <c r="M490" t="n">
        <v>0</v>
      </c>
      <c r="N490" t="n">
        <v>0</v>
      </c>
      <c r="O490" t="n">
        <v>0</v>
      </c>
      <c r="P490" t="n">
        <v>0</v>
      </c>
      <c r="Q490" t="n">
        <v>0</v>
      </c>
      <c r="R490" s="2" t="inlineStr"/>
    </row>
    <row r="491" ht="15" customHeight="1">
      <c r="A491" t="inlineStr">
        <is>
          <t>A 29809-2022</t>
        </is>
      </c>
      <c r="B491" s="1" t="n">
        <v>44755.8713425926</v>
      </c>
      <c r="C491" s="1" t="n">
        <v>46129</v>
      </c>
      <c r="D491" t="inlineStr">
        <is>
          <t>GOTLANDS LÄN</t>
        </is>
      </c>
      <c r="E491" t="inlineStr">
        <is>
          <t>GOTLAND</t>
        </is>
      </c>
      <c r="G491" t="n">
        <v>11.5</v>
      </c>
      <c r="H491" t="n">
        <v>0</v>
      </c>
      <c r="I491" t="n">
        <v>0</v>
      </c>
      <c r="J491" t="n">
        <v>0</v>
      </c>
      <c r="K491" t="n">
        <v>0</v>
      </c>
      <c r="L491" t="n">
        <v>0</v>
      </c>
      <c r="M491" t="n">
        <v>0</v>
      </c>
      <c r="N491" t="n">
        <v>0</v>
      </c>
      <c r="O491" t="n">
        <v>0</v>
      </c>
      <c r="P491" t="n">
        <v>0</v>
      </c>
      <c r="Q491" t="n">
        <v>0</v>
      </c>
      <c r="R491" s="2" t="inlineStr"/>
    </row>
    <row r="492" ht="15" customHeight="1">
      <c r="A492" t="inlineStr">
        <is>
          <t>A 2134-2026</t>
        </is>
      </c>
      <c r="B492" s="1" t="n">
        <v>46036</v>
      </c>
      <c r="C492" s="1" t="n">
        <v>46129</v>
      </c>
      <c r="D492" t="inlineStr">
        <is>
          <t>GOTLANDS LÄN</t>
        </is>
      </c>
      <c r="E492" t="inlineStr">
        <is>
          <t>GOTLAND</t>
        </is>
      </c>
      <c r="G492" t="n">
        <v>1.7</v>
      </c>
      <c r="H492" t="n">
        <v>0</v>
      </c>
      <c r="I492" t="n">
        <v>0</v>
      </c>
      <c r="J492" t="n">
        <v>0</v>
      </c>
      <c r="K492" t="n">
        <v>0</v>
      </c>
      <c r="L492" t="n">
        <v>0</v>
      </c>
      <c r="M492" t="n">
        <v>0</v>
      </c>
      <c r="N492" t="n">
        <v>0</v>
      </c>
      <c r="O492" t="n">
        <v>0</v>
      </c>
      <c r="P492" t="n">
        <v>0</v>
      </c>
      <c r="Q492" t="n">
        <v>0</v>
      </c>
      <c r="R492" s="2" t="inlineStr"/>
    </row>
    <row r="493" ht="15" customHeight="1">
      <c r="A493" t="inlineStr">
        <is>
          <t>A 62836-2025</t>
        </is>
      </c>
      <c r="B493" s="1" t="n">
        <v>46008</v>
      </c>
      <c r="C493" s="1" t="n">
        <v>46129</v>
      </c>
      <c r="D493" t="inlineStr">
        <is>
          <t>GOTLANDS LÄN</t>
        </is>
      </c>
      <c r="E493" t="inlineStr">
        <is>
          <t>GOTLAND</t>
        </is>
      </c>
      <c r="G493" t="n">
        <v>6.5</v>
      </c>
      <c r="H493" t="n">
        <v>0</v>
      </c>
      <c r="I493" t="n">
        <v>0</v>
      </c>
      <c r="J493" t="n">
        <v>0</v>
      </c>
      <c r="K493" t="n">
        <v>0</v>
      </c>
      <c r="L493" t="n">
        <v>0</v>
      </c>
      <c r="M493" t="n">
        <v>0</v>
      </c>
      <c r="N493" t="n">
        <v>0</v>
      </c>
      <c r="O493" t="n">
        <v>0</v>
      </c>
      <c r="P493" t="n">
        <v>0</v>
      </c>
      <c r="Q493" t="n">
        <v>0</v>
      </c>
      <c r="R493" s="2" t="inlineStr"/>
    </row>
    <row r="494" ht="15" customHeight="1">
      <c r="A494" t="inlineStr">
        <is>
          <t>A 16361-2024</t>
        </is>
      </c>
      <c r="B494" s="1" t="n">
        <v>45407</v>
      </c>
      <c r="C494" s="1" t="n">
        <v>46129</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43081-2022</t>
        </is>
      </c>
      <c r="B495" s="1" t="n">
        <v>44833</v>
      </c>
      <c r="C495" s="1" t="n">
        <v>46129</v>
      </c>
      <c r="D495" t="inlineStr">
        <is>
          <t>GOTLANDS LÄN</t>
        </is>
      </c>
      <c r="E495" t="inlineStr">
        <is>
          <t>GOTLAND</t>
        </is>
      </c>
      <c r="G495" t="n">
        <v>6.8</v>
      </c>
      <c r="H495" t="n">
        <v>0</v>
      </c>
      <c r="I495" t="n">
        <v>0</v>
      </c>
      <c r="J495" t="n">
        <v>0</v>
      </c>
      <c r="K495" t="n">
        <v>0</v>
      </c>
      <c r="L495" t="n">
        <v>0</v>
      </c>
      <c r="M495" t="n">
        <v>0</v>
      </c>
      <c r="N495" t="n">
        <v>0</v>
      </c>
      <c r="O495" t="n">
        <v>0</v>
      </c>
      <c r="P495" t="n">
        <v>0</v>
      </c>
      <c r="Q495" t="n">
        <v>0</v>
      </c>
      <c r="R495" s="2" t="inlineStr"/>
    </row>
    <row r="496" ht="15" customHeight="1">
      <c r="A496" t="inlineStr">
        <is>
          <t>A 1175-2025</t>
        </is>
      </c>
      <c r="B496" s="1" t="n">
        <v>45667.34449074074</v>
      </c>
      <c r="C496" s="1" t="n">
        <v>46129</v>
      </c>
      <c r="D496" t="inlineStr">
        <is>
          <t>GOTLANDS LÄN</t>
        </is>
      </c>
      <c r="E496" t="inlineStr">
        <is>
          <t>GOTLAND</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42201-2023</t>
        </is>
      </c>
      <c r="B497" s="1" t="n">
        <v>45179</v>
      </c>
      <c r="C497" s="1" t="n">
        <v>46129</v>
      </c>
      <c r="D497" t="inlineStr">
        <is>
          <t>GOTLANDS LÄN</t>
        </is>
      </c>
      <c r="E497" t="inlineStr">
        <is>
          <t>GOTLAND</t>
        </is>
      </c>
      <c r="G497" t="n">
        <v>11.9</v>
      </c>
      <c r="H497" t="n">
        <v>0</v>
      </c>
      <c r="I497" t="n">
        <v>0</v>
      </c>
      <c r="J497" t="n">
        <v>0</v>
      </c>
      <c r="K497" t="n">
        <v>0</v>
      </c>
      <c r="L497" t="n">
        <v>0</v>
      </c>
      <c r="M497" t="n">
        <v>0</v>
      </c>
      <c r="N497" t="n">
        <v>0</v>
      </c>
      <c r="O497" t="n">
        <v>0</v>
      </c>
      <c r="P497" t="n">
        <v>0</v>
      </c>
      <c r="Q497" t="n">
        <v>0</v>
      </c>
      <c r="R497" s="2" t="inlineStr"/>
    </row>
    <row r="498" ht="15" customHeight="1">
      <c r="A498" t="inlineStr">
        <is>
          <t>A 3150-2025</t>
        </is>
      </c>
      <c r="B498" s="1" t="n">
        <v>45679.28974537037</v>
      </c>
      <c r="C498" s="1" t="n">
        <v>46129</v>
      </c>
      <c r="D498" t="inlineStr">
        <is>
          <t>GOTLANDS LÄN</t>
        </is>
      </c>
      <c r="E498" t="inlineStr">
        <is>
          <t>GOTLAND</t>
        </is>
      </c>
      <c r="G498" t="n">
        <v>2.5</v>
      </c>
      <c r="H498" t="n">
        <v>0</v>
      </c>
      <c r="I498" t="n">
        <v>0</v>
      </c>
      <c r="J498" t="n">
        <v>0</v>
      </c>
      <c r="K498" t="n">
        <v>0</v>
      </c>
      <c r="L498" t="n">
        <v>0</v>
      </c>
      <c r="M498" t="n">
        <v>0</v>
      </c>
      <c r="N498" t="n">
        <v>0</v>
      </c>
      <c r="O498" t="n">
        <v>0</v>
      </c>
      <c r="P498" t="n">
        <v>0</v>
      </c>
      <c r="Q498" t="n">
        <v>0</v>
      </c>
      <c r="R498" s="2" t="inlineStr"/>
    </row>
    <row r="499" ht="15" customHeight="1">
      <c r="A499" t="inlineStr">
        <is>
          <t>A 42041-2024</t>
        </is>
      </c>
      <c r="B499" s="1" t="n">
        <v>45561</v>
      </c>
      <c r="C499" s="1" t="n">
        <v>46129</v>
      </c>
      <c r="D499" t="inlineStr">
        <is>
          <t>GOTLANDS LÄN</t>
        </is>
      </c>
      <c r="E499" t="inlineStr">
        <is>
          <t>GOTLAND</t>
        </is>
      </c>
      <c r="G499" t="n">
        <v>3.2</v>
      </c>
      <c r="H499" t="n">
        <v>0</v>
      </c>
      <c r="I499" t="n">
        <v>0</v>
      </c>
      <c r="J499" t="n">
        <v>0</v>
      </c>
      <c r="K499" t="n">
        <v>0</v>
      </c>
      <c r="L499" t="n">
        <v>0</v>
      </c>
      <c r="M499" t="n">
        <v>0</v>
      </c>
      <c r="N499" t="n">
        <v>0</v>
      </c>
      <c r="O499" t="n">
        <v>0</v>
      </c>
      <c r="P499" t="n">
        <v>0</v>
      </c>
      <c r="Q499" t="n">
        <v>0</v>
      </c>
      <c r="R499" s="2" t="inlineStr"/>
    </row>
    <row r="500" ht="15" customHeight="1">
      <c r="A500" t="inlineStr">
        <is>
          <t>A 53561-2025</t>
        </is>
      </c>
      <c r="B500" s="1" t="n">
        <v>45960.4059375</v>
      </c>
      <c r="C500" s="1" t="n">
        <v>46129</v>
      </c>
      <c r="D500" t="inlineStr">
        <is>
          <t>GOTLANDS LÄN</t>
        </is>
      </c>
      <c r="E500" t="inlineStr">
        <is>
          <t>GOTLAND</t>
        </is>
      </c>
      <c r="F500" t="inlineStr">
        <is>
          <t>Övriga Aktiebolag</t>
        </is>
      </c>
      <c r="G500" t="n">
        <v>2.4</v>
      </c>
      <c r="H500" t="n">
        <v>0</v>
      </c>
      <c r="I500" t="n">
        <v>0</v>
      </c>
      <c r="J500" t="n">
        <v>0</v>
      </c>
      <c r="K500" t="n">
        <v>0</v>
      </c>
      <c r="L500" t="n">
        <v>0</v>
      </c>
      <c r="M500" t="n">
        <v>0</v>
      </c>
      <c r="N500" t="n">
        <v>0</v>
      </c>
      <c r="O500" t="n">
        <v>0</v>
      </c>
      <c r="P500" t="n">
        <v>0</v>
      </c>
      <c r="Q500" t="n">
        <v>0</v>
      </c>
      <c r="R500" s="2" t="inlineStr"/>
    </row>
    <row r="501" ht="15" customHeight="1">
      <c r="A501" t="inlineStr">
        <is>
          <t>A 53587-2025</t>
        </is>
      </c>
      <c r="B501" s="1" t="n">
        <v>45960.43681712963</v>
      </c>
      <c r="C501" s="1" t="n">
        <v>46129</v>
      </c>
      <c r="D501" t="inlineStr">
        <is>
          <t>GOTLANDS LÄN</t>
        </is>
      </c>
      <c r="E501" t="inlineStr">
        <is>
          <t>GOTLAND</t>
        </is>
      </c>
      <c r="F501" t="inlineStr">
        <is>
          <t>Övriga Aktiebolag</t>
        </is>
      </c>
      <c r="G501" t="n">
        <v>1.7</v>
      </c>
      <c r="H501" t="n">
        <v>0</v>
      </c>
      <c r="I501" t="n">
        <v>0</v>
      </c>
      <c r="J501" t="n">
        <v>0</v>
      </c>
      <c r="K501" t="n">
        <v>0</v>
      </c>
      <c r="L501" t="n">
        <v>0</v>
      </c>
      <c r="M501" t="n">
        <v>0</v>
      </c>
      <c r="N501" t="n">
        <v>0</v>
      </c>
      <c r="O501" t="n">
        <v>0</v>
      </c>
      <c r="P501" t="n">
        <v>0</v>
      </c>
      <c r="Q501" t="n">
        <v>0</v>
      </c>
      <c r="R501" s="2" t="inlineStr"/>
    </row>
    <row r="502" ht="15" customHeight="1">
      <c r="A502" t="inlineStr">
        <is>
          <t>A 15436-2025</t>
        </is>
      </c>
      <c r="B502" s="1" t="n">
        <v>45747.47462962963</v>
      </c>
      <c r="C502" s="1" t="n">
        <v>46129</v>
      </c>
      <c r="D502" t="inlineStr">
        <is>
          <t>GOTLANDS LÄN</t>
        </is>
      </c>
      <c r="E502" t="inlineStr">
        <is>
          <t>GOTLAND</t>
        </is>
      </c>
      <c r="G502" t="n">
        <v>4.1</v>
      </c>
      <c r="H502" t="n">
        <v>0</v>
      </c>
      <c r="I502" t="n">
        <v>0</v>
      </c>
      <c r="J502" t="n">
        <v>0</v>
      </c>
      <c r="K502" t="n">
        <v>0</v>
      </c>
      <c r="L502" t="n">
        <v>0</v>
      </c>
      <c r="M502" t="n">
        <v>0</v>
      </c>
      <c r="N502" t="n">
        <v>0</v>
      </c>
      <c r="O502" t="n">
        <v>0</v>
      </c>
      <c r="P502" t="n">
        <v>0</v>
      </c>
      <c r="Q502" t="n">
        <v>0</v>
      </c>
      <c r="R502" s="2" t="inlineStr"/>
    </row>
    <row r="503" ht="15" customHeight="1">
      <c r="A503" t="inlineStr">
        <is>
          <t>A 63000-2025</t>
        </is>
      </c>
      <c r="B503" s="1" t="n">
        <v>46009</v>
      </c>
      <c r="C503" s="1" t="n">
        <v>46129</v>
      </c>
      <c r="D503" t="inlineStr">
        <is>
          <t>GOTLANDS LÄN</t>
        </is>
      </c>
      <c r="E503" t="inlineStr">
        <is>
          <t>GOTLAND</t>
        </is>
      </c>
      <c r="F503" t="inlineStr">
        <is>
          <t>Övriga Aktiebolag</t>
        </is>
      </c>
      <c r="G503" t="n">
        <v>1.7</v>
      </c>
      <c r="H503" t="n">
        <v>0</v>
      </c>
      <c r="I503" t="n">
        <v>0</v>
      </c>
      <c r="J503" t="n">
        <v>0</v>
      </c>
      <c r="K503" t="n">
        <v>0</v>
      </c>
      <c r="L503" t="n">
        <v>0</v>
      </c>
      <c r="M503" t="n">
        <v>0</v>
      </c>
      <c r="N503" t="n">
        <v>0</v>
      </c>
      <c r="O503" t="n">
        <v>0</v>
      </c>
      <c r="P503" t="n">
        <v>0</v>
      </c>
      <c r="Q503" t="n">
        <v>0</v>
      </c>
      <c r="R503" s="2" t="inlineStr"/>
    </row>
    <row r="504" ht="15" customHeight="1">
      <c r="A504" t="inlineStr">
        <is>
          <t>A 21247-2022</t>
        </is>
      </c>
      <c r="B504" s="1" t="n">
        <v>44705.38832175926</v>
      </c>
      <c r="C504" s="1" t="n">
        <v>46129</v>
      </c>
      <c r="D504" t="inlineStr">
        <is>
          <t>GOTLANDS LÄN</t>
        </is>
      </c>
      <c r="E504" t="inlineStr">
        <is>
          <t>GOTLAND</t>
        </is>
      </c>
      <c r="G504" t="n">
        <v>16.2</v>
      </c>
      <c r="H504" t="n">
        <v>0</v>
      </c>
      <c r="I504" t="n">
        <v>0</v>
      </c>
      <c r="J504" t="n">
        <v>0</v>
      </c>
      <c r="K504" t="n">
        <v>0</v>
      </c>
      <c r="L504" t="n">
        <v>0</v>
      </c>
      <c r="M504" t="n">
        <v>0</v>
      </c>
      <c r="N504" t="n">
        <v>0</v>
      </c>
      <c r="O504" t="n">
        <v>0</v>
      </c>
      <c r="P504" t="n">
        <v>0</v>
      </c>
      <c r="Q504" t="n">
        <v>0</v>
      </c>
      <c r="R504" s="2" t="inlineStr"/>
    </row>
    <row r="505" ht="15" customHeight="1">
      <c r="A505" t="inlineStr">
        <is>
          <t>A 9540-2026</t>
        </is>
      </c>
      <c r="B505" s="1" t="n">
        <v>46071.61961805556</v>
      </c>
      <c r="C505" s="1" t="n">
        <v>46129</v>
      </c>
      <c r="D505" t="inlineStr">
        <is>
          <t>GOTLANDS LÄN</t>
        </is>
      </c>
      <c r="E505" t="inlineStr">
        <is>
          <t>GOTLAND</t>
        </is>
      </c>
      <c r="G505" t="n">
        <v>2.8</v>
      </c>
      <c r="H505" t="n">
        <v>0</v>
      </c>
      <c r="I505" t="n">
        <v>0</v>
      </c>
      <c r="J505" t="n">
        <v>0</v>
      </c>
      <c r="K505" t="n">
        <v>0</v>
      </c>
      <c r="L505" t="n">
        <v>0</v>
      </c>
      <c r="M505" t="n">
        <v>0</v>
      </c>
      <c r="N505" t="n">
        <v>0</v>
      </c>
      <c r="O505" t="n">
        <v>0</v>
      </c>
      <c r="P505" t="n">
        <v>0</v>
      </c>
      <c r="Q505" t="n">
        <v>0</v>
      </c>
      <c r="R505" s="2" t="inlineStr"/>
    </row>
    <row r="506" ht="15" customHeight="1">
      <c r="A506" t="inlineStr">
        <is>
          <t>A 62751-2025</t>
        </is>
      </c>
      <c r="B506" s="1" t="n">
        <v>46008</v>
      </c>
      <c r="C506" s="1" t="n">
        <v>46129</v>
      </c>
      <c r="D506" t="inlineStr">
        <is>
          <t>GOTLANDS LÄN</t>
        </is>
      </c>
      <c r="E506" t="inlineStr">
        <is>
          <t>GOTLAND</t>
        </is>
      </c>
      <c r="F506" t="inlineStr">
        <is>
          <t>Övriga Aktiebolag</t>
        </is>
      </c>
      <c r="G506" t="n">
        <v>7.8</v>
      </c>
      <c r="H506" t="n">
        <v>0</v>
      </c>
      <c r="I506" t="n">
        <v>0</v>
      </c>
      <c r="J506" t="n">
        <v>0</v>
      </c>
      <c r="K506" t="n">
        <v>0</v>
      </c>
      <c r="L506" t="n">
        <v>0</v>
      </c>
      <c r="M506" t="n">
        <v>0</v>
      </c>
      <c r="N506" t="n">
        <v>0</v>
      </c>
      <c r="O506" t="n">
        <v>0</v>
      </c>
      <c r="P506" t="n">
        <v>0</v>
      </c>
      <c r="Q506" t="n">
        <v>0</v>
      </c>
      <c r="R506" s="2" t="inlineStr"/>
    </row>
    <row r="507" ht="15" customHeight="1">
      <c r="A507" t="inlineStr">
        <is>
          <t>A 9521-2026</t>
        </is>
      </c>
      <c r="B507" s="1" t="n">
        <v>46071.59969907408</v>
      </c>
      <c r="C507" s="1" t="n">
        <v>46129</v>
      </c>
      <c r="D507" t="inlineStr">
        <is>
          <t>GOTLANDS LÄN</t>
        </is>
      </c>
      <c r="E507" t="inlineStr">
        <is>
          <t>GOTLAND</t>
        </is>
      </c>
      <c r="G507" t="n">
        <v>3.9</v>
      </c>
      <c r="H507" t="n">
        <v>0</v>
      </c>
      <c r="I507" t="n">
        <v>0</v>
      </c>
      <c r="J507" t="n">
        <v>0</v>
      </c>
      <c r="K507" t="n">
        <v>0</v>
      </c>
      <c r="L507" t="n">
        <v>0</v>
      </c>
      <c r="M507" t="n">
        <v>0</v>
      </c>
      <c r="N507" t="n">
        <v>0</v>
      </c>
      <c r="O507" t="n">
        <v>0</v>
      </c>
      <c r="P507" t="n">
        <v>0</v>
      </c>
      <c r="Q507" t="n">
        <v>0</v>
      </c>
      <c r="R507" s="2" t="inlineStr"/>
    </row>
    <row r="508" ht="15" customHeight="1">
      <c r="A508" t="inlineStr">
        <is>
          <t>A 9524-2026</t>
        </is>
      </c>
      <c r="B508" s="1" t="n">
        <v>46071.60108796296</v>
      </c>
      <c r="C508" s="1" t="n">
        <v>46129</v>
      </c>
      <c r="D508" t="inlineStr">
        <is>
          <t>GOTLANDS LÄN</t>
        </is>
      </c>
      <c r="E508" t="inlineStr">
        <is>
          <t>GOTLAND</t>
        </is>
      </c>
      <c r="G508" t="n">
        <v>2.5</v>
      </c>
      <c r="H508" t="n">
        <v>0</v>
      </c>
      <c r="I508" t="n">
        <v>0</v>
      </c>
      <c r="J508" t="n">
        <v>0</v>
      </c>
      <c r="K508" t="n">
        <v>0</v>
      </c>
      <c r="L508" t="n">
        <v>0</v>
      </c>
      <c r="M508" t="n">
        <v>0</v>
      </c>
      <c r="N508" t="n">
        <v>0</v>
      </c>
      <c r="O508" t="n">
        <v>0</v>
      </c>
      <c r="P508" t="n">
        <v>0</v>
      </c>
      <c r="Q508" t="n">
        <v>0</v>
      </c>
      <c r="R508" s="2" t="inlineStr"/>
    </row>
    <row r="509" ht="15" customHeight="1">
      <c r="A509" t="inlineStr">
        <is>
          <t>A 9543-2026</t>
        </is>
      </c>
      <c r="B509" s="1" t="n">
        <v>46071.62486111111</v>
      </c>
      <c r="C509" s="1" t="n">
        <v>46129</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17780-2022</t>
        </is>
      </c>
      <c r="B510" s="1" t="n">
        <v>44682.82622685185</v>
      </c>
      <c r="C510" s="1" t="n">
        <v>46129</v>
      </c>
      <c r="D510" t="inlineStr">
        <is>
          <t>GOTLANDS LÄN</t>
        </is>
      </c>
      <c r="E510" t="inlineStr">
        <is>
          <t>GOTLAND</t>
        </is>
      </c>
      <c r="G510" t="n">
        <v>2.2</v>
      </c>
      <c r="H510" t="n">
        <v>0</v>
      </c>
      <c r="I510" t="n">
        <v>0</v>
      </c>
      <c r="J510" t="n">
        <v>0</v>
      </c>
      <c r="K510" t="n">
        <v>0</v>
      </c>
      <c r="L510" t="n">
        <v>0</v>
      </c>
      <c r="M510" t="n">
        <v>0</v>
      </c>
      <c r="N510" t="n">
        <v>0</v>
      </c>
      <c r="O510" t="n">
        <v>0</v>
      </c>
      <c r="P510" t="n">
        <v>0</v>
      </c>
      <c r="Q510" t="n">
        <v>0</v>
      </c>
      <c r="R510" s="2" t="inlineStr"/>
    </row>
    <row r="511" ht="15" customHeight="1">
      <c r="A511" t="inlineStr">
        <is>
          <t>A 63516-2023</t>
        </is>
      </c>
      <c r="B511" s="1" t="n">
        <v>45274</v>
      </c>
      <c r="C511" s="1" t="n">
        <v>46129</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9504-2026</t>
        </is>
      </c>
      <c r="B512" s="1" t="n">
        <v>46071.57730324074</v>
      </c>
      <c r="C512" s="1" t="n">
        <v>46129</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9518-2026</t>
        </is>
      </c>
      <c r="B513" s="1" t="n">
        <v>46071.59653935185</v>
      </c>
      <c r="C513" s="1" t="n">
        <v>46129</v>
      </c>
      <c r="D513" t="inlineStr">
        <is>
          <t>GOTLANDS LÄN</t>
        </is>
      </c>
      <c r="E513" t="inlineStr">
        <is>
          <t>GOTLAND</t>
        </is>
      </c>
      <c r="G513" t="n">
        <v>6.2</v>
      </c>
      <c r="H513" t="n">
        <v>0</v>
      </c>
      <c r="I513" t="n">
        <v>0</v>
      </c>
      <c r="J513" t="n">
        <v>0</v>
      </c>
      <c r="K513" t="n">
        <v>0</v>
      </c>
      <c r="L513" t="n">
        <v>0</v>
      </c>
      <c r="M513" t="n">
        <v>0</v>
      </c>
      <c r="N513" t="n">
        <v>0</v>
      </c>
      <c r="O513" t="n">
        <v>0</v>
      </c>
      <c r="P513" t="n">
        <v>0</v>
      </c>
      <c r="Q513" t="n">
        <v>0</v>
      </c>
      <c r="R513" s="2" t="inlineStr"/>
    </row>
    <row r="514" ht="15" customHeight="1">
      <c r="A514" t="inlineStr">
        <is>
          <t>A 9519-2026</t>
        </is>
      </c>
      <c r="B514" s="1" t="n">
        <v>46071.59820601852</v>
      </c>
      <c r="C514" s="1" t="n">
        <v>46129</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62754-2025</t>
        </is>
      </c>
      <c r="B515" s="1" t="n">
        <v>46008</v>
      </c>
      <c r="C515" s="1" t="n">
        <v>46129</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53935-2024</t>
        </is>
      </c>
      <c r="B516" s="1" t="n">
        <v>45615</v>
      </c>
      <c r="C516" s="1" t="n">
        <v>46129</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9901-2026</t>
        </is>
      </c>
      <c r="B517" s="1" t="n">
        <v>46073.40391203704</v>
      </c>
      <c r="C517" s="1" t="n">
        <v>46129</v>
      </c>
      <c r="D517" t="inlineStr">
        <is>
          <t>GOTLANDS LÄN</t>
        </is>
      </c>
      <c r="E517" t="inlineStr">
        <is>
          <t>GOTLAND</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69112-2021</t>
        </is>
      </c>
      <c r="B518" s="1" t="n">
        <v>44530</v>
      </c>
      <c r="C518" s="1" t="n">
        <v>46129</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17000-2026</t>
        </is>
      </c>
      <c r="B519" s="1" t="n">
        <v>46114.42690972222</v>
      </c>
      <c r="C519" s="1" t="n">
        <v>46129</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46129</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23516-2023</t>
        </is>
      </c>
      <c r="B521" s="1" t="n">
        <v>45076.93391203704</v>
      </c>
      <c r="C521" s="1" t="n">
        <v>46129</v>
      </c>
      <c r="D521" t="inlineStr">
        <is>
          <t>GOTLANDS LÄN</t>
        </is>
      </c>
      <c r="E521" t="inlineStr">
        <is>
          <t>GOTLAND</t>
        </is>
      </c>
      <c r="G521" t="n">
        <v>1.4</v>
      </c>
      <c r="H521" t="n">
        <v>0</v>
      </c>
      <c r="I521" t="n">
        <v>0</v>
      </c>
      <c r="J521" t="n">
        <v>0</v>
      </c>
      <c r="K521" t="n">
        <v>0</v>
      </c>
      <c r="L521" t="n">
        <v>0</v>
      </c>
      <c r="M521" t="n">
        <v>0</v>
      </c>
      <c r="N521" t="n">
        <v>0</v>
      </c>
      <c r="O521" t="n">
        <v>0</v>
      </c>
      <c r="P521" t="n">
        <v>0</v>
      </c>
      <c r="Q521" t="n">
        <v>0</v>
      </c>
      <c r="R521" s="2" t="inlineStr"/>
    </row>
    <row r="522" ht="15" customHeight="1">
      <c r="A522" t="inlineStr">
        <is>
          <t>A 43231-2023</t>
        </is>
      </c>
      <c r="B522" s="1" t="n">
        <v>45183.47025462963</v>
      </c>
      <c r="C522" s="1" t="n">
        <v>46129</v>
      </c>
      <c r="D522" t="inlineStr">
        <is>
          <t>GOTLANDS LÄN</t>
        </is>
      </c>
      <c r="E522" t="inlineStr">
        <is>
          <t>GOTLAND</t>
        </is>
      </c>
      <c r="G522" t="n">
        <v>3.6</v>
      </c>
      <c r="H522" t="n">
        <v>0</v>
      </c>
      <c r="I522" t="n">
        <v>0</v>
      </c>
      <c r="J522" t="n">
        <v>0</v>
      </c>
      <c r="K522" t="n">
        <v>0</v>
      </c>
      <c r="L522" t="n">
        <v>0</v>
      </c>
      <c r="M522" t="n">
        <v>0</v>
      </c>
      <c r="N522" t="n">
        <v>0</v>
      </c>
      <c r="O522" t="n">
        <v>0</v>
      </c>
      <c r="P522" t="n">
        <v>0</v>
      </c>
      <c r="Q522" t="n">
        <v>0</v>
      </c>
      <c r="R522" s="2" t="inlineStr"/>
    </row>
    <row r="523" ht="15" customHeight="1">
      <c r="A523" t="inlineStr">
        <is>
          <t>A 58230-2024</t>
        </is>
      </c>
      <c r="B523" s="1" t="n">
        <v>45632.51625</v>
      </c>
      <c r="C523" s="1" t="n">
        <v>46129</v>
      </c>
      <c r="D523" t="inlineStr">
        <is>
          <t>GOTLANDS LÄN</t>
        </is>
      </c>
      <c r="E523" t="inlineStr">
        <is>
          <t>GOTLAND</t>
        </is>
      </c>
      <c r="G523" t="n">
        <v>7.3</v>
      </c>
      <c r="H523" t="n">
        <v>0</v>
      </c>
      <c r="I523" t="n">
        <v>0</v>
      </c>
      <c r="J523" t="n">
        <v>0</v>
      </c>
      <c r="K523" t="n">
        <v>0</v>
      </c>
      <c r="L523" t="n">
        <v>0</v>
      </c>
      <c r="M523" t="n">
        <v>0</v>
      </c>
      <c r="N523" t="n">
        <v>0</v>
      </c>
      <c r="O523" t="n">
        <v>0</v>
      </c>
      <c r="P523" t="n">
        <v>0</v>
      </c>
      <c r="Q523" t="n">
        <v>0</v>
      </c>
      <c r="R523" s="2" t="inlineStr"/>
    </row>
    <row r="524" ht="15" customHeight="1">
      <c r="A524" t="inlineStr">
        <is>
          <t>A 64555-2023</t>
        </is>
      </c>
      <c r="B524" s="1" t="n">
        <v>45281</v>
      </c>
      <c r="C524" s="1" t="n">
        <v>46129</v>
      </c>
      <c r="D524" t="inlineStr">
        <is>
          <t>GOTLANDS LÄN</t>
        </is>
      </c>
      <c r="E524" t="inlineStr">
        <is>
          <t>GOTLAND</t>
        </is>
      </c>
      <c r="G524" t="n">
        <v>3.5</v>
      </c>
      <c r="H524" t="n">
        <v>0</v>
      </c>
      <c r="I524" t="n">
        <v>0</v>
      </c>
      <c r="J524" t="n">
        <v>0</v>
      </c>
      <c r="K524" t="n">
        <v>0</v>
      </c>
      <c r="L524" t="n">
        <v>0</v>
      </c>
      <c r="M524" t="n">
        <v>0</v>
      </c>
      <c r="N524" t="n">
        <v>0</v>
      </c>
      <c r="O524" t="n">
        <v>0</v>
      </c>
      <c r="P524" t="n">
        <v>0</v>
      </c>
      <c r="Q524" t="n">
        <v>0</v>
      </c>
      <c r="R524" s="2" t="inlineStr"/>
    </row>
    <row r="525" ht="15" customHeight="1">
      <c r="A525" t="inlineStr">
        <is>
          <t>A 16993-2026</t>
        </is>
      </c>
      <c r="B525" s="1" t="n">
        <v>46114.41918981481</v>
      </c>
      <c r="C525" s="1" t="n">
        <v>46129</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457-2023</t>
        </is>
      </c>
      <c r="B526" s="1" t="n">
        <v>44929.87238425926</v>
      </c>
      <c r="C526" s="1" t="n">
        <v>46129</v>
      </c>
      <c r="D526" t="inlineStr">
        <is>
          <t>GOTLANDS LÄN</t>
        </is>
      </c>
      <c r="E526" t="inlineStr">
        <is>
          <t>GOTLAND</t>
        </is>
      </c>
      <c r="G526" t="n">
        <v>2.4</v>
      </c>
      <c r="H526" t="n">
        <v>0</v>
      </c>
      <c r="I526" t="n">
        <v>0</v>
      </c>
      <c r="J526" t="n">
        <v>0</v>
      </c>
      <c r="K526" t="n">
        <v>0</v>
      </c>
      <c r="L526" t="n">
        <v>0</v>
      </c>
      <c r="M526" t="n">
        <v>0</v>
      </c>
      <c r="N526" t="n">
        <v>0</v>
      </c>
      <c r="O526" t="n">
        <v>0</v>
      </c>
      <c r="P526" t="n">
        <v>0</v>
      </c>
      <c r="Q526" t="n">
        <v>0</v>
      </c>
      <c r="R526" s="2" t="inlineStr"/>
    </row>
    <row r="527" ht="15" customHeight="1">
      <c r="A527" t="inlineStr">
        <is>
          <t>A 459-2023</t>
        </is>
      </c>
      <c r="B527" s="1" t="n">
        <v>44929.87423611111</v>
      </c>
      <c r="C527" s="1" t="n">
        <v>46129</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10284-2026</t>
        </is>
      </c>
      <c r="B528" s="1" t="n">
        <v>46076</v>
      </c>
      <c r="C528" s="1" t="n">
        <v>46129</v>
      </c>
      <c r="D528" t="inlineStr">
        <is>
          <t>GOTLANDS LÄN</t>
        </is>
      </c>
      <c r="E528" t="inlineStr">
        <is>
          <t>GOTLAND</t>
        </is>
      </c>
      <c r="G528" t="n">
        <v>5.2</v>
      </c>
      <c r="H528" t="n">
        <v>0</v>
      </c>
      <c r="I528" t="n">
        <v>0</v>
      </c>
      <c r="J528" t="n">
        <v>0</v>
      </c>
      <c r="K528" t="n">
        <v>0</v>
      </c>
      <c r="L528" t="n">
        <v>0</v>
      </c>
      <c r="M528" t="n">
        <v>0</v>
      </c>
      <c r="N528" t="n">
        <v>0</v>
      </c>
      <c r="O528" t="n">
        <v>0</v>
      </c>
      <c r="P528" t="n">
        <v>0</v>
      </c>
      <c r="Q528" t="n">
        <v>0</v>
      </c>
      <c r="R528" s="2" t="inlineStr"/>
    </row>
    <row r="529" ht="15" customHeight="1">
      <c r="A529" t="inlineStr">
        <is>
          <t>A 63152-2025</t>
        </is>
      </c>
      <c r="B529" s="1" t="n">
        <v>46010</v>
      </c>
      <c r="C529" s="1" t="n">
        <v>46129</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10486-2026</t>
        </is>
      </c>
      <c r="B530" s="1" t="n">
        <v>46077.51425925926</v>
      </c>
      <c r="C530" s="1" t="n">
        <v>46129</v>
      </c>
      <c r="D530" t="inlineStr">
        <is>
          <t>GOTLANDS LÄN</t>
        </is>
      </c>
      <c r="E530" t="inlineStr">
        <is>
          <t>GOTLAND</t>
        </is>
      </c>
      <c r="G530" t="n">
        <v>3.5</v>
      </c>
      <c r="H530" t="n">
        <v>0</v>
      </c>
      <c r="I530" t="n">
        <v>0</v>
      </c>
      <c r="J530" t="n">
        <v>0</v>
      </c>
      <c r="K530" t="n">
        <v>0</v>
      </c>
      <c r="L530" t="n">
        <v>0</v>
      </c>
      <c r="M530" t="n">
        <v>0</v>
      </c>
      <c r="N530" t="n">
        <v>0</v>
      </c>
      <c r="O530" t="n">
        <v>0</v>
      </c>
      <c r="P530" t="n">
        <v>0</v>
      </c>
      <c r="Q530" t="n">
        <v>0</v>
      </c>
      <c r="R530" s="2" t="inlineStr"/>
    </row>
    <row r="531" ht="15" customHeight="1">
      <c r="A531" t="inlineStr">
        <is>
          <t>A 876-2024</t>
        </is>
      </c>
      <c r="B531" s="1" t="n">
        <v>45301</v>
      </c>
      <c r="C531" s="1" t="n">
        <v>46129</v>
      </c>
      <c r="D531" t="inlineStr">
        <is>
          <t>GOTLANDS LÄN</t>
        </is>
      </c>
      <c r="E531" t="inlineStr">
        <is>
          <t>GOTLAND</t>
        </is>
      </c>
      <c r="G531" t="n">
        <v>5.3</v>
      </c>
      <c r="H531" t="n">
        <v>0</v>
      </c>
      <c r="I531" t="n">
        <v>0</v>
      </c>
      <c r="J531" t="n">
        <v>0</v>
      </c>
      <c r="K531" t="n">
        <v>0</v>
      </c>
      <c r="L531" t="n">
        <v>0</v>
      </c>
      <c r="M531" t="n">
        <v>0</v>
      </c>
      <c r="N531" t="n">
        <v>0</v>
      </c>
      <c r="O531" t="n">
        <v>0</v>
      </c>
      <c r="P531" t="n">
        <v>0</v>
      </c>
      <c r="Q531" t="n">
        <v>0</v>
      </c>
      <c r="R531" s="2" t="inlineStr"/>
    </row>
    <row r="532" ht="15" customHeight="1">
      <c r="A532" t="inlineStr">
        <is>
          <t>A 26891-2024</t>
        </is>
      </c>
      <c r="B532" s="1" t="n">
        <v>45470.65540509259</v>
      </c>
      <c r="C532" s="1" t="n">
        <v>46129</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60384-2025</t>
        </is>
      </c>
      <c r="B533" s="1" t="n">
        <v>45995</v>
      </c>
      <c r="C533" s="1" t="n">
        <v>46129</v>
      </c>
      <c r="D533" t="inlineStr">
        <is>
          <t>GOTLANDS LÄN</t>
        </is>
      </c>
      <c r="E533" t="inlineStr">
        <is>
          <t>GOTLAND</t>
        </is>
      </c>
      <c r="G533" t="n">
        <v>2.5</v>
      </c>
      <c r="H533" t="n">
        <v>0</v>
      </c>
      <c r="I533" t="n">
        <v>0</v>
      </c>
      <c r="J533" t="n">
        <v>0</v>
      </c>
      <c r="K533" t="n">
        <v>0</v>
      </c>
      <c r="L533" t="n">
        <v>0</v>
      </c>
      <c r="M533" t="n">
        <v>0</v>
      </c>
      <c r="N533" t="n">
        <v>0</v>
      </c>
      <c r="O533" t="n">
        <v>0</v>
      </c>
      <c r="P533" t="n">
        <v>0</v>
      </c>
      <c r="Q533" t="n">
        <v>0</v>
      </c>
      <c r="R533" s="2" t="inlineStr"/>
    </row>
    <row r="534" ht="15" customHeight="1">
      <c r="A534" t="inlineStr">
        <is>
          <t>A 5923-2023</t>
        </is>
      </c>
      <c r="B534" s="1" t="n">
        <v>44963.69503472222</v>
      </c>
      <c r="C534" s="1" t="n">
        <v>46129</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50482-2024</t>
        </is>
      </c>
      <c r="B535" s="1" t="n">
        <v>45601.48114583334</v>
      </c>
      <c r="C535" s="1" t="n">
        <v>46129</v>
      </c>
      <c r="D535" t="inlineStr">
        <is>
          <t>GOTLANDS LÄN</t>
        </is>
      </c>
      <c r="E535" t="inlineStr">
        <is>
          <t>GOTLAND</t>
        </is>
      </c>
      <c r="G535" t="n">
        <v>2.3</v>
      </c>
      <c r="H535" t="n">
        <v>0</v>
      </c>
      <c r="I535" t="n">
        <v>0</v>
      </c>
      <c r="J535" t="n">
        <v>0</v>
      </c>
      <c r="K535" t="n">
        <v>0</v>
      </c>
      <c r="L535" t="n">
        <v>0</v>
      </c>
      <c r="M535" t="n">
        <v>0</v>
      </c>
      <c r="N535" t="n">
        <v>0</v>
      </c>
      <c r="O535" t="n">
        <v>0</v>
      </c>
      <c r="P535" t="n">
        <v>0</v>
      </c>
      <c r="Q535" t="n">
        <v>0</v>
      </c>
      <c r="R535" s="2" t="inlineStr"/>
    </row>
    <row r="536" ht="15" customHeight="1">
      <c r="A536" t="inlineStr">
        <is>
          <t>A 17328-2026</t>
        </is>
      </c>
      <c r="B536" s="1" t="n">
        <v>46119.61216435185</v>
      </c>
      <c r="C536" s="1" t="n">
        <v>46129</v>
      </c>
      <c r="D536" t="inlineStr">
        <is>
          <t>GOTLANDS LÄN</t>
        </is>
      </c>
      <c r="E536" t="inlineStr">
        <is>
          <t>GOTLAND</t>
        </is>
      </c>
      <c r="F536" t="inlineStr">
        <is>
          <t>Kyrkan</t>
        </is>
      </c>
      <c r="G536" t="n">
        <v>4</v>
      </c>
      <c r="H536" t="n">
        <v>0</v>
      </c>
      <c r="I536" t="n">
        <v>0</v>
      </c>
      <c r="J536" t="n">
        <v>0</v>
      </c>
      <c r="K536" t="n">
        <v>0</v>
      </c>
      <c r="L536" t="n">
        <v>0</v>
      </c>
      <c r="M536" t="n">
        <v>0</v>
      </c>
      <c r="N536" t="n">
        <v>0</v>
      </c>
      <c r="O536" t="n">
        <v>0</v>
      </c>
      <c r="P536" t="n">
        <v>0</v>
      </c>
      <c r="Q536" t="n">
        <v>0</v>
      </c>
      <c r="R536" s="2" t="inlineStr"/>
    </row>
    <row r="537" ht="15" customHeight="1">
      <c r="A537" t="inlineStr">
        <is>
          <t>A 5943-2024</t>
        </is>
      </c>
      <c r="B537" s="1" t="n">
        <v>45336</v>
      </c>
      <c r="C537" s="1" t="n">
        <v>46129</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38234-2023</t>
        </is>
      </c>
      <c r="B538" s="1" t="n">
        <v>45161.56663194444</v>
      </c>
      <c r="C538" s="1" t="n">
        <v>46129</v>
      </c>
      <c r="D538" t="inlineStr">
        <is>
          <t>GOTLANDS LÄN</t>
        </is>
      </c>
      <c r="E538" t="inlineStr">
        <is>
          <t>GOTLAND</t>
        </is>
      </c>
      <c r="G538" t="n">
        <v>1.3</v>
      </c>
      <c r="H538" t="n">
        <v>0</v>
      </c>
      <c r="I538" t="n">
        <v>0</v>
      </c>
      <c r="J538" t="n">
        <v>0</v>
      </c>
      <c r="K538" t="n">
        <v>0</v>
      </c>
      <c r="L538" t="n">
        <v>0</v>
      </c>
      <c r="M538" t="n">
        <v>0</v>
      </c>
      <c r="N538" t="n">
        <v>0</v>
      </c>
      <c r="O538" t="n">
        <v>0</v>
      </c>
      <c r="P538" t="n">
        <v>0</v>
      </c>
      <c r="Q538" t="n">
        <v>0</v>
      </c>
      <c r="R538" s="2" t="inlineStr"/>
    </row>
    <row r="539" ht="15" customHeight="1">
      <c r="A539" t="inlineStr">
        <is>
          <t>A 1273-2023</t>
        </is>
      </c>
      <c r="B539" s="1" t="n">
        <v>44936</v>
      </c>
      <c r="C539" s="1" t="n">
        <v>46129</v>
      </c>
      <c r="D539" t="inlineStr">
        <is>
          <t>GOTLANDS LÄN</t>
        </is>
      </c>
      <c r="E539" t="inlineStr">
        <is>
          <t>GOTLAND</t>
        </is>
      </c>
      <c r="G539" t="n">
        <v>4.5</v>
      </c>
      <c r="H539" t="n">
        <v>0</v>
      </c>
      <c r="I539" t="n">
        <v>0</v>
      </c>
      <c r="J539" t="n">
        <v>0</v>
      </c>
      <c r="K539" t="n">
        <v>0</v>
      </c>
      <c r="L539" t="n">
        <v>0</v>
      </c>
      <c r="M539" t="n">
        <v>0</v>
      </c>
      <c r="N539" t="n">
        <v>0</v>
      </c>
      <c r="O539" t="n">
        <v>0</v>
      </c>
      <c r="P539" t="n">
        <v>0</v>
      </c>
      <c r="Q539" t="n">
        <v>0</v>
      </c>
      <c r="R539" s="2" t="inlineStr"/>
    </row>
    <row r="540" ht="15" customHeight="1">
      <c r="A540" t="inlineStr">
        <is>
          <t>A 17935-2026</t>
        </is>
      </c>
      <c r="B540" s="1" t="n">
        <v>46122</v>
      </c>
      <c r="C540" s="1" t="n">
        <v>46129</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17943-2026</t>
        </is>
      </c>
      <c r="B541" s="1" t="n">
        <v>46122</v>
      </c>
      <c r="C541" s="1" t="n">
        <v>46129</v>
      </c>
      <c r="D541" t="inlineStr">
        <is>
          <t>GOTLANDS LÄN</t>
        </is>
      </c>
      <c r="E541" t="inlineStr">
        <is>
          <t>GOTLAND</t>
        </is>
      </c>
      <c r="G541" t="n">
        <v>2.8</v>
      </c>
      <c r="H541" t="n">
        <v>0</v>
      </c>
      <c r="I541" t="n">
        <v>0</v>
      </c>
      <c r="J541" t="n">
        <v>0</v>
      </c>
      <c r="K541" t="n">
        <v>0</v>
      </c>
      <c r="L541" t="n">
        <v>0</v>
      </c>
      <c r="M541" t="n">
        <v>0</v>
      </c>
      <c r="N541" t="n">
        <v>0</v>
      </c>
      <c r="O541" t="n">
        <v>0</v>
      </c>
      <c r="P541" t="n">
        <v>0</v>
      </c>
      <c r="Q541" t="n">
        <v>0</v>
      </c>
      <c r="R541" s="2" t="inlineStr"/>
    </row>
    <row r="542" ht="15" customHeight="1">
      <c r="A542" t="inlineStr">
        <is>
          <t>A 17724-2024</t>
        </is>
      </c>
      <c r="B542" s="1" t="n">
        <v>45418.55096064815</v>
      </c>
      <c r="C542" s="1" t="n">
        <v>46129</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23978-2023</t>
        </is>
      </c>
      <c r="B543" s="1" t="n">
        <v>45078</v>
      </c>
      <c r="C543" s="1" t="n">
        <v>46129</v>
      </c>
      <c r="D543" t="inlineStr">
        <is>
          <t>GOTLANDS LÄN</t>
        </is>
      </c>
      <c r="E543" t="inlineStr">
        <is>
          <t>GOTLAND</t>
        </is>
      </c>
      <c r="F543" t="inlineStr">
        <is>
          <t>Naturvårdsverket</t>
        </is>
      </c>
      <c r="G543" t="n">
        <v>1.7</v>
      </c>
      <c r="H543" t="n">
        <v>0</v>
      </c>
      <c r="I543" t="n">
        <v>0</v>
      </c>
      <c r="J543" t="n">
        <v>0</v>
      </c>
      <c r="K543" t="n">
        <v>0</v>
      </c>
      <c r="L543" t="n">
        <v>0</v>
      </c>
      <c r="M543" t="n">
        <v>0</v>
      </c>
      <c r="N543" t="n">
        <v>0</v>
      </c>
      <c r="O543" t="n">
        <v>0</v>
      </c>
      <c r="P543" t="n">
        <v>0</v>
      </c>
      <c r="Q543" t="n">
        <v>0</v>
      </c>
      <c r="R543" s="2" t="inlineStr"/>
    </row>
    <row r="544" ht="15" customHeight="1">
      <c r="A544" t="inlineStr">
        <is>
          <t>A 49884-2023</t>
        </is>
      </c>
      <c r="B544" s="1" t="n">
        <v>45213</v>
      </c>
      <c r="C544" s="1" t="n">
        <v>46129</v>
      </c>
      <c r="D544" t="inlineStr">
        <is>
          <t>GOTLANDS LÄN</t>
        </is>
      </c>
      <c r="E544" t="inlineStr">
        <is>
          <t>GOTLAND</t>
        </is>
      </c>
      <c r="G544" t="n">
        <v>8.9</v>
      </c>
      <c r="H544" t="n">
        <v>0</v>
      </c>
      <c r="I544" t="n">
        <v>0</v>
      </c>
      <c r="J544" t="n">
        <v>0</v>
      </c>
      <c r="K544" t="n">
        <v>0</v>
      </c>
      <c r="L544" t="n">
        <v>0</v>
      </c>
      <c r="M544" t="n">
        <v>0</v>
      </c>
      <c r="N544" t="n">
        <v>0</v>
      </c>
      <c r="O544" t="n">
        <v>0</v>
      </c>
      <c r="P544" t="n">
        <v>0</v>
      </c>
      <c r="Q544" t="n">
        <v>0</v>
      </c>
      <c r="R544" s="2" t="inlineStr"/>
    </row>
    <row r="545" ht="15" customHeight="1">
      <c r="A545" t="inlineStr">
        <is>
          <t>A 54584-2025</t>
        </is>
      </c>
      <c r="B545" s="1" t="n">
        <v>45965.71788194445</v>
      </c>
      <c r="C545" s="1" t="n">
        <v>46129</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12846-2025</t>
        </is>
      </c>
      <c r="B546" s="1" t="n">
        <v>45733.65049768519</v>
      </c>
      <c r="C546" s="1" t="n">
        <v>46129</v>
      </c>
      <c r="D546" t="inlineStr">
        <is>
          <t>GOTLANDS LÄN</t>
        </is>
      </c>
      <c r="E546" t="inlineStr">
        <is>
          <t>GOTLAND</t>
        </is>
      </c>
      <c r="G546" t="n">
        <v>1.7</v>
      </c>
      <c r="H546" t="n">
        <v>0</v>
      </c>
      <c r="I546" t="n">
        <v>0</v>
      </c>
      <c r="J546" t="n">
        <v>0</v>
      </c>
      <c r="K546" t="n">
        <v>0</v>
      </c>
      <c r="L546" t="n">
        <v>0</v>
      </c>
      <c r="M546" t="n">
        <v>0</v>
      </c>
      <c r="N546" t="n">
        <v>0</v>
      </c>
      <c r="O546" t="n">
        <v>0</v>
      </c>
      <c r="P546" t="n">
        <v>0</v>
      </c>
      <c r="Q546" t="n">
        <v>0</v>
      </c>
      <c r="R546" s="2" t="inlineStr"/>
    </row>
    <row r="547" ht="15" customHeight="1">
      <c r="A547" t="inlineStr">
        <is>
          <t>A 43200-2023</t>
        </is>
      </c>
      <c r="B547" s="1" t="n">
        <v>45183</v>
      </c>
      <c r="C547" s="1" t="n">
        <v>46129</v>
      </c>
      <c r="D547" t="inlineStr">
        <is>
          <t>GOTLANDS LÄN</t>
        </is>
      </c>
      <c r="E547" t="inlineStr">
        <is>
          <t>GOTLAND</t>
        </is>
      </c>
      <c r="G547" t="n">
        <v>0.5</v>
      </c>
      <c r="H547" t="n">
        <v>0</v>
      </c>
      <c r="I547" t="n">
        <v>0</v>
      </c>
      <c r="J547" t="n">
        <v>0</v>
      </c>
      <c r="K547" t="n">
        <v>0</v>
      </c>
      <c r="L547" t="n">
        <v>0</v>
      </c>
      <c r="M547" t="n">
        <v>0</v>
      </c>
      <c r="N547" t="n">
        <v>0</v>
      </c>
      <c r="O547" t="n">
        <v>0</v>
      </c>
      <c r="P547" t="n">
        <v>0</v>
      </c>
      <c r="Q547" t="n">
        <v>0</v>
      </c>
      <c r="R547" s="2" t="inlineStr"/>
    </row>
    <row r="548" ht="15" customHeight="1">
      <c r="A548" t="inlineStr">
        <is>
          <t>A 11424-2026</t>
        </is>
      </c>
      <c r="B548" s="1" t="n">
        <v>46083.48068287037</v>
      </c>
      <c r="C548" s="1" t="n">
        <v>46129</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3935-2025</t>
        </is>
      </c>
      <c r="B549" s="1" t="n">
        <v>45684.46070601852</v>
      </c>
      <c r="C549" s="1" t="n">
        <v>46129</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3067-2026</t>
        </is>
      </c>
      <c r="B550" s="1" t="n">
        <v>46040.59025462963</v>
      </c>
      <c r="C550" s="1" t="n">
        <v>46129</v>
      </c>
      <c r="D550" t="inlineStr">
        <is>
          <t>GOTLANDS LÄN</t>
        </is>
      </c>
      <c r="E550" t="inlineStr">
        <is>
          <t>GOTLAND</t>
        </is>
      </c>
      <c r="G550" t="n">
        <v>7.8</v>
      </c>
      <c r="H550" t="n">
        <v>0</v>
      </c>
      <c r="I550" t="n">
        <v>0</v>
      </c>
      <c r="J550" t="n">
        <v>0</v>
      </c>
      <c r="K550" t="n">
        <v>0</v>
      </c>
      <c r="L550" t="n">
        <v>0</v>
      </c>
      <c r="M550" t="n">
        <v>0</v>
      </c>
      <c r="N550" t="n">
        <v>0</v>
      </c>
      <c r="O550" t="n">
        <v>0</v>
      </c>
      <c r="P550" t="n">
        <v>0</v>
      </c>
      <c r="Q550" t="n">
        <v>0</v>
      </c>
      <c r="R550" s="2" t="inlineStr"/>
    </row>
    <row r="551" ht="15" customHeight="1">
      <c r="A551" t="inlineStr">
        <is>
          <t>A 21792-2024</t>
        </is>
      </c>
      <c r="B551" s="1" t="n">
        <v>45442.64326388889</v>
      </c>
      <c r="C551" s="1" t="n">
        <v>46129</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11414-2026</t>
        </is>
      </c>
      <c r="B552" s="1" t="n">
        <v>46083.46336805556</v>
      </c>
      <c r="C552" s="1" t="n">
        <v>46129</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12135-2026</t>
        </is>
      </c>
      <c r="B553" s="1" t="n">
        <v>46086</v>
      </c>
      <c r="C553" s="1" t="n">
        <v>46129</v>
      </c>
      <c r="D553" t="inlineStr">
        <is>
          <t>GOTLANDS LÄN</t>
        </is>
      </c>
      <c r="E553" t="inlineStr">
        <is>
          <t>GOTLAND</t>
        </is>
      </c>
      <c r="G553" t="n">
        <v>3</v>
      </c>
      <c r="H553" t="n">
        <v>0</v>
      </c>
      <c r="I553" t="n">
        <v>0</v>
      </c>
      <c r="J553" t="n">
        <v>0</v>
      </c>
      <c r="K553" t="n">
        <v>0</v>
      </c>
      <c r="L553" t="n">
        <v>0</v>
      </c>
      <c r="M553" t="n">
        <v>0</v>
      </c>
      <c r="N553" t="n">
        <v>0</v>
      </c>
      <c r="O553" t="n">
        <v>0</v>
      </c>
      <c r="P553" t="n">
        <v>0</v>
      </c>
      <c r="Q553" t="n">
        <v>0</v>
      </c>
      <c r="R553" s="2" t="inlineStr"/>
    </row>
    <row r="554" ht="15" customHeight="1">
      <c r="A554" t="inlineStr">
        <is>
          <t>A 48843-2024</t>
        </is>
      </c>
      <c r="B554" s="1" t="n">
        <v>45593</v>
      </c>
      <c r="C554" s="1" t="n">
        <v>46129</v>
      </c>
      <c r="D554" t="inlineStr">
        <is>
          <t>GOTLANDS LÄN</t>
        </is>
      </c>
      <c r="E554" t="inlineStr">
        <is>
          <t>GOTLAND</t>
        </is>
      </c>
      <c r="G554" t="n">
        <v>0.5</v>
      </c>
      <c r="H554" t="n">
        <v>0</v>
      </c>
      <c r="I554" t="n">
        <v>0</v>
      </c>
      <c r="J554" t="n">
        <v>0</v>
      </c>
      <c r="K554" t="n">
        <v>0</v>
      </c>
      <c r="L554" t="n">
        <v>0</v>
      </c>
      <c r="M554" t="n">
        <v>0</v>
      </c>
      <c r="N554" t="n">
        <v>0</v>
      </c>
      <c r="O554" t="n">
        <v>0</v>
      </c>
      <c r="P554" t="n">
        <v>0</v>
      </c>
      <c r="Q554" t="n">
        <v>0</v>
      </c>
      <c r="R554" s="2" t="inlineStr"/>
    </row>
    <row r="555" ht="15" customHeight="1">
      <c r="A555" t="inlineStr">
        <is>
          <t>A 11982-2026</t>
        </is>
      </c>
      <c r="B555" s="1" t="n">
        <v>46085.6434375</v>
      </c>
      <c r="C555" s="1" t="n">
        <v>46129</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18804-2026</t>
        </is>
      </c>
      <c r="B556" s="1" t="n">
        <v>46128.62366898148</v>
      </c>
      <c r="C556" s="1" t="n">
        <v>46129</v>
      </c>
      <c r="D556" t="inlineStr">
        <is>
          <t>GOTLANDS LÄN</t>
        </is>
      </c>
      <c r="E556" t="inlineStr">
        <is>
          <t>GOTLAND</t>
        </is>
      </c>
      <c r="F556" t="inlineStr">
        <is>
          <t>Kyrkan</t>
        </is>
      </c>
      <c r="G556" t="n">
        <v>2.6</v>
      </c>
      <c r="H556" t="n">
        <v>0</v>
      </c>
      <c r="I556" t="n">
        <v>0</v>
      </c>
      <c r="J556" t="n">
        <v>0</v>
      </c>
      <c r="K556" t="n">
        <v>0</v>
      </c>
      <c r="L556" t="n">
        <v>0</v>
      </c>
      <c r="M556" t="n">
        <v>0</v>
      </c>
      <c r="N556" t="n">
        <v>0</v>
      </c>
      <c r="O556" t="n">
        <v>0</v>
      </c>
      <c r="P556" t="n">
        <v>0</v>
      </c>
      <c r="Q556" t="n">
        <v>0</v>
      </c>
      <c r="R556" s="2" t="inlineStr"/>
    </row>
    <row r="557" ht="15" customHeight="1">
      <c r="A557" t="inlineStr">
        <is>
          <t>A 10653-2023</t>
        </is>
      </c>
      <c r="B557" s="1" t="n">
        <v>44988.48859953704</v>
      </c>
      <c r="C557" s="1" t="n">
        <v>46129</v>
      </c>
      <c r="D557" t="inlineStr">
        <is>
          <t>GOTLANDS LÄN</t>
        </is>
      </c>
      <c r="E557" t="inlineStr">
        <is>
          <t>GOTLAND</t>
        </is>
      </c>
      <c r="F557" t="inlineStr">
        <is>
          <t>Kyrkan</t>
        </is>
      </c>
      <c r="G557" t="n">
        <v>3</v>
      </c>
      <c r="H557" t="n">
        <v>0</v>
      </c>
      <c r="I557" t="n">
        <v>0</v>
      </c>
      <c r="J557" t="n">
        <v>0</v>
      </c>
      <c r="K557" t="n">
        <v>0</v>
      </c>
      <c r="L557" t="n">
        <v>0</v>
      </c>
      <c r="M557" t="n">
        <v>0</v>
      </c>
      <c r="N557" t="n">
        <v>0</v>
      </c>
      <c r="O557" t="n">
        <v>0</v>
      </c>
      <c r="P557" t="n">
        <v>0</v>
      </c>
      <c r="Q557" t="n">
        <v>0</v>
      </c>
      <c r="R557" s="2" t="inlineStr"/>
    </row>
    <row r="558" ht="15" customHeight="1">
      <c r="A558" t="inlineStr">
        <is>
          <t>A 35512-2023</t>
        </is>
      </c>
      <c r="B558" s="1" t="n">
        <v>45147.25623842593</v>
      </c>
      <c r="C558" s="1" t="n">
        <v>46129</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11874-2024</t>
        </is>
      </c>
      <c r="B559" s="1" t="n">
        <v>45376.46956018519</v>
      </c>
      <c r="C559" s="1" t="n">
        <v>46129</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20225-2025</t>
        </is>
      </c>
      <c r="B560" s="1" t="n">
        <v>45772.65802083333</v>
      </c>
      <c r="C560" s="1" t="n">
        <v>46129</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1677-2023</t>
        </is>
      </c>
      <c r="B561" s="1" t="n">
        <v>44938</v>
      </c>
      <c r="C561" s="1" t="n">
        <v>46129</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64831-2023</t>
        </is>
      </c>
      <c r="B562" s="1" t="n">
        <v>45282.44924768519</v>
      </c>
      <c r="C562" s="1" t="n">
        <v>46129</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8036-2022</t>
        </is>
      </c>
      <c r="B563" s="1" t="n">
        <v>44609.44362268518</v>
      </c>
      <c r="C563" s="1" t="n">
        <v>46129</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46375-2024</t>
        </is>
      </c>
      <c r="B564" s="1" t="n">
        <v>45582</v>
      </c>
      <c r="C564" s="1" t="n">
        <v>46129</v>
      </c>
      <c r="D564" t="inlineStr">
        <is>
          <t>GOTLANDS LÄN</t>
        </is>
      </c>
      <c r="E564" t="inlineStr">
        <is>
          <t>GOTLAND</t>
        </is>
      </c>
      <c r="G564" t="n">
        <v>3</v>
      </c>
      <c r="H564" t="n">
        <v>0</v>
      </c>
      <c r="I564" t="n">
        <v>0</v>
      </c>
      <c r="J564" t="n">
        <v>0</v>
      </c>
      <c r="K564" t="n">
        <v>0</v>
      </c>
      <c r="L564" t="n">
        <v>0</v>
      </c>
      <c r="M564" t="n">
        <v>0</v>
      </c>
      <c r="N564" t="n">
        <v>0</v>
      </c>
      <c r="O564" t="n">
        <v>0</v>
      </c>
      <c r="P564" t="n">
        <v>0</v>
      </c>
      <c r="Q564" t="n">
        <v>0</v>
      </c>
      <c r="R564" s="2" t="inlineStr"/>
    </row>
    <row r="565" ht="15" customHeight="1">
      <c r="A565" t="inlineStr">
        <is>
          <t>A 62915-2021</t>
        </is>
      </c>
      <c r="B565" s="1" t="n">
        <v>44504</v>
      </c>
      <c r="C565" s="1" t="n">
        <v>46129</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7638-2025</t>
        </is>
      </c>
      <c r="B566" s="1" t="n">
        <v>45705.77306712963</v>
      </c>
      <c r="C566" s="1" t="n">
        <v>46129</v>
      </c>
      <c r="D566" t="inlineStr">
        <is>
          <t>GOTLANDS LÄN</t>
        </is>
      </c>
      <c r="E566" t="inlineStr">
        <is>
          <t>GOTLAND</t>
        </is>
      </c>
      <c r="G566" t="n">
        <v>2.2</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44955.5502662037</v>
      </c>
      <c r="C567" s="1" t="n">
        <v>46129</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43901-2023</t>
        </is>
      </c>
      <c r="B568" s="1" t="n">
        <v>45187</v>
      </c>
      <c r="C568" s="1" t="n">
        <v>46129</v>
      </c>
      <c r="D568" t="inlineStr">
        <is>
          <t>GOTLANDS LÄN</t>
        </is>
      </c>
      <c r="E568" t="inlineStr">
        <is>
          <t>GOTLAND</t>
        </is>
      </c>
      <c r="G568" t="n">
        <v>5.4</v>
      </c>
      <c r="H568" t="n">
        <v>0</v>
      </c>
      <c r="I568" t="n">
        <v>0</v>
      </c>
      <c r="J568" t="n">
        <v>0</v>
      </c>
      <c r="K568" t="n">
        <v>0</v>
      </c>
      <c r="L568" t="n">
        <v>0</v>
      </c>
      <c r="M568" t="n">
        <v>0</v>
      </c>
      <c r="N568" t="n">
        <v>0</v>
      </c>
      <c r="O568" t="n">
        <v>0</v>
      </c>
      <c r="P568" t="n">
        <v>0</v>
      </c>
      <c r="Q568" t="n">
        <v>0</v>
      </c>
      <c r="R568" s="2" t="inlineStr"/>
    </row>
    <row r="569" ht="15" customHeight="1">
      <c r="A569" t="inlineStr">
        <is>
          <t>A 17532-2024</t>
        </is>
      </c>
      <c r="B569" s="1" t="n">
        <v>45415</v>
      </c>
      <c r="C569" s="1" t="n">
        <v>46129</v>
      </c>
      <c r="D569" t="inlineStr">
        <is>
          <t>GOTLANDS LÄN</t>
        </is>
      </c>
      <c r="E569" t="inlineStr">
        <is>
          <t>GOTLAND</t>
        </is>
      </c>
      <c r="G569" t="n">
        <v>4.3</v>
      </c>
      <c r="H569" t="n">
        <v>0</v>
      </c>
      <c r="I569" t="n">
        <v>0</v>
      </c>
      <c r="J569" t="n">
        <v>0</v>
      </c>
      <c r="K569" t="n">
        <v>0</v>
      </c>
      <c r="L569" t="n">
        <v>0</v>
      </c>
      <c r="M569" t="n">
        <v>0</v>
      </c>
      <c r="N569" t="n">
        <v>0</v>
      </c>
      <c r="O569" t="n">
        <v>0</v>
      </c>
      <c r="P569" t="n">
        <v>0</v>
      </c>
      <c r="Q569" t="n">
        <v>0</v>
      </c>
      <c r="R569" s="2" t="inlineStr"/>
    </row>
    <row r="570" ht="15" customHeight="1">
      <c r="A570" t="inlineStr">
        <is>
          <t>A 45692-2023</t>
        </is>
      </c>
      <c r="B570" s="1" t="n">
        <v>45195</v>
      </c>
      <c r="C570" s="1" t="n">
        <v>46129</v>
      </c>
      <c r="D570" t="inlineStr">
        <is>
          <t>GOTLANDS LÄN</t>
        </is>
      </c>
      <c r="E570" t="inlineStr">
        <is>
          <t>GOTLAND</t>
        </is>
      </c>
      <c r="G570" t="n">
        <v>5.3</v>
      </c>
      <c r="H570" t="n">
        <v>0</v>
      </c>
      <c r="I570" t="n">
        <v>0</v>
      </c>
      <c r="J570" t="n">
        <v>0</v>
      </c>
      <c r="K570" t="n">
        <v>0</v>
      </c>
      <c r="L570" t="n">
        <v>0</v>
      </c>
      <c r="M570" t="n">
        <v>0</v>
      </c>
      <c r="N570" t="n">
        <v>0</v>
      </c>
      <c r="O570" t="n">
        <v>0</v>
      </c>
      <c r="P570" t="n">
        <v>0</v>
      </c>
      <c r="Q570" t="n">
        <v>0</v>
      </c>
      <c r="R570" s="2" t="inlineStr"/>
    </row>
    <row r="571" ht="15" customHeight="1">
      <c r="A571" t="inlineStr">
        <is>
          <t>A 37222-2021</t>
        </is>
      </c>
      <c r="B571" s="1" t="n">
        <v>44396</v>
      </c>
      <c r="C571" s="1" t="n">
        <v>46129</v>
      </c>
      <c r="D571" t="inlineStr">
        <is>
          <t>GOTLANDS LÄN</t>
        </is>
      </c>
      <c r="E571" t="inlineStr">
        <is>
          <t>GOTLAND</t>
        </is>
      </c>
      <c r="G571" t="n">
        <v>3</v>
      </c>
      <c r="H571" t="n">
        <v>0</v>
      </c>
      <c r="I571" t="n">
        <v>0</v>
      </c>
      <c r="J571" t="n">
        <v>0</v>
      </c>
      <c r="K571" t="n">
        <v>0</v>
      </c>
      <c r="L571" t="n">
        <v>0</v>
      </c>
      <c r="M571" t="n">
        <v>0</v>
      </c>
      <c r="N571" t="n">
        <v>0</v>
      </c>
      <c r="O571" t="n">
        <v>0</v>
      </c>
      <c r="P571" t="n">
        <v>0</v>
      </c>
      <c r="Q571" t="n">
        <v>0</v>
      </c>
      <c r="R571" s="2" t="inlineStr"/>
    </row>
    <row r="572" ht="15" customHeight="1">
      <c r="A572" t="inlineStr">
        <is>
          <t>A 46396-2023</t>
        </is>
      </c>
      <c r="B572" s="1" t="n">
        <v>45197</v>
      </c>
      <c r="C572" s="1" t="n">
        <v>46129</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58388-2022</t>
        </is>
      </c>
      <c r="B573" s="1" t="n">
        <v>44894</v>
      </c>
      <c r="C573" s="1" t="n">
        <v>46129</v>
      </c>
      <c r="D573" t="inlineStr">
        <is>
          <t>GOTLANDS LÄN</t>
        </is>
      </c>
      <c r="E573" t="inlineStr">
        <is>
          <t>GOTLAND</t>
        </is>
      </c>
      <c r="F573" t="inlineStr">
        <is>
          <t>Övriga statliga verk och myndigheter</t>
        </is>
      </c>
      <c r="G573" t="n">
        <v>3.1</v>
      </c>
      <c r="H573" t="n">
        <v>0</v>
      </c>
      <c r="I573" t="n">
        <v>0</v>
      </c>
      <c r="J573" t="n">
        <v>0</v>
      </c>
      <c r="K573" t="n">
        <v>0</v>
      </c>
      <c r="L573" t="n">
        <v>0</v>
      </c>
      <c r="M573" t="n">
        <v>0</v>
      </c>
      <c r="N573" t="n">
        <v>0</v>
      </c>
      <c r="O573" t="n">
        <v>0</v>
      </c>
      <c r="P573" t="n">
        <v>0</v>
      </c>
      <c r="Q573" t="n">
        <v>0</v>
      </c>
      <c r="R573" s="2" t="inlineStr"/>
    </row>
    <row r="574" ht="15" customHeight="1">
      <c r="A574" t="inlineStr">
        <is>
          <t>A 53934-2024</t>
        </is>
      </c>
      <c r="B574" s="1" t="n">
        <v>45615</v>
      </c>
      <c r="C574" s="1" t="n">
        <v>46129</v>
      </c>
      <c r="D574" t="inlineStr">
        <is>
          <t>GOTLANDS LÄN</t>
        </is>
      </c>
      <c r="E574" t="inlineStr">
        <is>
          <t>GOTLAND</t>
        </is>
      </c>
      <c r="G574" t="n">
        <v>5</v>
      </c>
      <c r="H574" t="n">
        <v>0</v>
      </c>
      <c r="I574" t="n">
        <v>0</v>
      </c>
      <c r="J574" t="n">
        <v>0</v>
      </c>
      <c r="K574" t="n">
        <v>0</v>
      </c>
      <c r="L574" t="n">
        <v>0</v>
      </c>
      <c r="M574" t="n">
        <v>0</v>
      </c>
      <c r="N574" t="n">
        <v>0</v>
      </c>
      <c r="O574" t="n">
        <v>0</v>
      </c>
      <c r="P574" t="n">
        <v>0</v>
      </c>
      <c r="Q574" t="n">
        <v>0</v>
      </c>
      <c r="R574" s="2" t="inlineStr"/>
    </row>
    <row r="575" ht="15" customHeight="1">
      <c r="A575" t="inlineStr">
        <is>
          <t>A 58132-2023</t>
        </is>
      </c>
      <c r="B575" s="1" t="n">
        <v>45250</v>
      </c>
      <c r="C575" s="1" t="n">
        <v>46129</v>
      </c>
      <c r="D575" t="inlineStr">
        <is>
          <t>GOTLANDS LÄN</t>
        </is>
      </c>
      <c r="E575" t="inlineStr">
        <is>
          <t>GOTLAND</t>
        </is>
      </c>
      <c r="G575" t="n">
        <v>3.1</v>
      </c>
      <c r="H575" t="n">
        <v>0</v>
      </c>
      <c r="I575" t="n">
        <v>0</v>
      </c>
      <c r="J575" t="n">
        <v>0</v>
      </c>
      <c r="K575" t="n">
        <v>0</v>
      </c>
      <c r="L575" t="n">
        <v>0</v>
      </c>
      <c r="M575" t="n">
        <v>0</v>
      </c>
      <c r="N575" t="n">
        <v>0</v>
      </c>
      <c r="O575" t="n">
        <v>0</v>
      </c>
      <c r="P575" t="n">
        <v>0</v>
      </c>
      <c r="Q575" t="n">
        <v>0</v>
      </c>
      <c r="R575" s="2" t="inlineStr"/>
    </row>
    <row r="576" ht="15" customHeight="1">
      <c r="A576" t="inlineStr">
        <is>
          <t>A 22899-2023</t>
        </is>
      </c>
      <c r="B576" s="1" t="n">
        <v>45072</v>
      </c>
      <c r="C576" s="1" t="n">
        <v>46129</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28285-2024</t>
        </is>
      </c>
      <c r="B577" s="1" t="n">
        <v>45477</v>
      </c>
      <c r="C577" s="1" t="n">
        <v>46129</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51963-2024</t>
        </is>
      </c>
      <c r="B578" s="1" t="n">
        <v>45607.64833333333</v>
      </c>
      <c r="C578" s="1" t="n">
        <v>46129</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1734-2025</t>
        </is>
      </c>
      <c r="B579" s="1" t="n">
        <v>45671.3840625</v>
      </c>
      <c r="C579" s="1" t="n">
        <v>46129</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30365-2024</t>
        </is>
      </c>
      <c r="B580" s="1" t="n">
        <v>45491.3716087963</v>
      </c>
      <c r="C580" s="1" t="n">
        <v>46129</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2674-2023</t>
        </is>
      </c>
      <c r="B581" s="1" t="n">
        <v>44944</v>
      </c>
      <c r="C581" s="1" t="n">
        <v>46129</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61100-2022</t>
        </is>
      </c>
      <c r="B582" s="1" t="n">
        <v>44915</v>
      </c>
      <c r="C582" s="1" t="n">
        <v>46129</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46129</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10655-2023</t>
        </is>
      </c>
      <c r="B584" s="1" t="n">
        <v>44988.49543981482</v>
      </c>
      <c r="C584" s="1" t="n">
        <v>46129</v>
      </c>
      <c r="D584" t="inlineStr">
        <is>
          <t>GOTLANDS LÄN</t>
        </is>
      </c>
      <c r="E584" t="inlineStr">
        <is>
          <t>GOTLAND</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44649-2021</t>
        </is>
      </c>
      <c r="B585" s="1" t="n">
        <v>44437</v>
      </c>
      <c r="C585" s="1" t="n">
        <v>46129</v>
      </c>
      <c r="D585" t="inlineStr">
        <is>
          <t>GOTLANDS LÄN</t>
        </is>
      </c>
      <c r="E585" t="inlineStr">
        <is>
          <t>GOTLAND</t>
        </is>
      </c>
      <c r="G585" t="n">
        <v>8.1</v>
      </c>
      <c r="H585" t="n">
        <v>0</v>
      </c>
      <c r="I585" t="n">
        <v>0</v>
      </c>
      <c r="J585" t="n">
        <v>0</v>
      </c>
      <c r="K585" t="n">
        <v>0</v>
      </c>
      <c r="L585" t="n">
        <v>0</v>
      </c>
      <c r="M585" t="n">
        <v>0</v>
      </c>
      <c r="N585" t="n">
        <v>0</v>
      </c>
      <c r="O585" t="n">
        <v>0</v>
      </c>
      <c r="P585" t="n">
        <v>0</v>
      </c>
      <c r="Q585" t="n">
        <v>0</v>
      </c>
      <c r="R585" s="2" t="inlineStr"/>
    </row>
    <row r="586" ht="15" customHeight="1">
      <c r="A586" t="inlineStr">
        <is>
          <t>A 8484-2025</t>
        </is>
      </c>
      <c r="B586" s="1" t="n">
        <v>45709</v>
      </c>
      <c r="C586" s="1" t="n">
        <v>46129</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49962-2023</t>
        </is>
      </c>
      <c r="B587" s="1" t="n">
        <v>45215.38775462963</v>
      </c>
      <c r="C587" s="1" t="n">
        <v>46129</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50744-2024</t>
        </is>
      </c>
      <c r="B588" s="1" t="n">
        <v>45602.4187037037</v>
      </c>
      <c r="C588" s="1" t="n">
        <v>46129</v>
      </c>
      <c r="D588" t="inlineStr">
        <is>
          <t>GOTLANDS LÄN</t>
        </is>
      </c>
      <c r="E588" t="inlineStr">
        <is>
          <t>GOTLAND</t>
        </is>
      </c>
      <c r="G588" t="n">
        <v>3.2</v>
      </c>
      <c r="H588" t="n">
        <v>0</v>
      </c>
      <c r="I588" t="n">
        <v>0</v>
      </c>
      <c r="J588" t="n">
        <v>0</v>
      </c>
      <c r="K588" t="n">
        <v>0</v>
      </c>
      <c r="L588" t="n">
        <v>0</v>
      </c>
      <c r="M588" t="n">
        <v>0</v>
      </c>
      <c r="N588" t="n">
        <v>0</v>
      </c>
      <c r="O588" t="n">
        <v>0</v>
      </c>
      <c r="P588" t="n">
        <v>0</v>
      </c>
      <c r="Q588" t="n">
        <v>0</v>
      </c>
      <c r="R588" s="2" t="inlineStr"/>
    </row>
    <row r="589" ht="15" customHeight="1">
      <c r="A589" t="inlineStr">
        <is>
          <t>A 45244-2024</t>
        </is>
      </c>
      <c r="B589" s="1" t="n">
        <v>45576</v>
      </c>
      <c r="C589" s="1" t="n">
        <v>46129</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38787-2023</t>
        </is>
      </c>
      <c r="B590" s="1" t="n">
        <v>45163</v>
      </c>
      <c r="C590" s="1" t="n">
        <v>46129</v>
      </c>
      <c r="D590" t="inlineStr">
        <is>
          <t>GOTLANDS LÄN</t>
        </is>
      </c>
      <c r="E590" t="inlineStr">
        <is>
          <t>GOTLAND</t>
        </is>
      </c>
      <c r="G590" t="n">
        <v>0.4</v>
      </c>
      <c r="H590" t="n">
        <v>0</v>
      </c>
      <c r="I590" t="n">
        <v>0</v>
      </c>
      <c r="J590" t="n">
        <v>0</v>
      </c>
      <c r="K590" t="n">
        <v>0</v>
      </c>
      <c r="L590" t="n">
        <v>0</v>
      </c>
      <c r="M590" t="n">
        <v>0</v>
      </c>
      <c r="N590" t="n">
        <v>0</v>
      </c>
      <c r="O590" t="n">
        <v>0</v>
      </c>
      <c r="P590" t="n">
        <v>0</v>
      </c>
      <c r="Q590" t="n">
        <v>0</v>
      </c>
      <c r="R590" s="2" t="inlineStr"/>
    </row>
    <row r="591" ht="15" customHeight="1">
      <c r="A591" t="inlineStr">
        <is>
          <t>A 2714-2023</t>
        </is>
      </c>
      <c r="B591" s="1" t="n">
        <v>44944.54896990741</v>
      </c>
      <c r="C591" s="1" t="n">
        <v>46129</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22897-2023</t>
        </is>
      </c>
      <c r="B592" s="1" t="n">
        <v>45072.55239583334</v>
      </c>
      <c r="C592" s="1" t="n">
        <v>46129</v>
      </c>
      <c r="D592" t="inlineStr">
        <is>
          <t>GOTLANDS LÄN</t>
        </is>
      </c>
      <c r="E592" t="inlineStr">
        <is>
          <t>GOTLAND</t>
        </is>
      </c>
      <c r="G592" t="n">
        <v>1.1</v>
      </c>
      <c r="H592" t="n">
        <v>0</v>
      </c>
      <c r="I592" t="n">
        <v>0</v>
      </c>
      <c r="J592" t="n">
        <v>0</v>
      </c>
      <c r="K592" t="n">
        <v>0</v>
      </c>
      <c r="L592" t="n">
        <v>0</v>
      </c>
      <c r="M592" t="n">
        <v>0</v>
      </c>
      <c r="N592" t="n">
        <v>0</v>
      </c>
      <c r="O592" t="n">
        <v>0</v>
      </c>
      <c r="P592" t="n">
        <v>0</v>
      </c>
      <c r="Q592" t="n">
        <v>0</v>
      </c>
      <c r="R592" s="2" t="inlineStr"/>
    </row>
    <row r="593" ht="15" customHeight="1">
      <c r="A593" t="inlineStr">
        <is>
          <t>A 4568-2025</t>
        </is>
      </c>
      <c r="B593" s="1" t="n">
        <v>45687</v>
      </c>
      <c r="C593" s="1" t="n">
        <v>46129</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1681-2023</t>
        </is>
      </c>
      <c r="B594" s="1" t="n">
        <v>44938.39715277778</v>
      </c>
      <c r="C594" s="1" t="n">
        <v>46129</v>
      </c>
      <c r="D594" t="inlineStr">
        <is>
          <t>GOTLANDS LÄN</t>
        </is>
      </c>
      <c r="E594" t="inlineStr">
        <is>
          <t>GOTLAND</t>
        </is>
      </c>
      <c r="G594" t="n">
        <v>2.4</v>
      </c>
      <c r="H594" t="n">
        <v>0</v>
      </c>
      <c r="I594" t="n">
        <v>0</v>
      </c>
      <c r="J594" t="n">
        <v>0</v>
      </c>
      <c r="K594" t="n">
        <v>0</v>
      </c>
      <c r="L594" t="n">
        <v>0</v>
      </c>
      <c r="M594" t="n">
        <v>0</v>
      </c>
      <c r="N594" t="n">
        <v>0</v>
      </c>
      <c r="O594" t="n">
        <v>0</v>
      </c>
      <c r="P594" t="n">
        <v>0</v>
      </c>
      <c r="Q594" t="n">
        <v>0</v>
      </c>
      <c r="R594" s="2" t="inlineStr"/>
    </row>
    <row r="595" ht="15" customHeight="1">
      <c r="A595" t="inlineStr">
        <is>
          <t>A 42338-2023</t>
        </is>
      </c>
      <c r="B595" s="1" t="n">
        <v>45180</v>
      </c>
      <c r="C595" s="1" t="n">
        <v>46129</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18918-2025</t>
        </is>
      </c>
      <c r="B596" s="1" t="n">
        <v>45764</v>
      </c>
      <c r="C596" s="1" t="n">
        <v>46129</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11013-2024</t>
        </is>
      </c>
      <c r="B597" s="1" t="n">
        <v>45370</v>
      </c>
      <c r="C597" s="1" t="n">
        <v>46129</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45084-2024</t>
        </is>
      </c>
      <c r="B598" s="1" t="n">
        <v>45575</v>
      </c>
      <c r="C598" s="1" t="n">
        <v>46129</v>
      </c>
      <c r="D598" t="inlineStr">
        <is>
          <t>GOTLANDS LÄN</t>
        </is>
      </c>
      <c r="E598" t="inlineStr">
        <is>
          <t>GOTLAND</t>
        </is>
      </c>
      <c r="G598" t="n">
        <v>6.8</v>
      </c>
      <c r="H598" t="n">
        <v>0</v>
      </c>
      <c r="I598" t="n">
        <v>0</v>
      </c>
      <c r="J598" t="n">
        <v>0</v>
      </c>
      <c r="K598" t="n">
        <v>0</v>
      </c>
      <c r="L598" t="n">
        <v>0</v>
      </c>
      <c r="M598" t="n">
        <v>0</v>
      </c>
      <c r="N598" t="n">
        <v>0</v>
      </c>
      <c r="O598" t="n">
        <v>0</v>
      </c>
      <c r="P598" t="n">
        <v>0</v>
      </c>
      <c r="Q598" t="n">
        <v>0</v>
      </c>
      <c r="R598" s="2" t="inlineStr"/>
    </row>
    <row r="599" ht="15" customHeight="1">
      <c r="A599" t="inlineStr">
        <is>
          <t>A 20356-2022</t>
        </is>
      </c>
      <c r="B599" s="1" t="n">
        <v>44699</v>
      </c>
      <c r="C599" s="1" t="n">
        <v>46129</v>
      </c>
      <c r="D599" t="inlineStr">
        <is>
          <t>GOTLANDS LÄN</t>
        </is>
      </c>
      <c r="E599" t="inlineStr">
        <is>
          <t>GOTLAND</t>
        </is>
      </c>
      <c r="F599" t="inlineStr">
        <is>
          <t>Övriga Aktiebolag</t>
        </is>
      </c>
      <c r="G599" t="n">
        <v>4.4</v>
      </c>
      <c r="H599" t="n">
        <v>0</v>
      </c>
      <c r="I599" t="n">
        <v>0</v>
      </c>
      <c r="J599" t="n">
        <v>0</v>
      </c>
      <c r="K599" t="n">
        <v>0</v>
      </c>
      <c r="L599" t="n">
        <v>0</v>
      </c>
      <c r="M599" t="n">
        <v>0</v>
      </c>
      <c r="N599" t="n">
        <v>0</v>
      </c>
      <c r="O599" t="n">
        <v>0</v>
      </c>
      <c r="P599" t="n">
        <v>0</v>
      </c>
      <c r="Q599" t="n">
        <v>0</v>
      </c>
      <c r="R599" s="2" t="inlineStr"/>
    </row>
    <row r="600" ht="15" customHeight="1">
      <c r="A600" t="inlineStr">
        <is>
          <t>A 4868-2024</t>
        </is>
      </c>
      <c r="B600" s="1" t="n">
        <v>45329</v>
      </c>
      <c r="C600" s="1" t="n">
        <v>46129</v>
      </c>
      <c r="D600" t="inlineStr">
        <is>
          <t>GOTLANDS LÄN</t>
        </is>
      </c>
      <c r="E600" t="inlineStr">
        <is>
          <t>GOTLAND</t>
        </is>
      </c>
      <c r="G600" t="n">
        <v>7.1</v>
      </c>
      <c r="H600" t="n">
        <v>0</v>
      </c>
      <c r="I600" t="n">
        <v>0</v>
      </c>
      <c r="J600" t="n">
        <v>0</v>
      </c>
      <c r="K600" t="n">
        <v>0</v>
      </c>
      <c r="L600" t="n">
        <v>0</v>
      </c>
      <c r="M600" t="n">
        <v>0</v>
      </c>
      <c r="N600" t="n">
        <v>0</v>
      </c>
      <c r="O600" t="n">
        <v>0</v>
      </c>
      <c r="P600" t="n">
        <v>0</v>
      </c>
      <c r="Q600" t="n">
        <v>0</v>
      </c>
      <c r="R600" s="2" t="inlineStr"/>
    </row>
    <row r="601" ht="15" customHeight="1">
      <c r="A601" t="inlineStr">
        <is>
          <t>A 9613-2025</t>
        </is>
      </c>
      <c r="B601" s="1" t="n">
        <v>45715</v>
      </c>
      <c r="C601" s="1" t="n">
        <v>46129</v>
      </c>
      <c r="D601" t="inlineStr">
        <is>
          <t>GOTLANDS LÄN</t>
        </is>
      </c>
      <c r="E601" t="inlineStr">
        <is>
          <t>GOTLAND</t>
        </is>
      </c>
      <c r="G601" t="n">
        <v>3.5</v>
      </c>
      <c r="H601" t="n">
        <v>0</v>
      </c>
      <c r="I601" t="n">
        <v>0</v>
      </c>
      <c r="J601" t="n">
        <v>0</v>
      </c>
      <c r="K601" t="n">
        <v>0</v>
      </c>
      <c r="L601" t="n">
        <v>0</v>
      </c>
      <c r="M601" t="n">
        <v>0</v>
      </c>
      <c r="N601" t="n">
        <v>0</v>
      </c>
      <c r="O601" t="n">
        <v>0</v>
      </c>
      <c r="P601" t="n">
        <v>0</v>
      </c>
      <c r="Q601" t="n">
        <v>0</v>
      </c>
      <c r="R601" s="2" t="inlineStr"/>
    </row>
    <row r="602" ht="15" customHeight="1">
      <c r="A602" t="inlineStr">
        <is>
          <t>A 5386-2023</t>
        </is>
      </c>
      <c r="B602" s="1" t="n">
        <v>44959</v>
      </c>
      <c r="C602" s="1" t="n">
        <v>46129</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58211-2024</t>
        </is>
      </c>
      <c r="B603" s="1" t="n">
        <v>45632.49292824074</v>
      </c>
      <c r="C603" s="1" t="n">
        <v>46129</v>
      </c>
      <c r="D603" t="inlineStr">
        <is>
          <t>GOTLANDS LÄN</t>
        </is>
      </c>
      <c r="E603" t="inlineStr">
        <is>
          <t>GOTLAND</t>
        </is>
      </c>
      <c r="G603" t="n">
        <v>5.4</v>
      </c>
      <c r="H603" t="n">
        <v>0</v>
      </c>
      <c r="I603" t="n">
        <v>0</v>
      </c>
      <c r="J603" t="n">
        <v>0</v>
      </c>
      <c r="K603" t="n">
        <v>0</v>
      </c>
      <c r="L603" t="n">
        <v>0</v>
      </c>
      <c r="M603" t="n">
        <v>0</v>
      </c>
      <c r="N603" t="n">
        <v>0</v>
      </c>
      <c r="O603" t="n">
        <v>0</v>
      </c>
      <c r="P603" t="n">
        <v>0</v>
      </c>
      <c r="Q603" t="n">
        <v>0</v>
      </c>
      <c r="R603" s="2" t="inlineStr"/>
    </row>
    <row r="604" ht="15" customHeight="1">
      <c r="A604" t="inlineStr">
        <is>
          <t>A 11634-2024</t>
        </is>
      </c>
      <c r="B604" s="1" t="n">
        <v>45373</v>
      </c>
      <c r="C604" s="1" t="n">
        <v>46129</v>
      </c>
      <c r="D604" t="inlineStr">
        <is>
          <t>GOTLANDS LÄN</t>
        </is>
      </c>
      <c r="E604" t="inlineStr">
        <is>
          <t>GOTLAND</t>
        </is>
      </c>
      <c r="G604" t="n">
        <v>3</v>
      </c>
      <c r="H604" t="n">
        <v>0</v>
      </c>
      <c r="I604" t="n">
        <v>0</v>
      </c>
      <c r="J604" t="n">
        <v>0</v>
      </c>
      <c r="K604" t="n">
        <v>0</v>
      </c>
      <c r="L604" t="n">
        <v>0</v>
      </c>
      <c r="M604" t="n">
        <v>0</v>
      </c>
      <c r="N604" t="n">
        <v>0</v>
      </c>
      <c r="O604" t="n">
        <v>0</v>
      </c>
      <c r="P604" t="n">
        <v>0</v>
      </c>
      <c r="Q604" t="n">
        <v>0</v>
      </c>
      <c r="R604" s="2" t="inlineStr"/>
    </row>
    <row r="605" ht="15" customHeight="1">
      <c r="A605" t="inlineStr">
        <is>
          <t>A 5884-2025</t>
        </is>
      </c>
      <c r="B605" s="1" t="n">
        <v>45695.37482638889</v>
      </c>
      <c r="C605" s="1" t="n">
        <v>46129</v>
      </c>
      <c r="D605" t="inlineStr">
        <is>
          <t>GOTLANDS LÄN</t>
        </is>
      </c>
      <c r="E605" t="inlineStr">
        <is>
          <t>GOTLAND</t>
        </is>
      </c>
      <c r="G605" t="n">
        <v>2.1</v>
      </c>
      <c r="H605" t="n">
        <v>0</v>
      </c>
      <c r="I605" t="n">
        <v>0</v>
      </c>
      <c r="J605" t="n">
        <v>0</v>
      </c>
      <c r="K605" t="n">
        <v>0</v>
      </c>
      <c r="L605" t="n">
        <v>0</v>
      </c>
      <c r="M605" t="n">
        <v>0</v>
      </c>
      <c r="N605" t="n">
        <v>0</v>
      </c>
      <c r="O605" t="n">
        <v>0</v>
      </c>
      <c r="P605" t="n">
        <v>0</v>
      </c>
      <c r="Q605" t="n">
        <v>0</v>
      </c>
      <c r="R605" s="2" t="inlineStr"/>
    </row>
    <row r="606" ht="15" customHeight="1">
      <c r="A606" t="inlineStr">
        <is>
          <t>A 5897-2025</t>
        </is>
      </c>
      <c r="B606" s="1" t="n">
        <v>45695.39273148148</v>
      </c>
      <c r="C606" s="1" t="n">
        <v>46129</v>
      </c>
      <c r="D606" t="inlineStr">
        <is>
          <t>GOTLANDS LÄN</t>
        </is>
      </c>
      <c r="E606" t="inlineStr">
        <is>
          <t>GOTLAND</t>
        </is>
      </c>
      <c r="G606" t="n">
        <v>3.7</v>
      </c>
      <c r="H606" t="n">
        <v>0</v>
      </c>
      <c r="I606" t="n">
        <v>0</v>
      </c>
      <c r="J606" t="n">
        <v>0</v>
      </c>
      <c r="K606" t="n">
        <v>0</v>
      </c>
      <c r="L606" t="n">
        <v>0</v>
      </c>
      <c r="M606" t="n">
        <v>0</v>
      </c>
      <c r="N606" t="n">
        <v>0</v>
      </c>
      <c r="O606" t="n">
        <v>0</v>
      </c>
      <c r="P606" t="n">
        <v>0</v>
      </c>
      <c r="Q606" t="n">
        <v>0</v>
      </c>
      <c r="R606" s="2" t="inlineStr"/>
    </row>
    <row r="607" ht="15" customHeight="1">
      <c r="A607" t="inlineStr">
        <is>
          <t>A 5909-2025</t>
        </is>
      </c>
      <c r="B607" s="1" t="n">
        <v>45695.40634259259</v>
      </c>
      <c r="C607" s="1" t="n">
        <v>46129</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60086-2022</t>
        </is>
      </c>
      <c r="B608" s="1" t="n">
        <v>44909</v>
      </c>
      <c r="C608" s="1" t="n">
        <v>46129</v>
      </c>
      <c r="D608" t="inlineStr">
        <is>
          <t>GOTLANDS LÄN</t>
        </is>
      </c>
      <c r="E608" t="inlineStr">
        <is>
          <t>GOTLAND</t>
        </is>
      </c>
      <c r="G608" t="n">
        <v>2.1</v>
      </c>
      <c r="H608" t="n">
        <v>0</v>
      </c>
      <c r="I608" t="n">
        <v>0</v>
      </c>
      <c r="J608" t="n">
        <v>0</v>
      </c>
      <c r="K608" t="n">
        <v>0</v>
      </c>
      <c r="L608" t="n">
        <v>0</v>
      </c>
      <c r="M608" t="n">
        <v>0</v>
      </c>
      <c r="N608" t="n">
        <v>0</v>
      </c>
      <c r="O608" t="n">
        <v>0</v>
      </c>
      <c r="P608" t="n">
        <v>0</v>
      </c>
      <c r="Q608" t="n">
        <v>0</v>
      </c>
      <c r="R608" s="2" t="inlineStr"/>
    </row>
    <row r="609" ht="15" customHeight="1">
      <c r="A609" t="inlineStr">
        <is>
          <t>A 22704-2023</t>
        </is>
      </c>
      <c r="B609" s="1" t="n">
        <v>45071</v>
      </c>
      <c r="C609" s="1" t="n">
        <v>46129</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25866-2022</t>
        </is>
      </c>
      <c r="B610" s="1" t="n">
        <v>44733</v>
      </c>
      <c r="C610" s="1" t="n">
        <v>46129</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9887-2025</t>
        </is>
      </c>
      <c r="B611" s="1" t="n">
        <v>45716</v>
      </c>
      <c r="C611" s="1" t="n">
        <v>46129</v>
      </c>
      <c r="D611" t="inlineStr">
        <is>
          <t>GOTLANDS LÄN</t>
        </is>
      </c>
      <c r="E611" t="inlineStr">
        <is>
          <t>GOTLAND</t>
        </is>
      </c>
      <c r="G611" t="n">
        <v>7.5</v>
      </c>
      <c r="H611" t="n">
        <v>0</v>
      </c>
      <c r="I611" t="n">
        <v>0</v>
      </c>
      <c r="J611" t="n">
        <v>0</v>
      </c>
      <c r="K611" t="n">
        <v>0</v>
      </c>
      <c r="L611" t="n">
        <v>0</v>
      </c>
      <c r="M611" t="n">
        <v>0</v>
      </c>
      <c r="N611" t="n">
        <v>0</v>
      </c>
      <c r="O611" t="n">
        <v>0</v>
      </c>
      <c r="P611" t="n">
        <v>0</v>
      </c>
      <c r="Q611" t="n">
        <v>0</v>
      </c>
      <c r="R611" s="2" t="inlineStr"/>
    </row>
    <row r="612" ht="15" customHeight="1">
      <c r="A612" t="inlineStr">
        <is>
          <t>A 12209-2024</t>
        </is>
      </c>
      <c r="B612" s="1" t="n">
        <v>45378</v>
      </c>
      <c r="C612" s="1" t="n">
        <v>46129</v>
      </c>
      <c r="D612" t="inlineStr">
        <is>
          <t>GOTLANDS LÄN</t>
        </is>
      </c>
      <c r="E612" t="inlineStr">
        <is>
          <t>GOTLAND</t>
        </is>
      </c>
      <c r="G612" t="n">
        <v>5.3</v>
      </c>
      <c r="H612" t="n">
        <v>0</v>
      </c>
      <c r="I612" t="n">
        <v>0</v>
      </c>
      <c r="J612" t="n">
        <v>0</v>
      </c>
      <c r="K612" t="n">
        <v>0</v>
      </c>
      <c r="L612" t="n">
        <v>0</v>
      </c>
      <c r="M612" t="n">
        <v>0</v>
      </c>
      <c r="N612" t="n">
        <v>0</v>
      </c>
      <c r="O612" t="n">
        <v>0</v>
      </c>
      <c r="P612" t="n">
        <v>0</v>
      </c>
      <c r="Q612" t="n">
        <v>0</v>
      </c>
      <c r="R612" s="2" t="inlineStr"/>
    </row>
    <row r="613" ht="15" customHeight="1">
      <c r="A613" t="inlineStr">
        <is>
          <t>A 12210-2024</t>
        </is>
      </c>
      <c r="B613" s="1" t="n">
        <v>45378</v>
      </c>
      <c r="C613" s="1" t="n">
        <v>46129</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59986-2022</t>
        </is>
      </c>
      <c r="B614" s="1" t="n">
        <v>44909</v>
      </c>
      <c r="C614" s="1" t="n">
        <v>46129</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31802-2024</t>
        </is>
      </c>
      <c r="B615" s="1" t="n">
        <v>45509</v>
      </c>
      <c r="C615" s="1" t="n">
        <v>46129</v>
      </c>
      <c r="D615" t="inlineStr">
        <is>
          <t>GOTLANDS LÄN</t>
        </is>
      </c>
      <c r="E615" t="inlineStr">
        <is>
          <t>GOTLAND</t>
        </is>
      </c>
      <c r="G615" t="n">
        <v>2.8</v>
      </c>
      <c r="H615" t="n">
        <v>0</v>
      </c>
      <c r="I615" t="n">
        <v>0</v>
      </c>
      <c r="J615" t="n">
        <v>0</v>
      </c>
      <c r="K615" t="n">
        <v>0</v>
      </c>
      <c r="L615" t="n">
        <v>0</v>
      </c>
      <c r="M615" t="n">
        <v>0</v>
      </c>
      <c r="N615" t="n">
        <v>0</v>
      </c>
      <c r="O615" t="n">
        <v>0</v>
      </c>
      <c r="P615" t="n">
        <v>0</v>
      </c>
      <c r="Q615" t="n">
        <v>0</v>
      </c>
      <c r="R615" s="2" t="inlineStr"/>
    </row>
    <row r="616" ht="15" customHeight="1">
      <c r="A616" t="inlineStr">
        <is>
          <t>A 20993-2023</t>
        </is>
      </c>
      <c r="B616" s="1" t="n">
        <v>45056</v>
      </c>
      <c r="C616" s="1" t="n">
        <v>46129</v>
      </c>
      <c r="D616" t="inlineStr">
        <is>
          <t>GOTLANDS LÄN</t>
        </is>
      </c>
      <c r="E616" t="inlineStr">
        <is>
          <t>GOTLAND</t>
        </is>
      </c>
      <c r="G616" t="n">
        <v>7.1</v>
      </c>
      <c r="H616" t="n">
        <v>0</v>
      </c>
      <c r="I616" t="n">
        <v>0</v>
      </c>
      <c r="J616" t="n">
        <v>0</v>
      </c>
      <c r="K616" t="n">
        <v>0</v>
      </c>
      <c r="L616" t="n">
        <v>0</v>
      </c>
      <c r="M616" t="n">
        <v>0</v>
      </c>
      <c r="N616" t="n">
        <v>0</v>
      </c>
      <c r="O616" t="n">
        <v>0</v>
      </c>
      <c r="P616" t="n">
        <v>0</v>
      </c>
      <c r="Q616" t="n">
        <v>0</v>
      </c>
      <c r="R616" s="2" t="inlineStr"/>
    </row>
    <row r="617" ht="15" customHeight="1">
      <c r="A617" t="inlineStr">
        <is>
          <t>A 15042-2025</t>
        </is>
      </c>
      <c r="B617" s="1" t="n">
        <v>45743</v>
      </c>
      <c r="C617" s="1" t="n">
        <v>46129</v>
      </c>
      <c r="D617" t="inlineStr">
        <is>
          <t>GOTLANDS LÄN</t>
        </is>
      </c>
      <c r="E617" t="inlineStr">
        <is>
          <t>GOTLAND</t>
        </is>
      </c>
      <c r="G617" t="n">
        <v>8.5</v>
      </c>
      <c r="H617" t="n">
        <v>0</v>
      </c>
      <c r="I617" t="n">
        <v>0</v>
      </c>
      <c r="J617" t="n">
        <v>0</v>
      </c>
      <c r="K617" t="n">
        <v>0</v>
      </c>
      <c r="L617" t="n">
        <v>0</v>
      </c>
      <c r="M617" t="n">
        <v>0</v>
      </c>
      <c r="N617" t="n">
        <v>0</v>
      </c>
      <c r="O617" t="n">
        <v>0</v>
      </c>
      <c r="P617" t="n">
        <v>0</v>
      </c>
      <c r="Q617" t="n">
        <v>0</v>
      </c>
      <c r="R617" s="2" t="inlineStr"/>
    </row>
    <row r="618" ht="15" customHeight="1">
      <c r="A618" t="inlineStr">
        <is>
          <t>A 12327-2025</t>
        </is>
      </c>
      <c r="B618" s="1" t="n">
        <v>45730</v>
      </c>
      <c r="C618" s="1" t="n">
        <v>46129</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4420-2025</t>
        </is>
      </c>
      <c r="B619" s="1" t="n">
        <v>45686.47157407407</v>
      </c>
      <c r="C619" s="1" t="n">
        <v>46129</v>
      </c>
      <c r="D619" t="inlineStr">
        <is>
          <t>GOTLANDS LÄN</t>
        </is>
      </c>
      <c r="E619" t="inlineStr">
        <is>
          <t>GOTLAND</t>
        </is>
      </c>
      <c r="G619" t="n">
        <v>1.6</v>
      </c>
      <c r="H619" t="n">
        <v>0</v>
      </c>
      <c r="I619" t="n">
        <v>0</v>
      </c>
      <c r="J619" t="n">
        <v>0</v>
      </c>
      <c r="K619" t="n">
        <v>0</v>
      </c>
      <c r="L619" t="n">
        <v>0</v>
      </c>
      <c r="M619" t="n">
        <v>0</v>
      </c>
      <c r="N619" t="n">
        <v>0</v>
      </c>
      <c r="O619" t="n">
        <v>0</v>
      </c>
      <c r="P619" t="n">
        <v>0</v>
      </c>
      <c r="Q619" t="n">
        <v>0</v>
      </c>
      <c r="R619" s="2" t="inlineStr"/>
    </row>
    <row r="620" ht="15" customHeight="1">
      <c r="A620" t="inlineStr">
        <is>
          <t>A 14427-2024</t>
        </is>
      </c>
      <c r="B620" s="1" t="n">
        <v>45394</v>
      </c>
      <c r="C620" s="1" t="n">
        <v>46129</v>
      </c>
      <c r="D620" t="inlineStr">
        <is>
          <t>GOTLANDS LÄN</t>
        </is>
      </c>
      <c r="E620" t="inlineStr">
        <is>
          <t>GOTLAND</t>
        </is>
      </c>
      <c r="G620" t="n">
        <v>1.3</v>
      </c>
      <c r="H620" t="n">
        <v>0</v>
      </c>
      <c r="I620" t="n">
        <v>0</v>
      </c>
      <c r="J620" t="n">
        <v>0</v>
      </c>
      <c r="K620" t="n">
        <v>0</v>
      </c>
      <c r="L620" t="n">
        <v>0</v>
      </c>
      <c r="M620" t="n">
        <v>0</v>
      </c>
      <c r="N620" t="n">
        <v>0</v>
      </c>
      <c r="O620" t="n">
        <v>0</v>
      </c>
      <c r="P620" t="n">
        <v>0</v>
      </c>
      <c r="Q620" t="n">
        <v>0</v>
      </c>
      <c r="R620" s="2" t="inlineStr"/>
    </row>
    <row r="621" ht="15" customHeight="1">
      <c r="A621" t="inlineStr">
        <is>
          <t>A 49257-2024</t>
        </is>
      </c>
      <c r="B621" s="1" t="n">
        <v>45595.47627314815</v>
      </c>
      <c r="C621" s="1" t="n">
        <v>46129</v>
      </c>
      <c r="D621" t="inlineStr">
        <is>
          <t>GOTLANDS LÄN</t>
        </is>
      </c>
      <c r="E621" t="inlineStr">
        <is>
          <t>GOTLAND</t>
        </is>
      </c>
      <c r="G621" t="n">
        <v>6.3</v>
      </c>
      <c r="H621" t="n">
        <v>0</v>
      </c>
      <c r="I621" t="n">
        <v>0</v>
      </c>
      <c r="J621" t="n">
        <v>0</v>
      </c>
      <c r="K621" t="n">
        <v>0</v>
      </c>
      <c r="L621" t="n">
        <v>0</v>
      </c>
      <c r="M621" t="n">
        <v>0</v>
      </c>
      <c r="N621" t="n">
        <v>0</v>
      </c>
      <c r="O621" t="n">
        <v>0</v>
      </c>
      <c r="P621" t="n">
        <v>0</v>
      </c>
      <c r="Q621" t="n">
        <v>0</v>
      </c>
      <c r="R621" s="2" t="inlineStr"/>
    </row>
    <row r="622" ht="15" customHeight="1">
      <c r="A622" t="inlineStr">
        <is>
          <t>A 49315-2024</t>
        </is>
      </c>
      <c r="B622" s="1" t="n">
        <v>45595</v>
      </c>
      <c r="C622" s="1" t="n">
        <v>46129</v>
      </c>
      <c r="D622" t="inlineStr">
        <is>
          <t>GOTLANDS LÄN</t>
        </is>
      </c>
      <c r="E622" t="inlineStr">
        <is>
          <t>GOTLAND</t>
        </is>
      </c>
      <c r="G622" t="n">
        <v>1.5</v>
      </c>
      <c r="H622" t="n">
        <v>0</v>
      </c>
      <c r="I622" t="n">
        <v>0</v>
      </c>
      <c r="J622" t="n">
        <v>0</v>
      </c>
      <c r="K622" t="n">
        <v>0</v>
      </c>
      <c r="L622" t="n">
        <v>0</v>
      </c>
      <c r="M622" t="n">
        <v>0</v>
      </c>
      <c r="N622" t="n">
        <v>0</v>
      </c>
      <c r="O622" t="n">
        <v>0</v>
      </c>
      <c r="P622" t="n">
        <v>0</v>
      </c>
      <c r="Q622" t="n">
        <v>0</v>
      </c>
      <c r="R622" s="2" t="inlineStr"/>
    </row>
    <row r="623" ht="15" customHeight="1">
      <c r="A623" t="inlineStr">
        <is>
          <t>A 27596-2023</t>
        </is>
      </c>
      <c r="B623" s="1" t="n">
        <v>45097</v>
      </c>
      <c r="C623" s="1" t="n">
        <v>46129</v>
      </c>
      <c r="D623" t="inlineStr">
        <is>
          <t>GOTLANDS LÄN</t>
        </is>
      </c>
      <c r="E623" t="inlineStr">
        <is>
          <t>GOTLAND</t>
        </is>
      </c>
      <c r="G623" t="n">
        <v>3.6</v>
      </c>
      <c r="H623" t="n">
        <v>0</v>
      </c>
      <c r="I623" t="n">
        <v>0</v>
      </c>
      <c r="J623" t="n">
        <v>0</v>
      </c>
      <c r="K623" t="n">
        <v>0</v>
      </c>
      <c r="L623" t="n">
        <v>0</v>
      </c>
      <c r="M623" t="n">
        <v>0</v>
      </c>
      <c r="N623" t="n">
        <v>0</v>
      </c>
      <c r="O623" t="n">
        <v>0</v>
      </c>
      <c r="P623" t="n">
        <v>0</v>
      </c>
      <c r="Q623" t="n">
        <v>0</v>
      </c>
      <c r="R623" s="2" t="inlineStr"/>
    </row>
    <row r="624" ht="15" customHeight="1">
      <c r="A624" t="inlineStr">
        <is>
          <t>A 56115-2023</t>
        </is>
      </c>
      <c r="B624" s="1" t="n">
        <v>45236</v>
      </c>
      <c r="C624" s="1" t="n">
        <v>46129</v>
      </c>
      <c r="D624" t="inlineStr">
        <is>
          <t>GOTLANDS LÄN</t>
        </is>
      </c>
      <c r="E624" t="inlineStr">
        <is>
          <t>GOTLAND</t>
        </is>
      </c>
      <c r="G624" t="n">
        <v>2</v>
      </c>
      <c r="H624" t="n">
        <v>0</v>
      </c>
      <c r="I624" t="n">
        <v>0</v>
      </c>
      <c r="J624" t="n">
        <v>0</v>
      </c>
      <c r="K624" t="n">
        <v>0</v>
      </c>
      <c r="L624" t="n">
        <v>0</v>
      </c>
      <c r="M624" t="n">
        <v>0</v>
      </c>
      <c r="N624" t="n">
        <v>0</v>
      </c>
      <c r="O624" t="n">
        <v>0</v>
      </c>
      <c r="P624" t="n">
        <v>0</v>
      </c>
      <c r="Q624" t="n">
        <v>0</v>
      </c>
      <c r="R624" s="2" t="inlineStr"/>
    </row>
    <row r="625" ht="15" customHeight="1">
      <c r="A625" t="inlineStr">
        <is>
          <t>A 64969-2023</t>
        </is>
      </c>
      <c r="B625" s="1" t="n">
        <v>45284.54009259259</v>
      </c>
      <c r="C625" s="1" t="n">
        <v>46129</v>
      </c>
      <c r="D625" t="inlineStr">
        <is>
          <t>GOTLANDS LÄN</t>
        </is>
      </c>
      <c r="E625" t="inlineStr">
        <is>
          <t>GOTLAND</t>
        </is>
      </c>
      <c r="G625" t="n">
        <v>1.2</v>
      </c>
      <c r="H625" t="n">
        <v>0</v>
      </c>
      <c r="I625" t="n">
        <v>0</v>
      </c>
      <c r="J625" t="n">
        <v>0</v>
      </c>
      <c r="K625" t="n">
        <v>0</v>
      </c>
      <c r="L625" t="n">
        <v>0</v>
      </c>
      <c r="M625" t="n">
        <v>0</v>
      </c>
      <c r="N625" t="n">
        <v>0</v>
      </c>
      <c r="O625" t="n">
        <v>0</v>
      </c>
      <c r="P625" t="n">
        <v>0</v>
      </c>
      <c r="Q625" t="n">
        <v>0</v>
      </c>
      <c r="R625" s="2" t="inlineStr"/>
    </row>
    <row r="626" ht="15" customHeight="1">
      <c r="A626" t="inlineStr">
        <is>
          <t>A 33853-2024</t>
        </is>
      </c>
      <c r="B626" s="1" t="n">
        <v>45520.64298611111</v>
      </c>
      <c r="C626" s="1" t="n">
        <v>46129</v>
      </c>
      <c r="D626" t="inlineStr">
        <is>
          <t>GOTLANDS LÄN</t>
        </is>
      </c>
      <c r="E626" t="inlineStr">
        <is>
          <t>GOTLAND</t>
        </is>
      </c>
      <c r="G626" t="n">
        <v>3.9</v>
      </c>
      <c r="H626" t="n">
        <v>0</v>
      </c>
      <c r="I626" t="n">
        <v>0</v>
      </c>
      <c r="J626" t="n">
        <v>0</v>
      </c>
      <c r="K626" t="n">
        <v>0</v>
      </c>
      <c r="L626" t="n">
        <v>0</v>
      </c>
      <c r="M626" t="n">
        <v>0</v>
      </c>
      <c r="N626" t="n">
        <v>0</v>
      </c>
      <c r="O626" t="n">
        <v>0</v>
      </c>
      <c r="P626" t="n">
        <v>0</v>
      </c>
      <c r="Q626" t="n">
        <v>0</v>
      </c>
      <c r="R626" s="2" t="inlineStr"/>
    </row>
    <row r="627" ht="15" customHeight="1">
      <c r="A627" t="inlineStr">
        <is>
          <t>A 18223-2025</t>
        </is>
      </c>
      <c r="B627" s="1" t="n">
        <v>45761</v>
      </c>
      <c r="C627" s="1" t="n">
        <v>46129</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46949-2024</t>
        </is>
      </c>
      <c r="B628" s="1" t="n">
        <v>45585</v>
      </c>
      <c r="C628" s="1" t="n">
        <v>46129</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24001-2021</t>
        </is>
      </c>
      <c r="B629" s="1" t="n">
        <v>44335</v>
      </c>
      <c r="C629" s="1" t="n">
        <v>46129</v>
      </c>
      <c r="D629" t="inlineStr">
        <is>
          <t>GOTLANDS LÄN</t>
        </is>
      </c>
      <c r="E629" t="inlineStr">
        <is>
          <t>GOTLAND</t>
        </is>
      </c>
      <c r="G629" t="n">
        <v>3.4</v>
      </c>
      <c r="H629" t="n">
        <v>0</v>
      </c>
      <c r="I629" t="n">
        <v>0</v>
      </c>
      <c r="J629" t="n">
        <v>0</v>
      </c>
      <c r="K629" t="n">
        <v>0</v>
      </c>
      <c r="L629" t="n">
        <v>0</v>
      </c>
      <c r="M629" t="n">
        <v>0</v>
      </c>
      <c r="N629" t="n">
        <v>0</v>
      </c>
      <c r="O629" t="n">
        <v>0</v>
      </c>
      <c r="P629" t="n">
        <v>0</v>
      </c>
      <c r="Q629" t="n">
        <v>0</v>
      </c>
      <c r="R629" s="2" t="inlineStr"/>
    </row>
    <row r="630" ht="15" customHeight="1">
      <c r="A630" t="inlineStr">
        <is>
          <t>A 39479-2022</t>
        </is>
      </c>
      <c r="B630" s="1" t="n">
        <v>44818</v>
      </c>
      <c r="C630" s="1" t="n">
        <v>46129</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39496-2022</t>
        </is>
      </c>
      <c r="B631" s="1" t="n">
        <v>44818</v>
      </c>
      <c r="C631" s="1" t="n">
        <v>46129</v>
      </c>
      <c r="D631" t="inlineStr">
        <is>
          <t>GOTLANDS LÄN</t>
        </is>
      </c>
      <c r="E631" t="inlineStr">
        <is>
          <t>GOTLAND</t>
        </is>
      </c>
      <c r="G631" t="n">
        <v>2.4</v>
      </c>
      <c r="H631" t="n">
        <v>0</v>
      </c>
      <c r="I631" t="n">
        <v>0</v>
      </c>
      <c r="J631" t="n">
        <v>0</v>
      </c>
      <c r="K631" t="n">
        <v>0</v>
      </c>
      <c r="L631" t="n">
        <v>0</v>
      </c>
      <c r="M631" t="n">
        <v>0</v>
      </c>
      <c r="N631" t="n">
        <v>0</v>
      </c>
      <c r="O631" t="n">
        <v>0</v>
      </c>
      <c r="P631" t="n">
        <v>0</v>
      </c>
      <c r="Q631" t="n">
        <v>0</v>
      </c>
      <c r="R631" s="2" t="inlineStr"/>
    </row>
    <row r="632" ht="15" customHeight="1">
      <c r="A632" t="inlineStr">
        <is>
          <t>A 46389-2021</t>
        </is>
      </c>
      <c r="B632" s="1" t="n">
        <v>44443</v>
      </c>
      <c r="C632" s="1" t="n">
        <v>46129</v>
      </c>
      <c r="D632" t="inlineStr">
        <is>
          <t>GOTLANDS LÄN</t>
        </is>
      </c>
      <c r="E632" t="inlineStr">
        <is>
          <t>GOTLAND</t>
        </is>
      </c>
      <c r="F632" t="inlineStr">
        <is>
          <t>Kyrkan</t>
        </is>
      </c>
      <c r="G632" t="n">
        <v>2.1</v>
      </c>
      <c r="H632" t="n">
        <v>0</v>
      </c>
      <c r="I632" t="n">
        <v>0</v>
      </c>
      <c r="J632" t="n">
        <v>0</v>
      </c>
      <c r="K632" t="n">
        <v>0</v>
      </c>
      <c r="L632" t="n">
        <v>0</v>
      </c>
      <c r="M632" t="n">
        <v>0</v>
      </c>
      <c r="N632" t="n">
        <v>0</v>
      </c>
      <c r="O632" t="n">
        <v>0</v>
      </c>
      <c r="P632" t="n">
        <v>0</v>
      </c>
      <c r="Q632" t="n">
        <v>0</v>
      </c>
      <c r="R632" s="2" t="inlineStr"/>
    </row>
    <row r="633" ht="15" customHeight="1">
      <c r="A633" t="inlineStr">
        <is>
          <t>A 44949-2023</t>
        </is>
      </c>
      <c r="B633" s="1" t="n">
        <v>45190.69520833333</v>
      </c>
      <c r="C633" s="1" t="n">
        <v>46129</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17682-2024</t>
        </is>
      </c>
      <c r="B634" s="1" t="n">
        <v>45418.42966435185</v>
      </c>
      <c r="C634" s="1" t="n">
        <v>46129</v>
      </c>
      <c r="D634" t="inlineStr">
        <is>
          <t>GOTLANDS LÄN</t>
        </is>
      </c>
      <c r="E634" t="inlineStr">
        <is>
          <t>GOTLAND</t>
        </is>
      </c>
      <c r="G634" t="n">
        <v>2.9</v>
      </c>
      <c r="H634" t="n">
        <v>0</v>
      </c>
      <c r="I634" t="n">
        <v>0</v>
      </c>
      <c r="J634" t="n">
        <v>0</v>
      </c>
      <c r="K634" t="n">
        <v>0</v>
      </c>
      <c r="L634" t="n">
        <v>0</v>
      </c>
      <c r="M634" t="n">
        <v>0</v>
      </c>
      <c r="N634" t="n">
        <v>0</v>
      </c>
      <c r="O634" t="n">
        <v>0</v>
      </c>
      <c r="P634" t="n">
        <v>0</v>
      </c>
      <c r="Q634" t="n">
        <v>0</v>
      </c>
      <c r="R634" s="2" t="inlineStr"/>
    </row>
    <row r="635" ht="15" customHeight="1">
      <c r="A635" t="inlineStr">
        <is>
          <t>A 61897-2024</t>
        </is>
      </c>
      <c r="B635" s="1" t="n">
        <v>45652.75685185185</v>
      </c>
      <c r="C635" s="1" t="n">
        <v>46129</v>
      </c>
      <c r="D635" t="inlineStr">
        <is>
          <t>GOTLANDS LÄN</t>
        </is>
      </c>
      <c r="E635" t="inlineStr">
        <is>
          <t>GOTLAND</t>
        </is>
      </c>
      <c r="G635" t="n">
        <v>6.4</v>
      </c>
      <c r="H635" t="n">
        <v>0</v>
      </c>
      <c r="I635" t="n">
        <v>0</v>
      </c>
      <c r="J635" t="n">
        <v>0</v>
      </c>
      <c r="K635" t="n">
        <v>0</v>
      </c>
      <c r="L635" t="n">
        <v>0</v>
      </c>
      <c r="M635" t="n">
        <v>0</v>
      </c>
      <c r="N635" t="n">
        <v>0</v>
      </c>
      <c r="O635" t="n">
        <v>0</v>
      </c>
      <c r="P635" t="n">
        <v>0</v>
      </c>
      <c r="Q635" t="n">
        <v>0</v>
      </c>
      <c r="R635" s="2" t="inlineStr"/>
    </row>
    <row r="636" ht="15" customHeight="1">
      <c r="A636" t="inlineStr">
        <is>
          <t>A 12032-2025</t>
        </is>
      </c>
      <c r="B636" s="1" t="n">
        <v>45728.64472222222</v>
      </c>
      <c r="C636" s="1" t="n">
        <v>46129</v>
      </c>
      <c r="D636" t="inlineStr">
        <is>
          <t>GOTLANDS LÄN</t>
        </is>
      </c>
      <c r="E636" t="inlineStr">
        <is>
          <t>GOTLAND</t>
        </is>
      </c>
      <c r="G636" t="n">
        <v>1.4</v>
      </c>
      <c r="H636" t="n">
        <v>0</v>
      </c>
      <c r="I636" t="n">
        <v>0</v>
      </c>
      <c r="J636" t="n">
        <v>0</v>
      </c>
      <c r="K636" t="n">
        <v>0</v>
      </c>
      <c r="L636" t="n">
        <v>0</v>
      </c>
      <c r="M636" t="n">
        <v>0</v>
      </c>
      <c r="N636" t="n">
        <v>0</v>
      </c>
      <c r="O636" t="n">
        <v>0</v>
      </c>
      <c r="P636" t="n">
        <v>0</v>
      </c>
      <c r="Q636" t="n">
        <v>0</v>
      </c>
      <c r="R636" s="2" t="inlineStr"/>
    </row>
    <row r="637" ht="15" customHeight="1">
      <c r="A637" t="inlineStr">
        <is>
          <t>A 15595-2024</t>
        </is>
      </c>
      <c r="B637" s="1" t="n">
        <v>45401.81480324074</v>
      </c>
      <c r="C637" s="1" t="n">
        <v>46129</v>
      </c>
      <c r="D637" t="inlineStr">
        <is>
          <t>GOTLANDS LÄN</t>
        </is>
      </c>
      <c r="E637" t="inlineStr">
        <is>
          <t>GOTLAND</t>
        </is>
      </c>
      <c r="G637" t="n">
        <v>6.4</v>
      </c>
      <c r="H637" t="n">
        <v>0</v>
      </c>
      <c r="I637" t="n">
        <v>0</v>
      </c>
      <c r="J637" t="n">
        <v>0</v>
      </c>
      <c r="K637" t="n">
        <v>0</v>
      </c>
      <c r="L637" t="n">
        <v>0</v>
      </c>
      <c r="M637" t="n">
        <v>0</v>
      </c>
      <c r="N637" t="n">
        <v>0</v>
      </c>
      <c r="O637" t="n">
        <v>0</v>
      </c>
      <c r="P637" t="n">
        <v>0</v>
      </c>
      <c r="Q637" t="n">
        <v>0</v>
      </c>
      <c r="R637" s="2" t="inlineStr"/>
    </row>
    <row r="638" ht="15" customHeight="1">
      <c r="A638" t="inlineStr">
        <is>
          <t>A 21164-2024</t>
        </is>
      </c>
      <c r="B638" s="1" t="n">
        <v>45440</v>
      </c>
      <c r="C638" s="1" t="n">
        <v>46129</v>
      </c>
      <c r="D638" t="inlineStr">
        <is>
          <t>GOTLANDS LÄN</t>
        </is>
      </c>
      <c r="E638" t="inlineStr">
        <is>
          <t>GOTLAND</t>
        </is>
      </c>
      <c r="G638" t="n">
        <v>6.3</v>
      </c>
      <c r="H638" t="n">
        <v>0</v>
      </c>
      <c r="I638" t="n">
        <v>0</v>
      </c>
      <c r="J638" t="n">
        <v>0</v>
      </c>
      <c r="K638" t="n">
        <v>0</v>
      </c>
      <c r="L638" t="n">
        <v>0</v>
      </c>
      <c r="M638" t="n">
        <v>0</v>
      </c>
      <c r="N638" t="n">
        <v>0</v>
      </c>
      <c r="O638" t="n">
        <v>0</v>
      </c>
      <c r="P638" t="n">
        <v>0</v>
      </c>
      <c r="Q638" t="n">
        <v>0</v>
      </c>
      <c r="R638" s="2" t="inlineStr"/>
    </row>
    <row r="639" ht="15" customHeight="1">
      <c r="A639" t="inlineStr">
        <is>
          <t>A 17541-2024</t>
        </is>
      </c>
      <c r="B639" s="1" t="n">
        <v>45415</v>
      </c>
      <c r="C639" s="1" t="n">
        <v>46129</v>
      </c>
      <c r="D639" t="inlineStr">
        <is>
          <t>GOTLANDS LÄN</t>
        </is>
      </c>
      <c r="E639" t="inlineStr">
        <is>
          <t>GOTLAND</t>
        </is>
      </c>
      <c r="G639" t="n">
        <v>2.6</v>
      </c>
      <c r="H639" t="n">
        <v>0</v>
      </c>
      <c r="I639" t="n">
        <v>0</v>
      </c>
      <c r="J639" t="n">
        <v>0</v>
      </c>
      <c r="K639" t="n">
        <v>0</v>
      </c>
      <c r="L639" t="n">
        <v>0</v>
      </c>
      <c r="M639" t="n">
        <v>0</v>
      </c>
      <c r="N639" t="n">
        <v>0</v>
      </c>
      <c r="O639" t="n">
        <v>0</v>
      </c>
      <c r="P639" t="n">
        <v>0</v>
      </c>
      <c r="Q639" t="n">
        <v>0</v>
      </c>
      <c r="R639" s="2" t="inlineStr"/>
    </row>
    <row r="640" ht="15" customHeight="1">
      <c r="A640" t="inlineStr">
        <is>
          <t>A 883-2025</t>
        </is>
      </c>
      <c r="B640" s="1" t="n">
        <v>45665</v>
      </c>
      <c r="C640" s="1" t="n">
        <v>46129</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13910-2025</t>
        </is>
      </c>
      <c r="B641" s="1" t="n">
        <v>45737</v>
      </c>
      <c r="C641" s="1" t="n">
        <v>46129</v>
      </c>
      <c r="D641" t="inlineStr">
        <is>
          <t>GOTLANDS LÄN</t>
        </is>
      </c>
      <c r="E641" t="inlineStr">
        <is>
          <t>GOTLAND</t>
        </is>
      </c>
      <c r="F641" t="inlineStr">
        <is>
          <t>Kommuner</t>
        </is>
      </c>
      <c r="G641" t="n">
        <v>3.2</v>
      </c>
      <c r="H641" t="n">
        <v>0</v>
      </c>
      <c r="I641" t="n">
        <v>0</v>
      </c>
      <c r="J641" t="n">
        <v>0</v>
      </c>
      <c r="K641" t="n">
        <v>0</v>
      </c>
      <c r="L641" t="n">
        <v>0</v>
      </c>
      <c r="M641" t="n">
        <v>0</v>
      </c>
      <c r="N641" t="n">
        <v>0</v>
      </c>
      <c r="O641" t="n">
        <v>0</v>
      </c>
      <c r="P641" t="n">
        <v>0</v>
      </c>
      <c r="Q641" t="n">
        <v>0</v>
      </c>
      <c r="R641" s="2" t="inlineStr"/>
    </row>
    <row r="642" ht="15" customHeight="1">
      <c r="A642" t="inlineStr">
        <is>
          <t>A 20794-2025</t>
        </is>
      </c>
      <c r="B642" s="1" t="n">
        <v>45776</v>
      </c>
      <c r="C642" s="1" t="n">
        <v>46129</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20805-2025</t>
        </is>
      </c>
      <c r="B643" s="1" t="n">
        <v>45776</v>
      </c>
      <c r="C643" s="1" t="n">
        <v>46129</v>
      </c>
      <c r="D643" t="inlineStr">
        <is>
          <t>GOTLANDS LÄN</t>
        </is>
      </c>
      <c r="E643" t="inlineStr">
        <is>
          <t>GOTLAND</t>
        </is>
      </c>
      <c r="G643" t="n">
        <v>3.1</v>
      </c>
      <c r="H643" t="n">
        <v>0</v>
      </c>
      <c r="I643" t="n">
        <v>0</v>
      </c>
      <c r="J643" t="n">
        <v>0</v>
      </c>
      <c r="K643" t="n">
        <v>0</v>
      </c>
      <c r="L643" t="n">
        <v>0</v>
      </c>
      <c r="M643" t="n">
        <v>0</v>
      </c>
      <c r="N643" t="n">
        <v>0</v>
      </c>
      <c r="O643" t="n">
        <v>0</v>
      </c>
      <c r="P643" t="n">
        <v>0</v>
      </c>
      <c r="Q643" t="n">
        <v>0</v>
      </c>
      <c r="R643" s="2" t="inlineStr"/>
    </row>
    <row r="644" ht="15" customHeight="1">
      <c r="A644" t="inlineStr">
        <is>
          <t>A 21389-2025</t>
        </is>
      </c>
      <c r="B644" s="1" t="n">
        <v>45782</v>
      </c>
      <c r="C644" s="1" t="n">
        <v>46129</v>
      </c>
      <c r="D644" t="inlineStr">
        <is>
          <t>GOTLANDS LÄN</t>
        </is>
      </c>
      <c r="E644" t="inlineStr">
        <is>
          <t>GOTLAND</t>
        </is>
      </c>
      <c r="G644" t="n">
        <v>4.1</v>
      </c>
      <c r="H644" t="n">
        <v>0</v>
      </c>
      <c r="I644" t="n">
        <v>0</v>
      </c>
      <c r="J644" t="n">
        <v>0</v>
      </c>
      <c r="K644" t="n">
        <v>0</v>
      </c>
      <c r="L644" t="n">
        <v>0</v>
      </c>
      <c r="M644" t="n">
        <v>0</v>
      </c>
      <c r="N644" t="n">
        <v>0</v>
      </c>
      <c r="O644" t="n">
        <v>0</v>
      </c>
      <c r="P644" t="n">
        <v>0</v>
      </c>
      <c r="Q644" t="n">
        <v>0</v>
      </c>
      <c r="R644" s="2" t="inlineStr"/>
    </row>
    <row r="645">
      <c r="A645" t="inlineStr">
        <is>
          <t>A 21651-2025</t>
        </is>
      </c>
      <c r="B645" s="1" t="n">
        <v>45783</v>
      </c>
      <c r="C645" s="1" t="n">
        <v>46129</v>
      </c>
      <c r="D645" t="inlineStr">
        <is>
          <t>GOTLANDS LÄN</t>
        </is>
      </c>
      <c r="E645" t="inlineStr">
        <is>
          <t>GOTLAND</t>
        </is>
      </c>
      <c r="G645" t="n">
        <v>4.2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2026-04-17T10:29:55Z</dcterms:created>
  <dcterms:modified xmlns:dcterms="http://purl.org/dc/terms/" xmlns:xsi="http://www.w3.org/2001/XMLSchema-instance" xsi:type="dcterms:W3CDTF">2026-04-17T10:29:55Z</dcterms:modified>
</cp:coreProperties>
</file>