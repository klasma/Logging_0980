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46040</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46040</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46040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46040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46040</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46040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46040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46040</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46040</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46040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46040</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46040</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46040</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46040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46040</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46040</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46040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46040</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46040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46040</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46040</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46040</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46040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46040</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46040</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46040</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46040</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46040</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46040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46040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46040</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46040</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46040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46040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46040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46040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46040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46040</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46040</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4984-2025</t>
        </is>
      </c>
      <c r="B65" s="1" t="n">
        <v>45691.29891203704</v>
      </c>
      <c r="C65" s="1" t="n">
        <v>46040</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27168-2022</t>
        </is>
      </c>
      <c r="B66" s="1" t="n">
        <v>44741</v>
      </c>
      <c r="C66" s="1" t="n">
        <v>46040</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46040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46040</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46040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46040</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46040</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46040</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46040</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46040</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7038-2023</t>
        </is>
      </c>
      <c r="B76" s="1" t="n">
        <v>44968</v>
      </c>
      <c r="C76" s="1" t="n">
        <v>46040</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2085-2023</t>
        </is>
      </c>
      <c r="B77" s="1" t="n">
        <v>44939</v>
      </c>
      <c r="C77" s="1" t="n">
        <v>46040</v>
      </c>
      <c r="D77" t="inlineStr">
        <is>
          <t>GOTLANDS LÄN</t>
        </is>
      </c>
      <c r="E77" t="inlineStr">
        <is>
          <t>GOTLAND</t>
        </is>
      </c>
      <c r="G77" t="n">
        <v>0.9</v>
      </c>
      <c r="H77" t="n">
        <v>2</v>
      </c>
      <c r="I77" t="n">
        <v>5</v>
      </c>
      <c r="J77" t="n">
        <v>0</v>
      </c>
      <c r="K77" t="n">
        <v>0</v>
      </c>
      <c r="L77" t="n">
        <v>0</v>
      </c>
      <c r="M77" t="n">
        <v>0</v>
      </c>
      <c r="N77" t="n">
        <v>0</v>
      </c>
      <c r="O77" t="n">
        <v>0</v>
      </c>
      <c r="P77" t="n">
        <v>0</v>
      </c>
      <c r="Q77" t="n">
        <v>6</v>
      </c>
      <c r="R77" s="2" t="inlineStr">
        <is>
          <t>Blå slemspindling
Blåmossa
Kattfotslav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c r="Z77">
        <f>HYPERLINK("https://klasma.github.io/Logging_0980/fåglar/A 2085-2023 prioriterade fågelarter.docx", "A 2085-2023")</f>
        <v/>
      </c>
    </row>
    <row r="78" ht="15" customHeight="1">
      <c r="A78" t="inlineStr">
        <is>
          <t>A 16823-2024</t>
        </is>
      </c>
      <c r="B78" s="1" t="n">
        <v>45411</v>
      </c>
      <c r="C78" s="1" t="n">
        <v>46040</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46040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46040</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46040</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54055-2022</t>
        </is>
      </c>
      <c r="B82" s="1" t="n">
        <v>44881</v>
      </c>
      <c r="C82" s="1" t="n">
        <v>46040</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46040</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46040</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46040</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46040</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46040</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46040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20833-2024</t>
        </is>
      </c>
      <c r="B89" s="1" t="n">
        <v>45439</v>
      </c>
      <c r="C89" s="1" t="n">
        <v>46040</v>
      </c>
      <c r="D89" t="inlineStr">
        <is>
          <t>GOTLANDS LÄN</t>
        </is>
      </c>
      <c r="E89" t="inlineStr">
        <is>
          <t>GOTLAND</t>
        </is>
      </c>
      <c r="G89" t="n">
        <v>0.9</v>
      </c>
      <c r="H89" t="n">
        <v>3</v>
      </c>
      <c r="I89" t="n">
        <v>1</v>
      </c>
      <c r="J89" t="n">
        <v>3</v>
      </c>
      <c r="K89" t="n">
        <v>0</v>
      </c>
      <c r="L89" t="n">
        <v>0</v>
      </c>
      <c r="M89" t="n">
        <v>0</v>
      </c>
      <c r="N89" t="n">
        <v>0</v>
      </c>
      <c r="O89" t="n">
        <v>3</v>
      </c>
      <c r="P89" t="n">
        <v>0</v>
      </c>
      <c r="Q89" t="n">
        <v>4</v>
      </c>
      <c r="R89" s="2" t="inlineStr">
        <is>
          <t>Dårgräsfjäril
Spillkråka
Svinrot
Skogsknipprot</t>
        </is>
      </c>
      <c r="S89">
        <f>HYPERLINK("https://klasma.github.io/Logging_0980/artfynd/A 20833-2024 artfynd.xlsx", "A 20833-2024")</f>
        <v/>
      </c>
      <c r="T89">
        <f>HYPERLINK("https://klasma.github.io/Logging_0980/kartor/A 20833-2024 karta.png", "A 20833-2024")</f>
        <v/>
      </c>
      <c r="V89">
        <f>HYPERLINK("https://klasma.github.io/Logging_0980/klagomål/A 20833-2024 FSC-klagomål.docx", "A 20833-2024")</f>
        <v/>
      </c>
      <c r="W89">
        <f>HYPERLINK("https://klasma.github.io/Logging_0980/klagomålsmail/A 20833-2024 FSC-klagomål mail.docx", "A 20833-2024")</f>
        <v/>
      </c>
      <c r="X89">
        <f>HYPERLINK("https://klasma.github.io/Logging_0980/tillsyn/A 20833-2024 tillsynsbegäran.docx", "A 20833-2024")</f>
        <v/>
      </c>
      <c r="Y89">
        <f>HYPERLINK("https://klasma.github.io/Logging_0980/tillsynsmail/A 20833-2024 tillsynsbegäran mail.docx", "A 20833-2024")</f>
        <v/>
      </c>
      <c r="Z89">
        <f>HYPERLINK("https://klasma.github.io/Logging_0980/fåglar/A 20833-2024 prioriterade fågelarter.docx", "A 20833-2024")</f>
        <v/>
      </c>
    </row>
    <row r="90" ht="15" customHeight="1">
      <c r="A90" t="inlineStr">
        <is>
          <t>A 5904-2024</t>
        </is>
      </c>
      <c r="B90" s="1" t="n">
        <v>45335</v>
      </c>
      <c r="C90" s="1" t="n">
        <v>46040</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46040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46040</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44933-2022</t>
        </is>
      </c>
      <c r="B93" s="1" t="n">
        <v>44841</v>
      </c>
      <c r="C93" s="1" t="n">
        <v>46040</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46040</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52309-2025</t>
        </is>
      </c>
      <c r="B95" s="1" t="n">
        <v>45953.64381944444</v>
      </c>
      <c r="C95" s="1" t="n">
        <v>46040</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2485-2025</t>
        </is>
      </c>
      <c r="B96" s="1" t="n">
        <v>45673</v>
      </c>
      <c r="C96" s="1" t="n">
        <v>46040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54523-2023</t>
        </is>
      </c>
      <c r="B97" s="1" t="n">
        <v>45233</v>
      </c>
      <c r="C97" s="1" t="n">
        <v>46040</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6159-2023</t>
        </is>
      </c>
      <c r="B98" s="1" t="n">
        <v>44964</v>
      </c>
      <c r="C98" s="1" t="n">
        <v>46040</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46040</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46040</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8265-2023</t>
        </is>
      </c>
      <c r="B101" s="1" t="n">
        <v>44974</v>
      </c>
      <c r="C101" s="1" t="n">
        <v>46040</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46040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46040</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46040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46040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46040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46040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20831-2024</t>
        </is>
      </c>
      <c r="B108" s="1" t="n">
        <v>45439</v>
      </c>
      <c r="C108" s="1" t="n">
        <v>46040</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53552-2021</t>
        </is>
      </c>
      <c r="B109" s="1" t="n">
        <v>44468</v>
      </c>
      <c r="C109" s="1" t="n">
        <v>46040</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2332-2021</t>
        </is>
      </c>
      <c r="B110" s="1" t="n">
        <v>44214</v>
      </c>
      <c r="C110" s="1" t="n">
        <v>46040</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46040</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46040</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17982-2023</t>
        </is>
      </c>
      <c r="B113" s="1" t="n">
        <v>45040</v>
      </c>
      <c r="C113" s="1" t="n">
        <v>46040</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46040</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55334-2024</t>
        </is>
      </c>
      <c r="B115" s="1" t="n">
        <v>45621</v>
      </c>
      <c r="C115" s="1" t="n">
        <v>46040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46040</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49709-2025</t>
        </is>
      </c>
      <c r="B117" s="1" t="n">
        <v>45939.68228009259</v>
      </c>
      <c r="C117" s="1" t="n">
        <v>46040</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12315-2024</t>
        </is>
      </c>
      <c r="B118" s="1" t="n">
        <v>45378.6434837963</v>
      </c>
      <c r="C118" s="1" t="n">
        <v>46040</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46040</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43013-2022</t>
        </is>
      </c>
      <c r="B120" s="1" t="n">
        <v>44833</v>
      </c>
      <c r="C120" s="1" t="n">
        <v>46040</v>
      </c>
      <c r="D120" t="inlineStr">
        <is>
          <t>GOTLANDS LÄN</t>
        </is>
      </c>
      <c r="E120" t="inlineStr">
        <is>
          <t>GOTLAND</t>
        </is>
      </c>
      <c r="G120" t="n">
        <v>9.300000000000001</v>
      </c>
      <c r="H120" t="n">
        <v>0</v>
      </c>
      <c r="I120" t="n">
        <v>2</v>
      </c>
      <c r="J120" t="n">
        <v>0</v>
      </c>
      <c r="K120" t="n">
        <v>1</v>
      </c>
      <c r="L120" t="n">
        <v>0</v>
      </c>
      <c r="M120" t="n">
        <v>0</v>
      </c>
      <c r="N120" t="n">
        <v>0</v>
      </c>
      <c r="O120" t="n">
        <v>1</v>
      </c>
      <c r="P120" t="n">
        <v>1</v>
      </c>
      <c r="Q120" t="n">
        <v>3</v>
      </c>
      <c r="R120" s="2" t="inlineStr">
        <is>
          <t>Violettfläckig spindling
Anisspindling
Blå slemspindling</t>
        </is>
      </c>
      <c r="S120">
        <f>HYPERLINK("https://klasma.github.io/Logging_0980/artfynd/A 43013-2022 artfynd.xlsx", "A 43013-2022")</f>
        <v/>
      </c>
      <c r="T120">
        <f>HYPERLINK("https://klasma.github.io/Logging_0980/kartor/A 43013-2022 karta.png", "A 43013-2022")</f>
        <v/>
      </c>
      <c r="V120">
        <f>HYPERLINK("https://klasma.github.io/Logging_0980/klagomål/A 43013-2022 FSC-klagomål.docx", "A 43013-2022")</f>
        <v/>
      </c>
      <c r="W120">
        <f>HYPERLINK("https://klasma.github.io/Logging_0980/klagomålsmail/A 43013-2022 FSC-klagomål mail.docx", "A 43013-2022")</f>
        <v/>
      </c>
      <c r="X120">
        <f>HYPERLINK("https://klasma.github.io/Logging_0980/tillsyn/A 43013-2022 tillsynsbegäran.docx", "A 43013-2022")</f>
        <v/>
      </c>
      <c r="Y120">
        <f>HYPERLINK("https://klasma.github.io/Logging_0980/tillsynsmail/A 43013-2022 tillsynsbegäran mail.docx", "A 43013-2022")</f>
        <v/>
      </c>
    </row>
    <row r="121" ht="15" customHeight="1">
      <c r="A121" t="inlineStr">
        <is>
          <t>A 5235-2025</t>
        </is>
      </c>
      <c r="B121" s="1" t="n">
        <v>45692.26797453704</v>
      </c>
      <c r="C121" s="1" t="n">
        <v>46040</v>
      </c>
      <c r="D121" t="inlineStr">
        <is>
          <t>GOTLANDS LÄN</t>
        </is>
      </c>
      <c r="E121" t="inlineStr">
        <is>
          <t>GOTLAND</t>
        </is>
      </c>
      <c r="G121" t="n">
        <v>7.6</v>
      </c>
      <c r="H121" t="n">
        <v>1</v>
      </c>
      <c r="I121" t="n">
        <v>2</v>
      </c>
      <c r="J121" t="n">
        <v>1</v>
      </c>
      <c r="K121" t="n">
        <v>0</v>
      </c>
      <c r="L121" t="n">
        <v>0</v>
      </c>
      <c r="M121" t="n">
        <v>0</v>
      </c>
      <c r="N121" t="n">
        <v>0</v>
      </c>
      <c r="O121" t="n">
        <v>1</v>
      </c>
      <c r="P121" t="n">
        <v>0</v>
      </c>
      <c r="Q121" t="n">
        <v>3</v>
      </c>
      <c r="R121" s="2" t="inlineStr">
        <is>
          <t>Svinrot
Blåmossa
Tvåblad</t>
        </is>
      </c>
      <c r="S121">
        <f>HYPERLINK("https://klasma.github.io/Logging_0980/artfynd/A 5235-2025 artfynd.xlsx", "A 5235-2025")</f>
        <v/>
      </c>
      <c r="T121">
        <f>HYPERLINK("https://klasma.github.io/Logging_0980/kartor/A 5235-2025 karta.png", "A 5235-2025")</f>
        <v/>
      </c>
      <c r="V121">
        <f>HYPERLINK("https://klasma.github.io/Logging_0980/klagomål/A 5235-2025 FSC-klagomål.docx", "A 5235-2025")</f>
        <v/>
      </c>
      <c r="W121">
        <f>HYPERLINK("https://klasma.github.io/Logging_0980/klagomålsmail/A 5235-2025 FSC-klagomål mail.docx", "A 5235-2025")</f>
        <v/>
      </c>
      <c r="X121">
        <f>HYPERLINK("https://klasma.github.io/Logging_0980/tillsyn/A 5235-2025 tillsynsbegäran.docx", "A 5235-2025")</f>
        <v/>
      </c>
      <c r="Y121">
        <f>HYPERLINK("https://klasma.github.io/Logging_0980/tillsynsmail/A 5235-2025 tillsynsbegäran mail.docx", "A 5235-2025")</f>
        <v/>
      </c>
    </row>
    <row r="122" ht="15" customHeight="1">
      <c r="A122" t="inlineStr">
        <is>
          <t>A 30490-2025</t>
        </is>
      </c>
      <c r="B122" s="1" t="n">
        <v>45830</v>
      </c>
      <c r="C122" s="1" t="n">
        <v>46040</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46040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46040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46040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46040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46040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46040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46040</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46040</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46040</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46040</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26077-2024</t>
        </is>
      </c>
      <c r="B133" s="1" t="n">
        <v>45467</v>
      </c>
      <c r="C133" s="1" t="n">
        <v>46040</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46040</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46040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46040</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46040</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55649-2024</t>
        </is>
      </c>
      <c r="B138" s="1" t="n">
        <v>45622.63053240741</v>
      </c>
      <c r="C138" s="1" t="n">
        <v>46040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46040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46040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46040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46040</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46040</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44308-2021</t>
        </is>
      </c>
      <c r="B144" s="1" t="n">
        <v>44434</v>
      </c>
      <c r="C144" s="1" t="n">
        <v>46040</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12924-2025</t>
        </is>
      </c>
      <c r="B145" s="1" t="n">
        <v>45734</v>
      </c>
      <c r="C145" s="1" t="n">
        <v>46040</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10218-2025</t>
        </is>
      </c>
      <c r="B146" s="1" t="n">
        <v>45720</v>
      </c>
      <c r="C146" s="1" t="n">
        <v>46040</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46040</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13939-2021</t>
        </is>
      </c>
      <c r="B148" s="1" t="n">
        <v>44277</v>
      </c>
      <c r="C148" s="1" t="n">
        <v>46040</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39812-2025</t>
        </is>
      </c>
      <c r="B149" s="1" t="n">
        <v>45891</v>
      </c>
      <c r="C149" s="1" t="n">
        <v>46040</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947-2023</t>
        </is>
      </c>
      <c r="B150" s="1" t="n">
        <v>44934</v>
      </c>
      <c r="C150" s="1" t="n">
        <v>46040</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46040</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46040</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12379-2024</t>
        </is>
      </c>
      <c r="B153" s="1" t="n">
        <v>45379.28155092592</v>
      </c>
      <c r="C153" s="1" t="n">
        <v>46040</v>
      </c>
      <c r="D153" t="inlineStr">
        <is>
          <t>GOTLANDS LÄN</t>
        </is>
      </c>
      <c r="E153" t="inlineStr">
        <is>
          <t>GOTLAND</t>
        </is>
      </c>
      <c r="G153" t="n">
        <v>4.4</v>
      </c>
      <c r="H153" t="n">
        <v>0</v>
      </c>
      <c r="I153" t="n">
        <v>0</v>
      </c>
      <c r="J153" t="n">
        <v>1</v>
      </c>
      <c r="K153" t="n">
        <v>0</v>
      </c>
      <c r="L153" t="n">
        <v>0</v>
      </c>
      <c r="M153" t="n">
        <v>0</v>
      </c>
      <c r="N153" t="n">
        <v>0</v>
      </c>
      <c r="O153" t="n">
        <v>1</v>
      </c>
      <c r="P153" t="n">
        <v>0</v>
      </c>
      <c r="Q153" t="n">
        <v>1</v>
      </c>
      <c r="R153" s="2" t="inlineStr">
        <is>
          <t>Svinrot</t>
        </is>
      </c>
      <c r="S153">
        <f>HYPERLINK("https://klasma.github.io/Logging_0980/artfynd/A 12379-2024 artfynd.xlsx", "A 12379-2024")</f>
        <v/>
      </c>
      <c r="T153">
        <f>HYPERLINK("https://klasma.github.io/Logging_0980/kartor/A 12379-2024 karta.png", "A 12379-2024")</f>
        <v/>
      </c>
      <c r="V153">
        <f>HYPERLINK("https://klasma.github.io/Logging_0980/klagomål/A 12379-2024 FSC-klagomål.docx", "A 12379-2024")</f>
        <v/>
      </c>
      <c r="W153">
        <f>HYPERLINK("https://klasma.github.io/Logging_0980/klagomålsmail/A 12379-2024 FSC-klagomål mail.docx", "A 12379-2024")</f>
        <v/>
      </c>
      <c r="X153">
        <f>HYPERLINK("https://klasma.github.io/Logging_0980/tillsyn/A 12379-2024 tillsynsbegäran.docx", "A 12379-2024")</f>
        <v/>
      </c>
      <c r="Y153">
        <f>HYPERLINK("https://klasma.github.io/Logging_0980/tillsynsmail/A 12379-2024 tillsynsbegäran mail.docx", "A 12379-2024")</f>
        <v/>
      </c>
    </row>
    <row r="154" ht="15" customHeight="1">
      <c r="A154" t="inlineStr">
        <is>
          <t>A 64700-2021</t>
        </is>
      </c>
      <c r="B154" s="1" t="n">
        <v>44511</v>
      </c>
      <c r="C154" s="1" t="n">
        <v>46040</v>
      </c>
      <c r="D154" t="inlineStr">
        <is>
          <t>GOTLANDS LÄN</t>
        </is>
      </c>
      <c r="E154" t="inlineStr">
        <is>
          <t>GOTLAND</t>
        </is>
      </c>
      <c r="F154" t="inlineStr">
        <is>
          <t>Naturvårdsverket</t>
        </is>
      </c>
      <c r="G154" t="n">
        <v>2.4</v>
      </c>
      <c r="H154" t="n">
        <v>1</v>
      </c>
      <c r="I154" t="n">
        <v>0</v>
      </c>
      <c r="J154" t="n">
        <v>0</v>
      </c>
      <c r="K154" t="n">
        <v>1</v>
      </c>
      <c r="L154" t="n">
        <v>0</v>
      </c>
      <c r="M154" t="n">
        <v>0</v>
      </c>
      <c r="N154" t="n">
        <v>0</v>
      </c>
      <c r="O154" t="n">
        <v>1</v>
      </c>
      <c r="P154" t="n">
        <v>1</v>
      </c>
      <c r="Q154" t="n">
        <v>1</v>
      </c>
      <c r="R154" s="2" t="inlineStr">
        <is>
          <t>Kalkdån</t>
        </is>
      </c>
      <c r="S154">
        <f>HYPERLINK("https://klasma.github.io/Logging_0980/artfynd/A 64700-2021 artfynd.xlsx", "A 64700-2021")</f>
        <v/>
      </c>
      <c r="T154">
        <f>HYPERLINK("https://klasma.github.io/Logging_0980/kartor/A 64700-2021 karta.png", "A 64700-2021")</f>
        <v/>
      </c>
      <c r="V154">
        <f>HYPERLINK("https://klasma.github.io/Logging_0980/klagomål/A 64700-2021 FSC-klagomål.docx", "A 64700-2021")</f>
        <v/>
      </c>
      <c r="W154">
        <f>HYPERLINK("https://klasma.github.io/Logging_0980/klagomålsmail/A 64700-2021 FSC-klagomål mail.docx", "A 64700-2021")</f>
        <v/>
      </c>
      <c r="X154">
        <f>HYPERLINK("https://klasma.github.io/Logging_0980/tillsyn/A 64700-2021 tillsynsbegäran.docx", "A 64700-2021")</f>
        <v/>
      </c>
      <c r="Y154">
        <f>HYPERLINK("https://klasma.github.io/Logging_0980/tillsynsmail/A 64700-2021 tillsynsbegäran mail.docx", "A 64700-2021")</f>
        <v/>
      </c>
    </row>
    <row r="155" ht="15" customHeight="1">
      <c r="A155" t="inlineStr">
        <is>
          <t>A 17723-2021</t>
        </is>
      </c>
      <c r="B155" s="1" t="n">
        <v>44300</v>
      </c>
      <c r="C155" s="1" t="n">
        <v>46040</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27589-2023</t>
        </is>
      </c>
      <c r="B156" s="1" t="n">
        <v>45097</v>
      </c>
      <c r="C156" s="1" t="n">
        <v>46040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46040</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35467-2021</t>
        </is>
      </c>
      <c r="B158" s="1" t="n">
        <v>44385</v>
      </c>
      <c r="C158" s="1" t="n">
        <v>46040</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35574-2024</t>
        </is>
      </c>
      <c r="B159" s="1" t="n">
        <v>45531</v>
      </c>
      <c r="C159" s="1" t="n">
        <v>46040</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44304-2021</t>
        </is>
      </c>
      <c r="B160" s="1" t="n">
        <v>44434</v>
      </c>
      <c r="C160" s="1" t="n">
        <v>46040</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Svinrot</t>
        </is>
      </c>
      <c r="S160">
        <f>HYPERLINK("https://klasma.github.io/Logging_0980/artfynd/A 44304-2021 artfynd.xlsx", "A 44304-2021")</f>
        <v/>
      </c>
      <c r="T160">
        <f>HYPERLINK("https://klasma.github.io/Logging_0980/kartor/A 44304-2021 karta.png", "A 44304-2021")</f>
        <v/>
      </c>
      <c r="V160">
        <f>HYPERLINK("https://klasma.github.io/Logging_0980/klagomål/A 44304-2021 FSC-klagomål.docx", "A 44304-2021")</f>
        <v/>
      </c>
      <c r="W160">
        <f>HYPERLINK("https://klasma.github.io/Logging_0980/klagomålsmail/A 44304-2021 FSC-klagomål mail.docx", "A 44304-2021")</f>
        <v/>
      </c>
      <c r="X160">
        <f>HYPERLINK("https://klasma.github.io/Logging_0980/tillsyn/A 44304-2021 tillsynsbegäran.docx", "A 44304-2021")</f>
        <v/>
      </c>
      <c r="Y160">
        <f>HYPERLINK("https://klasma.github.io/Logging_0980/tillsynsmail/A 44304-2021 tillsynsbegäran mail.docx", "A 44304-2021")</f>
        <v/>
      </c>
    </row>
    <row r="161" ht="15" customHeight="1">
      <c r="A161" t="inlineStr">
        <is>
          <t>A 7637-2025</t>
        </is>
      </c>
      <c r="B161" s="1" t="n">
        <v>45705.77181712963</v>
      </c>
      <c r="C161" s="1" t="n">
        <v>46040</v>
      </c>
      <c r="D161" t="inlineStr">
        <is>
          <t>GOTLANDS LÄN</t>
        </is>
      </c>
      <c r="E161" t="inlineStr">
        <is>
          <t>GOTLAND</t>
        </is>
      </c>
      <c r="G161" t="n">
        <v>3.7</v>
      </c>
      <c r="H161" t="n">
        <v>0</v>
      </c>
      <c r="I161" t="n">
        <v>0</v>
      </c>
      <c r="J161" t="n">
        <v>0</v>
      </c>
      <c r="K161" t="n">
        <v>0</v>
      </c>
      <c r="L161" t="n">
        <v>0</v>
      </c>
      <c r="M161" t="n">
        <v>1</v>
      </c>
      <c r="N161" t="n">
        <v>0</v>
      </c>
      <c r="O161" t="n">
        <v>1</v>
      </c>
      <c r="P161" t="n">
        <v>1</v>
      </c>
      <c r="Q161" t="n">
        <v>1</v>
      </c>
      <c r="R161" s="2" t="inlineStr">
        <is>
          <t>Skogsalm</t>
        </is>
      </c>
      <c r="S161">
        <f>HYPERLINK("https://klasma.github.io/Logging_0980/artfynd/A 7637-2025 artfynd.xlsx", "A 7637-2025")</f>
        <v/>
      </c>
      <c r="T161">
        <f>HYPERLINK("https://klasma.github.io/Logging_0980/kartor/A 7637-2025 karta.png", "A 7637-2025")</f>
        <v/>
      </c>
      <c r="V161">
        <f>HYPERLINK("https://klasma.github.io/Logging_0980/klagomål/A 7637-2025 FSC-klagomål.docx", "A 7637-2025")</f>
        <v/>
      </c>
      <c r="W161">
        <f>HYPERLINK("https://klasma.github.io/Logging_0980/klagomålsmail/A 7637-2025 FSC-klagomål mail.docx", "A 7637-2025")</f>
        <v/>
      </c>
      <c r="X161">
        <f>HYPERLINK("https://klasma.github.io/Logging_0980/tillsyn/A 7637-2025 tillsynsbegäran.docx", "A 7637-2025")</f>
        <v/>
      </c>
      <c r="Y161">
        <f>HYPERLINK("https://klasma.github.io/Logging_0980/tillsynsmail/A 7637-2025 tillsynsbegäran mail.docx", "A 7637-2025")</f>
        <v/>
      </c>
    </row>
    <row r="162" ht="15" customHeight="1">
      <c r="A162" t="inlineStr">
        <is>
          <t>A 63149-2025</t>
        </is>
      </c>
      <c r="B162" s="1" t="n">
        <v>46010</v>
      </c>
      <c r="C162" s="1" t="n">
        <v>46040</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Anisspindling</t>
        </is>
      </c>
      <c r="S162">
        <f>HYPERLINK("https://klasma.github.io/Logging_0980/artfynd/A 63149-2025 artfynd.xlsx", "A 63149-2025")</f>
        <v/>
      </c>
      <c r="T162">
        <f>HYPERLINK("https://klasma.github.io/Logging_0980/kartor/A 63149-2025 karta.png", "A 63149-2025")</f>
        <v/>
      </c>
      <c r="V162">
        <f>HYPERLINK("https://klasma.github.io/Logging_0980/klagomål/A 63149-2025 FSC-klagomål.docx", "A 63149-2025")</f>
        <v/>
      </c>
      <c r="W162">
        <f>HYPERLINK("https://klasma.github.io/Logging_0980/klagomålsmail/A 63149-2025 FSC-klagomål mail.docx", "A 63149-2025")</f>
        <v/>
      </c>
      <c r="X162">
        <f>HYPERLINK("https://klasma.github.io/Logging_0980/tillsyn/A 63149-2025 tillsynsbegäran.docx", "A 63149-2025")</f>
        <v/>
      </c>
      <c r="Y162">
        <f>HYPERLINK("https://klasma.github.io/Logging_0980/tillsynsmail/A 63149-2025 tillsynsbegäran mail.docx", "A 63149-2025")</f>
        <v/>
      </c>
    </row>
    <row r="163" ht="15" customHeight="1">
      <c r="A163" t="inlineStr">
        <is>
          <t>A 44619-2025</t>
        </is>
      </c>
      <c r="B163" s="1" t="n">
        <v>45917</v>
      </c>
      <c r="C163" s="1" t="n">
        <v>46040</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Ögonpyrola</t>
        </is>
      </c>
      <c r="S163">
        <f>HYPERLINK("https://klasma.github.io/Logging_0980/artfynd/A 44619-2025 artfynd.xlsx", "A 44619-2025")</f>
        <v/>
      </c>
      <c r="T163">
        <f>HYPERLINK("https://klasma.github.io/Logging_0980/kartor/A 44619-2025 karta.png", "A 44619-2025")</f>
        <v/>
      </c>
      <c r="V163">
        <f>HYPERLINK("https://klasma.github.io/Logging_0980/klagomål/A 44619-2025 FSC-klagomål.docx", "A 44619-2025")</f>
        <v/>
      </c>
      <c r="W163">
        <f>HYPERLINK("https://klasma.github.io/Logging_0980/klagomålsmail/A 44619-2025 FSC-klagomål mail.docx", "A 44619-2025")</f>
        <v/>
      </c>
      <c r="X163">
        <f>HYPERLINK("https://klasma.github.io/Logging_0980/tillsyn/A 44619-2025 tillsynsbegäran.docx", "A 44619-2025")</f>
        <v/>
      </c>
      <c r="Y163">
        <f>HYPERLINK("https://klasma.github.io/Logging_0980/tillsynsmail/A 44619-2025 tillsynsbegäran mail.docx", "A 44619-2025")</f>
        <v/>
      </c>
    </row>
    <row r="164" ht="15" customHeight="1">
      <c r="A164" t="inlineStr">
        <is>
          <t>A 6303-2024</t>
        </is>
      </c>
      <c r="B164" s="1" t="n">
        <v>45338.35376157407</v>
      </c>
      <c r="C164" s="1" t="n">
        <v>46040</v>
      </c>
      <c r="D164" t="inlineStr">
        <is>
          <t>GOTLANDS LÄN</t>
        </is>
      </c>
      <c r="E164" t="inlineStr">
        <is>
          <t>GOTLAND</t>
        </is>
      </c>
      <c r="G164" t="n">
        <v>0.6</v>
      </c>
      <c r="H164" t="n">
        <v>0</v>
      </c>
      <c r="I164" t="n">
        <v>1</v>
      </c>
      <c r="J164" t="n">
        <v>0</v>
      </c>
      <c r="K164" t="n">
        <v>0</v>
      </c>
      <c r="L164" t="n">
        <v>0</v>
      </c>
      <c r="M164" t="n">
        <v>0</v>
      </c>
      <c r="N164" t="n">
        <v>0</v>
      </c>
      <c r="O164" t="n">
        <v>0</v>
      </c>
      <c r="P164" t="n">
        <v>0</v>
      </c>
      <c r="Q164" t="n">
        <v>1</v>
      </c>
      <c r="R164" s="2" t="inlineStr">
        <is>
          <t>Strävlosta</t>
        </is>
      </c>
      <c r="S164">
        <f>HYPERLINK("https://klasma.github.io/Logging_0980/artfynd/A 6303-2024 artfynd.xlsx", "A 6303-2024")</f>
        <v/>
      </c>
      <c r="T164">
        <f>HYPERLINK("https://klasma.github.io/Logging_0980/kartor/A 6303-2024 karta.png", "A 6303-2024")</f>
        <v/>
      </c>
      <c r="V164">
        <f>HYPERLINK("https://klasma.github.io/Logging_0980/klagomål/A 6303-2024 FSC-klagomål.docx", "A 6303-2024")</f>
        <v/>
      </c>
      <c r="W164">
        <f>HYPERLINK("https://klasma.github.io/Logging_0980/klagomålsmail/A 6303-2024 FSC-klagomål mail.docx", "A 6303-2024")</f>
        <v/>
      </c>
      <c r="X164">
        <f>HYPERLINK("https://klasma.github.io/Logging_0980/tillsyn/A 6303-2024 tillsynsbegäran.docx", "A 6303-2024")</f>
        <v/>
      </c>
      <c r="Y164">
        <f>HYPERLINK("https://klasma.github.io/Logging_0980/tillsynsmail/A 6303-2024 tillsynsbegäran mail.docx", "A 6303-2024")</f>
        <v/>
      </c>
    </row>
    <row r="165" ht="15" customHeight="1">
      <c r="A165" t="inlineStr">
        <is>
          <t>A 49726-2025</t>
        </is>
      </c>
      <c r="B165" s="1" t="n">
        <v>45939.84466435185</v>
      </c>
      <c r="C165" s="1" t="n">
        <v>46040</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46040</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34809-2024</t>
        </is>
      </c>
      <c r="B167" s="1" t="n">
        <v>45526</v>
      </c>
      <c r="C167" s="1" t="n">
        <v>46040</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25977-2024</t>
        </is>
      </c>
      <c r="B168" s="1" t="n">
        <v>45467.69356481481</v>
      </c>
      <c r="C168" s="1" t="n">
        <v>46040</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61561-2023</t>
        </is>
      </c>
      <c r="B169" s="1" t="n">
        <v>45265</v>
      </c>
      <c r="C169" s="1" t="n">
        <v>46040</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65927-2021</t>
        </is>
      </c>
      <c r="B170" s="1" t="n">
        <v>44516</v>
      </c>
      <c r="C170" s="1" t="n">
        <v>46040</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61796-2022</t>
        </is>
      </c>
      <c r="B171" s="1" t="n">
        <v>44917</v>
      </c>
      <c r="C171" s="1" t="n">
        <v>46040</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22782-2023</t>
        </is>
      </c>
      <c r="B172" s="1" t="n">
        <v>45072</v>
      </c>
      <c r="C172" s="1" t="n">
        <v>46040</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22883-2024</t>
        </is>
      </c>
      <c r="B173" s="1" t="n">
        <v>45448.66368055555</v>
      </c>
      <c r="C173" s="1" t="n">
        <v>46040</v>
      </c>
      <c r="D173" t="inlineStr">
        <is>
          <t>GOTLANDS LÄN</t>
        </is>
      </c>
      <c r="E173" t="inlineStr">
        <is>
          <t>GOTLAND</t>
        </is>
      </c>
      <c r="G173" t="n">
        <v>0.5</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22883-2024 artfynd.xlsx", "A 22883-2024")</f>
        <v/>
      </c>
      <c r="T173">
        <f>HYPERLINK("https://klasma.github.io/Logging_0980/kartor/A 22883-2024 karta.png", "A 22883-2024")</f>
        <v/>
      </c>
      <c r="V173">
        <f>HYPERLINK("https://klasma.github.io/Logging_0980/klagomål/A 22883-2024 FSC-klagomål.docx", "A 22883-2024")</f>
        <v/>
      </c>
      <c r="W173">
        <f>HYPERLINK("https://klasma.github.io/Logging_0980/klagomålsmail/A 22883-2024 FSC-klagomål mail.docx", "A 22883-2024")</f>
        <v/>
      </c>
      <c r="X173">
        <f>HYPERLINK("https://klasma.github.io/Logging_0980/tillsyn/A 22883-2024 tillsynsbegäran.docx", "A 22883-2024")</f>
        <v/>
      </c>
      <c r="Y173">
        <f>HYPERLINK("https://klasma.github.io/Logging_0980/tillsynsmail/A 22883-2024 tillsynsbegäran mail.docx", "A 22883-2024")</f>
        <v/>
      </c>
    </row>
    <row r="174" ht="15" customHeight="1">
      <c r="A174" t="inlineStr">
        <is>
          <t>A 15637-2024</t>
        </is>
      </c>
      <c r="B174" s="1" t="n">
        <v>45403.6684837963</v>
      </c>
      <c r="C174" s="1" t="n">
        <v>46040</v>
      </c>
      <c r="D174" t="inlineStr">
        <is>
          <t>GOTLANDS LÄN</t>
        </is>
      </c>
      <c r="E174" t="inlineStr">
        <is>
          <t>GOTLAND</t>
        </is>
      </c>
      <c r="G174" t="n">
        <v>4.1</v>
      </c>
      <c r="H174" t="n">
        <v>1</v>
      </c>
      <c r="I174" t="n">
        <v>0</v>
      </c>
      <c r="J174" t="n">
        <v>0</v>
      </c>
      <c r="K174" t="n">
        <v>0</v>
      </c>
      <c r="L174" t="n">
        <v>0</v>
      </c>
      <c r="M174" t="n">
        <v>0</v>
      </c>
      <c r="N174" t="n">
        <v>0</v>
      </c>
      <c r="O174" t="n">
        <v>0</v>
      </c>
      <c r="P174" t="n">
        <v>0</v>
      </c>
      <c r="Q174" t="n">
        <v>1</v>
      </c>
      <c r="R174" s="2" t="inlineStr">
        <is>
          <t>Blåsippa</t>
        </is>
      </c>
      <c r="S174">
        <f>HYPERLINK("https://klasma.github.io/Logging_0980/artfynd/A 15637-2024 artfynd.xlsx", "A 15637-2024")</f>
        <v/>
      </c>
      <c r="T174">
        <f>HYPERLINK("https://klasma.github.io/Logging_0980/kartor/A 15637-2024 karta.png", "A 15637-2024")</f>
        <v/>
      </c>
      <c r="V174">
        <f>HYPERLINK("https://klasma.github.io/Logging_0980/klagomål/A 15637-2024 FSC-klagomål.docx", "A 15637-2024")</f>
        <v/>
      </c>
      <c r="W174">
        <f>HYPERLINK("https://klasma.github.io/Logging_0980/klagomålsmail/A 15637-2024 FSC-klagomål mail.docx", "A 15637-2024")</f>
        <v/>
      </c>
      <c r="X174">
        <f>HYPERLINK("https://klasma.github.io/Logging_0980/tillsyn/A 15637-2024 tillsynsbegäran.docx", "A 15637-2024")</f>
        <v/>
      </c>
      <c r="Y174">
        <f>HYPERLINK("https://klasma.github.io/Logging_0980/tillsynsmail/A 15637-2024 tillsynsbegäran mail.docx", "A 15637-2024")</f>
        <v/>
      </c>
    </row>
    <row r="175" ht="15" customHeight="1">
      <c r="A175" t="inlineStr">
        <is>
          <t>A 2476-2025</t>
        </is>
      </c>
      <c r="B175" s="1" t="n">
        <v>45673</v>
      </c>
      <c r="C175" s="1" t="n">
        <v>46040</v>
      </c>
      <c r="D175" t="inlineStr">
        <is>
          <t>GOTLANDS LÄN</t>
        </is>
      </c>
      <c r="E175" t="inlineStr">
        <is>
          <t>GOTLAND</t>
        </is>
      </c>
      <c r="G175" t="n">
        <v>3.1</v>
      </c>
      <c r="H175" t="n">
        <v>0</v>
      </c>
      <c r="I175" t="n">
        <v>1</v>
      </c>
      <c r="J175" t="n">
        <v>0</v>
      </c>
      <c r="K175" t="n">
        <v>0</v>
      </c>
      <c r="L175" t="n">
        <v>0</v>
      </c>
      <c r="M175" t="n">
        <v>0</v>
      </c>
      <c r="N175" t="n">
        <v>0</v>
      </c>
      <c r="O175" t="n">
        <v>0</v>
      </c>
      <c r="P175" t="n">
        <v>0</v>
      </c>
      <c r="Q175" t="n">
        <v>1</v>
      </c>
      <c r="R175" s="2" t="inlineStr">
        <is>
          <t>Kryddspindling</t>
        </is>
      </c>
      <c r="S175">
        <f>HYPERLINK("https://klasma.github.io/Logging_0980/artfynd/A 2476-2025 artfynd.xlsx", "A 2476-2025")</f>
        <v/>
      </c>
      <c r="T175">
        <f>HYPERLINK("https://klasma.github.io/Logging_0980/kartor/A 2476-2025 karta.png", "A 2476-2025")</f>
        <v/>
      </c>
      <c r="V175">
        <f>HYPERLINK("https://klasma.github.io/Logging_0980/klagomål/A 2476-2025 FSC-klagomål.docx", "A 2476-2025")</f>
        <v/>
      </c>
      <c r="W175">
        <f>HYPERLINK("https://klasma.github.io/Logging_0980/klagomålsmail/A 2476-2025 FSC-klagomål mail.docx", "A 2476-2025")</f>
        <v/>
      </c>
      <c r="X175">
        <f>HYPERLINK("https://klasma.github.io/Logging_0980/tillsyn/A 2476-2025 tillsynsbegäran.docx", "A 2476-2025")</f>
        <v/>
      </c>
      <c r="Y175">
        <f>HYPERLINK("https://klasma.github.io/Logging_0980/tillsynsmail/A 2476-2025 tillsynsbegäran mail.docx", "A 2476-2025")</f>
        <v/>
      </c>
    </row>
    <row r="176" ht="15" customHeight="1">
      <c r="A176" t="inlineStr">
        <is>
          <t>A 24245-2022</t>
        </is>
      </c>
      <c r="B176" s="1" t="n">
        <v>44725</v>
      </c>
      <c r="C176" s="1" t="n">
        <v>46040</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10995-2023</t>
        </is>
      </c>
      <c r="B177" s="1" t="n">
        <v>44986</v>
      </c>
      <c r="C177" s="1" t="n">
        <v>46040</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62552-2022</t>
        </is>
      </c>
      <c r="B178" s="1" t="n">
        <v>44924</v>
      </c>
      <c r="C178" s="1" t="n">
        <v>46040</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49847-2023</t>
        </is>
      </c>
      <c r="B179" s="1" t="n">
        <v>45212</v>
      </c>
      <c r="C179" s="1" t="n">
        <v>46040</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46527-2023</t>
        </is>
      </c>
      <c r="B180" s="1" t="n">
        <v>45197</v>
      </c>
      <c r="C180" s="1" t="n">
        <v>46040</v>
      </c>
      <c r="D180" t="inlineStr">
        <is>
          <t>GOTLANDS LÄN</t>
        </is>
      </c>
      <c r="E180" t="inlineStr">
        <is>
          <t>GOTLAND</t>
        </is>
      </c>
      <c r="G180" t="n">
        <v>0.9</v>
      </c>
      <c r="H180" t="n">
        <v>0</v>
      </c>
      <c r="I180" t="n">
        <v>0</v>
      </c>
      <c r="J180" t="n">
        <v>1</v>
      </c>
      <c r="K180" t="n">
        <v>0</v>
      </c>
      <c r="L180" t="n">
        <v>0</v>
      </c>
      <c r="M180" t="n">
        <v>0</v>
      </c>
      <c r="N180" t="n">
        <v>0</v>
      </c>
      <c r="O180" t="n">
        <v>1</v>
      </c>
      <c r="P180" t="n">
        <v>0</v>
      </c>
      <c r="Q180" t="n">
        <v>1</v>
      </c>
      <c r="R180" s="2" t="inlineStr">
        <is>
          <t>Guldgräshoppa</t>
        </is>
      </c>
      <c r="S180">
        <f>HYPERLINK("https://klasma.github.io/Logging_0980/artfynd/A 46527-2023 artfynd.xlsx", "A 46527-2023")</f>
        <v/>
      </c>
      <c r="T180">
        <f>HYPERLINK("https://klasma.github.io/Logging_0980/kartor/A 46527-2023 karta.png", "A 46527-2023")</f>
        <v/>
      </c>
      <c r="V180">
        <f>HYPERLINK("https://klasma.github.io/Logging_0980/klagomål/A 46527-2023 FSC-klagomål.docx", "A 46527-2023")</f>
        <v/>
      </c>
      <c r="W180">
        <f>HYPERLINK("https://klasma.github.io/Logging_0980/klagomålsmail/A 46527-2023 FSC-klagomål mail.docx", "A 46527-2023")</f>
        <v/>
      </c>
      <c r="X180">
        <f>HYPERLINK("https://klasma.github.io/Logging_0980/tillsyn/A 46527-2023 tillsynsbegäran.docx", "A 46527-2023")</f>
        <v/>
      </c>
      <c r="Y180">
        <f>HYPERLINK("https://klasma.github.io/Logging_0980/tillsynsmail/A 46527-2023 tillsynsbegäran mail.docx", "A 46527-2023")</f>
        <v/>
      </c>
    </row>
    <row r="181" ht="15" customHeight="1">
      <c r="A181" t="inlineStr">
        <is>
          <t>A 44088-2022</t>
        </is>
      </c>
      <c r="B181" s="1" t="n">
        <v>44839</v>
      </c>
      <c r="C181" s="1" t="n">
        <v>46040</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12324-2025</t>
        </is>
      </c>
      <c r="B182" s="1" t="n">
        <v>45730</v>
      </c>
      <c r="C182" s="1" t="n">
        <v>46040</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46040</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46040</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46040</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46040</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46040</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46040</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46040</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46040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46040</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46040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46040</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46040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46040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46040</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46040</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46040</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46040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46040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46040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16858-2022</t>
        </is>
      </c>
      <c r="B202" s="1" t="n">
        <v>44674.62</v>
      </c>
      <c r="C202" s="1" t="n">
        <v>46040</v>
      </c>
      <c r="D202" t="inlineStr">
        <is>
          <t>GOTLANDS LÄN</t>
        </is>
      </c>
      <c r="E202" t="inlineStr">
        <is>
          <t>GOTLAND</t>
        </is>
      </c>
      <c r="G202" t="n">
        <v>1.4</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46040</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46040</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46040</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46040</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46040</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46040</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46040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46040</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46040</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46040</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46040</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46040</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46040</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46040</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46040</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46040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46040</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46040</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46040</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46040</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46040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46040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46040</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46040</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46040</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46040</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46040</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46040</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46040</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46040</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46040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46040</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18742-2025</t>
        </is>
      </c>
      <c r="B235" s="1" t="n">
        <v>45763</v>
      </c>
      <c r="C235" s="1" t="n">
        <v>46040</v>
      </c>
      <c r="D235" t="inlineStr">
        <is>
          <t>GOTLANDS LÄN</t>
        </is>
      </c>
      <c r="E235" t="inlineStr">
        <is>
          <t>GOTLAND</t>
        </is>
      </c>
      <c r="G235" t="n">
        <v>3.4</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46040</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46040</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35129-2025</t>
        </is>
      </c>
      <c r="B238" s="1" t="n">
        <v>45852.63224537037</v>
      </c>
      <c r="C238" s="1" t="n">
        <v>46040</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46040</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46040</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46040</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46396-2023</t>
        </is>
      </c>
      <c r="B242" s="1" t="n">
        <v>45197</v>
      </c>
      <c r="C242" s="1" t="n">
        <v>46040</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17724-2024</t>
        </is>
      </c>
      <c r="B243" s="1" t="n">
        <v>45418.55096064815</v>
      </c>
      <c r="C243" s="1" t="n">
        <v>46040</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46040</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34312-2024</t>
        </is>
      </c>
      <c r="B245" s="1" t="n">
        <v>45524.69703703704</v>
      </c>
      <c r="C245" s="1" t="n">
        <v>46040</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46040</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18993-2025</t>
        </is>
      </c>
      <c r="B247" s="1" t="n">
        <v>45764</v>
      </c>
      <c r="C247" s="1" t="n">
        <v>46040</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46040</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21142-2025</t>
        </is>
      </c>
      <c r="B249" s="1" t="n">
        <v>45779</v>
      </c>
      <c r="C249" s="1" t="n">
        <v>46040</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17343-2025</t>
        </is>
      </c>
      <c r="B250" s="1" t="n">
        <v>45756.6687037037</v>
      </c>
      <c r="C250" s="1" t="n">
        <v>46040</v>
      </c>
      <c r="D250" t="inlineStr">
        <is>
          <t>GOTLANDS LÄN</t>
        </is>
      </c>
      <c r="E250" t="inlineStr">
        <is>
          <t>GOTLAND</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18938-2025</t>
        </is>
      </c>
      <c r="B251" s="1" t="n">
        <v>45764.49172453704</v>
      </c>
      <c r="C251" s="1" t="n">
        <v>46040</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46040</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30489-2025</t>
        </is>
      </c>
      <c r="B253" s="1" t="n">
        <v>45830</v>
      </c>
      <c r="C253" s="1" t="n">
        <v>46040</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46040</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7638-2025</t>
        </is>
      </c>
      <c r="B255" s="1" t="n">
        <v>45705.77306712963</v>
      </c>
      <c r="C255" s="1" t="n">
        <v>46040</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46040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20307-2025</t>
        </is>
      </c>
      <c r="B257" s="1" t="n">
        <v>45774.95546296296</v>
      </c>
      <c r="C257" s="1" t="n">
        <v>46040</v>
      </c>
      <c r="D257" t="inlineStr">
        <is>
          <t>GOTLANDS LÄN</t>
        </is>
      </c>
      <c r="E257" t="inlineStr">
        <is>
          <t>GOTLAND</t>
        </is>
      </c>
      <c r="G257" t="n">
        <v>6.8</v>
      </c>
      <c r="H257" t="n">
        <v>0</v>
      </c>
      <c r="I257" t="n">
        <v>0</v>
      </c>
      <c r="J257" t="n">
        <v>0</v>
      </c>
      <c r="K257" t="n">
        <v>0</v>
      </c>
      <c r="L257" t="n">
        <v>0</v>
      </c>
      <c r="M257" t="n">
        <v>0</v>
      </c>
      <c r="N257" t="n">
        <v>0</v>
      </c>
      <c r="O257" t="n">
        <v>0</v>
      </c>
      <c r="P257" t="n">
        <v>0</v>
      </c>
      <c r="Q257" t="n">
        <v>0</v>
      </c>
      <c r="R257" s="2" t="inlineStr"/>
    </row>
    <row r="258" ht="15" customHeight="1">
      <c r="A258" t="inlineStr">
        <is>
          <t>A 50482-2024</t>
        </is>
      </c>
      <c r="B258" s="1" t="n">
        <v>45601.48114583334</v>
      </c>
      <c r="C258" s="1" t="n">
        <v>46040</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46040</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46040</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1394-2023</t>
        </is>
      </c>
      <c r="B261" s="1" t="n">
        <v>44936.72997685185</v>
      </c>
      <c r="C261" s="1" t="n">
        <v>46040</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46040</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46040</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39819-2025</t>
        </is>
      </c>
      <c r="B264" s="1" t="n">
        <v>45891.53418981482</v>
      </c>
      <c r="C264" s="1" t="n">
        <v>46040</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46040</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46040</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24192-2023</t>
        </is>
      </c>
      <c r="B267" s="1" t="n">
        <v>45079</v>
      </c>
      <c r="C267" s="1" t="n">
        <v>46040</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46040</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46040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46040</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46040</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46040</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46040</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46040</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5386-2023</t>
        </is>
      </c>
      <c r="B275" s="1" t="n">
        <v>44959</v>
      </c>
      <c r="C275" s="1" t="n">
        <v>46040</v>
      </c>
      <c r="D275" t="inlineStr">
        <is>
          <t>GOTLANDS LÄN</t>
        </is>
      </c>
      <c r="E275" t="inlineStr">
        <is>
          <t>GOTLAND</t>
        </is>
      </c>
      <c r="G275" t="n">
        <v>5.4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46040</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4868-2024</t>
        </is>
      </c>
      <c r="B277" s="1" t="n">
        <v>45329</v>
      </c>
      <c r="C277" s="1" t="n">
        <v>46040</v>
      </c>
      <c r="D277" t="inlineStr">
        <is>
          <t>GOTLANDS LÄN</t>
        </is>
      </c>
      <c r="E277" t="inlineStr">
        <is>
          <t>GOTLAND</t>
        </is>
      </c>
      <c r="G277" t="n">
        <v>7.1</v>
      </c>
      <c r="H277" t="n">
        <v>0</v>
      </c>
      <c r="I277" t="n">
        <v>0</v>
      </c>
      <c r="J277" t="n">
        <v>0</v>
      </c>
      <c r="K277" t="n">
        <v>0</v>
      </c>
      <c r="L277" t="n">
        <v>0</v>
      </c>
      <c r="M277" t="n">
        <v>0</v>
      </c>
      <c r="N277" t="n">
        <v>0</v>
      </c>
      <c r="O277" t="n">
        <v>0</v>
      </c>
      <c r="P277" t="n">
        <v>0</v>
      </c>
      <c r="Q277" t="n">
        <v>0</v>
      </c>
      <c r="R277" s="2" t="inlineStr"/>
    </row>
    <row r="278" ht="15" customHeight="1">
      <c r="A278" t="inlineStr">
        <is>
          <t>A 7026-2023</t>
        </is>
      </c>
      <c r="B278" s="1" t="n">
        <v>44968.30340277778</v>
      </c>
      <c r="C278" s="1" t="n">
        <v>46040</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46040</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46040</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46040</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46040</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56688-2025</t>
        </is>
      </c>
      <c r="B283" s="1" t="n">
        <v>45975.84331018518</v>
      </c>
      <c r="C283" s="1" t="n">
        <v>46040</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46040</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32330-2024</t>
        </is>
      </c>
      <c r="B285" s="1" t="n">
        <v>45512</v>
      </c>
      <c r="C285" s="1" t="n">
        <v>46040</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9613-2025</t>
        </is>
      </c>
      <c r="B286" s="1" t="n">
        <v>45715</v>
      </c>
      <c r="C286" s="1" t="n">
        <v>46040</v>
      </c>
      <c r="D286" t="inlineStr">
        <is>
          <t>GOTLANDS LÄN</t>
        </is>
      </c>
      <c r="E286" t="inlineStr">
        <is>
          <t>GOTLAND</t>
        </is>
      </c>
      <c r="G286" t="n">
        <v>3.5</v>
      </c>
      <c r="H286" t="n">
        <v>0</v>
      </c>
      <c r="I286" t="n">
        <v>0</v>
      </c>
      <c r="J286" t="n">
        <v>0</v>
      </c>
      <c r="K286" t="n">
        <v>0</v>
      </c>
      <c r="L286" t="n">
        <v>0</v>
      </c>
      <c r="M286" t="n">
        <v>0</v>
      </c>
      <c r="N286" t="n">
        <v>0</v>
      </c>
      <c r="O286" t="n">
        <v>0</v>
      </c>
      <c r="P286" t="n">
        <v>0</v>
      </c>
      <c r="Q286" t="n">
        <v>0</v>
      </c>
      <c r="R286" s="2" t="inlineStr"/>
    </row>
    <row r="287" ht="15" customHeight="1">
      <c r="A287" t="inlineStr">
        <is>
          <t>A 15595-2024</t>
        </is>
      </c>
      <c r="B287" s="1" t="n">
        <v>45401.81480324074</v>
      </c>
      <c r="C287" s="1" t="n">
        <v>46040</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46040</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46545-2024</t>
        </is>
      </c>
      <c r="B289" s="1" t="n">
        <v>45582.65831018519</v>
      </c>
      <c r="C289" s="1" t="n">
        <v>46040</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5751-2024</t>
        </is>
      </c>
      <c r="B290" s="1" t="n">
        <v>45335.32702546296</v>
      </c>
      <c r="C290" s="1" t="n">
        <v>46040</v>
      </c>
      <c r="D290" t="inlineStr">
        <is>
          <t>GOTLANDS LÄN</t>
        </is>
      </c>
      <c r="E290" t="inlineStr">
        <is>
          <t>GOTLAND</t>
        </is>
      </c>
      <c r="G290" t="n">
        <v>4.2</v>
      </c>
      <c r="H290" t="n">
        <v>0</v>
      </c>
      <c r="I290" t="n">
        <v>0</v>
      </c>
      <c r="J290" t="n">
        <v>0</v>
      </c>
      <c r="K290" t="n">
        <v>0</v>
      </c>
      <c r="L290" t="n">
        <v>0</v>
      </c>
      <c r="M290" t="n">
        <v>0</v>
      </c>
      <c r="N290" t="n">
        <v>0</v>
      </c>
      <c r="O290" t="n">
        <v>0</v>
      </c>
      <c r="P290" t="n">
        <v>0</v>
      </c>
      <c r="Q290" t="n">
        <v>0</v>
      </c>
      <c r="R290" s="2" t="inlineStr"/>
    </row>
    <row r="291" ht="15" customHeight="1">
      <c r="A291" t="inlineStr">
        <is>
          <t>A 60086-2022</t>
        </is>
      </c>
      <c r="B291" s="1" t="n">
        <v>44909</v>
      </c>
      <c r="C291" s="1" t="n">
        <v>46040</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36-2026</t>
        </is>
      </c>
      <c r="B292" s="1" t="n">
        <v>46024.38886574074</v>
      </c>
      <c r="C292" s="1" t="n">
        <v>46040</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46040</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46040</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46040</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62915-2021</t>
        </is>
      </c>
      <c r="B296" s="1" t="n">
        <v>44504</v>
      </c>
      <c r="C296" s="1" t="n">
        <v>46040</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46040</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24966-2023</t>
        </is>
      </c>
      <c r="B298" s="1" t="n">
        <v>45085</v>
      </c>
      <c r="C298" s="1" t="n">
        <v>46040</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46040</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46040</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46040</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3964-2024</t>
        </is>
      </c>
      <c r="B302" s="1" t="n">
        <v>45322</v>
      </c>
      <c r="C302" s="1" t="n">
        <v>46040</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46040</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46040</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46040</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46040</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46040</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46040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46040</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59197-2025</t>
        </is>
      </c>
      <c r="B310" s="1" t="n">
        <v>45988.59846064815</v>
      </c>
      <c r="C310" s="1" t="n">
        <v>46040</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46040</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47147-2025</t>
        </is>
      </c>
      <c r="B312" s="1" t="n">
        <v>45929</v>
      </c>
      <c r="C312" s="1" t="n">
        <v>46040</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46040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1355-2026</t>
        </is>
      </c>
      <c r="B314" s="1" t="n">
        <v>46031.59909722222</v>
      </c>
      <c r="C314" s="1" t="n">
        <v>46040</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46040</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62836-2025</t>
        </is>
      </c>
      <c r="B316" s="1" t="n">
        <v>46008</v>
      </c>
      <c r="C316" s="1" t="n">
        <v>46040</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1677-2023</t>
        </is>
      </c>
      <c r="B317" s="1" t="n">
        <v>44938</v>
      </c>
      <c r="C317" s="1" t="n">
        <v>46040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46040</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46040</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45244-2024</t>
        </is>
      </c>
      <c r="B320" s="1" t="n">
        <v>45576</v>
      </c>
      <c r="C320" s="1" t="n">
        <v>46040</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46040</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46040</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46040</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44405-2025</t>
        </is>
      </c>
      <c r="B324" s="1" t="n">
        <v>45916.52405092592</v>
      </c>
      <c r="C324" s="1" t="n">
        <v>46040</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2415-2026</t>
        </is>
      </c>
      <c r="B325" s="1" t="n">
        <v>46036.76203703704</v>
      </c>
      <c r="C325" s="1" t="n">
        <v>46040</v>
      </c>
      <c r="D325" t="inlineStr">
        <is>
          <t>GOTLANDS LÄN</t>
        </is>
      </c>
      <c r="E325" t="inlineStr">
        <is>
          <t>GOTLAND</t>
        </is>
      </c>
      <c r="G325" t="n">
        <v>6.9</v>
      </c>
      <c r="H325" t="n">
        <v>0</v>
      </c>
      <c r="I325" t="n">
        <v>0</v>
      </c>
      <c r="J325" t="n">
        <v>0</v>
      </c>
      <c r="K325" t="n">
        <v>0</v>
      </c>
      <c r="L325" t="n">
        <v>0</v>
      </c>
      <c r="M325" t="n">
        <v>0</v>
      </c>
      <c r="N325" t="n">
        <v>0</v>
      </c>
      <c r="O325" t="n">
        <v>0</v>
      </c>
      <c r="P325" t="n">
        <v>0</v>
      </c>
      <c r="Q325" t="n">
        <v>0</v>
      </c>
      <c r="R325" s="2" t="inlineStr"/>
    </row>
    <row r="326" ht="15" customHeight="1">
      <c r="A326" t="inlineStr">
        <is>
          <t>A 64969-2023</t>
        </is>
      </c>
      <c r="B326" s="1" t="n">
        <v>45284.54009259259</v>
      </c>
      <c r="C326" s="1" t="n">
        <v>46040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46040</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46040</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17541-2024</t>
        </is>
      </c>
      <c r="B329" s="1" t="n">
        <v>45415</v>
      </c>
      <c r="C329" s="1" t="n">
        <v>46040</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36319-2025</t>
        </is>
      </c>
      <c r="B330" s="1" t="n">
        <v>45868</v>
      </c>
      <c r="C330" s="1" t="n">
        <v>46040</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2241-2025</t>
        </is>
      </c>
      <c r="B331" s="1" t="n">
        <v>45673.48710648148</v>
      </c>
      <c r="C331" s="1" t="n">
        <v>46040</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1839-2026</t>
        </is>
      </c>
      <c r="B332" s="1" t="n">
        <v>46035.3942824074</v>
      </c>
      <c r="C332" s="1" t="n">
        <v>46040</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1854-2026</t>
        </is>
      </c>
      <c r="B333" s="1" t="n">
        <v>46035.4171875</v>
      </c>
      <c r="C333" s="1" t="n">
        <v>46040</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62103-2025</t>
        </is>
      </c>
      <c r="B334" s="1" t="n">
        <v>46006</v>
      </c>
      <c r="C334" s="1" t="n">
        <v>46040</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38649-2025</t>
        </is>
      </c>
      <c r="B335" s="1" t="n">
        <v>45884</v>
      </c>
      <c r="C335" s="1" t="n">
        <v>46040</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63152-2025</t>
        </is>
      </c>
      <c r="B336" s="1" t="n">
        <v>46010</v>
      </c>
      <c r="C336" s="1" t="n">
        <v>46040</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15434-2024</t>
        </is>
      </c>
      <c r="B337" s="1" t="n">
        <v>45401.38836805556</v>
      </c>
      <c r="C337" s="1" t="n">
        <v>46040</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46040</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62674-2025</t>
        </is>
      </c>
      <c r="B339" s="1" t="n">
        <v>46008</v>
      </c>
      <c r="C339" s="1" t="n">
        <v>46040</v>
      </c>
      <c r="D339" t="inlineStr">
        <is>
          <t>GOTLANDS LÄN</t>
        </is>
      </c>
      <c r="E339" t="inlineStr">
        <is>
          <t>GOTLAND</t>
        </is>
      </c>
      <c r="G339" t="n">
        <v>5</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46040</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1898-2026</t>
        </is>
      </c>
      <c r="B341" s="1" t="n">
        <v>46035.52024305556</v>
      </c>
      <c r="C341" s="1" t="n">
        <v>46040</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62751-2025</t>
        </is>
      </c>
      <c r="B342" s="1" t="n">
        <v>46008</v>
      </c>
      <c r="C342" s="1" t="n">
        <v>46040</v>
      </c>
      <c r="D342" t="inlineStr">
        <is>
          <t>GOTLANDS LÄN</t>
        </is>
      </c>
      <c r="E342" t="inlineStr">
        <is>
          <t>GOTLAND</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46040</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54073-2022</t>
        </is>
      </c>
      <c r="B344" s="1" t="n">
        <v>44881.50380787037</v>
      </c>
      <c r="C344" s="1" t="n">
        <v>46040</v>
      </c>
      <c r="D344" t="inlineStr">
        <is>
          <t>GOTLANDS LÄN</t>
        </is>
      </c>
      <c r="E344" t="inlineStr">
        <is>
          <t>GOTLAND</t>
        </is>
      </c>
      <c r="G344" t="n">
        <v>3.8</v>
      </c>
      <c r="H344" t="n">
        <v>0</v>
      </c>
      <c r="I344" t="n">
        <v>0</v>
      </c>
      <c r="J344" t="n">
        <v>0</v>
      </c>
      <c r="K344" t="n">
        <v>0</v>
      </c>
      <c r="L344" t="n">
        <v>0</v>
      </c>
      <c r="M344" t="n">
        <v>0</v>
      </c>
      <c r="N344" t="n">
        <v>0</v>
      </c>
      <c r="O344" t="n">
        <v>0</v>
      </c>
      <c r="P344" t="n">
        <v>0</v>
      </c>
      <c r="Q344" t="n">
        <v>0</v>
      </c>
      <c r="R344" s="2" t="inlineStr"/>
    </row>
    <row r="345" ht="15" customHeight="1">
      <c r="A345" t="inlineStr">
        <is>
          <t>A 16361-2024</t>
        </is>
      </c>
      <c r="B345" s="1" t="n">
        <v>45407</v>
      </c>
      <c r="C345" s="1" t="n">
        <v>46040</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46040</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41038-2023</t>
        </is>
      </c>
      <c r="B347" s="1" t="n">
        <v>45173.60959490741</v>
      </c>
      <c r="C347" s="1" t="n">
        <v>46040</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60384-2025</t>
        </is>
      </c>
      <c r="B348" s="1" t="n">
        <v>45995</v>
      </c>
      <c r="C348" s="1" t="n">
        <v>46040</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63000-2025</t>
        </is>
      </c>
      <c r="B349" s="1" t="n">
        <v>46009</v>
      </c>
      <c r="C349" s="1" t="n">
        <v>46040</v>
      </c>
      <c r="D349" t="inlineStr">
        <is>
          <t>GOTLANDS LÄN</t>
        </is>
      </c>
      <c r="E349" t="inlineStr">
        <is>
          <t>GOTLAND</t>
        </is>
      </c>
      <c r="F349" t="inlineStr">
        <is>
          <t>Övriga Aktiebolag</t>
        </is>
      </c>
      <c r="G349" t="n">
        <v>1.7</v>
      </c>
      <c r="H349" t="n">
        <v>0</v>
      </c>
      <c r="I349" t="n">
        <v>0</v>
      </c>
      <c r="J349" t="n">
        <v>0</v>
      </c>
      <c r="K349" t="n">
        <v>0</v>
      </c>
      <c r="L349" t="n">
        <v>0</v>
      </c>
      <c r="M349" t="n">
        <v>0</v>
      </c>
      <c r="N349" t="n">
        <v>0</v>
      </c>
      <c r="O349" t="n">
        <v>0</v>
      </c>
      <c r="P349" t="n">
        <v>0</v>
      </c>
      <c r="Q349" t="n">
        <v>0</v>
      </c>
      <c r="R349" s="2" t="inlineStr"/>
    </row>
    <row r="350" ht="15" customHeight="1">
      <c r="A350" t="inlineStr">
        <is>
          <t>A 26391-2025</t>
        </is>
      </c>
      <c r="B350" s="1" t="n">
        <v>45806</v>
      </c>
      <c r="C350" s="1" t="n">
        <v>46040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17682-2024</t>
        </is>
      </c>
      <c r="B351" s="1" t="n">
        <v>45418.42966435185</v>
      </c>
      <c r="C351" s="1" t="n">
        <v>46040</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46040</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14427-2024</t>
        </is>
      </c>
      <c r="B353" s="1" t="n">
        <v>45394</v>
      </c>
      <c r="C353" s="1" t="n">
        <v>46040</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46040</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31802-2024</t>
        </is>
      </c>
      <c r="B355" s="1" t="n">
        <v>45509</v>
      </c>
      <c r="C355" s="1" t="n">
        <v>46040</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8036-2022</t>
        </is>
      </c>
      <c r="B356" s="1" t="n">
        <v>44609.44362268518</v>
      </c>
      <c r="C356" s="1" t="n">
        <v>46040</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46040</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46040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46949-2024</t>
        </is>
      </c>
      <c r="B359" s="1" t="n">
        <v>45585</v>
      </c>
      <c r="C359" s="1" t="n">
        <v>46040</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46040</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46040</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27593-2023</t>
        </is>
      </c>
      <c r="B362" s="1" t="n">
        <v>45097</v>
      </c>
      <c r="C362" s="1" t="n">
        <v>46040</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46040</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46040</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11634-2024</t>
        </is>
      </c>
      <c r="B365" s="1" t="n">
        <v>45373</v>
      </c>
      <c r="C365" s="1" t="n">
        <v>46040</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1351-2025</t>
        </is>
      </c>
      <c r="B366" s="1" t="n">
        <v>45667.62246527777</v>
      </c>
      <c r="C366" s="1" t="n">
        <v>46040</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39496-2022</t>
        </is>
      </c>
      <c r="B367" s="1" t="n">
        <v>44818</v>
      </c>
      <c r="C367" s="1" t="n">
        <v>46040</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49724-2025</t>
        </is>
      </c>
      <c r="B368" s="1" t="n">
        <v>45939.83730324074</v>
      </c>
      <c r="C368" s="1" t="n">
        <v>46040</v>
      </c>
      <c r="D368" t="inlineStr">
        <is>
          <t>GOTLANDS LÄN</t>
        </is>
      </c>
      <c r="E368" t="inlineStr">
        <is>
          <t>GOTLAND</t>
        </is>
      </c>
      <c r="F368" t="inlineStr">
        <is>
          <t>Kyrkan</t>
        </is>
      </c>
      <c r="G368" t="n">
        <v>3.1</v>
      </c>
      <c r="H368" t="n">
        <v>0</v>
      </c>
      <c r="I368" t="n">
        <v>0</v>
      </c>
      <c r="J368" t="n">
        <v>0</v>
      </c>
      <c r="K368" t="n">
        <v>0</v>
      </c>
      <c r="L368" t="n">
        <v>0</v>
      </c>
      <c r="M368" t="n">
        <v>0</v>
      </c>
      <c r="N368" t="n">
        <v>0</v>
      </c>
      <c r="O368" t="n">
        <v>0</v>
      </c>
      <c r="P368" t="n">
        <v>0</v>
      </c>
      <c r="Q368" t="n">
        <v>0</v>
      </c>
      <c r="R368" s="2" t="inlineStr"/>
    </row>
    <row r="369" ht="15" customHeight="1">
      <c r="A369" t="inlineStr">
        <is>
          <t>A 49730-2025</t>
        </is>
      </c>
      <c r="B369" s="1" t="n">
        <v>45939.87613425926</v>
      </c>
      <c r="C369" s="1" t="n">
        <v>46040</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49874-2024</t>
        </is>
      </c>
      <c r="B370" s="1" t="n">
        <v>45597.49274305555</v>
      </c>
      <c r="C370" s="1" t="n">
        <v>46040</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46040</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46040</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42201-2023</t>
        </is>
      </c>
      <c r="B373" s="1" t="n">
        <v>45179</v>
      </c>
      <c r="C373" s="1" t="n">
        <v>46040</v>
      </c>
      <c r="D373" t="inlineStr">
        <is>
          <t>GOTLANDS LÄN</t>
        </is>
      </c>
      <c r="E373" t="inlineStr">
        <is>
          <t>GOTLAND</t>
        </is>
      </c>
      <c r="G373" t="n">
        <v>11.9</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46040</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45197.49290509259</v>
      </c>
      <c r="C375" s="1" t="n">
        <v>46040</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9875-2025</t>
        </is>
      </c>
      <c r="B376" s="1" t="n">
        <v>45716</v>
      </c>
      <c r="C376" s="1" t="n">
        <v>46040</v>
      </c>
      <c r="D376" t="inlineStr">
        <is>
          <t>GOTLANDS LÄN</t>
        </is>
      </c>
      <c r="E376" t="inlineStr">
        <is>
          <t>GOTLAND</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46040</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46040</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46040</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8045-2022</t>
        </is>
      </c>
      <c r="B380" s="1" t="n">
        <v>44609</v>
      </c>
      <c r="C380" s="1" t="n">
        <v>46040</v>
      </c>
      <c r="D380" t="inlineStr">
        <is>
          <t>GOTLANDS LÄN</t>
        </is>
      </c>
      <c r="E380" t="inlineStr">
        <is>
          <t>GOTLAND</t>
        </is>
      </c>
      <c r="G380" t="n">
        <v>7</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46040</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22897-2023</t>
        </is>
      </c>
      <c r="B382" s="1" t="n">
        <v>45072.55239583334</v>
      </c>
      <c r="C382" s="1" t="n">
        <v>46040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61897-2024</t>
        </is>
      </c>
      <c r="B383" s="1" t="n">
        <v>45652.75685185185</v>
      </c>
      <c r="C383" s="1" t="n">
        <v>46040</v>
      </c>
      <c r="D383" t="inlineStr">
        <is>
          <t>GOTLANDS LÄN</t>
        </is>
      </c>
      <c r="E383" t="inlineStr">
        <is>
          <t>GOTLAND</t>
        </is>
      </c>
      <c r="G383" t="n">
        <v>6.4</v>
      </c>
      <c r="H383" t="n">
        <v>0</v>
      </c>
      <c r="I383" t="n">
        <v>0</v>
      </c>
      <c r="J383" t="n">
        <v>0</v>
      </c>
      <c r="K383" t="n">
        <v>0</v>
      </c>
      <c r="L383" t="n">
        <v>0</v>
      </c>
      <c r="M383" t="n">
        <v>0</v>
      </c>
      <c r="N383" t="n">
        <v>0</v>
      </c>
      <c r="O383" t="n">
        <v>0</v>
      </c>
      <c r="P383" t="n">
        <v>0</v>
      </c>
      <c r="Q383" t="n">
        <v>0</v>
      </c>
      <c r="R383" s="2" t="inlineStr"/>
    </row>
    <row r="384" ht="15" customHeight="1">
      <c r="A384" t="inlineStr">
        <is>
          <t>A 49962-2023</t>
        </is>
      </c>
      <c r="B384" s="1" t="n">
        <v>45215.38775462963</v>
      </c>
      <c r="C384" s="1" t="n">
        <v>46040</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46040</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46040</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46040</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40294-2022</t>
        </is>
      </c>
      <c r="B388" s="1" t="n">
        <v>44821</v>
      </c>
      <c r="C388" s="1" t="n">
        <v>46040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12032-2025</t>
        </is>
      </c>
      <c r="B389" s="1" t="n">
        <v>45728.64472222222</v>
      </c>
      <c r="C389" s="1" t="n">
        <v>46040</v>
      </c>
      <c r="D389" t="inlineStr">
        <is>
          <t>GOTLANDS LÄN</t>
        </is>
      </c>
      <c r="E389" t="inlineStr">
        <is>
          <t>GOTLAND</t>
        </is>
      </c>
      <c r="G389" t="n">
        <v>1.4</v>
      </c>
      <c r="H389" t="n">
        <v>0</v>
      </c>
      <c r="I389" t="n">
        <v>0</v>
      </c>
      <c r="J389" t="n">
        <v>0</v>
      </c>
      <c r="K389" t="n">
        <v>0</v>
      </c>
      <c r="L389" t="n">
        <v>0</v>
      </c>
      <c r="M389" t="n">
        <v>0</v>
      </c>
      <c r="N389" t="n">
        <v>0</v>
      </c>
      <c r="O389" t="n">
        <v>0</v>
      </c>
      <c r="P389" t="n">
        <v>0</v>
      </c>
      <c r="Q389" t="n">
        <v>0</v>
      </c>
      <c r="R389" s="2" t="inlineStr"/>
    </row>
    <row r="390" ht="15" customHeight="1">
      <c r="A390" t="inlineStr">
        <is>
          <t>A 38787-2023</t>
        </is>
      </c>
      <c r="B390" s="1" t="n">
        <v>45163</v>
      </c>
      <c r="C390" s="1" t="n">
        <v>46040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46040</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43231-2023</t>
        </is>
      </c>
      <c r="B392" s="1" t="n">
        <v>45183.47025462963</v>
      </c>
      <c r="C392" s="1" t="n">
        <v>46040</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46040</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3935-2025</t>
        </is>
      </c>
      <c r="B394" s="1" t="n">
        <v>45684.46070601852</v>
      </c>
      <c r="C394" s="1" t="n">
        <v>46040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30365-2024</t>
        </is>
      </c>
      <c r="B395" s="1" t="n">
        <v>45491.3716087963</v>
      </c>
      <c r="C395" s="1" t="n">
        <v>46040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46040</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1681-2023</t>
        </is>
      </c>
      <c r="B397" s="1" t="n">
        <v>44938.39715277778</v>
      </c>
      <c r="C397" s="1" t="n">
        <v>46040</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20225-2025</t>
        </is>
      </c>
      <c r="B398" s="1" t="n">
        <v>45772.65802083333</v>
      </c>
      <c r="C398" s="1" t="n">
        <v>46040</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883-2025</t>
        </is>
      </c>
      <c r="B399" s="1" t="n">
        <v>45665</v>
      </c>
      <c r="C399" s="1" t="n">
        <v>46040</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6099-2024</t>
        </is>
      </c>
      <c r="B400" s="1" t="n">
        <v>45337</v>
      </c>
      <c r="C400" s="1" t="n">
        <v>46040</v>
      </c>
      <c r="D400" t="inlineStr">
        <is>
          <t>GOTLANDS LÄN</t>
        </is>
      </c>
      <c r="E400" t="inlineStr">
        <is>
          <t>GOTLAND</t>
        </is>
      </c>
      <c r="G400" t="n">
        <v>12.6</v>
      </c>
      <c r="H400" t="n">
        <v>0</v>
      </c>
      <c r="I400" t="n">
        <v>0</v>
      </c>
      <c r="J400" t="n">
        <v>0</v>
      </c>
      <c r="K400" t="n">
        <v>0</v>
      </c>
      <c r="L400" t="n">
        <v>0</v>
      </c>
      <c r="M400" t="n">
        <v>0</v>
      </c>
      <c r="N400" t="n">
        <v>0</v>
      </c>
      <c r="O400" t="n">
        <v>0</v>
      </c>
      <c r="P400" t="n">
        <v>0</v>
      </c>
      <c r="Q400" t="n">
        <v>0</v>
      </c>
      <c r="R400" s="2" t="inlineStr"/>
    </row>
    <row r="401" ht="15" customHeight="1">
      <c r="A401" t="inlineStr">
        <is>
          <t>A 1273-2023</t>
        </is>
      </c>
      <c r="B401" s="1" t="n">
        <v>44936</v>
      </c>
      <c r="C401" s="1" t="n">
        <v>46040</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1066-2024</t>
        </is>
      </c>
      <c r="B402" s="1" t="n">
        <v>45302.285</v>
      </c>
      <c r="C402" s="1" t="n">
        <v>46040</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17144-2025</t>
        </is>
      </c>
      <c r="B403" s="1" t="n">
        <v>45755.9499537037</v>
      </c>
      <c r="C403" s="1" t="n">
        <v>46040</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58780-2024</t>
        </is>
      </c>
      <c r="B404" s="1" t="n">
        <v>45635.84113425926</v>
      </c>
      <c r="C404" s="1" t="n">
        <v>46040</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46040</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46040</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53587-2025</t>
        </is>
      </c>
      <c r="B407" s="1" t="n">
        <v>45960.43681712963</v>
      </c>
      <c r="C407" s="1" t="n">
        <v>46040</v>
      </c>
      <c r="D407" t="inlineStr">
        <is>
          <t>GOTLANDS LÄN</t>
        </is>
      </c>
      <c r="E407" t="inlineStr">
        <is>
          <t>GOTLAND</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45692-2023</t>
        </is>
      </c>
      <c r="B408" s="1" t="n">
        <v>45195</v>
      </c>
      <c r="C408" s="1" t="n">
        <v>46040</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33876-2024</t>
        </is>
      </c>
      <c r="B409" s="1" t="n">
        <v>45521.87988425926</v>
      </c>
      <c r="C409" s="1" t="n">
        <v>46040</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62066-2025</t>
        </is>
      </c>
      <c r="B410" s="1" t="n">
        <v>46006.34738425926</v>
      </c>
      <c r="C410" s="1" t="n">
        <v>46040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46040</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53561-2025</t>
        </is>
      </c>
      <c r="B412" s="1" t="n">
        <v>45960.4059375</v>
      </c>
      <c r="C412" s="1" t="n">
        <v>46040</v>
      </c>
      <c r="D412" t="inlineStr">
        <is>
          <t>GOTLANDS LÄN</t>
        </is>
      </c>
      <c r="E412" t="inlineStr">
        <is>
          <t>GOTLAND</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46040</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46040</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61100-2022</t>
        </is>
      </c>
      <c r="B415" s="1" t="n">
        <v>44915</v>
      </c>
      <c r="C415" s="1" t="n">
        <v>46040</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46040</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581-2023</t>
        </is>
      </c>
      <c r="B417" s="1" t="n">
        <v>44930</v>
      </c>
      <c r="C417" s="1" t="n">
        <v>46040</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61386-2023</t>
        </is>
      </c>
      <c r="B418" s="1" t="n">
        <v>45264</v>
      </c>
      <c r="C418" s="1" t="n">
        <v>46040</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46040</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873-2024</t>
        </is>
      </c>
      <c r="B420" s="1" t="n">
        <v>45301</v>
      </c>
      <c r="C420" s="1" t="n">
        <v>46040</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49411-2023</t>
        </is>
      </c>
      <c r="B421" s="1" t="n">
        <v>45205</v>
      </c>
      <c r="C421" s="1" t="n">
        <v>46040</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22275-2023</t>
        </is>
      </c>
      <c r="B422" s="1" t="n">
        <v>45070.39875</v>
      </c>
      <c r="C422" s="1" t="n">
        <v>46040</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12322-2025</t>
        </is>
      </c>
      <c r="B423" s="1" t="n">
        <v>45730</v>
      </c>
      <c r="C423" s="1" t="n">
        <v>46040</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46040</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14797-2024</t>
        </is>
      </c>
      <c r="B425" s="1" t="n">
        <v>45397.87030092593</v>
      </c>
      <c r="C425" s="1" t="n">
        <v>46040</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999-2024</t>
        </is>
      </c>
      <c r="B426" s="1" t="n">
        <v>45301</v>
      </c>
      <c r="C426" s="1" t="n">
        <v>46040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61596-2023</t>
        </is>
      </c>
      <c r="B427" s="1" t="n">
        <v>45265</v>
      </c>
      <c r="C427" s="1" t="n">
        <v>46040</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46040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14638-2025</t>
        </is>
      </c>
      <c r="B429" s="1" t="n">
        <v>45742</v>
      </c>
      <c r="C429" s="1" t="n">
        <v>46040</v>
      </c>
      <c r="D429" t="inlineStr">
        <is>
          <t>GOTLANDS LÄN</t>
        </is>
      </c>
      <c r="E429" t="inlineStr">
        <is>
          <t>GOTLAND</t>
        </is>
      </c>
      <c r="G429" t="n">
        <v>13.4</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46040</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44496.64855324074</v>
      </c>
      <c r="C431" s="1" t="n">
        <v>46040</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46040</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21792-2024</t>
        </is>
      </c>
      <c r="B433" s="1" t="n">
        <v>45442.64326388889</v>
      </c>
      <c r="C433" s="1" t="n">
        <v>46040</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22287-2022</t>
        </is>
      </c>
      <c r="B434" s="1" t="n">
        <v>44712</v>
      </c>
      <c r="C434" s="1" t="n">
        <v>46040</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61080-2025</t>
        </is>
      </c>
      <c r="B435" s="1" t="n">
        <v>46000</v>
      </c>
      <c r="C435" s="1" t="n">
        <v>46040</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54074-2022</t>
        </is>
      </c>
      <c r="B436" s="1" t="n">
        <v>44881</v>
      </c>
      <c r="C436" s="1" t="n">
        <v>46040</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65249-2023</t>
        </is>
      </c>
      <c r="B437" s="1" t="n">
        <v>45290</v>
      </c>
      <c r="C437" s="1" t="n">
        <v>46040</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17688-2024</t>
        </is>
      </c>
      <c r="B438" s="1" t="n">
        <v>45418.43575231481</v>
      </c>
      <c r="C438" s="1" t="n">
        <v>46040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7837-2024</t>
        </is>
      </c>
      <c r="B439" s="1" t="n">
        <v>45349.83787037037</v>
      </c>
      <c r="C439" s="1" t="n">
        <v>46040</v>
      </c>
      <c r="D439" t="inlineStr">
        <is>
          <t>GOTLANDS LÄN</t>
        </is>
      </c>
      <c r="E439" t="inlineStr">
        <is>
          <t>GOTLAND</t>
        </is>
      </c>
      <c r="G439" t="n">
        <v>5</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46040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13910-2025</t>
        </is>
      </c>
      <c r="B441" s="1" t="n">
        <v>45737</v>
      </c>
      <c r="C441" s="1" t="n">
        <v>46040</v>
      </c>
      <c r="D441" t="inlineStr">
        <is>
          <t>GOTLANDS LÄN</t>
        </is>
      </c>
      <c r="E441" t="inlineStr">
        <is>
          <t>GOTLAND</t>
        </is>
      </c>
      <c r="F441" t="inlineStr">
        <is>
          <t>Kommuner</t>
        </is>
      </c>
      <c r="G441" t="n">
        <v>3.2</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46040</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44682.82622685185</v>
      </c>
      <c r="C443" s="1" t="n">
        <v>46040</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59986-2022</t>
        </is>
      </c>
      <c r="B444" s="1" t="n">
        <v>44909</v>
      </c>
      <c r="C444" s="1" t="n">
        <v>46040</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14536-2021</t>
        </is>
      </c>
      <c r="B445" s="1" t="n">
        <v>44279.66168981481</v>
      </c>
      <c r="C445" s="1" t="n">
        <v>46040</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35512-2023</t>
        </is>
      </c>
      <c r="B446" s="1" t="n">
        <v>45147.25623842593</v>
      </c>
      <c r="C446" s="1" t="n">
        <v>46040</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5905-2024</t>
        </is>
      </c>
      <c r="B447" s="1" t="n">
        <v>45335.88993055555</v>
      </c>
      <c r="C447" s="1" t="n">
        <v>46040</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1291-2023</t>
        </is>
      </c>
      <c r="B448" s="1" t="n">
        <v>44936.47561342592</v>
      </c>
      <c r="C448" s="1" t="n">
        <v>46040</v>
      </c>
      <c r="D448" t="inlineStr">
        <is>
          <t>GOTLANDS LÄN</t>
        </is>
      </c>
      <c r="E448" t="inlineStr">
        <is>
          <t>GOTLAND</t>
        </is>
      </c>
      <c r="G448" t="n">
        <v>7.4</v>
      </c>
      <c r="H448" t="n">
        <v>0</v>
      </c>
      <c r="I448" t="n">
        <v>0</v>
      </c>
      <c r="J448" t="n">
        <v>0</v>
      </c>
      <c r="K448" t="n">
        <v>0</v>
      </c>
      <c r="L448" t="n">
        <v>0</v>
      </c>
      <c r="M448" t="n">
        <v>0</v>
      </c>
      <c r="N448" t="n">
        <v>0</v>
      </c>
      <c r="O448" t="n">
        <v>0</v>
      </c>
      <c r="P448" t="n">
        <v>0</v>
      </c>
      <c r="Q448" t="n">
        <v>0</v>
      </c>
      <c r="R448" s="2" t="inlineStr"/>
    </row>
    <row r="449" ht="15" customHeight="1">
      <c r="A449" t="inlineStr">
        <is>
          <t>A 11874-2024</t>
        </is>
      </c>
      <c r="B449" s="1" t="n">
        <v>45376.46956018519</v>
      </c>
      <c r="C449" s="1" t="n">
        <v>46040</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42041-2024</t>
        </is>
      </c>
      <c r="B450" s="1" t="n">
        <v>45561</v>
      </c>
      <c r="C450" s="1" t="n">
        <v>46040</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57652-2023</t>
        </is>
      </c>
      <c r="B451" s="1" t="n">
        <v>45246</v>
      </c>
      <c r="C451" s="1" t="n">
        <v>46040</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61694-2023</t>
        </is>
      </c>
      <c r="B452" s="1" t="n">
        <v>45264</v>
      </c>
      <c r="C452" s="1" t="n">
        <v>46040</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49315-2024</t>
        </is>
      </c>
      <c r="B453" s="1" t="n">
        <v>45595</v>
      </c>
      <c r="C453" s="1" t="n">
        <v>46040</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45106-2024</t>
        </is>
      </c>
      <c r="B454" s="1" t="n">
        <v>45575</v>
      </c>
      <c r="C454" s="1" t="n">
        <v>46040</v>
      </c>
      <c r="D454" t="inlineStr">
        <is>
          <t>GOTLANDS LÄN</t>
        </is>
      </c>
      <c r="E454" t="inlineStr">
        <is>
          <t>GOTLAND</t>
        </is>
      </c>
      <c r="G454" t="n">
        <v>10</v>
      </c>
      <c r="H454" t="n">
        <v>0</v>
      </c>
      <c r="I454" t="n">
        <v>0</v>
      </c>
      <c r="J454" t="n">
        <v>0</v>
      </c>
      <c r="K454" t="n">
        <v>0</v>
      </c>
      <c r="L454" t="n">
        <v>0</v>
      </c>
      <c r="M454" t="n">
        <v>0</v>
      </c>
      <c r="N454" t="n">
        <v>0</v>
      </c>
      <c r="O454" t="n">
        <v>0</v>
      </c>
      <c r="P454" t="n">
        <v>0</v>
      </c>
      <c r="Q454" t="n">
        <v>0</v>
      </c>
      <c r="R454" s="2" t="inlineStr"/>
    </row>
    <row r="455" ht="15" customHeight="1">
      <c r="A455" t="inlineStr">
        <is>
          <t>A 45112-2024</t>
        </is>
      </c>
      <c r="B455" s="1" t="n">
        <v>45575</v>
      </c>
      <c r="C455" s="1" t="n">
        <v>46040</v>
      </c>
      <c r="D455" t="inlineStr">
        <is>
          <t>GOTLANDS LÄN</t>
        </is>
      </c>
      <c r="E455" t="inlineStr">
        <is>
          <t>GOTLAND</t>
        </is>
      </c>
      <c r="G455" t="n">
        <v>5.1</v>
      </c>
      <c r="H455" t="n">
        <v>0</v>
      </c>
      <c r="I455" t="n">
        <v>0</v>
      </c>
      <c r="J455" t="n">
        <v>0</v>
      </c>
      <c r="K455" t="n">
        <v>0</v>
      </c>
      <c r="L455" t="n">
        <v>0</v>
      </c>
      <c r="M455" t="n">
        <v>0</v>
      </c>
      <c r="N455" t="n">
        <v>0</v>
      </c>
      <c r="O455" t="n">
        <v>0</v>
      </c>
      <c r="P455" t="n">
        <v>0</v>
      </c>
      <c r="Q455" t="n">
        <v>0</v>
      </c>
      <c r="R455" s="2" t="inlineStr"/>
    </row>
    <row r="456" ht="15" customHeight="1">
      <c r="A456" t="inlineStr">
        <is>
          <t>A 2676-2023</t>
        </is>
      </c>
      <c r="B456" s="1" t="n">
        <v>44944</v>
      </c>
      <c r="C456" s="1" t="n">
        <v>46040</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64555-2023</t>
        </is>
      </c>
      <c r="B457" s="1" t="n">
        <v>45281</v>
      </c>
      <c r="C457" s="1" t="n">
        <v>46040</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64831-2023</t>
        </is>
      </c>
      <c r="B458" s="1" t="n">
        <v>45282.44924768519</v>
      </c>
      <c r="C458" s="1" t="n">
        <v>46040</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14804-2021</t>
        </is>
      </c>
      <c r="B459" s="1" t="n">
        <v>44280</v>
      </c>
      <c r="C459" s="1" t="n">
        <v>46040</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46040</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3150-2025</t>
        </is>
      </c>
      <c r="B461" s="1" t="n">
        <v>45679.28974537037</v>
      </c>
      <c r="C461" s="1" t="n">
        <v>46040</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46040</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46040</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46040</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46040</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46040</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46040</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48734-2022</t>
        </is>
      </c>
      <c r="B468" s="1" t="n">
        <v>44855</v>
      </c>
      <c r="C468" s="1" t="n">
        <v>46040</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14141-2024</t>
        </is>
      </c>
      <c r="B469" s="1" t="n">
        <v>45392.85193287037</v>
      </c>
      <c r="C469" s="1" t="n">
        <v>46040</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46040</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44955.5502662037</v>
      </c>
      <c r="C471" s="1" t="n">
        <v>46040</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44955.73359953704</v>
      </c>
      <c r="C472" s="1" t="n">
        <v>46040</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46040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45607.64833333333</v>
      </c>
      <c r="C474" s="1" t="n">
        <v>46040</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46040</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46040</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46040</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26810-2021</t>
        </is>
      </c>
      <c r="B478" s="1" t="n">
        <v>44349.55087962963</v>
      </c>
      <c r="C478" s="1" t="n">
        <v>46040</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30815-2023</t>
        </is>
      </c>
      <c r="B479" s="1" t="n">
        <v>45112</v>
      </c>
      <c r="C479" s="1" t="n">
        <v>46040</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5923-2023</t>
        </is>
      </c>
      <c r="B480" s="1" t="n">
        <v>44963.69503472222</v>
      </c>
      <c r="C480" s="1" t="n">
        <v>46040</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33853-2024</t>
        </is>
      </c>
      <c r="B481" s="1" t="n">
        <v>45520.64298611111</v>
      </c>
      <c r="C481" s="1" t="n">
        <v>46040</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46040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46040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7034-2023</t>
        </is>
      </c>
      <c r="B484" s="1" t="n">
        <v>44968.32108796296</v>
      </c>
      <c r="C484" s="1" t="n">
        <v>46040</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7042-2023</t>
        </is>
      </c>
      <c r="B485" s="1" t="n">
        <v>44968</v>
      </c>
      <c r="C485" s="1" t="n">
        <v>46040</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23516-2023</t>
        </is>
      </c>
      <c r="B486" s="1" t="n">
        <v>45076.93391203704</v>
      </c>
      <c r="C486" s="1" t="n">
        <v>46040</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64660-2023</t>
        </is>
      </c>
      <c r="B487" s="1" t="n">
        <v>45281.60122685185</v>
      </c>
      <c r="C487" s="1" t="n">
        <v>46040</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10655-2023</t>
        </is>
      </c>
      <c r="B488" s="1" t="n">
        <v>44988.49543981482</v>
      </c>
      <c r="C488" s="1" t="n">
        <v>46040</v>
      </c>
      <c r="D488" t="inlineStr">
        <is>
          <t>GOTLANDS LÄN</t>
        </is>
      </c>
      <c r="E488" t="inlineStr">
        <is>
          <t>GOTLAND</t>
        </is>
      </c>
      <c r="F488" t="inlineStr">
        <is>
          <t>Kyrkan</t>
        </is>
      </c>
      <c r="G488" t="n">
        <v>2</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46040</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2719-2023</t>
        </is>
      </c>
      <c r="B490" s="1" t="n">
        <v>44944.55361111111</v>
      </c>
      <c r="C490" s="1" t="n">
        <v>46040</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46040</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42007-2023</t>
        </is>
      </c>
      <c r="B492" s="1" t="n">
        <v>45177</v>
      </c>
      <c r="C492" s="1" t="n">
        <v>46040</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46040</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63229-2021</t>
        </is>
      </c>
      <c r="B494" s="1" t="n">
        <v>44508.34518518519</v>
      </c>
      <c r="C494" s="1" t="n">
        <v>46040</v>
      </c>
      <c r="D494" t="inlineStr">
        <is>
          <t>GOTLANDS LÄN</t>
        </is>
      </c>
      <c r="E494" t="inlineStr">
        <is>
          <t>GOTLAND</t>
        </is>
      </c>
      <c r="F494" t="inlineStr">
        <is>
          <t>Kyrkan</t>
        </is>
      </c>
      <c r="G494" t="n">
        <v>3.8</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46040</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46040</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27596-2023</t>
        </is>
      </c>
      <c r="B497" s="1" t="n">
        <v>45097</v>
      </c>
      <c r="C497" s="1" t="n">
        <v>46040</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24825-2024</t>
        </is>
      </c>
      <c r="B498" s="1" t="n">
        <v>45461</v>
      </c>
      <c r="C498" s="1" t="n">
        <v>46040</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6696-2023</t>
        </is>
      </c>
      <c r="B499" s="1" t="n">
        <v>44966.66425925926</v>
      </c>
      <c r="C499" s="1" t="n">
        <v>46040</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46040</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456-2023</t>
        </is>
      </c>
      <c r="B501" s="1" t="n">
        <v>44929.87122685185</v>
      </c>
      <c r="C501" s="1" t="n">
        <v>46040</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46040</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4421-2024</t>
        </is>
      </c>
      <c r="B503" s="1" t="n">
        <v>45327.45173611111</v>
      </c>
      <c r="C503" s="1" t="n">
        <v>46040</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1734-2025</t>
        </is>
      </c>
      <c r="B504" s="1" t="n">
        <v>45671.3840625</v>
      </c>
      <c r="C504" s="1" t="n">
        <v>46040</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46040</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46040</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20993-2023</t>
        </is>
      </c>
      <c r="B507" s="1" t="n">
        <v>45056</v>
      </c>
      <c r="C507" s="1" t="n">
        <v>46040</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46040</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46040</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12596-2023</t>
        </is>
      </c>
      <c r="B510" s="1" t="n">
        <v>45000.43310185185</v>
      </c>
      <c r="C510" s="1" t="n">
        <v>46040</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43229-2023</t>
        </is>
      </c>
      <c r="B511" s="1" t="n">
        <v>45183.46704861111</v>
      </c>
      <c r="C511" s="1" t="n">
        <v>46040</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1175-2025</t>
        </is>
      </c>
      <c r="B512" s="1" t="n">
        <v>45667.34449074074</v>
      </c>
      <c r="C512" s="1" t="n">
        <v>46040</v>
      </c>
      <c r="D512" t="inlineStr">
        <is>
          <t>GOTLANDS LÄN</t>
        </is>
      </c>
      <c r="E512" t="inlineStr">
        <is>
          <t>GOTLAND</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2125-2025</t>
        </is>
      </c>
      <c r="B513" s="1" t="n">
        <v>45672.64940972222</v>
      </c>
      <c r="C513" s="1" t="n">
        <v>46040</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46040</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46040</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12155-2023</t>
        </is>
      </c>
      <c r="B516" s="1" t="n">
        <v>44998.49106481481</v>
      </c>
      <c r="C516" s="1" t="n">
        <v>46040</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457-2023</t>
        </is>
      </c>
      <c r="B517" s="1" t="n">
        <v>44929.87238425926</v>
      </c>
      <c r="C517" s="1" t="n">
        <v>46040</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44929.87423611111</v>
      </c>
      <c r="C518" s="1" t="n">
        <v>46040</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23978-2023</t>
        </is>
      </c>
      <c r="B519" s="1" t="n">
        <v>45078</v>
      </c>
      <c r="C519" s="1" t="n">
        <v>46040</v>
      </c>
      <c r="D519" t="inlineStr">
        <is>
          <t>GOTLANDS LÄN</t>
        </is>
      </c>
      <c r="E519" t="inlineStr">
        <is>
          <t>GOTLAND</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38234-2023</t>
        </is>
      </c>
      <c r="B520" s="1" t="n">
        <v>45161.56663194444</v>
      </c>
      <c r="C520" s="1" t="n">
        <v>46040</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34407-2023</t>
        </is>
      </c>
      <c r="B521" s="1" t="n">
        <v>45132</v>
      </c>
      <c r="C521" s="1" t="n">
        <v>46040</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11013-2024</t>
        </is>
      </c>
      <c r="B522" s="1" t="n">
        <v>45370</v>
      </c>
      <c r="C522" s="1" t="n">
        <v>46040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27694-2024</t>
        </is>
      </c>
      <c r="B523" s="1" t="n">
        <v>45475</v>
      </c>
      <c r="C523" s="1" t="n">
        <v>46040</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50744-2024</t>
        </is>
      </c>
      <c r="B524" s="1" t="n">
        <v>45602.4187037037</v>
      </c>
      <c r="C524" s="1" t="n">
        <v>46040</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15083-2025</t>
        </is>
      </c>
      <c r="B525" s="1" t="n">
        <v>45743</v>
      </c>
      <c r="C525" s="1" t="n">
        <v>46040</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13037-2025</t>
        </is>
      </c>
      <c r="B526" s="1" t="n">
        <v>45734</v>
      </c>
      <c r="C526" s="1" t="n">
        <v>46040</v>
      </c>
      <c r="D526" t="inlineStr">
        <is>
          <t>GOTLANDS LÄN</t>
        </is>
      </c>
      <c r="E526" t="inlineStr">
        <is>
          <t>GOTLAND</t>
        </is>
      </c>
      <c r="G526" t="n">
        <v>9.5</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46040</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46040</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44228-2022</t>
        </is>
      </c>
      <c r="B529" s="1" t="n">
        <v>44839.51599537037</v>
      </c>
      <c r="C529" s="1" t="n">
        <v>46040</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58132-2023</t>
        </is>
      </c>
      <c r="B530" s="1" t="n">
        <v>45250</v>
      </c>
      <c r="C530" s="1" t="n">
        <v>46040</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46040</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49884-2023</t>
        </is>
      </c>
      <c r="B532" s="1" t="n">
        <v>45213</v>
      </c>
      <c r="C532" s="1" t="n">
        <v>46040</v>
      </c>
      <c r="D532" t="inlineStr">
        <is>
          <t>GOTLANDS LÄN</t>
        </is>
      </c>
      <c r="E532" t="inlineStr">
        <is>
          <t>GOTLAND</t>
        </is>
      </c>
      <c r="G532" t="n">
        <v>8.9</v>
      </c>
      <c r="H532" t="n">
        <v>0</v>
      </c>
      <c r="I532" t="n">
        <v>0</v>
      </c>
      <c r="J532" t="n">
        <v>0</v>
      </c>
      <c r="K532" t="n">
        <v>0</v>
      </c>
      <c r="L532" t="n">
        <v>0</v>
      </c>
      <c r="M532" t="n">
        <v>0</v>
      </c>
      <c r="N532" t="n">
        <v>0</v>
      </c>
      <c r="O532" t="n">
        <v>0</v>
      </c>
      <c r="P532" t="n">
        <v>0</v>
      </c>
      <c r="Q532" t="n">
        <v>0</v>
      </c>
      <c r="R532" s="2" t="inlineStr"/>
    </row>
    <row r="533" ht="15" customHeight="1">
      <c r="A533" t="inlineStr">
        <is>
          <t>A 31264-2021</t>
        </is>
      </c>
      <c r="B533" s="1" t="n">
        <v>44368</v>
      </c>
      <c r="C533" s="1" t="n">
        <v>46040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46040</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43901-2023</t>
        </is>
      </c>
      <c r="B535" s="1" t="n">
        <v>45187</v>
      </c>
      <c r="C535" s="1" t="n">
        <v>46040</v>
      </c>
      <c r="D535" t="inlineStr">
        <is>
          <t>GOTLANDS LÄN</t>
        </is>
      </c>
      <c r="E535" t="inlineStr">
        <is>
          <t>GOTLAND</t>
        </is>
      </c>
      <c r="G535" t="n">
        <v>5.4</v>
      </c>
      <c r="H535" t="n">
        <v>0</v>
      </c>
      <c r="I535" t="n">
        <v>0</v>
      </c>
      <c r="J535" t="n">
        <v>0</v>
      </c>
      <c r="K535" t="n">
        <v>0</v>
      </c>
      <c r="L535" t="n">
        <v>0</v>
      </c>
      <c r="M535" t="n">
        <v>0</v>
      </c>
      <c r="N535" t="n">
        <v>0</v>
      </c>
      <c r="O535" t="n">
        <v>0</v>
      </c>
      <c r="P535" t="n">
        <v>0</v>
      </c>
      <c r="Q535" t="n">
        <v>0</v>
      </c>
      <c r="R535" s="2" t="inlineStr"/>
    </row>
    <row r="536" ht="15" customHeight="1">
      <c r="A536" t="inlineStr">
        <is>
          <t>A 10746-2025</t>
        </is>
      </c>
      <c r="B536" s="1" t="n">
        <v>45722.42766203704</v>
      </c>
      <c r="C536" s="1" t="n">
        <v>46040</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16501-2023</t>
        </is>
      </c>
      <c r="B537" s="1" t="n">
        <v>45029</v>
      </c>
      <c r="C537" s="1" t="n">
        <v>46040</v>
      </c>
      <c r="D537" t="inlineStr">
        <is>
          <t>GOTLANDS LÄN</t>
        </is>
      </c>
      <c r="E537" t="inlineStr">
        <is>
          <t>GOTLAND</t>
        </is>
      </c>
      <c r="G537" t="n">
        <v>3.1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46040</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46040</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46040</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46040</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43200-2023</t>
        </is>
      </c>
      <c r="B542" s="1" t="n">
        <v>45183</v>
      </c>
      <c r="C542" s="1" t="n">
        <v>46040</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43223-2023</t>
        </is>
      </c>
      <c r="B543" s="1" t="n">
        <v>45183.45642361111</v>
      </c>
      <c r="C543" s="1" t="n">
        <v>46040</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12327-2025</t>
        </is>
      </c>
      <c r="B544" s="1" t="n">
        <v>45730</v>
      </c>
      <c r="C544" s="1" t="n">
        <v>46040</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61962-2024</t>
        </is>
      </c>
      <c r="B545" s="1" t="n">
        <v>45653.54340277778</v>
      </c>
      <c r="C545" s="1" t="n">
        <v>46040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3431-2025</t>
        </is>
      </c>
      <c r="B546" s="1" t="n">
        <v>45680.42935185185</v>
      </c>
      <c r="C546" s="1" t="n">
        <v>46040</v>
      </c>
      <c r="D546" t="inlineStr">
        <is>
          <t>GOTLANDS LÄN</t>
        </is>
      </c>
      <c r="E546" t="inlineStr">
        <is>
          <t>GOTLAND</t>
        </is>
      </c>
      <c r="G546" t="n">
        <v>4.8</v>
      </c>
      <c r="H546" t="n">
        <v>0</v>
      </c>
      <c r="I546" t="n">
        <v>0</v>
      </c>
      <c r="J546" t="n">
        <v>0</v>
      </c>
      <c r="K546" t="n">
        <v>0</v>
      </c>
      <c r="L546" t="n">
        <v>0</v>
      </c>
      <c r="M546" t="n">
        <v>0</v>
      </c>
      <c r="N546" t="n">
        <v>0</v>
      </c>
      <c r="O546" t="n">
        <v>0</v>
      </c>
      <c r="P546" t="n">
        <v>0</v>
      </c>
      <c r="Q546" t="n">
        <v>0</v>
      </c>
      <c r="R546" s="2" t="inlineStr"/>
    </row>
    <row r="547" ht="15" customHeight="1">
      <c r="A547" t="inlineStr">
        <is>
          <t>A 10492-2023</t>
        </is>
      </c>
      <c r="B547" s="1" t="n">
        <v>44987</v>
      </c>
      <c r="C547" s="1" t="n">
        <v>46040</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46040</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46040</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1364-2025</t>
        </is>
      </c>
      <c r="B550" s="1" t="n">
        <v>45667.63929398148</v>
      </c>
      <c r="C550" s="1" t="n">
        <v>46040</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15042-2025</t>
        </is>
      </c>
      <c r="B551" s="1" t="n">
        <v>45743</v>
      </c>
      <c r="C551" s="1" t="n">
        <v>46040</v>
      </c>
      <c r="D551" t="inlineStr">
        <is>
          <t>GOTLANDS LÄN</t>
        </is>
      </c>
      <c r="E551" t="inlineStr">
        <is>
          <t>GOTLAND</t>
        </is>
      </c>
      <c r="G551" t="n">
        <v>8.5</v>
      </c>
      <c r="H551" t="n">
        <v>0</v>
      </c>
      <c r="I551" t="n">
        <v>0</v>
      </c>
      <c r="J551" t="n">
        <v>0</v>
      </c>
      <c r="K551" t="n">
        <v>0</v>
      </c>
      <c r="L551" t="n">
        <v>0</v>
      </c>
      <c r="M551" t="n">
        <v>0</v>
      </c>
      <c r="N551" t="n">
        <v>0</v>
      </c>
      <c r="O551" t="n">
        <v>0</v>
      </c>
      <c r="P551" t="n">
        <v>0</v>
      </c>
      <c r="Q551" t="n">
        <v>0</v>
      </c>
      <c r="R551" s="2" t="inlineStr"/>
    </row>
    <row r="552" ht="15" customHeight="1">
      <c r="A552" t="inlineStr">
        <is>
          <t>A 5909-2025</t>
        </is>
      </c>
      <c r="B552" s="1" t="n">
        <v>45695.40634259259</v>
      </c>
      <c r="C552" s="1" t="n">
        <v>46040</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10653-2023</t>
        </is>
      </c>
      <c r="B553" s="1" t="n">
        <v>44988.48859953704</v>
      </c>
      <c r="C553" s="1" t="n">
        <v>46040</v>
      </c>
      <c r="D553" t="inlineStr">
        <is>
          <t>GOTLANDS LÄN</t>
        </is>
      </c>
      <c r="E553" t="inlineStr">
        <is>
          <t>GOTLAND</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2180-2025</t>
        </is>
      </c>
      <c r="B554" s="1" t="n">
        <v>45673</v>
      </c>
      <c r="C554" s="1" t="n">
        <v>46040</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15436-2025</t>
        </is>
      </c>
      <c r="B555" s="1" t="n">
        <v>45747.47462962963</v>
      </c>
      <c r="C555" s="1" t="n">
        <v>46040</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4990-2025</t>
        </is>
      </c>
      <c r="B556" s="1" t="n">
        <v>45691</v>
      </c>
      <c r="C556" s="1" t="n">
        <v>46040</v>
      </c>
      <c r="D556" t="inlineStr">
        <is>
          <t>GOTLANDS LÄN</t>
        </is>
      </c>
      <c r="E556" t="inlineStr">
        <is>
          <t>GOTLAND</t>
        </is>
      </c>
      <c r="G556" t="n">
        <v>7.7</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46040</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46040</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56115-2023</t>
        </is>
      </c>
      <c r="B559" s="1" t="n">
        <v>45236</v>
      </c>
      <c r="C559" s="1" t="n">
        <v>46040</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43081-2022</t>
        </is>
      </c>
      <c r="B560" s="1" t="n">
        <v>44833</v>
      </c>
      <c r="C560" s="1" t="n">
        <v>46040</v>
      </c>
      <c r="D560" t="inlineStr">
        <is>
          <t>GOTLANDS LÄN</t>
        </is>
      </c>
      <c r="E560" t="inlineStr">
        <is>
          <t>GOTLAND</t>
        </is>
      </c>
      <c r="G560" t="n">
        <v>6.8</v>
      </c>
      <c r="H560" t="n">
        <v>0</v>
      </c>
      <c r="I560" t="n">
        <v>0</v>
      </c>
      <c r="J560" t="n">
        <v>0</v>
      </c>
      <c r="K560" t="n">
        <v>0</v>
      </c>
      <c r="L560" t="n">
        <v>0</v>
      </c>
      <c r="M560" t="n">
        <v>0</v>
      </c>
      <c r="N560" t="n">
        <v>0</v>
      </c>
      <c r="O560" t="n">
        <v>0</v>
      </c>
      <c r="P560" t="n">
        <v>0</v>
      </c>
      <c r="Q560" t="n">
        <v>0</v>
      </c>
      <c r="R560" s="2" t="inlineStr"/>
    </row>
    <row r="561" ht="15" customHeight="1">
      <c r="A561" t="inlineStr">
        <is>
          <t>A 32958-2021</t>
        </is>
      </c>
      <c r="B561" s="1" t="n">
        <v>44376</v>
      </c>
      <c r="C561" s="1" t="n">
        <v>46040</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46040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46040</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2774-2024</t>
        </is>
      </c>
      <c r="B564" s="1" t="n">
        <v>45314.62375</v>
      </c>
      <c r="C564" s="1" t="n">
        <v>46040</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49693-2023</t>
        </is>
      </c>
      <c r="B565" s="1" t="n">
        <v>45212.38138888889</v>
      </c>
      <c r="C565" s="1" t="n">
        <v>46040</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49697-2023</t>
        </is>
      </c>
      <c r="B566" s="1" t="n">
        <v>45212.38909722222</v>
      </c>
      <c r="C566" s="1" t="n">
        <v>46040</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60709-2023</t>
        </is>
      </c>
      <c r="B567" s="1" t="n">
        <v>45260</v>
      </c>
      <c r="C567" s="1" t="n">
        <v>46040</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46040</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39764-2022</t>
        </is>
      </c>
      <c r="B569" s="1" t="n">
        <v>44819</v>
      </c>
      <c r="C569" s="1" t="n">
        <v>46040</v>
      </c>
      <c r="D569" t="inlineStr">
        <is>
          <t>GOTLANDS LÄN</t>
        </is>
      </c>
      <c r="E569" t="inlineStr">
        <is>
          <t>GOTLAND</t>
        </is>
      </c>
      <c r="F569" t="inlineStr">
        <is>
          <t>Kyrkan</t>
        </is>
      </c>
      <c r="G569" t="n">
        <v>3.7</v>
      </c>
      <c r="H569" t="n">
        <v>0</v>
      </c>
      <c r="I569" t="n">
        <v>0</v>
      </c>
      <c r="J569" t="n">
        <v>0</v>
      </c>
      <c r="K569" t="n">
        <v>0</v>
      </c>
      <c r="L569" t="n">
        <v>0</v>
      </c>
      <c r="M569" t="n">
        <v>0</v>
      </c>
      <c r="N569" t="n">
        <v>0</v>
      </c>
      <c r="O569" t="n">
        <v>0</v>
      </c>
      <c r="P569" t="n">
        <v>0</v>
      </c>
      <c r="Q569" t="n">
        <v>0</v>
      </c>
      <c r="R569" s="2" t="inlineStr"/>
    </row>
    <row r="570" ht="15" customHeight="1">
      <c r="A570" t="inlineStr">
        <is>
          <t>A 58211-2024</t>
        </is>
      </c>
      <c r="B570" s="1" t="n">
        <v>45632.49292824074</v>
      </c>
      <c r="C570" s="1" t="n">
        <v>46040</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46040</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46040</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46040</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59469-2024</t>
        </is>
      </c>
      <c r="B574" s="1" t="n">
        <v>45638</v>
      </c>
      <c r="C574" s="1" t="n">
        <v>46040</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7858-2025</t>
        </is>
      </c>
      <c r="B575" s="1" t="n">
        <v>45706.68633101852</v>
      </c>
      <c r="C575" s="1" t="n">
        <v>46040</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53935-2024</t>
        </is>
      </c>
      <c r="B576" s="1" t="n">
        <v>45615</v>
      </c>
      <c r="C576" s="1" t="n">
        <v>46040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18223-2025</t>
        </is>
      </c>
      <c r="B577" s="1" t="n">
        <v>45761</v>
      </c>
      <c r="C577" s="1" t="n">
        <v>46040</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4420-2025</t>
        </is>
      </c>
      <c r="B578" s="1" t="n">
        <v>45686.47157407407</v>
      </c>
      <c r="C578" s="1" t="n">
        <v>46040</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5891-2025</t>
        </is>
      </c>
      <c r="B579" s="1" t="n">
        <v>45695.38327546296</v>
      </c>
      <c r="C579" s="1" t="n">
        <v>46040</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7835-2024</t>
        </is>
      </c>
      <c r="B580" s="1" t="n">
        <v>45349.83138888889</v>
      </c>
      <c r="C580" s="1" t="n">
        <v>46040</v>
      </c>
      <c r="D580" t="inlineStr">
        <is>
          <t>GOTLANDS LÄN</t>
        </is>
      </c>
      <c r="E580" t="inlineStr">
        <is>
          <t>GOTLAND</t>
        </is>
      </c>
      <c r="G580" t="n">
        <v>3.8</v>
      </c>
      <c r="H580" t="n">
        <v>0</v>
      </c>
      <c r="I580" t="n">
        <v>0</v>
      </c>
      <c r="J580" t="n">
        <v>0</v>
      </c>
      <c r="K580" t="n">
        <v>0</v>
      </c>
      <c r="L580" t="n">
        <v>0</v>
      </c>
      <c r="M580" t="n">
        <v>0</v>
      </c>
      <c r="N580" t="n">
        <v>0</v>
      </c>
      <c r="O580" t="n">
        <v>0</v>
      </c>
      <c r="P580" t="n">
        <v>0</v>
      </c>
      <c r="Q580" t="n">
        <v>0</v>
      </c>
      <c r="R580" s="2" t="inlineStr"/>
    </row>
    <row r="581" ht="15" customHeight="1">
      <c r="A581" t="inlineStr">
        <is>
          <t>A 20794-2025</t>
        </is>
      </c>
      <c r="B581" s="1" t="n">
        <v>45776</v>
      </c>
      <c r="C581" s="1" t="n">
        <v>46040</v>
      </c>
      <c r="D581" t="inlineStr">
        <is>
          <t>GOTLANDS LÄN</t>
        </is>
      </c>
      <c r="E581" t="inlineStr">
        <is>
          <t>GOTLAND</t>
        </is>
      </c>
      <c r="G581" t="n">
        <v>6</v>
      </c>
      <c r="H581" t="n">
        <v>0</v>
      </c>
      <c r="I581" t="n">
        <v>0</v>
      </c>
      <c r="J581" t="n">
        <v>0</v>
      </c>
      <c r="K581" t="n">
        <v>0</v>
      </c>
      <c r="L581" t="n">
        <v>0</v>
      </c>
      <c r="M581" t="n">
        <v>0</v>
      </c>
      <c r="N581" t="n">
        <v>0</v>
      </c>
      <c r="O581" t="n">
        <v>0</v>
      </c>
      <c r="P581" t="n">
        <v>0</v>
      </c>
      <c r="Q581" t="n">
        <v>0</v>
      </c>
      <c r="R581" s="2" t="inlineStr"/>
    </row>
    <row r="582" ht="15" customHeight="1">
      <c r="A582" t="inlineStr">
        <is>
          <t>A 20805-2025</t>
        </is>
      </c>
      <c r="B582" s="1" t="n">
        <v>45776</v>
      </c>
      <c r="C582" s="1" t="n">
        <v>46040</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21389-2025</t>
        </is>
      </c>
      <c r="B583" s="1" t="n">
        <v>45782</v>
      </c>
      <c r="C583" s="1" t="n">
        <v>46040</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21651-2025</t>
        </is>
      </c>
      <c r="B584" s="1" t="n">
        <v>45783</v>
      </c>
      <c r="C584" s="1" t="n">
        <v>46040</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57356-2023</t>
        </is>
      </c>
      <c r="B585" s="1" t="n">
        <v>45240</v>
      </c>
      <c r="C585" s="1" t="n">
        <v>46040</v>
      </c>
      <c r="D585" t="inlineStr">
        <is>
          <t>GOTLANDS LÄN</t>
        </is>
      </c>
      <c r="E585" t="inlineStr">
        <is>
          <t>GOTLAND</t>
        </is>
      </c>
      <c r="G585" t="n">
        <v>6.4</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46040</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28506-2023</t>
        </is>
      </c>
      <c r="B587" s="1" t="n">
        <v>45103</v>
      </c>
      <c r="C587" s="1" t="n">
        <v>46040</v>
      </c>
      <c r="D587" t="inlineStr">
        <is>
          <t>GOTLANDS LÄN</t>
        </is>
      </c>
      <c r="E587" t="inlineStr">
        <is>
          <t>GOTLAND</t>
        </is>
      </c>
      <c r="G587" t="n">
        <v>3.2</v>
      </c>
      <c r="H587" t="n">
        <v>0</v>
      </c>
      <c r="I587" t="n">
        <v>0</v>
      </c>
      <c r="J587" t="n">
        <v>0</v>
      </c>
      <c r="K587" t="n">
        <v>0</v>
      </c>
      <c r="L587" t="n">
        <v>0</v>
      </c>
      <c r="M587" t="n">
        <v>0</v>
      </c>
      <c r="N587" t="n">
        <v>0</v>
      </c>
      <c r="O587" t="n">
        <v>0</v>
      </c>
      <c r="P587" t="n">
        <v>0</v>
      </c>
      <c r="Q587" t="n">
        <v>0</v>
      </c>
      <c r="R587" s="2" t="inlineStr"/>
    </row>
    <row r="588" ht="15" customHeight="1">
      <c r="A588" t="inlineStr">
        <is>
          <t>A 21420-2024</t>
        </is>
      </c>
      <c r="B588" s="1" t="n">
        <v>45441.38293981482</v>
      </c>
      <c r="C588" s="1" t="n">
        <v>46040</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23188-2025</t>
        </is>
      </c>
      <c r="B589" s="1" t="n">
        <v>45791</v>
      </c>
      <c r="C589" s="1" t="n">
        <v>46040</v>
      </c>
      <c r="D589" t="inlineStr">
        <is>
          <t>GOTLANDS LÄN</t>
        </is>
      </c>
      <c r="E589" t="inlineStr">
        <is>
          <t>GOTLAND</t>
        </is>
      </c>
      <c r="G589" t="n">
        <v>6.2</v>
      </c>
      <c r="H589" t="n">
        <v>0</v>
      </c>
      <c r="I589" t="n">
        <v>0</v>
      </c>
      <c r="J589" t="n">
        <v>0</v>
      </c>
      <c r="K589" t="n">
        <v>0</v>
      </c>
      <c r="L589" t="n">
        <v>0</v>
      </c>
      <c r="M589" t="n">
        <v>0</v>
      </c>
      <c r="N589" t="n">
        <v>0</v>
      </c>
      <c r="O589" t="n">
        <v>0</v>
      </c>
      <c r="P589" t="n">
        <v>0</v>
      </c>
      <c r="Q589" t="n">
        <v>0</v>
      </c>
      <c r="R589" s="2" t="inlineStr"/>
    </row>
    <row r="590" ht="15" customHeight="1">
      <c r="A590" t="inlineStr">
        <is>
          <t>A 23473-2025</t>
        </is>
      </c>
      <c r="B590" s="1" t="n">
        <v>45792</v>
      </c>
      <c r="C590" s="1" t="n">
        <v>46040</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23856-2025</t>
        </is>
      </c>
      <c r="B591" s="1" t="n">
        <v>45793</v>
      </c>
      <c r="C591" s="1" t="n">
        <v>46040</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15073-2025</t>
        </is>
      </c>
      <c r="B592" s="1" t="n">
        <v>45743</v>
      </c>
      <c r="C592" s="1" t="n">
        <v>46040</v>
      </c>
      <c r="D592" t="inlineStr">
        <is>
          <t>GOTLANDS LÄN</t>
        </is>
      </c>
      <c r="E592" t="inlineStr">
        <is>
          <t>GOTLAND</t>
        </is>
      </c>
      <c r="G592" t="n">
        <v>12.1</v>
      </c>
      <c r="H592" t="n">
        <v>0</v>
      </c>
      <c r="I592" t="n">
        <v>0</v>
      </c>
      <c r="J592" t="n">
        <v>0</v>
      </c>
      <c r="K592" t="n">
        <v>0</v>
      </c>
      <c r="L592" t="n">
        <v>0</v>
      </c>
      <c r="M592" t="n">
        <v>0</v>
      </c>
      <c r="N592" t="n">
        <v>0</v>
      </c>
      <c r="O592" t="n">
        <v>0</v>
      </c>
      <c r="P592" t="n">
        <v>0</v>
      </c>
      <c r="Q592" t="n">
        <v>0</v>
      </c>
      <c r="R592" s="2" t="inlineStr"/>
    </row>
    <row r="593" ht="15" customHeight="1">
      <c r="A593" t="inlineStr">
        <is>
          <t>A 6749-2025</t>
        </is>
      </c>
      <c r="B593" s="1" t="n">
        <v>45700</v>
      </c>
      <c r="C593" s="1" t="n">
        <v>46040</v>
      </c>
      <c r="D593" t="inlineStr">
        <is>
          <t>GOTLANDS LÄN</t>
        </is>
      </c>
      <c r="E593" t="inlineStr">
        <is>
          <t>GOTLAND</t>
        </is>
      </c>
      <c r="G593" t="n">
        <v>4.5</v>
      </c>
      <c r="H593" t="n">
        <v>0</v>
      </c>
      <c r="I593" t="n">
        <v>0</v>
      </c>
      <c r="J593" t="n">
        <v>0</v>
      </c>
      <c r="K593" t="n">
        <v>0</v>
      </c>
      <c r="L593" t="n">
        <v>0</v>
      </c>
      <c r="M593" t="n">
        <v>0</v>
      </c>
      <c r="N593" t="n">
        <v>0</v>
      </c>
      <c r="O593" t="n">
        <v>0</v>
      </c>
      <c r="P593" t="n">
        <v>0</v>
      </c>
      <c r="Q593" t="n">
        <v>0</v>
      </c>
      <c r="R593" s="2" t="inlineStr"/>
    </row>
    <row r="594" ht="15" customHeight="1">
      <c r="A594" t="inlineStr">
        <is>
          <t>A 23698-2025</t>
        </is>
      </c>
      <c r="B594" s="1" t="n">
        <v>45793</v>
      </c>
      <c r="C594" s="1" t="n">
        <v>46040</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5462-2025</t>
        </is>
      </c>
      <c r="B595" s="1" t="n">
        <v>45693.29331018519</v>
      </c>
      <c r="C595" s="1" t="n">
        <v>46040</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25796-2025</t>
        </is>
      </c>
      <c r="B596" s="1" t="n">
        <v>45804.39543981481</v>
      </c>
      <c r="C596" s="1" t="n">
        <v>46040</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26457-2025</t>
        </is>
      </c>
      <c r="B597" s="1" t="n">
        <v>45807.42773148148</v>
      </c>
      <c r="C597" s="1" t="n">
        <v>46040</v>
      </c>
      <c r="D597" t="inlineStr">
        <is>
          <t>GOTLANDS LÄN</t>
        </is>
      </c>
      <c r="E597" t="inlineStr">
        <is>
          <t>GOTLAND</t>
        </is>
      </c>
      <c r="G597" t="n">
        <v>5.7</v>
      </c>
      <c r="H597" t="n">
        <v>0</v>
      </c>
      <c r="I597" t="n">
        <v>0</v>
      </c>
      <c r="J597" t="n">
        <v>0</v>
      </c>
      <c r="K597" t="n">
        <v>0</v>
      </c>
      <c r="L597" t="n">
        <v>0</v>
      </c>
      <c r="M597" t="n">
        <v>0</v>
      </c>
      <c r="N597" t="n">
        <v>0</v>
      </c>
      <c r="O597" t="n">
        <v>0</v>
      </c>
      <c r="P597" t="n">
        <v>0</v>
      </c>
      <c r="Q597" t="n">
        <v>0</v>
      </c>
      <c r="R597" s="2" t="inlineStr"/>
    </row>
    <row r="598" ht="15" customHeight="1">
      <c r="A598" t="inlineStr">
        <is>
          <t>A 26467-2025</t>
        </is>
      </c>
      <c r="B598" s="1" t="n">
        <v>45807.44640046296</v>
      </c>
      <c r="C598" s="1" t="n">
        <v>46040</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26465-2025</t>
        </is>
      </c>
      <c r="B599" s="1" t="n">
        <v>45807.44377314814</v>
      </c>
      <c r="C599" s="1" t="n">
        <v>46040</v>
      </c>
      <c r="D599" t="inlineStr">
        <is>
          <t>GOTLANDS LÄN</t>
        </is>
      </c>
      <c r="E599" t="inlineStr">
        <is>
          <t>GOTLAND</t>
        </is>
      </c>
      <c r="G599" t="n">
        <v>4.5</v>
      </c>
      <c r="H599" t="n">
        <v>0</v>
      </c>
      <c r="I599" t="n">
        <v>0</v>
      </c>
      <c r="J599" t="n">
        <v>0</v>
      </c>
      <c r="K599" t="n">
        <v>0</v>
      </c>
      <c r="L599" t="n">
        <v>0</v>
      </c>
      <c r="M599" t="n">
        <v>0</v>
      </c>
      <c r="N599" t="n">
        <v>0</v>
      </c>
      <c r="O599" t="n">
        <v>0</v>
      </c>
      <c r="P599" t="n">
        <v>0</v>
      </c>
      <c r="Q599" t="n">
        <v>0</v>
      </c>
      <c r="R599" s="2" t="inlineStr"/>
    </row>
    <row r="600" ht="15" customHeight="1">
      <c r="A600" t="inlineStr">
        <is>
          <t>A 26660-2025</t>
        </is>
      </c>
      <c r="B600" s="1" t="n">
        <v>45810.39737268518</v>
      </c>
      <c r="C600" s="1" t="n">
        <v>46040</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27371-2025</t>
        </is>
      </c>
      <c r="B601" s="1" t="n">
        <v>45812</v>
      </c>
      <c r="C601" s="1" t="n">
        <v>46040</v>
      </c>
      <c r="D601" t="inlineStr">
        <is>
          <t>GOTLANDS LÄN</t>
        </is>
      </c>
      <c r="E601" t="inlineStr">
        <is>
          <t>GOTLAND</t>
        </is>
      </c>
      <c r="G601" t="n">
        <v>8</v>
      </c>
      <c r="H601" t="n">
        <v>0</v>
      </c>
      <c r="I601" t="n">
        <v>0</v>
      </c>
      <c r="J601" t="n">
        <v>0</v>
      </c>
      <c r="K601" t="n">
        <v>0</v>
      </c>
      <c r="L601" t="n">
        <v>0</v>
      </c>
      <c r="M601" t="n">
        <v>0</v>
      </c>
      <c r="N601" t="n">
        <v>0</v>
      </c>
      <c r="O601" t="n">
        <v>0</v>
      </c>
      <c r="P601" t="n">
        <v>0</v>
      </c>
      <c r="Q601" t="n">
        <v>0</v>
      </c>
      <c r="R601" s="2" t="inlineStr"/>
    </row>
    <row r="602" ht="15" customHeight="1">
      <c r="A602" t="inlineStr">
        <is>
          <t>A 27355-2025</t>
        </is>
      </c>
      <c r="B602" s="1" t="n">
        <v>45812</v>
      </c>
      <c r="C602" s="1" t="n">
        <v>46040</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6739-2025</t>
        </is>
      </c>
      <c r="B603" s="1" t="n">
        <v>45700</v>
      </c>
      <c r="C603" s="1" t="n">
        <v>46040</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7850-2025</t>
        </is>
      </c>
      <c r="B604" s="1" t="n">
        <v>45706</v>
      </c>
      <c r="C604" s="1" t="n">
        <v>46040</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8444-2025</t>
        </is>
      </c>
      <c r="B605" s="1" t="n">
        <v>45709</v>
      </c>
      <c r="C605" s="1" t="n">
        <v>46040</v>
      </c>
      <c r="D605" t="inlineStr">
        <is>
          <t>GOTLANDS LÄN</t>
        </is>
      </c>
      <c r="E605" t="inlineStr">
        <is>
          <t>GOTLAND</t>
        </is>
      </c>
      <c r="G605" t="n">
        <v>5.2</v>
      </c>
      <c r="H605" t="n">
        <v>0</v>
      </c>
      <c r="I605" t="n">
        <v>0</v>
      </c>
      <c r="J605" t="n">
        <v>0</v>
      </c>
      <c r="K605" t="n">
        <v>0</v>
      </c>
      <c r="L605" t="n">
        <v>0</v>
      </c>
      <c r="M605" t="n">
        <v>0</v>
      </c>
      <c r="N605" t="n">
        <v>0</v>
      </c>
      <c r="O605" t="n">
        <v>0</v>
      </c>
      <c r="P605" t="n">
        <v>0</v>
      </c>
      <c r="Q605" t="n">
        <v>0</v>
      </c>
      <c r="R605" s="2" t="inlineStr"/>
    </row>
    <row r="606" ht="15" customHeight="1">
      <c r="A606" t="inlineStr">
        <is>
          <t>A 19905-2025</t>
        </is>
      </c>
      <c r="B606" s="1" t="n">
        <v>45771</v>
      </c>
      <c r="C606" s="1" t="n">
        <v>46040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29196-2025</t>
        </is>
      </c>
      <c r="B607" s="1" t="n">
        <v>45822</v>
      </c>
      <c r="C607" s="1" t="n">
        <v>46040</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29207-2025</t>
        </is>
      </c>
      <c r="B608" s="1" t="n">
        <v>45823</v>
      </c>
      <c r="C608" s="1" t="n">
        <v>46040</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30061-2025</t>
        </is>
      </c>
      <c r="B609" s="1" t="n">
        <v>45826.61488425926</v>
      </c>
      <c r="C609" s="1" t="n">
        <v>46040</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58160-2024</t>
        </is>
      </c>
      <c r="B610" s="1" t="n">
        <v>45632.44927083333</v>
      </c>
      <c r="C610" s="1" t="n">
        <v>46040</v>
      </c>
      <c r="D610" t="inlineStr">
        <is>
          <t>GOTLANDS LÄN</t>
        </is>
      </c>
      <c r="E610" t="inlineStr">
        <is>
          <t>GOTLAND</t>
        </is>
      </c>
      <c r="G610" t="n">
        <v>5.6</v>
      </c>
      <c r="H610" t="n">
        <v>0</v>
      </c>
      <c r="I610" t="n">
        <v>0</v>
      </c>
      <c r="J610" t="n">
        <v>0</v>
      </c>
      <c r="K610" t="n">
        <v>0</v>
      </c>
      <c r="L610" t="n">
        <v>0</v>
      </c>
      <c r="M610" t="n">
        <v>0</v>
      </c>
      <c r="N610" t="n">
        <v>0</v>
      </c>
      <c r="O610" t="n">
        <v>0</v>
      </c>
      <c r="P610" t="n">
        <v>0</v>
      </c>
      <c r="Q610" t="n">
        <v>0</v>
      </c>
      <c r="R610" s="2" t="inlineStr"/>
    </row>
    <row r="611" ht="15" customHeight="1">
      <c r="A611" t="inlineStr">
        <is>
          <t>A 32379-2025</t>
        </is>
      </c>
      <c r="B611" s="1" t="n">
        <v>45837</v>
      </c>
      <c r="C611" s="1" t="n">
        <v>46040</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32467-2025</t>
        </is>
      </c>
      <c r="B612" s="1" t="n">
        <v>45838.42111111111</v>
      </c>
      <c r="C612" s="1" t="n">
        <v>46040</v>
      </c>
      <c r="D612" t="inlineStr">
        <is>
          <t>GOTLANDS LÄN</t>
        </is>
      </c>
      <c r="E612" t="inlineStr">
        <is>
          <t>GOTLAND</t>
        </is>
      </c>
      <c r="G612" t="n">
        <v>4.3</v>
      </c>
      <c r="H612" t="n">
        <v>0</v>
      </c>
      <c r="I612" t="n">
        <v>0</v>
      </c>
      <c r="J612" t="n">
        <v>0</v>
      </c>
      <c r="K612" t="n">
        <v>0</v>
      </c>
      <c r="L612" t="n">
        <v>0</v>
      </c>
      <c r="M612" t="n">
        <v>0</v>
      </c>
      <c r="N612" t="n">
        <v>0</v>
      </c>
      <c r="O612" t="n">
        <v>0</v>
      </c>
      <c r="P612" t="n">
        <v>0</v>
      </c>
      <c r="Q612" t="n">
        <v>0</v>
      </c>
      <c r="R612" s="2" t="inlineStr"/>
    </row>
    <row r="613" ht="15" customHeight="1">
      <c r="A613" t="inlineStr">
        <is>
          <t>A 16109-2025</t>
        </is>
      </c>
      <c r="B613" s="1" t="n">
        <v>45750</v>
      </c>
      <c r="C613" s="1" t="n">
        <v>46040</v>
      </c>
      <c r="D613" t="inlineStr">
        <is>
          <t>GOTLANDS LÄN</t>
        </is>
      </c>
      <c r="E613" t="inlineStr">
        <is>
          <t>GOTLAND</t>
        </is>
      </c>
      <c r="G613" t="n">
        <v>4.9</v>
      </c>
      <c r="H613" t="n">
        <v>0</v>
      </c>
      <c r="I613" t="n">
        <v>0</v>
      </c>
      <c r="J613" t="n">
        <v>0</v>
      </c>
      <c r="K613" t="n">
        <v>0</v>
      </c>
      <c r="L613" t="n">
        <v>0</v>
      </c>
      <c r="M613" t="n">
        <v>0</v>
      </c>
      <c r="N613" t="n">
        <v>0</v>
      </c>
      <c r="O613" t="n">
        <v>0</v>
      </c>
      <c r="P613" t="n">
        <v>0</v>
      </c>
      <c r="Q613" t="n">
        <v>0</v>
      </c>
      <c r="R613" s="2" t="inlineStr"/>
    </row>
    <row r="614" ht="15" customHeight="1">
      <c r="A614" t="inlineStr">
        <is>
          <t>A 33007-2025</t>
        </is>
      </c>
      <c r="B614" s="1" t="n">
        <v>45840</v>
      </c>
      <c r="C614" s="1" t="n">
        <v>46040</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15413-2025</t>
        </is>
      </c>
      <c r="B615" s="1" t="n">
        <v>45747.451875</v>
      </c>
      <c r="C615" s="1" t="n">
        <v>46040</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35123-2025</t>
        </is>
      </c>
      <c r="B616" s="1" t="n">
        <v>45852.614375</v>
      </c>
      <c r="C616" s="1" t="n">
        <v>46040</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35096-2025</t>
        </is>
      </c>
      <c r="B617" s="1" t="n">
        <v>45852.54356481481</v>
      </c>
      <c r="C617" s="1" t="n">
        <v>46040</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30104-2025</t>
        </is>
      </c>
      <c r="B618" s="1" t="n">
        <v>45826.68806712963</v>
      </c>
      <c r="C618" s="1" t="n">
        <v>46040</v>
      </c>
      <c r="D618" t="inlineStr">
        <is>
          <t>GOTLANDS LÄN</t>
        </is>
      </c>
      <c r="E618" t="inlineStr">
        <is>
          <t>GOTLAND</t>
        </is>
      </c>
      <c r="G618" t="n">
        <v>15.4</v>
      </c>
      <c r="H618" t="n">
        <v>0</v>
      </c>
      <c r="I618" t="n">
        <v>0</v>
      </c>
      <c r="J618" t="n">
        <v>0</v>
      </c>
      <c r="K618" t="n">
        <v>0</v>
      </c>
      <c r="L618" t="n">
        <v>0</v>
      </c>
      <c r="M618" t="n">
        <v>0</v>
      </c>
      <c r="N618" t="n">
        <v>0</v>
      </c>
      <c r="O618" t="n">
        <v>0</v>
      </c>
      <c r="P618" t="n">
        <v>0</v>
      </c>
      <c r="Q618" t="n">
        <v>0</v>
      </c>
      <c r="R618" s="2" t="inlineStr"/>
    </row>
    <row r="619" ht="15" customHeight="1">
      <c r="A619" t="inlineStr">
        <is>
          <t>A 35290-2025</t>
        </is>
      </c>
      <c r="B619" s="1" t="n">
        <v>45854.38502314815</v>
      </c>
      <c r="C619" s="1" t="n">
        <v>46040</v>
      </c>
      <c r="D619" t="inlineStr">
        <is>
          <t>GOTLANDS LÄN</t>
        </is>
      </c>
      <c r="E619" t="inlineStr">
        <is>
          <t>GOTLAND</t>
        </is>
      </c>
      <c r="G619" t="n">
        <v>5.4</v>
      </c>
      <c r="H619" t="n">
        <v>0</v>
      </c>
      <c r="I619" t="n">
        <v>0</v>
      </c>
      <c r="J619" t="n">
        <v>0</v>
      </c>
      <c r="K619" t="n">
        <v>0</v>
      </c>
      <c r="L619" t="n">
        <v>0</v>
      </c>
      <c r="M619" t="n">
        <v>0</v>
      </c>
      <c r="N619" t="n">
        <v>0</v>
      </c>
      <c r="O619" t="n">
        <v>0</v>
      </c>
      <c r="P619" t="n">
        <v>0</v>
      </c>
      <c r="Q619" t="n">
        <v>0</v>
      </c>
      <c r="R619" s="2" t="inlineStr"/>
    </row>
    <row r="620" ht="15" customHeight="1">
      <c r="A620" t="inlineStr">
        <is>
          <t>A 32669-2024</t>
        </is>
      </c>
      <c r="B620" s="1" t="n">
        <v>45514</v>
      </c>
      <c r="C620" s="1" t="n">
        <v>46040</v>
      </c>
      <c r="D620" t="inlineStr">
        <is>
          <t>GOTLANDS LÄN</t>
        </is>
      </c>
      <c r="E620" t="inlineStr">
        <is>
          <t>GOTLAND</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35537-2025</t>
        </is>
      </c>
      <c r="B621" s="1" t="n">
        <v>45856</v>
      </c>
      <c r="C621" s="1" t="n">
        <v>46040</v>
      </c>
      <c r="D621" t="inlineStr">
        <is>
          <t>GOTLANDS LÄN</t>
        </is>
      </c>
      <c r="E621" t="inlineStr">
        <is>
          <t>GOTLAND</t>
        </is>
      </c>
      <c r="G621" t="n">
        <v>16.8</v>
      </c>
      <c r="H621" t="n">
        <v>0</v>
      </c>
      <c r="I621" t="n">
        <v>0</v>
      </c>
      <c r="J621" t="n">
        <v>0</v>
      </c>
      <c r="K621" t="n">
        <v>0</v>
      </c>
      <c r="L621" t="n">
        <v>0</v>
      </c>
      <c r="M621" t="n">
        <v>0</v>
      </c>
      <c r="N621" t="n">
        <v>0</v>
      </c>
      <c r="O621" t="n">
        <v>0</v>
      </c>
      <c r="P621" t="n">
        <v>0</v>
      </c>
      <c r="Q621" t="n">
        <v>0</v>
      </c>
      <c r="R621" s="2" t="inlineStr"/>
    </row>
    <row r="622" ht="15" customHeight="1">
      <c r="A622" t="inlineStr">
        <is>
          <t>A 15216-2025</t>
        </is>
      </c>
      <c r="B622" s="1" t="n">
        <v>45744</v>
      </c>
      <c r="C622" s="1" t="n">
        <v>46040</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43790-2024</t>
        </is>
      </c>
      <c r="B623" s="1" t="n">
        <v>45571</v>
      </c>
      <c r="C623" s="1" t="n">
        <v>46040</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15001-2025</t>
        </is>
      </c>
      <c r="B624" s="1" t="n">
        <v>45743</v>
      </c>
      <c r="C624" s="1" t="n">
        <v>46040</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30488-2025</t>
        </is>
      </c>
      <c r="B625" s="1" t="n">
        <v>45830</v>
      </c>
      <c r="C625" s="1" t="n">
        <v>46040</v>
      </c>
      <c r="D625" t="inlineStr">
        <is>
          <t>GOTLANDS LÄN</t>
        </is>
      </c>
      <c r="E625" t="inlineStr">
        <is>
          <t>GOTLAND</t>
        </is>
      </c>
      <c r="F625" t="inlineStr">
        <is>
          <t>Kyrkan</t>
        </is>
      </c>
      <c r="G625" t="n">
        <v>3.9</v>
      </c>
      <c r="H625" t="n">
        <v>0</v>
      </c>
      <c r="I625" t="n">
        <v>0</v>
      </c>
      <c r="J625" t="n">
        <v>0</v>
      </c>
      <c r="K625" t="n">
        <v>0</v>
      </c>
      <c r="L625" t="n">
        <v>0</v>
      </c>
      <c r="M625" t="n">
        <v>0</v>
      </c>
      <c r="N625" t="n">
        <v>0</v>
      </c>
      <c r="O625" t="n">
        <v>0</v>
      </c>
      <c r="P625" t="n">
        <v>0</v>
      </c>
      <c r="Q625" t="n">
        <v>0</v>
      </c>
      <c r="R625" s="2" t="inlineStr"/>
    </row>
    <row r="626">
      <c r="A626" t="inlineStr">
        <is>
          <t>A 17847-2025</t>
        </is>
      </c>
      <c r="B626" s="1" t="n">
        <v>45758</v>
      </c>
      <c r="C626" s="1" t="n">
        <v>46040</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2026-01-18T10:58:46Z</dcterms:created>
  <dcterms:modified xmlns:dcterms="http://purl.org/dc/terms/" xmlns:xsi="http://www.w3.org/2001/XMLSchema-instance" xsi:type="dcterms:W3CDTF">2026-01-18T10:58:47Z</dcterms:modified>
</cp:coreProperties>
</file>