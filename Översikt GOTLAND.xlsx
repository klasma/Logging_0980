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46065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46065</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46065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46065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46065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46065</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46065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46065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46065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46065</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46065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46065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2804-2023</t>
        </is>
      </c>
      <c r="B35" s="1" t="n">
        <v>44944</v>
      </c>
      <c r="C35" s="1" t="n">
        <v>46065</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46065</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46065</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46065</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46065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46065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46065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46065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46065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46065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14354-2024</t>
        </is>
      </c>
      <c r="B50" s="1" t="n">
        <v>45393</v>
      </c>
      <c r="C50" s="1" t="n">
        <v>46065</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46065</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46065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46065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46065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46065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46065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46065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46065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21467-2024</t>
        </is>
      </c>
      <c r="B60" s="1" t="n">
        <v>45441</v>
      </c>
      <c r="C60" s="1" t="n">
        <v>46065</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46065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46065</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4984-2025</t>
        </is>
      </c>
      <c r="B63" s="1" t="n">
        <v>45691.29891203704</v>
      </c>
      <c r="C63" s="1" t="n">
        <v>46065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34142-2024</t>
        </is>
      </c>
      <c r="B64" s="1" t="n">
        <v>45524.36521990741</v>
      </c>
      <c r="C64" s="1" t="n">
        <v>46065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46065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46065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27168-2022</t>
        </is>
      </c>
      <c r="B67" s="1" t="n">
        <v>44741</v>
      </c>
      <c r="C67" s="1" t="n">
        <v>46065</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10419-2025</t>
        </is>
      </c>
      <c r="B68" s="1" t="n">
        <v>45720</v>
      </c>
      <c r="C68" s="1" t="n">
        <v>46065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46065</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46065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46065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7038-2023</t>
        </is>
      </c>
      <c r="B74" s="1" t="n">
        <v>44968</v>
      </c>
      <c r="C74" s="1" t="n">
        <v>46065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46065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46065</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46065</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57773-2025</t>
        </is>
      </c>
      <c r="B78" s="1" t="n">
        <v>45981.56349537037</v>
      </c>
      <c r="C78" s="1" t="n">
        <v>46065</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46065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46065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46065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46065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35293-2025</t>
        </is>
      </c>
      <c r="B83" s="1" t="n">
        <v>45854.39438657407</v>
      </c>
      <c r="C83" s="1" t="n">
        <v>46065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2213-2023</t>
        </is>
      </c>
      <c r="B84" s="1" t="n">
        <v>44942</v>
      </c>
      <c r="C84" s="1" t="n">
        <v>46065</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46065</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46065</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6839-2026</t>
        </is>
      </c>
      <c r="B87" s="1" t="n">
        <v>46057.41193287037</v>
      </c>
      <c r="C87" s="1" t="n">
        <v>46065</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52245-2025</t>
        </is>
      </c>
      <c r="B88" s="1" t="n">
        <v>45953.47115740741</v>
      </c>
      <c r="C88" s="1" t="n">
        <v>46065</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46065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46065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46065</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46065</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44933-2022</t>
        </is>
      </c>
      <c r="B93" s="1" t="n">
        <v>44841</v>
      </c>
      <c r="C93" s="1" t="n">
        <v>46065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46065</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20833-2024</t>
        </is>
      </c>
      <c r="B95" s="1" t="n">
        <v>45439</v>
      </c>
      <c r="C95" s="1" t="n">
        <v>46065</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5904-2024</t>
        </is>
      </c>
      <c r="B96" s="1" t="n">
        <v>45335</v>
      </c>
      <c r="C96" s="1" t="n">
        <v>46065</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46065</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46065</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186-2023</t>
        </is>
      </c>
      <c r="B99" s="1" t="n">
        <v>44928</v>
      </c>
      <c r="C99" s="1" t="n">
        <v>46065</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46065</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54523-2023</t>
        </is>
      </c>
      <c r="B101" s="1" t="n">
        <v>45233</v>
      </c>
      <c r="C101" s="1" t="n">
        <v>46065</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6836-2026</t>
        </is>
      </c>
      <c r="B102" s="1" t="n">
        <v>46057.40902777778</v>
      </c>
      <c r="C102" s="1" t="n">
        <v>46065</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52250-2025</t>
        </is>
      </c>
      <c r="B103" s="1" t="n">
        <v>45953.48998842593</v>
      </c>
      <c r="C103" s="1" t="n">
        <v>46065</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57463-2025</t>
        </is>
      </c>
      <c r="B104" s="1" t="n">
        <v>45980.54174768519</v>
      </c>
      <c r="C104" s="1" t="n">
        <v>46065</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57463-2025 artfynd.xlsx", "A 57463-2025")</f>
        <v/>
      </c>
      <c r="T104">
        <f>HYPERLINK("https://klasma.github.io/Logging_0980/kartor/A 57463-2025 karta.png", "A 57463-2025")</f>
        <v/>
      </c>
      <c r="V104">
        <f>HYPERLINK("https://klasma.github.io/Logging_0980/klagomål/A 57463-2025 FSC-klagomål.docx", "A 57463-2025")</f>
        <v/>
      </c>
      <c r="W104">
        <f>HYPERLINK("https://klasma.github.io/Logging_0980/klagomålsmail/A 57463-2025 FSC-klagomål mail.docx", "A 57463-2025")</f>
        <v/>
      </c>
      <c r="X104">
        <f>HYPERLINK("https://klasma.github.io/Logging_0980/tillsyn/A 57463-2025 tillsynsbegäran.docx", "A 57463-2025")</f>
        <v/>
      </c>
      <c r="Y104">
        <f>HYPERLINK("https://klasma.github.io/Logging_0980/tillsynsmail/A 57463-2025 tillsynsbegäran mail.docx", "A 57463-2025")</f>
        <v/>
      </c>
    </row>
    <row r="105" ht="15" customHeight="1">
      <c r="A105" t="inlineStr">
        <is>
          <t>A 44323-2021</t>
        </is>
      </c>
      <c r="B105" s="1" t="n">
        <v>44434</v>
      </c>
      <c r="C105" s="1" t="n">
        <v>46065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46065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12519-2021</t>
        </is>
      </c>
      <c r="B108" s="1" t="n">
        <v>44269</v>
      </c>
      <c r="C108" s="1" t="n">
        <v>46065</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48126-2022</t>
        </is>
      </c>
      <c r="B109" s="1" t="n">
        <v>44857</v>
      </c>
      <c r="C109" s="1" t="n">
        <v>46065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46065</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46065</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30490-2025</t>
        </is>
      </c>
      <c r="B112" s="1" t="n">
        <v>45830</v>
      </c>
      <c r="C112" s="1" t="n">
        <v>46065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13499-2022</t>
        </is>
      </c>
      <c r="B113" s="1" t="n">
        <v>44647.79203703703</v>
      </c>
      <c r="C113" s="1" t="n">
        <v>46065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20831-2024</t>
        </is>
      </c>
      <c r="B114" s="1" t="n">
        <v>45439</v>
      </c>
      <c r="C114" s="1" t="n">
        <v>46065</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43013-2022</t>
        </is>
      </c>
      <c r="B115" s="1" t="n">
        <v>44833</v>
      </c>
      <c r="C115" s="1" t="n">
        <v>46065</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46065</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12315-2024</t>
        </is>
      </c>
      <c r="B117" s="1" t="n">
        <v>45378.6434837963</v>
      </c>
      <c r="C117" s="1" t="n">
        <v>46065</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53552-2021</t>
        </is>
      </c>
      <c r="B118" s="1" t="n">
        <v>44468</v>
      </c>
      <c r="C118" s="1" t="n">
        <v>46065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73144-2021</t>
        </is>
      </c>
      <c r="B119" s="1" t="n">
        <v>44550</v>
      </c>
      <c r="C119" s="1" t="n">
        <v>46065</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55334-2024</t>
        </is>
      </c>
      <c r="B120" s="1" t="n">
        <v>45621</v>
      </c>
      <c r="C120" s="1" t="n">
        <v>46065</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46065</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46065</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46065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46065</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20838-2024</t>
        </is>
      </c>
      <c r="B130" s="1" t="n">
        <v>45439</v>
      </c>
      <c r="C130" s="1" t="n">
        <v>46065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46065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46065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46065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46065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46065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46065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46065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46065</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63162-2025</t>
        </is>
      </c>
      <c r="B139" s="1" t="n">
        <v>46010.37629629629</v>
      </c>
      <c r="C139" s="1" t="n">
        <v>46065</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62760-2025</t>
        </is>
      </c>
      <c r="B140" s="1" t="n">
        <v>46008</v>
      </c>
      <c r="C140" s="1" t="n">
        <v>46065</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46065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46065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447-2023</t>
        </is>
      </c>
      <c r="B143" s="1" t="n">
        <v>44929</v>
      </c>
      <c r="C143" s="1" t="n">
        <v>46065</v>
      </c>
      <c r="D143" t="inlineStr">
        <is>
          <t>GOTLANDS LÄN</t>
        </is>
      </c>
      <c r="E143" t="inlineStr">
        <is>
          <t>GOTLAND</t>
        </is>
      </c>
      <c r="G143" t="n">
        <v>5.1</v>
      </c>
      <c r="H143" t="n">
        <v>0</v>
      </c>
      <c r="I143" t="n">
        <v>0</v>
      </c>
      <c r="J143" t="n">
        <v>1</v>
      </c>
      <c r="K143" t="n">
        <v>0</v>
      </c>
      <c r="L143" t="n">
        <v>0</v>
      </c>
      <c r="M143" t="n">
        <v>0</v>
      </c>
      <c r="N143" t="n">
        <v>0</v>
      </c>
      <c r="O143" t="n">
        <v>1</v>
      </c>
      <c r="P143" t="n">
        <v>0</v>
      </c>
      <c r="Q143" t="n">
        <v>1</v>
      </c>
      <c r="R143" s="2" t="inlineStr">
        <is>
          <t>Äggspindling</t>
        </is>
      </c>
      <c r="S143">
        <f>HYPERLINK("https://klasma.github.io/Logging_0980/artfynd/A 447-2023 artfynd.xlsx", "A 447-2023")</f>
        <v/>
      </c>
      <c r="T143">
        <f>HYPERLINK("https://klasma.github.io/Logging_0980/kartor/A 447-2023 karta.png", "A 447-2023")</f>
        <v/>
      </c>
      <c r="V143">
        <f>HYPERLINK("https://klasma.github.io/Logging_0980/klagomål/A 447-2023 FSC-klagomål.docx", "A 447-2023")</f>
        <v/>
      </c>
      <c r="W143">
        <f>HYPERLINK("https://klasma.github.io/Logging_0980/klagomålsmail/A 447-2023 FSC-klagomål mail.docx", "A 447-2023")</f>
        <v/>
      </c>
      <c r="X143">
        <f>HYPERLINK("https://klasma.github.io/Logging_0980/tillsyn/A 447-2023 tillsynsbegäran.docx", "A 447-2023")</f>
        <v/>
      </c>
      <c r="Y143">
        <f>HYPERLINK("https://klasma.github.io/Logging_0980/tillsynsmail/A 447-2023 tillsynsbegäran mail.docx", "A 447-2023")</f>
        <v/>
      </c>
    </row>
    <row r="144" ht="15" customHeight="1">
      <c r="A144" t="inlineStr">
        <is>
          <t>A 10218-2025</t>
        </is>
      </c>
      <c r="B144" s="1" t="n">
        <v>45720</v>
      </c>
      <c r="C144" s="1" t="n">
        <v>46065</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947-2023</t>
        </is>
      </c>
      <c r="B145" s="1" t="n">
        <v>44934</v>
      </c>
      <c r="C145" s="1" t="n">
        <v>46065</v>
      </c>
      <c r="D145" t="inlineStr">
        <is>
          <t>GOTLANDS LÄN</t>
        </is>
      </c>
      <c r="E145" t="inlineStr">
        <is>
          <t>GOTLAND</t>
        </is>
      </c>
      <c r="G145" t="n">
        <v>0.7</v>
      </c>
      <c r="H145" t="n">
        <v>1</v>
      </c>
      <c r="I145" t="n">
        <v>0</v>
      </c>
      <c r="J145" t="n">
        <v>0</v>
      </c>
      <c r="K145" t="n">
        <v>1</v>
      </c>
      <c r="L145" t="n">
        <v>0</v>
      </c>
      <c r="M145" t="n">
        <v>0</v>
      </c>
      <c r="N145" t="n">
        <v>0</v>
      </c>
      <c r="O145" t="n">
        <v>1</v>
      </c>
      <c r="P145" t="n">
        <v>1</v>
      </c>
      <c r="Q145" t="n">
        <v>1</v>
      </c>
      <c r="R145" s="2" t="inlineStr">
        <is>
          <t>Garderönn</t>
        </is>
      </c>
      <c r="S145">
        <f>HYPERLINK("https://klasma.github.io/Logging_0980/artfynd/A 947-2023 artfynd.xlsx", "A 947-2023")</f>
        <v/>
      </c>
      <c r="T145">
        <f>HYPERLINK("https://klasma.github.io/Logging_0980/kartor/A 947-2023 karta.png", "A 947-2023")</f>
        <v/>
      </c>
      <c r="V145">
        <f>HYPERLINK("https://klasma.github.io/Logging_0980/klagomål/A 947-2023 FSC-klagomål.docx", "A 947-2023")</f>
        <v/>
      </c>
      <c r="W145">
        <f>HYPERLINK("https://klasma.github.io/Logging_0980/klagomålsmail/A 947-2023 FSC-klagomål mail.docx", "A 947-2023")</f>
        <v/>
      </c>
      <c r="X145">
        <f>HYPERLINK("https://klasma.github.io/Logging_0980/tillsyn/A 947-2023 tillsynsbegäran.docx", "A 947-2023")</f>
        <v/>
      </c>
      <c r="Y145">
        <f>HYPERLINK("https://klasma.github.io/Logging_0980/tillsynsmail/A 947-2023 tillsynsbegäran mail.docx", "A 947-2023")</f>
        <v/>
      </c>
    </row>
    <row r="146" ht="15" customHeight="1">
      <c r="A146" t="inlineStr">
        <is>
          <t>A 25977-2024</t>
        </is>
      </c>
      <c r="B146" s="1" t="n">
        <v>45467.69356481481</v>
      </c>
      <c r="C146" s="1" t="n">
        <v>46065</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12379-2024</t>
        </is>
      </c>
      <c r="B147" s="1" t="n">
        <v>45379.28155092592</v>
      </c>
      <c r="C147" s="1" t="n">
        <v>46065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49304-2024</t>
        </is>
      </c>
      <c r="B148" s="1" t="n">
        <v>45595.54996527778</v>
      </c>
      <c r="C148" s="1" t="n">
        <v>46065</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46065</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17723-2021</t>
        </is>
      </c>
      <c r="B150" s="1" t="n">
        <v>44300</v>
      </c>
      <c r="C150" s="1" t="n">
        <v>46065</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64700-2021</t>
        </is>
      </c>
      <c r="B151" s="1" t="n">
        <v>44511</v>
      </c>
      <c r="C151" s="1" t="n">
        <v>46065</v>
      </c>
      <c r="D151" t="inlineStr">
        <is>
          <t>GOTLANDS LÄN</t>
        </is>
      </c>
      <c r="E151" t="inlineStr">
        <is>
          <t>GOTLAND</t>
        </is>
      </c>
      <c r="F151" t="inlineStr">
        <is>
          <t>Naturvårdsverket</t>
        </is>
      </c>
      <c r="G151" t="n">
        <v>2.4</v>
      </c>
      <c r="H151" t="n">
        <v>1</v>
      </c>
      <c r="I151" t="n">
        <v>0</v>
      </c>
      <c r="J151" t="n">
        <v>0</v>
      </c>
      <c r="K151" t="n">
        <v>1</v>
      </c>
      <c r="L151" t="n">
        <v>0</v>
      </c>
      <c r="M151" t="n">
        <v>0</v>
      </c>
      <c r="N151" t="n">
        <v>0</v>
      </c>
      <c r="O151" t="n">
        <v>1</v>
      </c>
      <c r="P151" t="n">
        <v>1</v>
      </c>
      <c r="Q151" t="n">
        <v>1</v>
      </c>
      <c r="R151" s="2" t="inlineStr">
        <is>
          <t>Kalkdån</t>
        </is>
      </c>
      <c r="S151">
        <f>HYPERLINK("https://klasma.github.io/Logging_0980/artfynd/A 64700-2021 artfynd.xlsx", "A 64700-2021")</f>
        <v/>
      </c>
      <c r="T151">
        <f>HYPERLINK("https://klasma.github.io/Logging_0980/kartor/A 64700-2021 karta.png", "A 64700-2021")</f>
        <v/>
      </c>
      <c r="V151">
        <f>HYPERLINK("https://klasma.github.io/Logging_0980/klagomål/A 64700-2021 FSC-klagomål.docx", "A 64700-2021")</f>
        <v/>
      </c>
      <c r="W151">
        <f>HYPERLINK("https://klasma.github.io/Logging_0980/klagomålsmail/A 64700-2021 FSC-klagomål mail.docx", "A 64700-2021")</f>
        <v/>
      </c>
      <c r="X151">
        <f>HYPERLINK("https://klasma.github.io/Logging_0980/tillsyn/A 64700-2021 tillsynsbegäran.docx", "A 64700-2021")</f>
        <v/>
      </c>
      <c r="Y151">
        <f>HYPERLINK("https://klasma.github.io/Logging_0980/tillsynsmail/A 64700-2021 tillsynsbegäran mail.docx", "A 64700-2021")</f>
        <v/>
      </c>
    </row>
    <row r="152" ht="15" customHeight="1">
      <c r="A152" t="inlineStr">
        <is>
          <t>A 65927-2021</t>
        </is>
      </c>
      <c r="B152" s="1" t="n">
        <v>44516</v>
      </c>
      <c r="C152" s="1" t="n">
        <v>46065</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27589-2023</t>
        </is>
      </c>
      <c r="B153" s="1" t="n">
        <v>45097</v>
      </c>
      <c r="C153" s="1" t="n">
        <v>46065</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1477-2024</t>
        </is>
      </c>
      <c r="B154" s="1" t="n">
        <v>45305.37987268518</v>
      </c>
      <c r="C154" s="1" t="n">
        <v>46065</v>
      </c>
      <c r="D154" t="inlineStr">
        <is>
          <t>GOTLANDS LÄN</t>
        </is>
      </c>
      <c r="E154" t="inlineStr">
        <is>
          <t>GOTLAND</t>
        </is>
      </c>
      <c r="G154" t="n">
        <v>6.9</v>
      </c>
      <c r="H154" t="n">
        <v>0</v>
      </c>
      <c r="I154" t="n">
        <v>0</v>
      </c>
      <c r="J154" t="n">
        <v>1</v>
      </c>
      <c r="K154" t="n">
        <v>0</v>
      </c>
      <c r="L154" t="n">
        <v>0</v>
      </c>
      <c r="M154" t="n">
        <v>0</v>
      </c>
      <c r="N154" t="n">
        <v>0</v>
      </c>
      <c r="O154" t="n">
        <v>1</v>
      </c>
      <c r="P154" t="n">
        <v>0</v>
      </c>
      <c r="Q154" t="n">
        <v>1</v>
      </c>
      <c r="R154" s="2" t="inlineStr">
        <is>
          <t>Igelkott</t>
        </is>
      </c>
      <c r="S154">
        <f>HYPERLINK("https://klasma.github.io/Logging_0980/artfynd/A 1477-2024 artfynd.xlsx", "A 1477-2024")</f>
        <v/>
      </c>
      <c r="T154">
        <f>HYPERLINK("https://klasma.github.io/Logging_0980/kartor/A 1477-2024 karta.png", "A 1477-2024")</f>
        <v/>
      </c>
      <c r="V154">
        <f>HYPERLINK("https://klasma.github.io/Logging_0980/klagomål/A 1477-2024 FSC-klagomål.docx", "A 1477-2024")</f>
        <v/>
      </c>
      <c r="W154">
        <f>HYPERLINK("https://klasma.github.io/Logging_0980/klagomålsmail/A 1477-2024 FSC-klagomål mail.docx", "A 1477-2024")</f>
        <v/>
      </c>
      <c r="X154">
        <f>HYPERLINK("https://klasma.github.io/Logging_0980/tillsyn/A 1477-2024 tillsynsbegäran.docx", "A 1477-2024")</f>
        <v/>
      </c>
      <c r="Y154">
        <f>HYPERLINK("https://klasma.github.io/Logging_0980/tillsynsmail/A 1477-2024 tillsynsbegäran mail.docx", "A 1477-2024")</f>
        <v/>
      </c>
    </row>
    <row r="155" ht="15" customHeight="1">
      <c r="A155" t="inlineStr">
        <is>
          <t>A 61796-2022</t>
        </is>
      </c>
      <c r="B155" s="1" t="n">
        <v>44917</v>
      </c>
      <c r="C155" s="1" t="n">
        <v>46065</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44304-2021</t>
        </is>
      </c>
      <c r="B156" s="1" t="n">
        <v>44434</v>
      </c>
      <c r="C156" s="1" t="n">
        <v>46065</v>
      </c>
      <c r="D156" t="inlineStr">
        <is>
          <t>GOTLANDS LÄN</t>
        </is>
      </c>
      <c r="E156" t="inlineStr">
        <is>
          <t>GOTLAND</t>
        </is>
      </c>
      <c r="G156" t="n">
        <v>5.8</v>
      </c>
      <c r="H156" t="n">
        <v>0</v>
      </c>
      <c r="I156" t="n">
        <v>0</v>
      </c>
      <c r="J156" t="n">
        <v>1</v>
      </c>
      <c r="K156" t="n">
        <v>0</v>
      </c>
      <c r="L156" t="n">
        <v>0</v>
      </c>
      <c r="M156" t="n">
        <v>0</v>
      </c>
      <c r="N156" t="n">
        <v>0</v>
      </c>
      <c r="O156" t="n">
        <v>1</v>
      </c>
      <c r="P156" t="n">
        <v>0</v>
      </c>
      <c r="Q156" t="n">
        <v>1</v>
      </c>
      <c r="R156" s="2" t="inlineStr">
        <is>
          <t>Svinrot</t>
        </is>
      </c>
      <c r="S156">
        <f>HYPERLINK("https://klasma.github.io/Logging_0980/artfynd/A 44304-2021 artfynd.xlsx", "A 44304-2021")</f>
        <v/>
      </c>
      <c r="T156">
        <f>HYPERLINK("https://klasma.github.io/Logging_0980/kartor/A 44304-2021 karta.png", "A 44304-2021")</f>
        <v/>
      </c>
      <c r="V156">
        <f>HYPERLINK("https://klasma.github.io/Logging_0980/klagomål/A 44304-2021 FSC-klagomål.docx", "A 44304-2021")</f>
        <v/>
      </c>
      <c r="W156">
        <f>HYPERLINK("https://klasma.github.io/Logging_0980/klagomålsmail/A 44304-2021 FSC-klagomål mail.docx", "A 44304-2021")</f>
        <v/>
      </c>
      <c r="X156">
        <f>HYPERLINK("https://klasma.github.io/Logging_0980/tillsyn/A 44304-2021 tillsynsbegäran.docx", "A 44304-2021")</f>
        <v/>
      </c>
      <c r="Y156">
        <f>HYPERLINK("https://klasma.github.io/Logging_0980/tillsynsmail/A 44304-2021 tillsynsbegäran mail.docx", "A 44304-2021")</f>
        <v/>
      </c>
    </row>
    <row r="157" ht="15" customHeight="1">
      <c r="A157" t="inlineStr">
        <is>
          <t>A 35574-2024</t>
        </is>
      </c>
      <c r="B157" s="1" t="n">
        <v>45531</v>
      </c>
      <c r="C157" s="1" t="n">
        <v>46065</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7637-2025</t>
        </is>
      </c>
      <c r="B158" s="1" t="n">
        <v>45705.77181712963</v>
      </c>
      <c r="C158" s="1" t="n">
        <v>46065</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26461-2025</t>
        </is>
      </c>
      <c r="B159" s="1" t="n">
        <v>45807.43337962963</v>
      </c>
      <c r="C159" s="1" t="n">
        <v>46065</v>
      </c>
      <c r="D159" t="inlineStr">
        <is>
          <t>GOTLANDS LÄN</t>
        </is>
      </c>
      <c r="E159" t="inlineStr">
        <is>
          <t>GOTLAND</t>
        </is>
      </c>
      <c r="G159" t="n">
        <v>4.1</v>
      </c>
      <c r="H159" t="n">
        <v>0</v>
      </c>
      <c r="I159" t="n">
        <v>0</v>
      </c>
      <c r="J159" t="n">
        <v>0</v>
      </c>
      <c r="K159" t="n">
        <v>1</v>
      </c>
      <c r="L159" t="n">
        <v>0</v>
      </c>
      <c r="M159" t="n">
        <v>0</v>
      </c>
      <c r="N159" t="n">
        <v>0</v>
      </c>
      <c r="O159" t="n">
        <v>1</v>
      </c>
      <c r="P159" t="n">
        <v>1</v>
      </c>
      <c r="Q159" t="n">
        <v>1</v>
      </c>
      <c r="R159" s="2" t="inlineStr">
        <is>
          <t>Gotlandsmåra</t>
        </is>
      </c>
      <c r="S159">
        <f>HYPERLINK("https://klasma.github.io/Logging_0980/artfynd/A 26461-2025 artfynd.xlsx", "A 26461-2025")</f>
        <v/>
      </c>
      <c r="T159">
        <f>HYPERLINK("https://klasma.github.io/Logging_0980/kartor/A 26461-2025 karta.png", "A 26461-2025")</f>
        <v/>
      </c>
      <c r="V159">
        <f>HYPERLINK("https://klasma.github.io/Logging_0980/klagomål/A 26461-2025 FSC-klagomål.docx", "A 26461-2025")</f>
        <v/>
      </c>
      <c r="W159">
        <f>HYPERLINK("https://klasma.github.io/Logging_0980/klagomålsmail/A 26461-2025 FSC-klagomål mail.docx", "A 26461-2025")</f>
        <v/>
      </c>
      <c r="X159">
        <f>HYPERLINK("https://klasma.github.io/Logging_0980/tillsyn/A 26461-2025 tillsynsbegäran.docx", "A 26461-2025")</f>
        <v/>
      </c>
      <c r="Y159">
        <f>HYPERLINK("https://klasma.github.io/Logging_0980/tillsynsmail/A 26461-2025 tillsynsbegäran mail.docx", "A 26461-2025")</f>
        <v/>
      </c>
    </row>
    <row r="160" ht="15" customHeight="1">
      <c r="A160" t="inlineStr">
        <is>
          <t>A 15637-2024</t>
        </is>
      </c>
      <c r="B160" s="1" t="n">
        <v>45403.6684837963</v>
      </c>
      <c r="C160" s="1" t="n">
        <v>46065</v>
      </c>
      <c r="D160" t="inlineStr">
        <is>
          <t>GOTLANDS LÄN</t>
        </is>
      </c>
      <c r="E160" t="inlineStr">
        <is>
          <t>GOTLAND</t>
        </is>
      </c>
      <c r="G160" t="n">
        <v>4.1</v>
      </c>
      <c r="H160" t="n">
        <v>1</v>
      </c>
      <c r="I160" t="n">
        <v>0</v>
      </c>
      <c r="J160" t="n">
        <v>0</v>
      </c>
      <c r="K160" t="n">
        <v>0</v>
      </c>
      <c r="L160" t="n">
        <v>0</v>
      </c>
      <c r="M160" t="n">
        <v>0</v>
      </c>
      <c r="N160" t="n">
        <v>0</v>
      </c>
      <c r="O160" t="n">
        <v>0</v>
      </c>
      <c r="P160" t="n">
        <v>0</v>
      </c>
      <c r="Q160" t="n">
        <v>1</v>
      </c>
      <c r="R160" s="2" t="inlineStr">
        <is>
          <t>Blåsippa</t>
        </is>
      </c>
      <c r="S160">
        <f>HYPERLINK("https://klasma.github.io/Logging_0980/artfynd/A 15637-2024 artfynd.xlsx", "A 15637-2024")</f>
        <v/>
      </c>
      <c r="T160">
        <f>HYPERLINK("https://klasma.github.io/Logging_0980/kartor/A 15637-2024 karta.png", "A 15637-2024")</f>
        <v/>
      </c>
      <c r="V160">
        <f>HYPERLINK("https://klasma.github.io/Logging_0980/klagomål/A 15637-2024 FSC-klagomål.docx", "A 15637-2024")</f>
        <v/>
      </c>
      <c r="W160">
        <f>HYPERLINK("https://klasma.github.io/Logging_0980/klagomålsmail/A 15637-2024 FSC-klagomål mail.docx", "A 15637-2024")</f>
        <v/>
      </c>
      <c r="X160">
        <f>HYPERLINK("https://klasma.github.io/Logging_0980/tillsyn/A 15637-2024 tillsynsbegäran.docx", "A 15637-2024")</f>
        <v/>
      </c>
      <c r="Y160">
        <f>HYPERLINK("https://klasma.github.io/Logging_0980/tillsynsmail/A 15637-2024 tillsynsbegäran mail.docx", "A 15637-2024")</f>
        <v/>
      </c>
    </row>
    <row r="161" ht="15" customHeight="1">
      <c r="A161" t="inlineStr">
        <is>
          <t>A 22782-2023</t>
        </is>
      </c>
      <c r="B161" s="1" t="n">
        <v>45072</v>
      </c>
      <c r="C161" s="1" t="n">
        <v>46065</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6303-2024</t>
        </is>
      </c>
      <c r="B162" s="1" t="n">
        <v>45338.35376157407</v>
      </c>
      <c r="C162" s="1" t="n">
        <v>46065</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22883-2024</t>
        </is>
      </c>
      <c r="B163" s="1" t="n">
        <v>45448.66368055555</v>
      </c>
      <c r="C163" s="1" t="n">
        <v>46065</v>
      </c>
      <c r="D163" t="inlineStr">
        <is>
          <t>GOTLANDS LÄN</t>
        </is>
      </c>
      <c r="E163" t="inlineStr">
        <is>
          <t>GOTLAND</t>
        </is>
      </c>
      <c r="G163" t="n">
        <v>0.5</v>
      </c>
      <c r="H163" t="n">
        <v>0</v>
      </c>
      <c r="I163" t="n">
        <v>0</v>
      </c>
      <c r="J163" t="n">
        <v>0</v>
      </c>
      <c r="K163" t="n">
        <v>1</v>
      </c>
      <c r="L163" t="n">
        <v>0</v>
      </c>
      <c r="M163" t="n">
        <v>0</v>
      </c>
      <c r="N163" t="n">
        <v>0</v>
      </c>
      <c r="O163" t="n">
        <v>1</v>
      </c>
      <c r="P163" t="n">
        <v>1</v>
      </c>
      <c r="Q163" t="n">
        <v>1</v>
      </c>
      <c r="R163" s="2" t="inlineStr">
        <is>
          <t>Gotlandsmåra</t>
        </is>
      </c>
      <c r="S163">
        <f>HYPERLINK("https://klasma.github.io/Logging_0980/artfynd/A 22883-2024 artfynd.xlsx", "A 22883-2024")</f>
        <v/>
      </c>
      <c r="T163">
        <f>HYPERLINK("https://klasma.github.io/Logging_0980/kartor/A 22883-2024 karta.png", "A 22883-2024")</f>
        <v/>
      </c>
      <c r="V163">
        <f>HYPERLINK("https://klasma.github.io/Logging_0980/klagomål/A 22883-2024 FSC-klagomål.docx", "A 22883-2024")</f>
        <v/>
      </c>
      <c r="W163">
        <f>HYPERLINK("https://klasma.github.io/Logging_0980/klagomålsmail/A 22883-2024 FSC-klagomål mail.docx", "A 22883-2024")</f>
        <v/>
      </c>
      <c r="X163">
        <f>HYPERLINK("https://klasma.github.io/Logging_0980/tillsyn/A 22883-2024 tillsynsbegäran.docx", "A 22883-2024")</f>
        <v/>
      </c>
      <c r="Y163">
        <f>HYPERLINK("https://klasma.github.io/Logging_0980/tillsynsmail/A 22883-2024 tillsynsbegäran mail.docx", "A 22883-2024")</f>
        <v/>
      </c>
    </row>
    <row r="164" ht="15" customHeight="1">
      <c r="A164" t="inlineStr">
        <is>
          <t>A 2476-2025</t>
        </is>
      </c>
      <c r="B164" s="1" t="n">
        <v>45673</v>
      </c>
      <c r="C164" s="1" t="n">
        <v>46065</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34141-2024</t>
        </is>
      </c>
      <c r="B165" s="1" t="n">
        <v>45524.36229166666</v>
      </c>
      <c r="C165" s="1" t="n">
        <v>46065</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46065</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34809-2024</t>
        </is>
      </c>
      <c r="B167" s="1" t="n">
        <v>45526</v>
      </c>
      <c r="C167" s="1" t="n">
        <v>46065</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10995-2023</t>
        </is>
      </c>
      <c r="B168" s="1" t="n">
        <v>44986</v>
      </c>
      <c r="C168" s="1" t="n">
        <v>46065</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62552-2022</t>
        </is>
      </c>
      <c r="B169" s="1" t="n">
        <v>44924</v>
      </c>
      <c r="C169" s="1" t="n">
        <v>46065</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44088-2022</t>
        </is>
      </c>
      <c r="B170" s="1" t="n">
        <v>44839</v>
      </c>
      <c r="C170" s="1" t="n">
        <v>46065</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12924-2025</t>
        </is>
      </c>
      <c r="B171" s="1" t="n">
        <v>45734</v>
      </c>
      <c r="C171" s="1" t="n">
        <v>46065</v>
      </c>
      <c r="D171" t="inlineStr">
        <is>
          <t>GOTLANDS LÄN</t>
        </is>
      </c>
      <c r="E171" t="inlineStr">
        <is>
          <t>GOTLAND</t>
        </is>
      </c>
      <c r="G171" t="n">
        <v>11.7</v>
      </c>
      <c r="H171" t="n">
        <v>0</v>
      </c>
      <c r="I171" t="n">
        <v>0</v>
      </c>
      <c r="J171" t="n">
        <v>0</v>
      </c>
      <c r="K171" t="n">
        <v>1</v>
      </c>
      <c r="L171" t="n">
        <v>0</v>
      </c>
      <c r="M171" t="n">
        <v>0</v>
      </c>
      <c r="N171" t="n">
        <v>0</v>
      </c>
      <c r="O171" t="n">
        <v>1</v>
      </c>
      <c r="P171" t="n">
        <v>1</v>
      </c>
      <c r="Q171" t="n">
        <v>1</v>
      </c>
      <c r="R171" s="2" t="inlineStr">
        <is>
          <t>Gotlandsmåra</t>
        </is>
      </c>
      <c r="S171">
        <f>HYPERLINK("https://klasma.github.io/Logging_0980/artfynd/A 12924-2025 artfynd.xlsx", "A 12924-2025")</f>
        <v/>
      </c>
      <c r="T171">
        <f>HYPERLINK("https://klasma.github.io/Logging_0980/kartor/A 12924-2025 karta.png", "A 12924-2025")</f>
        <v/>
      </c>
      <c r="V171">
        <f>HYPERLINK("https://klasma.github.io/Logging_0980/klagomål/A 12924-2025 FSC-klagomål.docx", "A 12924-2025")</f>
        <v/>
      </c>
      <c r="W171">
        <f>HYPERLINK("https://klasma.github.io/Logging_0980/klagomålsmail/A 12924-2025 FSC-klagomål mail.docx", "A 12924-2025")</f>
        <v/>
      </c>
      <c r="X171">
        <f>HYPERLINK("https://klasma.github.io/Logging_0980/tillsyn/A 12924-2025 tillsynsbegäran.docx", "A 12924-2025")</f>
        <v/>
      </c>
      <c r="Y171">
        <f>HYPERLINK("https://klasma.github.io/Logging_0980/tillsynsmail/A 12924-2025 tillsynsbegäran mail.docx", "A 12924-2025")</f>
        <v/>
      </c>
    </row>
    <row r="172" ht="15" customHeight="1">
      <c r="A172" t="inlineStr">
        <is>
          <t>A 61561-2023</t>
        </is>
      </c>
      <c r="B172" s="1" t="n">
        <v>45265</v>
      </c>
      <c r="C172" s="1" t="n">
        <v>46065</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13939-2021</t>
        </is>
      </c>
      <c r="B173" s="1" t="n">
        <v>44277</v>
      </c>
      <c r="C173" s="1" t="n">
        <v>46065</v>
      </c>
      <c r="D173" t="inlineStr">
        <is>
          <t>GOTLANDS LÄN</t>
        </is>
      </c>
      <c r="E173" t="inlineStr">
        <is>
          <t>GOTLAND</t>
        </is>
      </c>
      <c r="G173" t="n">
        <v>1</v>
      </c>
      <c r="H173" t="n">
        <v>0</v>
      </c>
      <c r="I173" t="n">
        <v>0</v>
      </c>
      <c r="J173" t="n">
        <v>1</v>
      </c>
      <c r="K173" t="n">
        <v>0</v>
      </c>
      <c r="L173" t="n">
        <v>0</v>
      </c>
      <c r="M173" t="n">
        <v>0</v>
      </c>
      <c r="N173" t="n">
        <v>0</v>
      </c>
      <c r="O173" t="n">
        <v>1</v>
      </c>
      <c r="P173" t="n">
        <v>0</v>
      </c>
      <c r="Q173" t="n">
        <v>1</v>
      </c>
      <c r="R173" s="2" t="inlineStr">
        <is>
          <t>Axveronika</t>
        </is>
      </c>
      <c r="S173">
        <f>HYPERLINK("https://klasma.github.io/Logging_0980/artfynd/A 13939-2021 artfynd.xlsx", "A 13939-2021")</f>
        <v/>
      </c>
      <c r="T173">
        <f>HYPERLINK("https://klasma.github.io/Logging_0980/kartor/A 13939-2021 karta.png", "A 13939-2021")</f>
        <v/>
      </c>
      <c r="V173">
        <f>HYPERLINK("https://klasma.github.io/Logging_0980/klagomål/A 13939-2021 FSC-klagomål.docx", "A 13939-2021")</f>
        <v/>
      </c>
      <c r="W173">
        <f>HYPERLINK("https://klasma.github.io/Logging_0980/klagomålsmail/A 13939-2021 FSC-klagomål mail.docx", "A 13939-2021")</f>
        <v/>
      </c>
      <c r="X173">
        <f>HYPERLINK("https://klasma.github.io/Logging_0980/tillsyn/A 13939-2021 tillsynsbegäran.docx", "A 13939-2021")</f>
        <v/>
      </c>
      <c r="Y173">
        <f>HYPERLINK("https://klasma.github.io/Logging_0980/tillsynsmail/A 13939-2021 tillsynsbegäran mail.docx", "A 13939-2021")</f>
        <v/>
      </c>
    </row>
    <row r="174" ht="15" customHeight="1">
      <c r="A174" t="inlineStr">
        <is>
          <t>A 44308-2021</t>
        </is>
      </c>
      <c r="B174" s="1" t="n">
        <v>44434</v>
      </c>
      <c r="C174" s="1" t="n">
        <v>46065</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Svavelriska</t>
        </is>
      </c>
      <c r="S174">
        <f>HYPERLINK("https://klasma.github.io/Logging_0980/artfynd/A 44308-2021 artfynd.xlsx", "A 44308-2021")</f>
        <v/>
      </c>
      <c r="T174">
        <f>HYPERLINK("https://klasma.github.io/Logging_0980/kartor/A 44308-2021 karta.png", "A 44308-2021")</f>
        <v/>
      </c>
      <c r="V174">
        <f>HYPERLINK("https://klasma.github.io/Logging_0980/klagomål/A 44308-2021 FSC-klagomål.docx", "A 44308-2021")</f>
        <v/>
      </c>
      <c r="W174">
        <f>HYPERLINK("https://klasma.github.io/Logging_0980/klagomålsmail/A 44308-2021 FSC-klagomål mail.docx", "A 44308-2021")</f>
        <v/>
      </c>
      <c r="X174">
        <f>HYPERLINK("https://klasma.github.io/Logging_0980/tillsyn/A 44308-2021 tillsynsbegäran.docx", "A 44308-2021")</f>
        <v/>
      </c>
      <c r="Y174">
        <f>HYPERLINK("https://klasma.github.io/Logging_0980/tillsynsmail/A 44308-2021 tillsynsbegäran mail.docx", "A 44308-2021")</f>
        <v/>
      </c>
    </row>
    <row r="175" ht="15" customHeight="1">
      <c r="A175" t="inlineStr">
        <is>
          <t>A 24245-2022</t>
        </is>
      </c>
      <c r="B175" s="1" t="n">
        <v>44725</v>
      </c>
      <c r="C175" s="1" t="n">
        <v>46065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39812-2025</t>
        </is>
      </c>
      <c r="B176" s="1" t="n">
        <v>45891</v>
      </c>
      <c r="C176" s="1" t="n">
        <v>46065</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49847-2023</t>
        </is>
      </c>
      <c r="B177" s="1" t="n">
        <v>45212</v>
      </c>
      <c r="C177" s="1" t="n">
        <v>46065</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46527-2023</t>
        </is>
      </c>
      <c r="B178" s="1" t="n">
        <v>45197</v>
      </c>
      <c r="C178" s="1" t="n">
        <v>46065</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46065</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35467-2021</t>
        </is>
      </c>
      <c r="B180" s="1" t="n">
        <v>44385</v>
      </c>
      <c r="C180" s="1" t="n">
        <v>46065</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37591-2023</t>
        </is>
      </c>
      <c r="B181" s="1" t="n">
        <v>45159</v>
      </c>
      <c r="C181" s="1" t="n">
        <v>46065</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44619-2025</t>
        </is>
      </c>
      <c r="B182" s="1" t="n">
        <v>45917</v>
      </c>
      <c r="C182" s="1" t="n">
        <v>46065</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21466-2025</t>
        </is>
      </c>
      <c r="B183" s="1" t="n">
        <v>45782</v>
      </c>
      <c r="C183" s="1" t="n">
        <v>46065</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46065</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49726-2025</t>
        </is>
      </c>
      <c r="B185" s="1" t="n">
        <v>45939.84466435185</v>
      </c>
      <c r="C185" s="1" t="n">
        <v>46065</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20429-2025</t>
        </is>
      </c>
      <c r="B186" s="1" t="n">
        <v>45775.47728009259</v>
      </c>
      <c r="C186" s="1" t="n">
        <v>46065</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63149-2025</t>
        </is>
      </c>
      <c r="B187" s="1" t="n">
        <v>46010</v>
      </c>
      <c r="C187" s="1" t="n">
        <v>46065</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19901-2021</t>
        </is>
      </c>
      <c r="B188" s="1" t="n">
        <v>44312</v>
      </c>
      <c r="C188" s="1" t="n">
        <v>46065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46065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46065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46065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46065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46065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46065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46065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46065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46065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46065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46065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46065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46065</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46065</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46065</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46065</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46065</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46065</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46065</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22495-2022</t>
        </is>
      </c>
      <c r="B214" s="1" t="n">
        <v>44713.6452199074</v>
      </c>
      <c r="C214" s="1" t="n">
        <v>46065</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46065</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46065</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46065</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46065</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46065</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46065</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46065</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46065</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30055-2021</t>
        </is>
      </c>
      <c r="B223" s="1" t="n">
        <v>44363</v>
      </c>
      <c r="C223" s="1" t="n">
        <v>46065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31239-2022</t>
        </is>
      </c>
      <c r="B224" s="1" t="n">
        <v>44771.49383101852</v>
      </c>
      <c r="C224" s="1" t="n">
        <v>46065</v>
      </c>
      <c r="D224" t="inlineStr">
        <is>
          <t>GOTLANDS LÄN</t>
        </is>
      </c>
      <c r="E224" t="inlineStr">
        <is>
          <t>GOTLAND</t>
        </is>
      </c>
      <c r="G224" t="n">
        <v>1.9</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46065</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46065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46065</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60607-2021</t>
        </is>
      </c>
      <c r="B228" s="1" t="n">
        <v>44496.58627314815</v>
      </c>
      <c r="C228" s="1" t="n">
        <v>46065</v>
      </c>
      <c r="D228" t="inlineStr">
        <is>
          <t>GOTLANDS LÄN</t>
        </is>
      </c>
      <c r="E228" t="inlineStr">
        <is>
          <t>GOTLAND</t>
        </is>
      </c>
      <c r="G228" t="n">
        <v>0.6</v>
      </c>
      <c r="H228" t="n">
        <v>0</v>
      </c>
      <c r="I228" t="n">
        <v>0</v>
      </c>
      <c r="J228" t="n">
        <v>0</v>
      </c>
      <c r="K228" t="n">
        <v>0</v>
      </c>
      <c r="L228" t="n">
        <v>0</v>
      </c>
      <c r="M228" t="n">
        <v>0</v>
      </c>
      <c r="N228" t="n">
        <v>0</v>
      </c>
      <c r="O228" t="n">
        <v>0</v>
      </c>
      <c r="P228" t="n">
        <v>0</v>
      </c>
      <c r="Q228" t="n">
        <v>0</v>
      </c>
      <c r="R228" s="2" t="inlineStr"/>
    </row>
    <row r="229" ht="15" customHeight="1">
      <c r="A229" t="inlineStr">
        <is>
          <t>A 58815-2021</t>
        </is>
      </c>
      <c r="B229" s="1" t="n">
        <v>44489</v>
      </c>
      <c r="C229" s="1" t="n">
        <v>46065</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46065</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46065</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22155-2021</t>
        </is>
      </c>
      <c r="B232" s="1" t="n">
        <v>44325.49369212963</v>
      </c>
      <c r="C232" s="1" t="n">
        <v>46065</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46065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46065</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1394-2023</t>
        </is>
      </c>
      <c r="B235" s="1" t="n">
        <v>44936.72997685185</v>
      </c>
      <c r="C235" s="1" t="n">
        <v>46065</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63516-2023</t>
        </is>
      </c>
      <c r="B236" s="1" t="n">
        <v>45274</v>
      </c>
      <c r="C236" s="1" t="n">
        <v>46065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46065</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58230-2024</t>
        </is>
      </c>
      <c r="B238" s="1" t="n">
        <v>45632.51625</v>
      </c>
      <c r="C238" s="1" t="n">
        <v>46065</v>
      </c>
      <c r="D238" t="inlineStr">
        <is>
          <t>GOTLANDS LÄN</t>
        </is>
      </c>
      <c r="E238" t="inlineStr">
        <is>
          <t>GOTLAND</t>
        </is>
      </c>
      <c r="G238" t="n">
        <v>7.3</v>
      </c>
      <c r="H238" t="n">
        <v>0</v>
      </c>
      <c r="I238" t="n">
        <v>0</v>
      </c>
      <c r="J238" t="n">
        <v>0</v>
      </c>
      <c r="K238" t="n">
        <v>0</v>
      </c>
      <c r="L238" t="n">
        <v>0</v>
      </c>
      <c r="M238" t="n">
        <v>0</v>
      </c>
      <c r="N238" t="n">
        <v>0</v>
      </c>
      <c r="O238" t="n">
        <v>0</v>
      </c>
      <c r="P238" t="n">
        <v>0</v>
      </c>
      <c r="Q238" t="n">
        <v>0</v>
      </c>
      <c r="R238" s="2" t="inlineStr"/>
    </row>
    <row r="239" ht="15" customHeight="1">
      <c r="A239" t="inlineStr">
        <is>
          <t>A 1462-2025</t>
        </is>
      </c>
      <c r="B239" s="1" t="n">
        <v>45670.36319444444</v>
      </c>
      <c r="C239" s="1" t="n">
        <v>46065</v>
      </c>
      <c r="D239" t="inlineStr">
        <is>
          <t>GOTLANDS LÄN</t>
        </is>
      </c>
      <c r="E239" t="inlineStr">
        <is>
          <t>GOTLAND</t>
        </is>
      </c>
      <c r="G239" t="n">
        <v>2.8</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46065</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46065</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24192-2023</t>
        </is>
      </c>
      <c r="B242" s="1" t="n">
        <v>45079</v>
      </c>
      <c r="C242" s="1" t="n">
        <v>46065</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46065</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46065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5386-2023</t>
        </is>
      </c>
      <c r="B245" s="1" t="n">
        <v>44959</v>
      </c>
      <c r="C245" s="1" t="n">
        <v>46065</v>
      </c>
      <c r="D245" t="inlineStr">
        <is>
          <t>GOTLANDS LÄN</t>
        </is>
      </c>
      <c r="E245" t="inlineStr">
        <is>
          <t>GOTLAND</t>
        </is>
      </c>
      <c r="G245" t="n">
        <v>5.4</v>
      </c>
      <c r="H245" t="n">
        <v>0</v>
      </c>
      <c r="I245" t="n">
        <v>0</v>
      </c>
      <c r="J245" t="n">
        <v>0</v>
      </c>
      <c r="K245" t="n">
        <v>0</v>
      </c>
      <c r="L245" t="n">
        <v>0</v>
      </c>
      <c r="M245" t="n">
        <v>0</v>
      </c>
      <c r="N245" t="n">
        <v>0</v>
      </c>
      <c r="O245" t="n">
        <v>0</v>
      </c>
      <c r="P245" t="n">
        <v>0</v>
      </c>
      <c r="Q245" t="n">
        <v>0</v>
      </c>
      <c r="R245" s="2" t="inlineStr"/>
    </row>
    <row r="246" ht="15" customHeight="1">
      <c r="A246" t="inlineStr">
        <is>
          <t>A 1681-2023</t>
        </is>
      </c>
      <c r="B246" s="1" t="n">
        <v>44938.39715277778</v>
      </c>
      <c r="C246" s="1" t="n">
        <v>46065</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4868-2024</t>
        </is>
      </c>
      <c r="B247" s="1" t="n">
        <v>45329</v>
      </c>
      <c r="C247" s="1" t="n">
        <v>46065</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46065</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20855-2023</t>
        </is>
      </c>
      <c r="B249" s="1" t="n">
        <v>45058.82172453704</v>
      </c>
      <c r="C249" s="1" t="n">
        <v>46065</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6099-2024</t>
        </is>
      </c>
      <c r="B250" s="1" t="n">
        <v>45337</v>
      </c>
      <c r="C250" s="1" t="n">
        <v>46065</v>
      </c>
      <c r="D250" t="inlineStr">
        <is>
          <t>GOTLANDS LÄN</t>
        </is>
      </c>
      <c r="E250" t="inlineStr">
        <is>
          <t>GOTLAND</t>
        </is>
      </c>
      <c r="G250" t="n">
        <v>12.6</v>
      </c>
      <c r="H250" t="n">
        <v>0</v>
      </c>
      <c r="I250" t="n">
        <v>0</v>
      </c>
      <c r="J250" t="n">
        <v>0</v>
      </c>
      <c r="K250" t="n">
        <v>0</v>
      </c>
      <c r="L250" t="n">
        <v>0</v>
      </c>
      <c r="M250" t="n">
        <v>0</v>
      </c>
      <c r="N250" t="n">
        <v>0</v>
      </c>
      <c r="O250" t="n">
        <v>0</v>
      </c>
      <c r="P250" t="n">
        <v>0</v>
      </c>
      <c r="Q250" t="n">
        <v>0</v>
      </c>
      <c r="R250" s="2" t="inlineStr"/>
    </row>
    <row r="251" ht="15" customHeight="1">
      <c r="A251" t="inlineStr">
        <is>
          <t>A 1000-2024</t>
        </is>
      </c>
      <c r="B251" s="1" t="n">
        <v>45301.63371527778</v>
      </c>
      <c r="C251" s="1" t="n">
        <v>46065</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1010-2024</t>
        </is>
      </c>
      <c r="B252" s="1" t="n">
        <v>45301</v>
      </c>
      <c r="C252" s="1" t="n">
        <v>46065</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32330-2024</t>
        </is>
      </c>
      <c r="B253" s="1" t="n">
        <v>45512</v>
      </c>
      <c r="C253" s="1" t="n">
        <v>46065</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1273-2023</t>
        </is>
      </c>
      <c r="B254" s="1" t="n">
        <v>44936</v>
      </c>
      <c r="C254" s="1" t="n">
        <v>46065</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9613-2025</t>
        </is>
      </c>
      <c r="B255" s="1" t="n">
        <v>45715</v>
      </c>
      <c r="C255" s="1" t="n">
        <v>46065</v>
      </c>
      <c r="D255" t="inlineStr">
        <is>
          <t>GOTLANDS LÄN</t>
        </is>
      </c>
      <c r="E255" t="inlineStr">
        <is>
          <t>GOTLAND</t>
        </is>
      </c>
      <c r="G255" t="n">
        <v>3.5</v>
      </c>
      <c r="H255" t="n">
        <v>0</v>
      </c>
      <c r="I255" t="n">
        <v>0</v>
      </c>
      <c r="J255" t="n">
        <v>0</v>
      </c>
      <c r="K255" t="n">
        <v>0</v>
      </c>
      <c r="L255" t="n">
        <v>0</v>
      </c>
      <c r="M255" t="n">
        <v>0</v>
      </c>
      <c r="N255" t="n">
        <v>0</v>
      </c>
      <c r="O255" t="n">
        <v>0</v>
      </c>
      <c r="P255" t="n">
        <v>0</v>
      </c>
      <c r="Q255" t="n">
        <v>0</v>
      </c>
      <c r="R255" s="2" t="inlineStr"/>
    </row>
    <row r="256" ht="15" customHeight="1">
      <c r="A256" t="inlineStr">
        <is>
          <t>A 15595-2024</t>
        </is>
      </c>
      <c r="B256" s="1" t="n">
        <v>45401.81480324074</v>
      </c>
      <c r="C256" s="1" t="n">
        <v>46065</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46065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46065</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46065</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46065</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47762-2023</t>
        </is>
      </c>
      <c r="B261" s="1" t="n">
        <v>45203.86256944444</v>
      </c>
      <c r="C261" s="1" t="n">
        <v>46065</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71010-2021</t>
        </is>
      </c>
      <c r="B262" s="1" t="n">
        <v>44538.63775462963</v>
      </c>
      <c r="C262" s="1" t="n">
        <v>46065</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46545-2024</t>
        </is>
      </c>
      <c r="B263" s="1" t="n">
        <v>45582.65831018519</v>
      </c>
      <c r="C263" s="1" t="n">
        <v>46065</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28285-2024</t>
        </is>
      </c>
      <c r="B264" s="1" t="n">
        <v>45477</v>
      </c>
      <c r="C264" s="1" t="n">
        <v>46065</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61100-2022</t>
        </is>
      </c>
      <c r="B265" s="1" t="n">
        <v>44915</v>
      </c>
      <c r="C265" s="1" t="n">
        <v>46065</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60086-2022</t>
        </is>
      </c>
      <c r="B266" s="1" t="n">
        <v>44909</v>
      </c>
      <c r="C266" s="1" t="n">
        <v>46065</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61682-2024</t>
        </is>
      </c>
      <c r="B267" s="1" t="n">
        <v>45647.48824074074</v>
      </c>
      <c r="C267" s="1" t="n">
        <v>46065</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46065</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46065</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24966-2023</t>
        </is>
      </c>
      <c r="B270" s="1" t="n">
        <v>45085</v>
      </c>
      <c r="C270" s="1" t="n">
        <v>46065</v>
      </c>
      <c r="D270" t="inlineStr">
        <is>
          <t>GOTLANDS LÄN</t>
        </is>
      </c>
      <c r="E270" t="inlineStr">
        <is>
          <t>GOTLAND</t>
        </is>
      </c>
      <c r="G270" t="n">
        <v>7</v>
      </c>
      <c r="H270" t="n">
        <v>0</v>
      </c>
      <c r="I270" t="n">
        <v>0</v>
      </c>
      <c r="J270" t="n">
        <v>0</v>
      </c>
      <c r="K270" t="n">
        <v>0</v>
      </c>
      <c r="L270" t="n">
        <v>0</v>
      </c>
      <c r="M270" t="n">
        <v>0</v>
      </c>
      <c r="N270" t="n">
        <v>0</v>
      </c>
      <c r="O270" t="n">
        <v>0</v>
      </c>
      <c r="P270" t="n">
        <v>0</v>
      </c>
      <c r="Q270" t="n">
        <v>0</v>
      </c>
      <c r="R270" s="2" t="inlineStr"/>
    </row>
    <row r="271" ht="15" customHeight="1">
      <c r="A271" t="inlineStr">
        <is>
          <t>A 46189-2022</t>
        </is>
      </c>
      <c r="B271" s="1" t="n">
        <v>44847</v>
      </c>
      <c r="C271" s="1" t="n">
        <v>46065</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62915-2021</t>
        </is>
      </c>
      <c r="B272" s="1" t="n">
        <v>44504</v>
      </c>
      <c r="C272" s="1" t="n">
        <v>46065</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44949-2023</t>
        </is>
      </c>
      <c r="B273" s="1" t="n">
        <v>45190.69520833333</v>
      </c>
      <c r="C273" s="1" t="n">
        <v>46065</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37222-2021</t>
        </is>
      </c>
      <c r="B274" s="1" t="n">
        <v>44396</v>
      </c>
      <c r="C274" s="1" t="n">
        <v>46065</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22031-2024</t>
        </is>
      </c>
      <c r="B275" s="1" t="n">
        <v>45443.60075231481</v>
      </c>
      <c r="C275" s="1" t="n">
        <v>46065</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49314-2024</t>
        </is>
      </c>
      <c r="B276" s="1" t="n">
        <v>45595.55893518519</v>
      </c>
      <c r="C276" s="1" t="n">
        <v>46065</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58388-2022</t>
        </is>
      </c>
      <c r="B277" s="1" t="n">
        <v>44894</v>
      </c>
      <c r="C277" s="1" t="n">
        <v>46065</v>
      </c>
      <c r="D277" t="inlineStr">
        <is>
          <t>GOTLANDS LÄN</t>
        </is>
      </c>
      <c r="E277" t="inlineStr">
        <is>
          <t>GOTLAND</t>
        </is>
      </c>
      <c r="F277" t="inlineStr">
        <is>
          <t>Övriga statliga verk och myndigheter</t>
        </is>
      </c>
      <c r="G277" t="n">
        <v>3.1</v>
      </c>
      <c r="H277" t="n">
        <v>0</v>
      </c>
      <c r="I277" t="n">
        <v>0</v>
      </c>
      <c r="J277" t="n">
        <v>0</v>
      </c>
      <c r="K277" t="n">
        <v>0</v>
      </c>
      <c r="L277" t="n">
        <v>0</v>
      </c>
      <c r="M277" t="n">
        <v>0</v>
      </c>
      <c r="N277" t="n">
        <v>0</v>
      </c>
      <c r="O277" t="n">
        <v>0</v>
      </c>
      <c r="P277" t="n">
        <v>0</v>
      </c>
      <c r="Q277" t="n">
        <v>0</v>
      </c>
      <c r="R277" s="2" t="inlineStr"/>
    </row>
    <row r="278" ht="15" customHeight="1">
      <c r="A278" t="inlineStr">
        <is>
          <t>A 44919-2022</t>
        </is>
      </c>
      <c r="B278" s="1" t="n">
        <v>44841</v>
      </c>
      <c r="C278" s="1" t="n">
        <v>46065</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3964-2024</t>
        </is>
      </c>
      <c r="B279" s="1" t="n">
        <v>45322</v>
      </c>
      <c r="C279" s="1" t="n">
        <v>46065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21792-2024</t>
        </is>
      </c>
      <c r="B280" s="1" t="n">
        <v>45442.64326388889</v>
      </c>
      <c r="C280" s="1" t="n">
        <v>46065</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45084-2024</t>
        </is>
      </c>
      <c r="B281" s="1" t="n">
        <v>45575</v>
      </c>
      <c r="C281" s="1" t="n">
        <v>46065</v>
      </c>
      <c r="D281" t="inlineStr">
        <is>
          <t>GOTLANDS LÄN</t>
        </is>
      </c>
      <c r="E281" t="inlineStr">
        <is>
          <t>GOTLAND</t>
        </is>
      </c>
      <c r="G281" t="n">
        <v>6.8</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46065</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17688-2024</t>
        </is>
      </c>
      <c r="B283" s="1" t="n">
        <v>45418.43575231481</v>
      </c>
      <c r="C283" s="1" t="n">
        <v>46065</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65901-2021</t>
        </is>
      </c>
      <c r="B284" s="1" t="n">
        <v>44516</v>
      </c>
      <c r="C284" s="1" t="n">
        <v>46065</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7837-2024</t>
        </is>
      </c>
      <c r="B285" s="1" t="n">
        <v>45349.83787037037</v>
      </c>
      <c r="C285" s="1" t="n">
        <v>46065</v>
      </c>
      <c r="D285" t="inlineStr">
        <is>
          <t>GOTLANDS LÄN</t>
        </is>
      </c>
      <c r="E285" t="inlineStr">
        <is>
          <t>GOTLAND</t>
        </is>
      </c>
      <c r="G285" t="n">
        <v>5</v>
      </c>
      <c r="H285" t="n">
        <v>0</v>
      </c>
      <c r="I285" t="n">
        <v>0</v>
      </c>
      <c r="J285" t="n">
        <v>0</v>
      </c>
      <c r="K285" t="n">
        <v>0</v>
      </c>
      <c r="L285" t="n">
        <v>0</v>
      </c>
      <c r="M285" t="n">
        <v>0</v>
      </c>
      <c r="N285" t="n">
        <v>0</v>
      </c>
      <c r="O285" t="n">
        <v>0</v>
      </c>
      <c r="P285" t="n">
        <v>0</v>
      </c>
      <c r="Q285" t="n">
        <v>0</v>
      </c>
      <c r="R285" s="2" t="inlineStr"/>
    </row>
    <row r="286" ht="15" customHeight="1">
      <c r="A286" t="inlineStr">
        <is>
          <t>A 5217-2023</t>
        </is>
      </c>
      <c r="B286" s="1" t="n">
        <v>44959.39582175926</v>
      </c>
      <c r="C286" s="1" t="n">
        <v>46065</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44649-2021</t>
        </is>
      </c>
      <c r="B287" s="1" t="n">
        <v>44437</v>
      </c>
      <c r="C287" s="1" t="n">
        <v>46065</v>
      </c>
      <c r="D287" t="inlineStr">
        <is>
          <t>GOTLANDS LÄN</t>
        </is>
      </c>
      <c r="E287" t="inlineStr">
        <is>
          <t>GOTLAND</t>
        </is>
      </c>
      <c r="G287" t="n">
        <v>8.1</v>
      </c>
      <c r="H287" t="n">
        <v>0</v>
      </c>
      <c r="I287" t="n">
        <v>0</v>
      </c>
      <c r="J287" t="n">
        <v>0</v>
      </c>
      <c r="K287" t="n">
        <v>0</v>
      </c>
      <c r="L287" t="n">
        <v>0</v>
      </c>
      <c r="M287" t="n">
        <v>0</v>
      </c>
      <c r="N287" t="n">
        <v>0</v>
      </c>
      <c r="O287" t="n">
        <v>0</v>
      </c>
      <c r="P287" t="n">
        <v>0</v>
      </c>
      <c r="Q287" t="n">
        <v>0</v>
      </c>
      <c r="R287" s="2" t="inlineStr"/>
    </row>
    <row r="288" ht="15" customHeight="1">
      <c r="A288" t="inlineStr">
        <is>
          <t>A 1677-2023</t>
        </is>
      </c>
      <c r="B288" s="1" t="n">
        <v>44938</v>
      </c>
      <c r="C288" s="1" t="n">
        <v>46065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4568-2025</t>
        </is>
      </c>
      <c r="B289" s="1" t="n">
        <v>45687</v>
      </c>
      <c r="C289" s="1" t="n">
        <v>46065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46065</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45244-2024</t>
        </is>
      </c>
      <c r="B291" s="1" t="n">
        <v>45576</v>
      </c>
      <c r="C291" s="1" t="n">
        <v>46065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17682-2024</t>
        </is>
      </c>
      <c r="B292" s="1" t="n">
        <v>45418.42966435185</v>
      </c>
      <c r="C292" s="1" t="n">
        <v>46065</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57522-2022</t>
        </is>
      </c>
      <c r="B293" s="1" t="n">
        <v>44896</v>
      </c>
      <c r="C293" s="1" t="n">
        <v>46065</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35512-2023</t>
        </is>
      </c>
      <c r="B294" s="1" t="n">
        <v>45147.25623842593</v>
      </c>
      <c r="C294" s="1" t="n">
        <v>46065</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5905-2024</t>
        </is>
      </c>
      <c r="B295" s="1" t="n">
        <v>45335.88993055555</v>
      </c>
      <c r="C295" s="1" t="n">
        <v>46065</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8260-2023</t>
        </is>
      </c>
      <c r="B296" s="1" t="n">
        <v>44974.61608796296</v>
      </c>
      <c r="C296" s="1" t="n">
        <v>46065</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46065</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1291-2023</t>
        </is>
      </c>
      <c r="B298" s="1" t="n">
        <v>44936.47561342592</v>
      </c>
      <c r="C298" s="1" t="n">
        <v>46065</v>
      </c>
      <c r="D298" t="inlineStr">
        <is>
          <t>GOTLANDS LÄN</t>
        </is>
      </c>
      <c r="E298" t="inlineStr">
        <is>
          <t>GOTLAND</t>
        </is>
      </c>
      <c r="G298" t="n">
        <v>7.4</v>
      </c>
      <c r="H298" t="n">
        <v>0</v>
      </c>
      <c r="I298" t="n">
        <v>0</v>
      </c>
      <c r="J298" t="n">
        <v>0</v>
      </c>
      <c r="K298" t="n">
        <v>0</v>
      </c>
      <c r="L298" t="n">
        <v>0</v>
      </c>
      <c r="M298" t="n">
        <v>0</v>
      </c>
      <c r="N298" t="n">
        <v>0</v>
      </c>
      <c r="O298" t="n">
        <v>0</v>
      </c>
      <c r="P298" t="n">
        <v>0</v>
      </c>
      <c r="Q298" t="n">
        <v>0</v>
      </c>
      <c r="R298" s="2" t="inlineStr"/>
    </row>
    <row r="299" ht="15" customHeight="1">
      <c r="A299" t="inlineStr">
        <is>
          <t>A 48843-2024</t>
        </is>
      </c>
      <c r="B299" s="1" t="n">
        <v>45593</v>
      </c>
      <c r="C299" s="1" t="n">
        <v>46065</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17541-2024</t>
        </is>
      </c>
      <c r="B300" s="1" t="n">
        <v>45415</v>
      </c>
      <c r="C300" s="1" t="n">
        <v>46065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57652-2023</t>
        </is>
      </c>
      <c r="B301" s="1" t="n">
        <v>45246</v>
      </c>
      <c r="C301" s="1" t="n">
        <v>46065</v>
      </c>
      <c r="D301" t="inlineStr">
        <is>
          <t>GOTLANDS LÄN</t>
        </is>
      </c>
      <c r="E301" t="inlineStr">
        <is>
          <t>GOTLAND</t>
        </is>
      </c>
      <c r="G301" t="n">
        <v>7.2</v>
      </c>
      <c r="H301" t="n">
        <v>0</v>
      </c>
      <c r="I301" t="n">
        <v>0</v>
      </c>
      <c r="J301" t="n">
        <v>0</v>
      </c>
      <c r="K301" t="n">
        <v>0</v>
      </c>
      <c r="L301" t="n">
        <v>0</v>
      </c>
      <c r="M301" t="n">
        <v>0</v>
      </c>
      <c r="N301" t="n">
        <v>0</v>
      </c>
      <c r="O301" t="n">
        <v>0</v>
      </c>
      <c r="P301" t="n">
        <v>0</v>
      </c>
      <c r="Q301" t="n">
        <v>0</v>
      </c>
      <c r="R301" s="2" t="inlineStr"/>
    </row>
    <row r="302" ht="15" customHeight="1">
      <c r="A302" t="inlineStr">
        <is>
          <t>A 2241-2025</t>
        </is>
      </c>
      <c r="B302" s="1" t="n">
        <v>45673.48710648148</v>
      </c>
      <c r="C302" s="1" t="n">
        <v>46065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64555-2023</t>
        </is>
      </c>
      <c r="B303" s="1" t="n">
        <v>45281</v>
      </c>
      <c r="C303" s="1" t="n">
        <v>46065</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64831-2023</t>
        </is>
      </c>
      <c r="B304" s="1" t="n">
        <v>45282.44924768519</v>
      </c>
      <c r="C304" s="1" t="n">
        <v>46065</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46065</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46065</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46065</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49315-2024</t>
        </is>
      </c>
      <c r="B308" s="1" t="n">
        <v>45595</v>
      </c>
      <c r="C308" s="1" t="n">
        <v>46065</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26660-2025</t>
        </is>
      </c>
      <c r="B309" s="1" t="n">
        <v>45810.39737268518</v>
      </c>
      <c r="C309" s="1" t="n">
        <v>46065</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45106-2024</t>
        </is>
      </c>
      <c r="B310" s="1" t="n">
        <v>45575</v>
      </c>
      <c r="C310" s="1" t="n">
        <v>46065</v>
      </c>
      <c r="D310" t="inlineStr">
        <is>
          <t>GOTLANDS LÄN</t>
        </is>
      </c>
      <c r="E310" t="inlineStr">
        <is>
          <t>GOTLAND</t>
        </is>
      </c>
      <c r="G310" t="n">
        <v>10</v>
      </c>
      <c r="H310" t="n">
        <v>0</v>
      </c>
      <c r="I310" t="n">
        <v>0</v>
      </c>
      <c r="J310" t="n">
        <v>0</v>
      </c>
      <c r="K310" t="n">
        <v>0</v>
      </c>
      <c r="L310" t="n">
        <v>0</v>
      </c>
      <c r="M310" t="n">
        <v>0</v>
      </c>
      <c r="N310" t="n">
        <v>0</v>
      </c>
      <c r="O310" t="n">
        <v>0</v>
      </c>
      <c r="P310" t="n">
        <v>0</v>
      </c>
      <c r="Q310" t="n">
        <v>0</v>
      </c>
      <c r="R310" s="2" t="inlineStr"/>
    </row>
    <row r="311" ht="15" customHeight="1">
      <c r="A311" t="inlineStr">
        <is>
          <t>A 45112-2024</t>
        </is>
      </c>
      <c r="B311" s="1" t="n">
        <v>45575</v>
      </c>
      <c r="C311" s="1" t="n">
        <v>46065</v>
      </c>
      <c r="D311" t="inlineStr">
        <is>
          <t>GOTLANDS LÄN</t>
        </is>
      </c>
      <c r="E311" t="inlineStr">
        <is>
          <t>GOTLAND</t>
        </is>
      </c>
      <c r="G311" t="n">
        <v>5.1</v>
      </c>
      <c r="H311" t="n">
        <v>0</v>
      </c>
      <c r="I311" t="n">
        <v>0</v>
      </c>
      <c r="J311" t="n">
        <v>0</v>
      </c>
      <c r="K311" t="n">
        <v>0</v>
      </c>
      <c r="L311" t="n">
        <v>0</v>
      </c>
      <c r="M311" t="n">
        <v>0</v>
      </c>
      <c r="N311" t="n">
        <v>0</v>
      </c>
      <c r="O311" t="n">
        <v>0</v>
      </c>
      <c r="P311" t="n">
        <v>0</v>
      </c>
      <c r="Q311" t="n">
        <v>0</v>
      </c>
      <c r="R311" s="2" t="inlineStr"/>
    </row>
    <row r="312" ht="15" customHeight="1">
      <c r="A312" t="inlineStr">
        <is>
          <t>A 15434-2024</t>
        </is>
      </c>
      <c r="B312" s="1" t="n">
        <v>45401.38836805556</v>
      </c>
      <c r="C312" s="1" t="n">
        <v>46065</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2676-2023</t>
        </is>
      </c>
      <c r="B313" s="1" t="n">
        <v>44944</v>
      </c>
      <c r="C313" s="1" t="n">
        <v>46065</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3150-2025</t>
        </is>
      </c>
      <c r="B314" s="1" t="n">
        <v>45679.28974537037</v>
      </c>
      <c r="C314" s="1" t="n">
        <v>46065</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8484-2025</t>
        </is>
      </c>
      <c r="B315" s="1" t="n">
        <v>45709</v>
      </c>
      <c r="C315" s="1" t="n">
        <v>46065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7635-2025</t>
        </is>
      </c>
      <c r="B316" s="1" t="n">
        <v>45705</v>
      </c>
      <c r="C316" s="1" t="n">
        <v>46065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7636-2025</t>
        </is>
      </c>
      <c r="B317" s="1" t="n">
        <v>45705.7687962963</v>
      </c>
      <c r="C317" s="1" t="n">
        <v>46065</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7639-2025</t>
        </is>
      </c>
      <c r="B318" s="1" t="n">
        <v>45705.77465277778</v>
      </c>
      <c r="C318" s="1" t="n">
        <v>46065</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5943-2024</t>
        </is>
      </c>
      <c r="B319" s="1" t="n">
        <v>45336</v>
      </c>
      <c r="C319" s="1" t="n">
        <v>46065</v>
      </c>
      <c r="D319" t="inlineStr">
        <is>
          <t>GOTLANDS LÄN</t>
        </is>
      </c>
      <c r="E319" t="inlineStr">
        <is>
          <t>GOTLAND</t>
        </is>
      </c>
      <c r="G319" t="n">
        <v>4.3</v>
      </c>
      <c r="H319" t="n">
        <v>0</v>
      </c>
      <c r="I319" t="n">
        <v>0</v>
      </c>
      <c r="J319" t="n">
        <v>0</v>
      </c>
      <c r="K319" t="n">
        <v>0</v>
      </c>
      <c r="L319" t="n">
        <v>0</v>
      </c>
      <c r="M319" t="n">
        <v>0</v>
      </c>
      <c r="N319" t="n">
        <v>0</v>
      </c>
      <c r="O319" t="n">
        <v>0</v>
      </c>
      <c r="P319" t="n">
        <v>0</v>
      </c>
      <c r="Q319" t="n">
        <v>0</v>
      </c>
      <c r="R319" s="2" t="inlineStr"/>
    </row>
    <row r="320" ht="15" customHeight="1">
      <c r="A320" t="inlineStr">
        <is>
          <t>A 27371-2025</t>
        </is>
      </c>
      <c r="B320" s="1" t="n">
        <v>45812</v>
      </c>
      <c r="C320" s="1" t="n">
        <v>46065</v>
      </c>
      <c r="D320" t="inlineStr">
        <is>
          <t>GOTLANDS LÄN</t>
        </is>
      </c>
      <c r="E320" t="inlineStr">
        <is>
          <t>GOTLAND</t>
        </is>
      </c>
      <c r="G320" t="n">
        <v>8</v>
      </c>
      <c r="H320" t="n">
        <v>0</v>
      </c>
      <c r="I320" t="n">
        <v>0</v>
      </c>
      <c r="J320" t="n">
        <v>0</v>
      </c>
      <c r="K320" t="n">
        <v>0</v>
      </c>
      <c r="L320" t="n">
        <v>0</v>
      </c>
      <c r="M320" t="n">
        <v>0</v>
      </c>
      <c r="N320" t="n">
        <v>0</v>
      </c>
      <c r="O320" t="n">
        <v>0</v>
      </c>
      <c r="P320" t="n">
        <v>0</v>
      </c>
      <c r="Q320" t="n">
        <v>0</v>
      </c>
      <c r="R320" s="2" t="inlineStr"/>
    </row>
    <row r="321" ht="15" customHeight="1">
      <c r="A321" t="inlineStr">
        <is>
          <t>A 27355-2025</t>
        </is>
      </c>
      <c r="B321" s="1" t="n">
        <v>45812</v>
      </c>
      <c r="C321" s="1" t="n">
        <v>46065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54073-2022</t>
        </is>
      </c>
      <c r="B322" s="1" t="n">
        <v>44881.50380787037</v>
      </c>
      <c r="C322" s="1" t="n">
        <v>46065</v>
      </c>
      <c r="D322" t="inlineStr">
        <is>
          <t>GOTLANDS LÄN</t>
        </is>
      </c>
      <c r="E322" t="inlineStr">
        <is>
          <t>GOTLAND</t>
        </is>
      </c>
      <c r="G322" t="n">
        <v>3.8</v>
      </c>
      <c r="H322" t="n">
        <v>0</v>
      </c>
      <c r="I322" t="n">
        <v>0</v>
      </c>
      <c r="J322" t="n">
        <v>0</v>
      </c>
      <c r="K322" t="n">
        <v>0</v>
      </c>
      <c r="L322" t="n">
        <v>0</v>
      </c>
      <c r="M322" t="n">
        <v>0</v>
      </c>
      <c r="N322" t="n">
        <v>0</v>
      </c>
      <c r="O322" t="n">
        <v>0</v>
      </c>
      <c r="P322" t="n">
        <v>0</v>
      </c>
      <c r="Q322" t="n">
        <v>0</v>
      </c>
      <c r="R322" s="2" t="inlineStr"/>
    </row>
    <row r="323" ht="15" customHeight="1">
      <c r="A323" t="inlineStr">
        <is>
          <t>A 16361-2024</t>
        </is>
      </c>
      <c r="B323" s="1" t="n">
        <v>45407</v>
      </c>
      <c r="C323" s="1" t="n">
        <v>46065</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6739-2025</t>
        </is>
      </c>
      <c r="B324" s="1" t="n">
        <v>45700</v>
      </c>
      <c r="C324" s="1" t="n">
        <v>46065</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7850-2025</t>
        </is>
      </c>
      <c r="B325" s="1" t="n">
        <v>45706</v>
      </c>
      <c r="C325" s="1" t="n">
        <v>46065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14804-2021</t>
        </is>
      </c>
      <c r="B326" s="1" t="n">
        <v>44280</v>
      </c>
      <c r="C326" s="1" t="n">
        <v>46065</v>
      </c>
      <c r="D326" t="inlineStr">
        <is>
          <t>GOTLANDS LÄN</t>
        </is>
      </c>
      <c r="E326" t="inlineStr">
        <is>
          <t>GOTLAND</t>
        </is>
      </c>
      <c r="G326" t="n">
        <v>2.2</v>
      </c>
      <c r="H326" t="n">
        <v>0</v>
      </c>
      <c r="I326" t="n">
        <v>0</v>
      </c>
      <c r="J326" t="n">
        <v>0</v>
      </c>
      <c r="K326" t="n">
        <v>0</v>
      </c>
      <c r="L326" t="n">
        <v>0</v>
      </c>
      <c r="M326" t="n">
        <v>0</v>
      </c>
      <c r="N326" t="n">
        <v>0</v>
      </c>
      <c r="O326" t="n">
        <v>0</v>
      </c>
      <c r="P326" t="n">
        <v>0</v>
      </c>
      <c r="Q326" t="n">
        <v>0</v>
      </c>
      <c r="R326" s="2" t="inlineStr"/>
    </row>
    <row r="327" ht="15" customHeight="1">
      <c r="A327" t="inlineStr">
        <is>
          <t>A 41038-2023</t>
        </is>
      </c>
      <c r="B327" s="1" t="n">
        <v>45173.60959490741</v>
      </c>
      <c r="C327" s="1" t="n">
        <v>46065</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46065</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46065</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46065</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29809-2022</t>
        </is>
      </c>
      <c r="B331" s="1" t="n">
        <v>44755.8713425926</v>
      </c>
      <c r="C331" s="1" t="n">
        <v>46065</v>
      </c>
      <c r="D331" t="inlineStr">
        <is>
          <t>GOTLANDS LÄN</t>
        </is>
      </c>
      <c r="E331" t="inlineStr">
        <is>
          <t>GOTLAND</t>
        </is>
      </c>
      <c r="G331" t="n">
        <v>11.5</v>
      </c>
      <c r="H331" t="n">
        <v>0</v>
      </c>
      <c r="I331" t="n">
        <v>0</v>
      </c>
      <c r="J331" t="n">
        <v>0</v>
      </c>
      <c r="K331" t="n">
        <v>0</v>
      </c>
      <c r="L331" t="n">
        <v>0</v>
      </c>
      <c r="M331" t="n">
        <v>0</v>
      </c>
      <c r="N331" t="n">
        <v>0</v>
      </c>
      <c r="O331" t="n">
        <v>0</v>
      </c>
      <c r="P331" t="n">
        <v>0</v>
      </c>
      <c r="Q331" t="n">
        <v>0</v>
      </c>
      <c r="R331" s="2" t="inlineStr"/>
    </row>
    <row r="332" ht="15" customHeight="1">
      <c r="A332" t="inlineStr">
        <is>
          <t>A 8444-2025</t>
        </is>
      </c>
      <c r="B332" s="1" t="n">
        <v>45709</v>
      </c>
      <c r="C332" s="1" t="n">
        <v>46065</v>
      </c>
      <c r="D332" t="inlineStr">
        <is>
          <t>GOTLANDS LÄN</t>
        </is>
      </c>
      <c r="E332" t="inlineStr">
        <is>
          <t>GOTLAND</t>
        </is>
      </c>
      <c r="G332" t="n">
        <v>5.2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46065</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14427-2024</t>
        </is>
      </c>
      <c r="B334" s="1" t="n">
        <v>45394</v>
      </c>
      <c r="C334" s="1" t="n">
        <v>46065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57685-2022</t>
        </is>
      </c>
      <c r="B335" s="1" t="n">
        <v>44897.4777662037</v>
      </c>
      <c r="C335" s="1" t="n">
        <v>46065</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30815-2023</t>
        </is>
      </c>
      <c r="B336" s="1" t="n">
        <v>45112</v>
      </c>
      <c r="C336" s="1" t="n">
        <v>46065</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19905-2025</t>
        </is>
      </c>
      <c r="B337" s="1" t="n">
        <v>45771</v>
      </c>
      <c r="C337" s="1" t="n">
        <v>46065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31802-2024</t>
        </is>
      </c>
      <c r="B338" s="1" t="n">
        <v>45509</v>
      </c>
      <c r="C338" s="1" t="n">
        <v>46065</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29196-2025</t>
        </is>
      </c>
      <c r="B339" s="1" t="n">
        <v>45822</v>
      </c>
      <c r="C339" s="1" t="n">
        <v>46065</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7034-2023</t>
        </is>
      </c>
      <c r="B340" s="1" t="n">
        <v>44968.32108796296</v>
      </c>
      <c r="C340" s="1" t="n">
        <v>46065</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7042-2023</t>
        </is>
      </c>
      <c r="B341" s="1" t="n">
        <v>44968</v>
      </c>
      <c r="C341" s="1" t="n">
        <v>46065</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29207-2025</t>
        </is>
      </c>
      <c r="B342" s="1" t="n">
        <v>45823</v>
      </c>
      <c r="C342" s="1" t="n">
        <v>46065</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46065</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46065</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46065</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27602-2023</t>
        </is>
      </c>
      <c r="B346" s="1" t="n">
        <v>45097</v>
      </c>
      <c r="C346" s="1" t="n">
        <v>46065</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8036-2022</t>
        </is>
      </c>
      <c r="B347" s="1" t="n">
        <v>44609.44362268518</v>
      </c>
      <c r="C347" s="1" t="n">
        <v>46065</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12846-2025</t>
        </is>
      </c>
      <c r="B348" s="1" t="n">
        <v>45733.65049768519</v>
      </c>
      <c r="C348" s="1" t="n">
        <v>46065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30061-2025</t>
        </is>
      </c>
      <c r="B349" s="1" t="n">
        <v>45826.61488425926</v>
      </c>
      <c r="C349" s="1" t="n">
        <v>46065</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63229-2021</t>
        </is>
      </c>
      <c r="B350" s="1" t="n">
        <v>44508.34518518519</v>
      </c>
      <c r="C350" s="1" t="n">
        <v>46065</v>
      </c>
      <c r="D350" t="inlineStr">
        <is>
          <t>GOTLANDS LÄN</t>
        </is>
      </c>
      <c r="E350" t="inlineStr">
        <is>
          <t>GOTLAND</t>
        </is>
      </c>
      <c r="F350" t="inlineStr">
        <is>
          <t>Kyrkan</t>
        </is>
      </c>
      <c r="G350" t="n">
        <v>3.8</v>
      </c>
      <c r="H350" t="n">
        <v>0</v>
      </c>
      <c r="I350" t="n">
        <v>0</v>
      </c>
      <c r="J350" t="n">
        <v>0</v>
      </c>
      <c r="K350" t="n">
        <v>0</v>
      </c>
      <c r="L350" t="n">
        <v>0</v>
      </c>
      <c r="M350" t="n">
        <v>0</v>
      </c>
      <c r="N350" t="n">
        <v>0</v>
      </c>
      <c r="O350" t="n">
        <v>0</v>
      </c>
      <c r="P350" t="n">
        <v>0</v>
      </c>
      <c r="Q350" t="n">
        <v>0</v>
      </c>
      <c r="R350" s="2" t="inlineStr"/>
    </row>
    <row r="351" ht="15" customHeight="1">
      <c r="A351" t="inlineStr">
        <is>
          <t>A 46375-2024</t>
        </is>
      </c>
      <c r="B351" s="1" t="n">
        <v>45582</v>
      </c>
      <c r="C351" s="1" t="n">
        <v>46065</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58160-2024</t>
        </is>
      </c>
      <c r="B352" s="1" t="n">
        <v>45632.44927083333</v>
      </c>
      <c r="C352" s="1" t="n">
        <v>46065</v>
      </c>
      <c r="D352" t="inlineStr">
        <is>
          <t>GOTLANDS LÄN</t>
        </is>
      </c>
      <c r="E352" t="inlineStr">
        <is>
          <t>GOTLAND</t>
        </is>
      </c>
      <c r="G352" t="n">
        <v>5.6</v>
      </c>
      <c r="H352" t="n">
        <v>0</v>
      </c>
      <c r="I352" t="n">
        <v>0</v>
      </c>
      <c r="J352" t="n">
        <v>0</v>
      </c>
      <c r="K352" t="n">
        <v>0</v>
      </c>
      <c r="L352" t="n">
        <v>0</v>
      </c>
      <c r="M352" t="n">
        <v>0</v>
      </c>
      <c r="N352" t="n">
        <v>0</v>
      </c>
      <c r="O352" t="n">
        <v>0</v>
      </c>
      <c r="P352" t="n">
        <v>0</v>
      </c>
      <c r="Q352" t="n">
        <v>0</v>
      </c>
      <c r="R352" s="2" t="inlineStr"/>
    </row>
    <row r="353" ht="15" customHeight="1">
      <c r="A353" t="inlineStr">
        <is>
          <t>A 46949-2024</t>
        </is>
      </c>
      <c r="B353" s="1" t="n">
        <v>45585</v>
      </c>
      <c r="C353" s="1" t="n">
        <v>46065</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46065</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4377-2023</t>
        </is>
      </c>
      <c r="B355" s="1" t="n">
        <v>44955.5502662037</v>
      </c>
      <c r="C355" s="1" t="n">
        <v>46065</v>
      </c>
      <c r="D355" t="inlineStr">
        <is>
          <t>GOTLANDS LÄN</t>
        </is>
      </c>
      <c r="E355" t="inlineStr">
        <is>
          <t>GOTLAND</t>
        </is>
      </c>
      <c r="F355" t="inlineStr">
        <is>
          <t>Kyrkan</t>
        </is>
      </c>
      <c r="G355" t="n">
        <v>0.6</v>
      </c>
      <c r="H355" t="n">
        <v>0</v>
      </c>
      <c r="I355" t="n">
        <v>0</v>
      </c>
      <c r="J355" t="n">
        <v>0</v>
      </c>
      <c r="K355" t="n">
        <v>0</v>
      </c>
      <c r="L355" t="n">
        <v>0</v>
      </c>
      <c r="M355" t="n">
        <v>0</v>
      </c>
      <c r="N355" t="n">
        <v>0</v>
      </c>
      <c r="O355" t="n">
        <v>0</v>
      </c>
      <c r="P355" t="n">
        <v>0</v>
      </c>
      <c r="Q355" t="n">
        <v>0</v>
      </c>
      <c r="R355" s="2" t="inlineStr"/>
    </row>
    <row r="356" ht="15" customHeight="1">
      <c r="A356" t="inlineStr">
        <is>
          <t>A 4387-2023</t>
        </is>
      </c>
      <c r="B356" s="1" t="n">
        <v>44955.73359953704</v>
      </c>
      <c r="C356" s="1" t="n">
        <v>46065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39479-2022</t>
        </is>
      </c>
      <c r="B357" s="1" t="n">
        <v>44818</v>
      </c>
      <c r="C357" s="1" t="n">
        <v>46065</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1734-2025</t>
        </is>
      </c>
      <c r="B358" s="1" t="n">
        <v>45671.3840625</v>
      </c>
      <c r="C358" s="1" t="n">
        <v>46065</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20993-2023</t>
        </is>
      </c>
      <c r="B359" s="1" t="n">
        <v>45056</v>
      </c>
      <c r="C359" s="1" t="n">
        <v>46065</v>
      </c>
      <c r="D359" t="inlineStr">
        <is>
          <t>GOTLANDS LÄN</t>
        </is>
      </c>
      <c r="E359" t="inlineStr">
        <is>
          <t>GOTLAND</t>
        </is>
      </c>
      <c r="G359" t="n">
        <v>7.1</v>
      </c>
      <c r="H359" t="n">
        <v>0</v>
      </c>
      <c r="I359" t="n">
        <v>0</v>
      </c>
      <c r="J359" t="n">
        <v>0</v>
      </c>
      <c r="K359" t="n">
        <v>0</v>
      </c>
      <c r="L359" t="n">
        <v>0</v>
      </c>
      <c r="M359" t="n">
        <v>0</v>
      </c>
      <c r="N359" t="n">
        <v>0</v>
      </c>
      <c r="O359" t="n">
        <v>0</v>
      </c>
      <c r="P359" t="n">
        <v>0</v>
      </c>
      <c r="Q359" t="n">
        <v>0</v>
      </c>
      <c r="R359" s="2" t="inlineStr"/>
    </row>
    <row r="360" ht="15" customHeight="1">
      <c r="A360" t="inlineStr">
        <is>
          <t>A 11634-2024</t>
        </is>
      </c>
      <c r="B360" s="1" t="n">
        <v>45373</v>
      </c>
      <c r="C360" s="1" t="n">
        <v>46065</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51963-2024</t>
        </is>
      </c>
      <c r="B361" s="1" t="n">
        <v>45607.64833333333</v>
      </c>
      <c r="C361" s="1" t="n">
        <v>46065</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1351-2025</t>
        </is>
      </c>
      <c r="B362" s="1" t="n">
        <v>45667.62246527777</v>
      </c>
      <c r="C362" s="1" t="n">
        <v>46065</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39496-2022</t>
        </is>
      </c>
      <c r="B363" s="1" t="n">
        <v>44818</v>
      </c>
      <c r="C363" s="1" t="n">
        <v>46065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46065</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32379-2025</t>
        </is>
      </c>
      <c r="B365" s="1" t="n">
        <v>45837</v>
      </c>
      <c r="C365" s="1" t="n">
        <v>46065</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2125-2025</t>
        </is>
      </c>
      <c r="B366" s="1" t="n">
        <v>45672.64940972222</v>
      </c>
      <c r="C366" s="1" t="n">
        <v>46065</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811-2023</t>
        </is>
      </c>
      <c r="B367" s="1" t="n">
        <v>44931</v>
      </c>
      <c r="C367" s="1" t="n">
        <v>46065</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46389-2021</t>
        </is>
      </c>
      <c r="B368" s="1" t="n">
        <v>44443</v>
      </c>
      <c r="C368" s="1" t="n">
        <v>46065</v>
      </c>
      <c r="D368" t="inlineStr">
        <is>
          <t>GOTLANDS LÄN</t>
        </is>
      </c>
      <c r="E368" t="inlineStr">
        <is>
          <t>GOTLAND</t>
        </is>
      </c>
      <c r="F368" t="inlineStr">
        <is>
          <t>Kyrkan</t>
        </is>
      </c>
      <c r="G368" t="n">
        <v>2.1</v>
      </c>
      <c r="H368" t="n">
        <v>0</v>
      </c>
      <c r="I368" t="n">
        <v>0</v>
      </c>
      <c r="J368" t="n">
        <v>0</v>
      </c>
      <c r="K368" t="n">
        <v>0</v>
      </c>
      <c r="L368" t="n">
        <v>0</v>
      </c>
      <c r="M368" t="n">
        <v>0</v>
      </c>
      <c r="N368" t="n">
        <v>0</v>
      </c>
      <c r="O368" t="n">
        <v>0</v>
      </c>
      <c r="P368" t="n">
        <v>0</v>
      </c>
      <c r="Q368" t="n">
        <v>0</v>
      </c>
      <c r="R368" s="2" t="inlineStr"/>
    </row>
    <row r="369" ht="15" customHeight="1">
      <c r="A369" t="inlineStr">
        <is>
          <t>A 49874-2024</t>
        </is>
      </c>
      <c r="B369" s="1" t="n">
        <v>45597.49274305555</v>
      </c>
      <c r="C369" s="1" t="n">
        <v>46065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12155-2023</t>
        </is>
      </c>
      <c r="B370" s="1" t="n">
        <v>44998.49106481481</v>
      </c>
      <c r="C370" s="1" t="n">
        <v>46065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26810-2021</t>
        </is>
      </c>
      <c r="B371" s="1" t="n">
        <v>44349.55087962963</v>
      </c>
      <c r="C371" s="1" t="n">
        <v>46065</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32467-2025</t>
        </is>
      </c>
      <c r="B372" s="1" t="n">
        <v>45838.42111111111</v>
      </c>
      <c r="C372" s="1" t="n">
        <v>46065</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457-2023</t>
        </is>
      </c>
      <c r="B373" s="1" t="n">
        <v>44929.87238425926</v>
      </c>
      <c r="C373" s="1" t="n">
        <v>46065</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459-2023</t>
        </is>
      </c>
      <c r="B374" s="1" t="n">
        <v>44929.87423611111</v>
      </c>
      <c r="C374" s="1" t="n">
        <v>46065</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38234-2023</t>
        </is>
      </c>
      <c r="B375" s="1" t="n">
        <v>45161.56663194444</v>
      </c>
      <c r="C375" s="1" t="n">
        <v>46065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16109-2025</t>
        </is>
      </c>
      <c r="B376" s="1" t="n">
        <v>45750</v>
      </c>
      <c r="C376" s="1" t="n">
        <v>46065</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5923-2023</t>
        </is>
      </c>
      <c r="B377" s="1" t="n">
        <v>44963.69503472222</v>
      </c>
      <c r="C377" s="1" t="n">
        <v>46065</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33853-2024</t>
        </is>
      </c>
      <c r="B378" s="1" t="n">
        <v>45520.64298611111</v>
      </c>
      <c r="C378" s="1" t="n">
        <v>46065</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42201-2023</t>
        </is>
      </c>
      <c r="B379" s="1" t="n">
        <v>45179</v>
      </c>
      <c r="C379" s="1" t="n">
        <v>46065</v>
      </c>
      <c r="D379" t="inlineStr">
        <is>
          <t>GOTLANDS LÄN</t>
        </is>
      </c>
      <c r="E379" t="inlineStr">
        <is>
          <t>GOTLAND</t>
        </is>
      </c>
      <c r="G379" t="n">
        <v>11.9</v>
      </c>
      <c r="H379" t="n">
        <v>0</v>
      </c>
      <c r="I379" t="n">
        <v>0</v>
      </c>
      <c r="J379" t="n">
        <v>0</v>
      </c>
      <c r="K379" t="n">
        <v>0</v>
      </c>
      <c r="L379" t="n">
        <v>0</v>
      </c>
      <c r="M379" t="n">
        <v>0</v>
      </c>
      <c r="N379" t="n">
        <v>0</v>
      </c>
      <c r="O379" t="n">
        <v>0</v>
      </c>
      <c r="P379" t="n">
        <v>0</v>
      </c>
      <c r="Q379" t="n">
        <v>0</v>
      </c>
      <c r="R379" s="2" t="inlineStr"/>
    </row>
    <row r="380" ht="15" customHeight="1">
      <c r="A380" t="inlineStr">
        <is>
          <t>A 18918-2025</t>
        </is>
      </c>
      <c r="B380" s="1" t="n">
        <v>45764</v>
      </c>
      <c r="C380" s="1" t="n">
        <v>46065</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46400-2023</t>
        </is>
      </c>
      <c r="B381" s="1" t="n">
        <v>45197.49290509259</v>
      </c>
      <c r="C381" s="1" t="n">
        <v>46065</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50744-2024</t>
        </is>
      </c>
      <c r="B382" s="1" t="n">
        <v>45602.4187037037</v>
      </c>
      <c r="C382" s="1" t="n">
        <v>46065</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2674-2023</t>
        </is>
      </c>
      <c r="B383" s="1" t="n">
        <v>44944</v>
      </c>
      <c r="C383" s="1" t="n">
        <v>46065</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9875-2025</t>
        </is>
      </c>
      <c r="B384" s="1" t="n">
        <v>45716</v>
      </c>
      <c r="C384" s="1" t="n">
        <v>46065</v>
      </c>
      <c r="D384" t="inlineStr">
        <is>
          <t>GOTLANDS LÄN</t>
        </is>
      </c>
      <c r="E384" t="inlineStr">
        <is>
          <t>GOTLAND</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46065</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46065</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33007-2025</t>
        </is>
      </c>
      <c r="B387" s="1" t="n">
        <v>45840</v>
      </c>
      <c r="C387" s="1" t="n">
        <v>46065</v>
      </c>
      <c r="D387" t="inlineStr">
        <is>
          <t>GOTLANDS LÄN</t>
        </is>
      </c>
      <c r="E387" t="inlineStr">
        <is>
          <t>GOTLAND</t>
        </is>
      </c>
      <c r="G387" t="n">
        <v>4.9</v>
      </c>
      <c r="H387" t="n">
        <v>0</v>
      </c>
      <c r="I387" t="n">
        <v>0</v>
      </c>
      <c r="J387" t="n">
        <v>0</v>
      </c>
      <c r="K387" t="n">
        <v>0</v>
      </c>
      <c r="L387" t="n">
        <v>0</v>
      </c>
      <c r="M387" t="n">
        <v>0</v>
      </c>
      <c r="N387" t="n">
        <v>0</v>
      </c>
      <c r="O387" t="n">
        <v>0</v>
      </c>
      <c r="P387" t="n">
        <v>0</v>
      </c>
      <c r="Q387" t="n">
        <v>0</v>
      </c>
      <c r="R387" s="2" t="inlineStr"/>
    </row>
    <row r="388" ht="15" customHeight="1">
      <c r="A388" t="inlineStr">
        <is>
          <t>A 10655-2023</t>
        </is>
      </c>
      <c r="B388" s="1" t="n">
        <v>44988.49543981482</v>
      </c>
      <c r="C388" s="1" t="n">
        <v>46065</v>
      </c>
      <c r="D388" t="inlineStr">
        <is>
          <t>GOTLANDS LÄN</t>
        </is>
      </c>
      <c r="E388" t="inlineStr">
        <is>
          <t>GOTLAND</t>
        </is>
      </c>
      <c r="F388" t="inlineStr">
        <is>
          <t>Kyrkan</t>
        </is>
      </c>
      <c r="G388" t="n">
        <v>2</v>
      </c>
      <c r="H388" t="n">
        <v>0</v>
      </c>
      <c r="I388" t="n">
        <v>0</v>
      </c>
      <c r="J388" t="n">
        <v>0</v>
      </c>
      <c r="K388" t="n">
        <v>0</v>
      </c>
      <c r="L388" t="n">
        <v>0</v>
      </c>
      <c r="M388" t="n">
        <v>0</v>
      </c>
      <c r="N388" t="n">
        <v>0</v>
      </c>
      <c r="O388" t="n">
        <v>0</v>
      </c>
      <c r="P388" t="n">
        <v>0</v>
      </c>
      <c r="Q388" t="n">
        <v>0</v>
      </c>
      <c r="R388" s="2" t="inlineStr"/>
    </row>
    <row r="389" ht="15" customHeight="1">
      <c r="A389" t="inlineStr">
        <is>
          <t>A 2719-2023</t>
        </is>
      </c>
      <c r="B389" s="1" t="n">
        <v>44944.55361111111</v>
      </c>
      <c r="C389" s="1" t="n">
        <v>46065</v>
      </c>
      <c r="D389" t="inlineStr">
        <is>
          <t>GOTLANDS LÄN</t>
        </is>
      </c>
      <c r="E389" t="inlineStr">
        <is>
          <t>GOTLAND</t>
        </is>
      </c>
      <c r="G389" t="n">
        <v>0.5</v>
      </c>
      <c r="H389" t="n">
        <v>0</v>
      </c>
      <c r="I389" t="n">
        <v>0</v>
      </c>
      <c r="J389" t="n">
        <v>0</v>
      </c>
      <c r="K389" t="n">
        <v>0</v>
      </c>
      <c r="L389" t="n">
        <v>0</v>
      </c>
      <c r="M389" t="n">
        <v>0</v>
      </c>
      <c r="N389" t="n">
        <v>0</v>
      </c>
      <c r="O389" t="n">
        <v>0</v>
      </c>
      <c r="P389" t="n">
        <v>0</v>
      </c>
      <c r="Q389" t="n">
        <v>0</v>
      </c>
      <c r="R389" s="2" t="inlineStr"/>
    </row>
    <row r="390" ht="15" customHeight="1">
      <c r="A390" t="inlineStr">
        <is>
          <t>A 26891-2024</t>
        </is>
      </c>
      <c r="B390" s="1" t="n">
        <v>45470.65540509259</v>
      </c>
      <c r="C390" s="1" t="n">
        <v>46065</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42007-2023</t>
        </is>
      </c>
      <c r="B391" s="1" t="n">
        <v>45177</v>
      </c>
      <c r="C391" s="1" t="n">
        <v>46065</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22897-2023</t>
        </is>
      </c>
      <c r="B392" s="1" t="n">
        <v>45072.55239583334</v>
      </c>
      <c r="C392" s="1" t="n">
        <v>46065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9887-2025</t>
        </is>
      </c>
      <c r="B393" s="1" t="n">
        <v>45716</v>
      </c>
      <c r="C393" s="1" t="n">
        <v>46065</v>
      </c>
      <c r="D393" t="inlineStr">
        <is>
          <t>GOTLANDS LÄN</t>
        </is>
      </c>
      <c r="E393" t="inlineStr">
        <is>
          <t>GOTLAND</t>
        </is>
      </c>
      <c r="G393" t="n">
        <v>7.5</v>
      </c>
      <c r="H393" t="n">
        <v>0</v>
      </c>
      <c r="I393" t="n">
        <v>0</v>
      </c>
      <c r="J393" t="n">
        <v>0</v>
      </c>
      <c r="K393" t="n">
        <v>0</v>
      </c>
      <c r="L393" t="n">
        <v>0</v>
      </c>
      <c r="M393" t="n">
        <v>0</v>
      </c>
      <c r="N393" t="n">
        <v>0</v>
      </c>
      <c r="O393" t="n">
        <v>0</v>
      </c>
      <c r="P393" t="n">
        <v>0</v>
      </c>
      <c r="Q393" t="n">
        <v>0</v>
      </c>
      <c r="R393" s="2" t="inlineStr"/>
    </row>
    <row r="394" ht="15" customHeight="1">
      <c r="A394" t="inlineStr">
        <is>
          <t>A 38165-2023</t>
        </is>
      </c>
      <c r="B394" s="1" t="n">
        <v>45161</v>
      </c>
      <c r="C394" s="1" t="n">
        <v>46065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61897-2024</t>
        </is>
      </c>
      <c r="B395" s="1" t="n">
        <v>45652.75685185185</v>
      </c>
      <c r="C395" s="1" t="n">
        <v>46065</v>
      </c>
      <c r="D395" t="inlineStr">
        <is>
          <t>GOTLANDS LÄN</t>
        </is>
      </c>
      <c r="E395" t="inlineStr">
        <is>
          <t>GOTLAND</t>
        </is>
      </c>
      <c r="G395" t="n">
        <v>6.4</v>
      </c>
      <c r="H395" t="n">
        <v>0</v>
      </c>
      <c r="I395" t="n">
        <v>0</v>
      </c>
      <c r="J395" t="n">
        <v>0</v>
      </c>
      <c r="K395" t="n">
        <v>0</v>
      </c>
      <c r="L395" t="n">
        <v>0</v>
      </c>
      <c r="M395" t="n">
        <v>0</v>
      </c>
      <c r="N395" t="n">
        <v>0</v>
      </c>
      <c r="O395" t="n">
        <v>0</v>
      </c>
      <c r="P395" t="n">
        <v>0</v>
      </c>
      <c r="Q395" t="n">
        <v>0</v>
      </c>
      <c r="R395" s="2" t="inlineStr"/>
    </row>
    <row r="396" ht="15" customHeight="1">
      <c r="A396" t="inlineStr">
        <is>
          <t>A 27596-2023</t>
        </is>
      </c>
      <c r="B396" s="1" t="n">
        <v>45097</v>
      </c>
      <c r="C396" s="1" t="n">
        <v>46065</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49962-2023</t>
        </is>
      </c>
      <c r="B397" s="1" t="n">
        <v>45215.38775462963</v>
      </c>
      <c r="C397" s="1" t="n">
        <v>46065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53934-2024</t>
        </is>
      </c>
      <c r="B398" s="1" t="n">
        <v>45615</v>
      </c>
      <c r="C398" s="1" t="n">
        <v>46065</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24825-2024</t>
        </is>
      </c>
      <c r="B399" s="1" t="n">
        <v>45461</v>
      </c>
      <c r="C399" s="1" t="n">
        <v>46065</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6696-2023</t>
        </is>
      </c>
      <c r="B400" s="1" t="n">
        <v>44966.66425925926</v>
      </c>
      <c r="C400" s="1" t="n">
        <v>46065</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20165-2022</t>
        </is>
      </c>
      <c r="B401" s="1" t="n">
        <v>44698.49854166667</v>
      </c>
      <c r="C401" s="1" t="n">
        <v>46065</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40294-2022</t>
        </is>
      </c>
      <c r="B402" s="1" t="n">
        <v>44821</v>
      </c>
      <c r="C402" s="1" t="n">
        <v>46065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21247-2022</t>
        </is>
      </c>
      <c r="B403" s="1" t="n">
        <v>44705.38832175926</v>
      </c>
      <c r="C403" s="1" t="n">
        <v>46065</v>
      </c>
      <c r="D403" t="inlineStr">
        <is>
          <t>GOTLANDS LÄN</t>
        </is>
      </c>
      <c r="E403" t="inlineStr">
        <is>
          <t>GOTLAND</t>
        </is>
      </c>
      <c r="G403" t="n">
        <v>16.2</v>
      </c>
      <c r="H403" t="n">
        <v>0</v>
      </c>
      <c r="I403" t="n">
        <v>0</v>
      </c>
      <c r="J403" t="n">
        <v>0</v>
      </c>
      <c r="K403" t="n">
        <v>0</v>
      </c>
      <c r="L403" t="n">
        <v>0</v>
      </c>
      <c r="M403" t="n">
        <v>0</v>
      </c>
      <c r="N403" t="n">
        <v>0</v>
      </c>
      <c r="O403" t="n">
        <v>0</v>
      </c>
      <c r="P403" t="n">
        <v>0</v>
      </c>
      <c r="Q403" t="n">
        <v>0</v>
      </c>
      <c r="R403" s="2" t="inlineStr"/>
    </row>
    <row r="404" ht="15" customHeight="1">
      <c r="A404" t="inlineStr">
        <is>
          <t>A 456-2023</t>
        </is>
      </c>
      <c r="B404" s="1" t="n">
        <v>44929.87122685185</v>
      </c>
      <c r="C404" s="1" t="n">
        <v>46065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12032-2025</t>
        </is>
      </c>
      <c r="B405" s="1" t="n">
        <v>45728.64472222222</v>
      </c>
      <c r="C405" s="1" t="n">
        <v>46065</v>
      </c>
      <c r="D405" t="inlineStr">
        <is>
          <t>GOTLANDS LÄN</t>
        </is>
      </c>
      <c r="E405" t="inlineStr">
        <is>
          <t>GOTLAND</t>
        </is>
      </c>
      <c r="G405" t="n">
        <v>1.4</v>
      </c>
      <c r="H405" t="n">
        <v>0</v>
      </c>
      <c r="I405" t="n">
        <v>0</v>
      </c>
      <c r="J405" t="n">
        <v>0</v>
      </c>
      <c r="K405" t="n">
        <v>0</v>
      </c>
      <c r="L405" t="n">
        <v>0</v>
      </c>
      <c r="M405" t="n">
        <v>0</v>
      </c>
      <c r="N405" t="n">
        <v>0</v>
      </c>
      <c r="O405" t="n">
        <v>0</v>
      </c>
      <c r="P405" t="n">
        <v>0</v>
      </c>
      <c r="Q405" t="n">
        <v>0</v>
      </c>
      <c r="R405" s="2" t="inlineStr"/>
    </row>
    <row r="406" ht="15" customHeight="1">
      <c r="A406" t="inlineStr">
        <is>
          <t>A 38787-2023</t>
        </is>
      </c>
      <c r="B406" s="1" t="n">
        <v>45163</v>
      </c>
      <c r="C406" s="1" t="n">
        <v>46065</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2714-2023</t>
        </is>
      </c>
      <c r="B407" s="1" t="n">
        <v>44944.54896990741</v>
      </c>
      <c r="C407" s="1" t="n">
        <v>46065</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15413-2025</t>
        </is>
      </c>
      <c r="B408" s="1" t="n">
        <v>45747.451875</v>
      </c>
      <c r="C408" s="1" t="n">
        <v>46065</v>
      </c>
      <c r="D408" t="inlineStr">
        <is>
          <t>GOTLANDS LÄN</t>
        </is>
      </c>
      <c r="E408" t="inlineStr">
        <is>
          <t>GOTLAND</t>
        </is>
      </c>
      <c r="G408" t="n">
        <v>0.6</v>
      </c>
      <c r="H408" t="n">
        <v>0</v>
      </c>
      <c r="I408" t="n">
        <v>0</v>
      </c>
      <c r="J408" t="n">
        <v>0</v>
      </c>
      <c r="K408" t="n">
        <v>0</v>
      </c>
      <c r="L408" t="n">
        <v>0</v>
      </c>
      <c r="M408" t="n">
        <v>0</v>
      </c>
      <c r="N408" t="n">
        <v>0</v>
      </c>
      <c r="O408" t="n">
        <v>0</v>
      </c>
      <c r="P408" t="n">
        <v>0</v>
      </c>
      <c r="Q408" t="n">
        <v>0</v>
      </c>
      <c r="R408" s="2" t="inlineStr"/>
    </row>
    <row r="409" ht="15" customHeight="1">
      <c r="A409" t="inlineStr">
        <is>
          <t>A 43231-2023</t>
        </is>
      </c>
      <c r="B409" s="1" t="n">
        <v>45183.47025462963</v>
      </c>
      <c r="C409" s="1" t="n">
        <v>46065</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46065</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35123-2025</t>
        </is>
      </c>
      <c r="B411" s="1" t="n">
        <v>45852.614375</v>
      </c>
      <c r="C411" s="1" t="n">
        <v>46065</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35096-2025</t>
        </is>
      </c>
      <c r="B412" s="1" t="n">
        <v>45852.54356481481</v>
      </c>
      <c r="C412" s="1" t="n">
        <v>46065</v>
      </c>
      <c r="D412" t="inlineStr">
        <is>
          <t>GOTLANDS LÄN</t>
        </is>
      </c>
      <c r="E412" t="inlineStr">
        <is>
          <t>GOTLAND</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3935-2025</t>
        </is>
      </c>
      <c r="B413" s="1" t="n">
        <v>45684.46070601852</v>
      </c>
      <c r="C413" s="1" t="n">
        <v>46065</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4421-2024</t>
        </is>
      </c>
      <c r="B414" s="1" t="n">
        <v>45327.45173611111</v>
      </c>
      <c r="C414" s="1" t="n">
        <v>46065</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30104-2025</t>
        </is>
      </c>
      <c r="B415" s="1" t="n">
        <v>45826.68806712963</v>
      </c>
      <c r="C415" s="1" t="n">
        <v>46065</v>
      </c>
      <c r="D415" t="inlineStr">
        <is>
          <t>GOTLANDS LÄN</t>
        </is>
      </c>
      <c r="E415" t="inlineStr">
        <is>
          <t>GOTLAND</t>
        </is>
      </c>
      <c r="G415" t="n">
        <v>15.4</v>
      </c>
      <c r="H415" t="n">
        <v>0</v>
      </c>
      <c r="I415" t="n">
        <v>0</v>
      </c>
      <c r="J415" t="n">
        <v>0</v>
      </c>
      <c r="K415" t="n">
        <v>0</v>
      </c>
      <c r="L415" t="n">
        <v>0</v>
      </c>
      <c r="M415" t="n">
        <v>0</v>
      </c>
      <c r="N415" t="n">
        <v>0</v>
      </c>
      <c r="O415" t="n">
        <v>0</v>
      </c>
      <c r="P415" t="n">
        <v>0</v>
      </c>
      <c r="Q415" t="n">
        <v>0</v>
      </c>
      <c r="R415" s="2" t="inlineStr"/>
    </row>
    <row r="416" ht="15" customHeight="1">
      <c r="A416" t="inlineStr">
        <is>
          <t>A 1446-2025</t>
        </is>
      </c>
      <c r="B416" s="1" t="n">
        <v>45669.86035879629</v>
      </c>
      <c r="C416" s="1" t="n">
        <v>46065</v>
      </c>
      <c r="D416" t="inlineStr">
        <is>
          <t>GOTLANDS LÄN</t>
        </is>
      </c>
      <c r="E416" t="inlineStr">
        <is>
          <t>GOTLAND</t>
        </is>
      </c>
      <c r="G416" t="n">
        <v>3.1</v>
      </c>
      <c r="H416" t="n">
        <v>0</v>
      </c>
      <c r="I416" t="n">
        <v>0</v>
      </c>
      <c r="J416" t="n">
        <v>0</v>
      </c>
      <c r="K416" t="n">
        <v>0</v>
      </c>
      <c r="L416" t="n">
        <v>0</v>
      </c>
      <c r="M416" t="n">
        <v>0</v>
      </c>
      <c r="N416" t="n">
        <v>0</v>
      </c>
      <c r="O416" t="n">
        <v>0</v>
      </c>
      <c r="P416" t="n">
        <v>0</v>
      </c>
      <c r="Q416" t="n">
        <v>0</v>
      </c>
      <c r="R416" s="2" t="inlineStr"/>
    </row>
    <row r="417" ht="15" customHeight="1">
      <c r="A417" t="inlineStr">
        <is>
          <t>A 35290-2025</t>
        </is>
      </c>
      <c r="B417" s="1" t="n">
        <v>45854.38502314815</v>
      </c>
      <c r="C417" s="1" t="n">
        <v>46065</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32669-2024</t>
        </is>
      </c>
      <c r="B418" s="1" t="n">
        <v>45514</v>
      </c>
      <c r="C418" s="1" t="n">
        <v>46065</v>
      </c>
      <c r="D418" t="inlineStr">
        <is>
          <t>GOTLANDS LÄN</t>
        </is>
      </c>
      <c r="E418" t="inlineStr">
        <is>
          <t>GOTLAND</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35537-2025</t>
        </is>
      </c>
      <c r="B419" s="1" t="n">
        <v>45856</v>
      </c>
      <c r="C419" s="1" t="n">
        <v>46065</v>
      </c>
      <c r="D419" t="inlineStr">
        <is>
          <t>GOTLANDS LÄN</t>
        </is>
      </c>
      <c r="E419" t="inlineStr">
        <is>
          <t>GOTLAND</t>
        </is>
      </c>
      <c r="G419" t="n">
        <v>16.8</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46065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43901-2023</t>
        </is>
      </c>
      <c r="B421" s="1" t="n">
        <v>45187</v>
      </c>
      <c r="C421" s="1" t="n">
        <v>46065</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20225-2025</t>
        </is>
      </c>
      <c r="B422" s="1" t="n">
        <v>45772.65802083333</v>
      </c>
      <c r="C422" s="1" t="n">
        <v>46065</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883-2025</t>
        </is>
      </c>
      <c r="B423" s="1" t="n">
        <v>45665</v>
      </c>
      <c r="C423" s="1" t="n">
        <v>46065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15216-2025</t>
        </is>
      </c>
      <c r="B424" s="1" t="n">
        <v>45744</v>
      </c>
      <c r="C424" s="1" t="n">
        <v>46065</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10746-2025</t>
        </is>
      </c>
      <c r="B425" s="1" t="n">
        <v>45722.42766203704</v>
      </c>
      <c r="C425" s="1" t="n">
        <v>46065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43790-2024</t>
        </is>
      </c>
      <c r="B426" s="1" t="n">
        <v>45571</v>
      </c>
      <c r="C426" s="1" t="n">
        <v>46065</v>
      </c>
      <c r="D426" t="inlineStr">
        <is>
          <t>GOTLANDS LÄN</t>
        </is>
      </c>
      <c r="E426" t="inlineStr">
        <is>
          <t>GOTLAND</t>
        </is>
      </c>
      <c r="G426" t="n">
        <v>3.5</v>
      </c>
      <c r="H426" t="n">
        <v>0</v>
      </c>
      <c r="I426" t="n">
        <v>0</v>
      </c>
      <c r="J426" t="n">
        <v>0</v>
      </c>
      <c r="K426" t="n">
        <v>0</v>
      </c>
      <c r="L426" t="n">
        <v>0</v>
      </c>
      <c r="M426" t="n">
        <v>0</v>
      </c>
      <c r="N426" t="n">
        <v>0</v>
      </c>
      <c r="O426" t="n">
        <v>0</v>
      </c>
      <c r="P426" t="n">
        <v>0</v>
      </c>
      <c r="Q426" t="n">
        <v>0</v>
      </c>
      <c r="R426" s="2" t="inlineStr"/>
    </row>
    <row r="427" ht="15" customHeight="1">
      <c r="A427" t="inlineStr">
        <is>
          <t>A 16501-2023</t>
        </is>
      </c>
      <c r="B427" s="1" t="n">
        <v>45029</v>
      </c>
      <c r="C427" s="1" t="n">
        <v>46065</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15001-2025</t>
        </is>
      </c>
      <c r="B428" s="1" t="n">
        <v>45743</v>
      </c>
      <c r="C428" s="1" t="n">
        <v>46065</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30488-2025</t>
        </is>
      </c>
      <c r="B429" s="1" t="n">
        <v>45830</v>
      </c>
      <c r="C429" s="1" t="n">
        <v>46065</v>
      </c>
      <c r="D429" t="inlineStr">
        <is>
          <t>GOTLANDS LÄN</t>
        </is>
      </c>
      <c r="E429" t="inlineStr">
        <is>
          <t>GOTLAND</t>
        </is>
      </c>
      <c r="F429" t="inlineStr">
        <is>
          <t>Kyrkan</t>
        </is>
      </c>
      <c r="G429" t="n">
        <v>3.9</v>
      </c>
      <c r="H429" t="n">
        <v>0</v>
      </c>
      <c r="I429" t="n">
        <v>0</v>
      </c>
      <c r="J429" t="n">
        <v>0</v>
      </c>
      <c r="K429" t="n">
        <v>0</v>
      </c>
      <c r="L429" t="n">
        <v>0</v>
      </c>
      <c r="M429" t="n">
        <v>0</v>
      </c>
      <c r="N429" t="n">
        <v>0</v>
      </c>
      <c r="O429" t="n">
        <v>0</v>
      </c>
      <c r="P429" t="n">
        <v>0</v>
      </c>
      <c r="Q429" t="n">
        <v>0</v>
      </c>
      <c r="R429" s="2" t="inlineStr"/>
    </row>
    <row r="430" ht="15" customHeight="1">
      <c r="A430" t="inlineStr">
        <is>
          <t>A 51782-2023</t>
        </is>
      </c>
      <c r="B430" s="1" t="n">
        <v>45222.80952546297</v>
      </c>
      <c r="C430" s="1" t="n">
        <v>46065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17847-2025</t>
        </is>
      </c>
      <c r="B431" s="1" t="n">
        <v>45758</v>
      </c>
      <c r="C431" s="1" t="n">
        <v>46065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54268-2022</t>
        </is>
      </c>
      <c r="B432" s="1" t="n">
        <v>44882</v>
      </c>
      <c r="C432" s="1" t="n">
        <v>46065</v>
      </c>
      <c r="D432" t="inlineStr">
        <is>
          <t>GOTLANDS LÄN</t>
        </is>
      </c>
      <c r="E432" t="inlineStr">
        <is>
          <t>GOTLAND</t>
        </is>
      </c>
      <c r="G432" t="n">
        <v>2.7</v>
      </c>
      <c r="H432" t="n">
        <v>0</v>
      </c>
      <c r="I432" t="n">
        <v>0</v>
      </c>
      <c r="J432" t="n">
        <v>0</v>
      </c>
      <c r="K432" t="n">
        <v>0</v>
      </c>
      <c r="L432" t="n">
        <v>0</v>
      </c>
      <c r="M432" t="n">
        <v>0</v>
      </c>
      <c r="N432" t="n">
        <v>0</v>
      </c>
      <c r="O432" t="n">
        <v>0</v>
      </c>
      <c r="P432" t="n">
        <v>0</v>
      </c>
      <c r="Q432" t="n">
        <v>0</v>
      </c>
      <c r="R432" s="2" t="inlineStr"/>
    </row>
    <row r="433" ht="15" customHeight="1">
      <c r="A433" t="inlineStr">
        <is>
          <t>A 18742-2025</t>
        </is>
      </c>
      <c r="B433" s="1" t="n">
        <v>45763</v>
      </c>
      <c r="C433" s="1" t="n">
        <v>46065</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35129-2025</t>
        </is>
      </c>
      <c r="B434" s="1" t="n">
        <v>45852.63224537037</v>
      </c>
      <c r="C434" s="1" t="n">
        <v>46065</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46065</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1066-2024</t>
        </is>
      </c>
      <c r="B436" s="1" t="n">
        <v>45302.285</v>
      </c>
      <c r="C436" s="1" t="n">
        <v>46065</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61962-2024</t>
        </is>
      </c>
      <c r="B437" s="1" t="n">
        <v>45653.54340277778</v>
      </c>
      <c r="C437" s="1" t="n">
        <v>46065</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17144-2025</t>
        </is>
      </c>
      <c r="B438" s="1" t="n">
        <v>45755.9499537037</v>
      </c>
      <c r="C438" s="1" t="n">
        <v>46065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46065</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46065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10653-2023</t>
        </is>
      </c>
      <c r="B441" s="1" t="n">
        <v>44988.48859953704</v>
      </c>
      <c r="C441" s="1" t="n">
        <v>46065</v>
      </c>
      <c r="D441" t="inlineStr">
        <is>
          <t>GOTLANDS LÄN</t>
        </is>
      </c>
      <c r="E441" t="inlineStr">
        <is>
          <t>GOTLAND</t>
        </is>
      </c>
      <c r="F441" t="inlineStr">
        <is>
          <t>Kyrkan</t>
        </is>
      </c>
      <c r="G441" t="n">
        <v>3</v>
      </c>
      <c r="H441" t="n">
        <v>0</v>
      </c>
      <c r="I441" t="n">
        <v>0</v>
      </c>
      <c r="J441" t="n">
        <v>0</v>
      </c>
      <c r="K441" t="n">
        <v>0</v>
      </c>
      <c r="L441" t="n">
        <v>0</v>
      </c>
      <c r="M441" t="n">
        <v>0</v>
      </c>
      <c r="N441" t="n">
        <v>0</v>
      </c>
      <c r="O441" t="n">
        <v>0</v>
      </c>
      <c r="P441" t="n">
        <v>0</v>
      </c>
      <c r="Q441" t="n">
        <v>0</v>
      </c>
      <c r="R441" s="2" t="inlineStr"/>
    </row>
    <row r="442" ht="15" customHeight="1">
      <c r="A442" t="inlineStr">
        <is>
          <t>A 4990-2025</t>
        </is>
      </c>
      <c r="B442" s="1" t="n">
        <v>45691</v>
      </c>
      <c r="C442" s="1" t="n">
        <v>46065</v>
      </c>
      <c r="D442" t="inlineStr">
        <is>
          <t>GOTLANDS LÄN</t>
        </is>
      </c>
      <c r="E442" t="inlineStr">
        <is>
          <t>GOTLAND</t>
        </is>
      </c>
      <c r="G442" t="n">
        <v>7.7</v>
      </c>
      <c r="H442" t="n">
        <v>0</v>
      </c>
      <c r="I442" t="n">
        <v>0</v>
      </c>
      <c r="J442" t="n">
        <v>0</v>
      </c>
      <c r="K442" t="n">
        <v>0</v>
      </c>
      <c r="L442" t="n">
        <v>0</v>
      </c>
      <c r="M442" t="n">
        <v>0</v>
      </c>
      <c r="N442" t="n">
        <v>0</v>
      </c>
      <c r="O442" t="n">
        <v>0</v>
      </c>
      <c r="P442" t="n">
        <v>0</v>
      </c>
      <c r="Q442" t="n">
        <v>0</v>
      </c>
      <c r="R442" s="2" t="inlineStr"/>
    </row>
    <row r="443" ht="15" customHeight="1">
      <c r="A443" t="inlineStr">
        <is>
          <t>A 56009-2024</t>
        </is>
      </c>
      <c r="B443" s="1" t="n">
        <v>45623.80864583333</v>
      </c>
      <c r="C443" s="1" t="n">
        <v>46065</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42338-2023</t>
        </is>
      </c>
      <c r="B444" s="1" t="n">
        <v>45180</v>
      </c>
      <c r="C444" s="1" t="n">
        <v>46065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57534-2022</t>
        </is>
      </c>
      <c r="B445" s="1" t="n">
        <v>44896</v>
      </c>
      <c r="C445" s="1" t="n">
        <v>46065</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6108-2025</t>
        </is>
      </c>
      <c r="B446" s="1" t="n">
        <v>45698.29880787037</v>
      </c>
      <c r="C446" s="1" t="n">
        <v>46065</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21142-2025</t>
        </is>
      </c>
      <c r="B447" s="1" t="n">
        <v>45779</v>
      </c>
      <c r="C447" s="1" t="n">
        <v>46065</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43081-2022</t>
        </is>
      </c>
      <c r="B448" s="1" t="n">
        <v>44833</v>
      </c>
      <c r="C448" s="1" t="n">
        <v>46065</v>
      </c>
      <c r="D448" t="inlineStr">
        <is>
          <t>GOTLANDS LÄN</t>
        </is>
      </c>
      <c r="E448" t="inlineStr">
        <is>
          <t>GOTLAND</t>
        </is>
      </c>
      <c r="G448" t="n">
        <v>6.8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46065</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5884-2025</t>
        </is>
      </c>
      <c r="B450" s="1" t="n">
        <v>45695.37482638889</v>
      </c>
      <c r="C450" s="1" t="n">
        <v>46065</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5897-2025</t>
        </is>
      </c>
      <c r="B451" s="1" t="n">
        <v>45695.39273148148</v>
      </c>
      <c r="C451" s="1" t="n">
        <v>46065</v>
      </c>
      <c r="D451" t="inlineStr">
        <is>
          <t>GOTLANDS LÄN</t>
        </is>
      </c>
      <c r="E451" t="inlineStr">
        <is>
          <t>GOTLAND</t>
        </is>
      </c>
      <c r="G451" t="n">
        <v>3.7</v>
      </c>
      <c r="H451" t="n">
        <v>0</v>
      </c>
      <c r="I451" t="n">
        <v>0</v>
      </c>
      <c r="J451" t="n">
        <v>0</v>
      </c>
      <c r="K451" t="n">
        <v>0</v>
      </c>
      <c r="L451" t="n">
        <v>0</v>
      </c>
      <c r="M451" t="n">
        <v>0</v>
      </c>
      <c r="N451" t="n">
        <v>0</v>
      </c>
      <c r="O451" t="n">
        <v>0</v>
      </c>
      <c r="P451" t="n">
        <v>0</v>
      </c>
      <c r="Q451" t="n">
        <v>0</v>
      </c>
      <c r="R451" s="2" t="inlineStr"/>
    </row>
    <row r="452" ht="15" customHeight="1">
      <c r="A452" t="inlineStr">
        <is>
          <t>A 25866-2022</t>
        </is>
      </c>
      <c r="B452" s="1" t="n">
        <v>44733</v>
      </c>
      <c r="C452" s="1" t="n">
        <v>46065</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49693-2023</t>
        </is>
      </c>
      <c r="B453" s="1" t="n">
        <v>45212.38138888889</v>
      </c>
      <c r="C453" s="1" t="n">
        <v>46065</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49697-2023</t>
        </is>
      </c>
      <c r="B454" s="1" t="n">
        <v>45212.38909722222</v>
      </c>
      <c r="C454" s="1" t="n">
        <v>46065</v>
      </c>
      <c r="D454" t="inlineStr">
        <is>
          <t>GOTLANDS LÄN</t>
        </is>
      </c>
      <c r="E454" t="inlineStr">
        <is>
          <t>GOTLAND</t>
        </is>
      </c>
      <c r="G454" t="n">
        <v>4.4</v>
      </c>
      <c r="H454" t="n">
        <v>0</v>
      </c>
      <c r="I454" t="n">
        <v>0</v>
      </c>
      <c r="J454" t="n">
        <v>0</v>
      </c>
      <c r="K454" t="n">
        <v>0</v>
      </c>
      <c r="L454" t="n">
        <v>0</v>
      </c>
      <c r="M454" t="n">
        <v>0</v>
      </c>
      <c r="N454" t="n">
        <v>0</v>
      </c>
      <c r="O454" t="n">
        <v>0</v>
      </c>
      <c r="P454" t="n">
        <v>0</v>
      </c>
      <c r="Q454" t="n">
        <v>0</v>
      </c>
      <c r="R454" s="2" t="inlineStr"/>
    </row>
    <row r="455" ht="15" customHeight="1">
      <c r="A455" t="inlineStr">
        <is>
          <t>A 17343-2025</t>
        </is>
      </c>
      <c r="B455" s="1" t="n">
        <v>45756.6687037037</v>
      </c>
      <c r="C455" s="1" t="n">
        <v>46065</v>
      </c>
      <c r="D455" t="inlineStr">
        <is>
          <t>GOTLANDS LÄN</t>
        </is>
      </c>
      <c r="E455" t="inlineStr">
        <is>
          <t>GOTLAND</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18938-2025</t>
        </is>
      </c>
      <c r="B456" s="1" t="n">
        <v>45764.49172453704</v>
      </c>
      <c r="C456" s="1" t="n">
        <v>46065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46065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17901-2023</t>
        </is>
      </c>
      <c r="B458" s="1" t="n">
        <v>45039</v>
      </c>
      <c r="C458" s="1" t="n">
        <v>46065</v>
      </c>
      <c r="D458" t="inlineStr">
        <is>
          <t>GOTLANDS LÄN</t>
        </is>
      </c>
      <c r="E458" t="inlineStr">
        <is>
          <t>GOTLAND</t>
        </is>
      </c>
      <c r="F458" t="inlineStr">
        <is>
          <t>Kyrkan</t>
        </is>
      </c>
      <c r="G458" t="n">
        <v>0.6</v>
      </c>
      <c r="H458" t="n">
        <v>0</v>
      </c>
      <c r="I458" t="n">
        <v>0</v>
      </c>
      <c r="J458" t="n">
        <v>0</v>
      </c>
      <c r="K458" t="n">
        <v>0</v>
      </c>
      <c r="L458" t="n">
        <v>0</v>
      </c>
      <c r="M458" t="n">
        <v>0</v>
      </c>
      <c r="N458" t="n">
        <v>0</v>
      </c>
      <c r="O458" t="n">
        <v>0</v>
      </c>
      <c r="P458" t="n">
        <v>0</v>
      </c>
      <c r="Q458" t="n">
        <v>0</v>
      </c>
      <c r="R458" s="2" t="inlineStr"/>
    </row>
    <row r="459" ht="15" customHeight="1">
      <c r="A459" t="inlineStr">
        <is>
          <t>A 20307-2025</t>
        </is>
      </c>
      <c r="B459" s="1" t="n">
        <v>45774.95546296296</v>
      </c>
      <c r="C459" s="1" t="n">
        <v>46065</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581-2023</t>
        </is>
      </c>
      <c r="B460" s="1" t="n">
        <v>44930</v>
      </c>
      <c r="C460" s="1" t="n">
        <v>46065</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43229-2023</t>
        </is>
      </c>
      <c r="B461" s="1" t="n">
        <v>45183.46704861111</v>
      </c>
      <c r="C461" s="1" t="n">
        <v>46065</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61386-2023</t>
        </is>
      </c>
      <c r="B462" s="1" t="n">
        <v>45264</v>
      </c>
      <c r="C462" s="1" t="n">
        <v>46065</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1175-2025</t>
        </is>
      </c>
      <c r="B463" s="1" t="n">
        <v>45667.34449074074</v>
      </c>
      <c r="C463" s="1" t="n">
        <v>46065</v>
      </c>
      <c r="D463" t="inlineStr">
        <is>
          <t>GOTLANDS LÄN</t>
        </is>
      </c>
      <c r="E463" t="inlineStr">
        <is>
          <t>GOTLAND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27095-2022</t>
        </is>
      </c>
      <c r="B464" s="1" t="n">
        <v>44741</v>
      </c>
      <c r="C464" s="1" t="n">
        <v>46065</v>
      </c>
      <c r="D464" t="inlineStr">
        <is>
          <t>GOTLANDS LÄN</t>
        </is>
      </c>
      <c r="E464" t="inlineStr">
        <is>
          <t>GOTLAND</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22899-2023</t>
        </is>
      </c>
      <c r="B465" s="1" t="n">
        <v>45072</v>
      </c>
      <c r="C465" s="1" t="n">
        <v>46065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873-2024</t>
        </is>
      </c>
      <c r="B466" s="1" t="n">
        <v>45301</v>
      </c>
      <c r="C466" s="1" t="n">
        <v>46065</v>
      </c>
      <c r="D466" t="inlineStr">
        <is>
          <t>GOTLANDS LÄN</t>
        </is>
      </c>
      <c r="E466" t="inlineStr">
        <is>
          <t>GOTLAND</t>
        </is>
      </c>
      <c r="G466" t="n">
        <v>2.7</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44467.49048611111</v>
      </c>
      <c r="C467" s="1" t="n">
        <v>46065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49411-2023</t>
        </is>
      </c>
      <c r="B468" s="1" t="n">
        <v>45205</v>
      </c>
      <c r="C468" s="1" t="n">
        <v>46065</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22275-2023</t>
        </is>
      </c>
      <c r="B469" s="1" t="n">
        <v>45070.39875</v>
      </c>
      <c r="C469" s="1" t="n">
        <v>46065</v>
      </c>
      <c r="D469" t="inlineStr">
        <is>
          <t>GOTLANDS LÄN</t>
        </is>
      </c>
      <c r="E469" t="inlineStr">
        <is>
          <t>GOTLAND</t>
        </is>
      </c>
      <c r="G469" t="n">
        <v>7.2</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46065</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14797-2024</t>
        </is>
      </c>
      <c r="B471" s="1" t="n">
        <v>45397.87030092593</v>
      </c>
      <c r="C471" s="1" t="n">
        <v>46065</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999-2024</t>
        </is>
      </c>
      <c r="B472" s="1" t="n">
        <v>45301</v>
      </c>
      <c r="C472" s="1" t="n">
        <v>46065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46065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23978-2023</t>
        </is>
      </c>
      <c r="B474" s="1" t="n">
        <v>45078</v>
      </c>
      <c r="C474" s="1" t="n">
        <v>46065</v>
      </c>
      <c r="D474" t="inlineStr">
        <is>
          <t>GOTLANDS LÄN</t>
        </is>
      </c>
      <c r="E474" t="inlineStr">
        <is>
          <t>GOTLAND</t>
        </is>
      </c>
      <c r="F474" t="inlineStr">
        <is>
          <t>Naturvårdsverket</t>
        </is>
      </c>
      <c r="G474" t="n">
        <v>1.7</v>
      </c>
      <c r="H474" t="n">
        <v>0</v>
      </c>
      <c r="I474" t="n">
        <v>0</v>
      </c>
      <c r="J474" t="n">
        <v>0</v>
      </c>
      <c r="K474" t="n">
        <v>0</v>
      </c>
      <c r="L474" t="n">
        <v>0</v>
      </c>
      <c r="M474" t="n">
        <v>0</v>
      </c>
      <c r="N474" t="n">
        <v>0</v>
      </c>
      <c r="O474" t="n">
        <v>0</v>
      </c>
      <c r="P474" t="n">
        <v>0</v>
      </c>
      <c r="Q474" t="n">
        <v>0</v>
      </c>
      <c r="R474" s="2" t="inlineStr"/>
    </row>
    <row r="475" ht="15" customHeight="1">
      <c r="A475" t="inlineStr">
        <is>
          <t>A 61596-2023</t>
        </is>
      </c>
      <c r="B475" s="1" t="n">
        <v>45265</v>
      </c>
      <c r="C475" s="1" t="n">
        <v>46065</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34407-2023</t>
        </is>
      </c>
      <c r="B476" s="1" t="n">
        <v>45132</v>
      </c>
      <c r="C476" s="1" t="n">
        <v>46065</v>
      </c>
      <c r="D476" t="inlineStr">
        <is>
          <t>GOTLANDS LÄN</t>
        </is>
      </c>
      <c r="E476" t="inlineStr">
        <is>
          <t>GOTLAND</t>
        </is>
      </c>
      <c r="G476" t="n">
        <v>4.4</v>
      </c>
      <c r="H476" t="n">
        <v>0</v>
      </c>
      <c r="I476" t="n">
        <v>0</v>
      </c>
      <c r="J476" t="n">
        <v>0</v>
      </c>
      <c r="K476" t="n">
        <v>0</v>
      </c>
      <c r="L476" t="n">
        <v>0</v>
      </c>
      <c r="M476" t="n">
        <v>0</v>
      </c>
      <c r="N476" t="n">
        <v>0</v>
      </c>
      <c r="O476" t="n">
        <v>0</v>
      </c>
      <c r="P476" t="n">
        <v>0</v>
      </c>
      <c r="Q476" t="n">
        <v>0</v>
      </c>
      <c r="R476" s="2" t="inlineStr"/>
    </row>
    <row r="477" ht="15" customHeight="1">
      <c r="A477" t="inlineStr">
        <is>
          <t>A 11013-2024</t>
        </is>
      </c>
      <c r="B477" s="1" t="n">
        <v>45370</v>
      </c>
      <c r="C477" s="1" t="n">
        <v>46065</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14638-2025</t>
        </is>
      </c>
      <c r="B478" s="1" t="n">
        <v>45742</v>
      </c>
      <c r="C478" s="1" t="n">
        <v>46065</v>
      </c>
      <c r="D478" t="inlineStr">
        <is>
          <t>GOTLANDS LÄN</t>
        </is>
      </c>
      <c r="E478" t="inlineStr">
        <is>
          <t>GOTLAND</t>
        </is>
      </c>
      <c r="G478" t="n">
        <v>13.4</v>
      </c>
      <c r="H478" t="n">
        <v>0</v>
      </c>
      <c r="I478" t="n">
        <v>0</v>
      </c>
      <c r="J478" t="n">
        <v>0</v>
      </c>
      <c r="K478" t="n">
        <v>0</v>
      </c>
      <c r="L478" t="n">
        <v>0</v>
      </c>
      <c r="M478" t="n">
        <v>0</v>
      </c>
      <c r="N478" t="n">
        <v>0</v>
      </c>
      <c r="O478" t="n">
        <v>0</v>
      </c>
      <c r="P478" t="n">
        <v>0</v>
      </c>
      <c r="Q478" t="n">
        <v>0</v>
      </c>
      <c r="R478" s="2" t="inlineStr"/>
    </row>
    <row r="479" ht="15" customHeight="1">
      <c r="A479" t="inlineStr">
        <is>
          <t>A 27694-2024</t>
        </is>
      </c>
      <c r="B479" s="1" t="n">
        <v>45475</v>
      </c>
      <c r="C479" s="1" t="n">
        <v>46065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60675-2021</t>
        </is>
      </c>
      <c r="B480" s="1" t="n">
        <v>44496.64855324074</v>
      </c>
      <c r="C480" s="1" t="n">
        <v>46065</v>
      </c>
      <c r="D480" t="inlineStr">
        <is>
          <t>GOTLANDS LÄN</t>
        </is>
      </c>
      <c r="E480" t="inlineStr">
        <is>
          <t>GOTLAND</t>
        </is>
      </c>
      <c r="G480" t="n">
        <v>4.6</v>
      </c>
      <c r="H480" t="n">
        <v>0</v>
      </c>
      <c r="I480" t="n">
        <v>0</v>
      </c>
      <c r="J480" t="n">
        <v>0</v>
      </c>
      <c r="K480" t="n">
        <v>0</v>
      </c>
      <c r="L480" t="n">
        <v>0</v>
      </c>
      <c r="M480" t="n">
        <v>0</v>
      </c>
      <c r="N480" t="n">
        <v>0</v>
      </c>
      <c r="O480" t="n">
        <v>0</v>
      </c>
      <c r="P480" t="n">
        <v>0</v>
      </c>
      <c r="Q480" t="n">
        <v>0</v>
      </c>
      <c r="R480" s="2" t="inlineStr"/>
    </row>
    <row r="481" ht="15" customHeight="1">
      <c r="A481" t="inlineStr">
        <is>
          <t>A 17724-2024</t>
        </is>
      </c>
      <c r="B481" s="1" t="n">
        <v>45418.55096064815</v>
      </c>
      <c r="C481" s="1" t="n">
        <v>46065</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37728-2024</t>
        </is>
      </c>
      <c r="B482" s="1" t="n">
        <v>45541</v>
      </c>
      <c r="C482" s="1" t="n">
        <v>46065</v>
      </c>
      <c r="D482" t="inlineStr">
        <is>
          <t>GOTLANDS LÄN</t>
        </is>
      </c>
      <c r="E482" t="inlineStr">
        <is>
          <t>GOTLAND</t>
        </is>
      </c>
      <c r="G482" t="n">
        <v>0.4</v>
      </c>
      <c r="H482" t="n">
        <v>0</v>
      </c>
      <c r="I482" t="n">
        <v>0</v>
      </c>
      <c r="J482" t="n">
        <v>0</v>
      </c>
      <c r="K482" t="n">
        <v>0</v>
      </c>
      <c r="L482" t="n">
        <v>0</v>
      </c>
      <c r="M482" t="n">
        <v>0</v>
      </c>
      <c r="N482" t="n">
        <v>0</v>
      </c>
      <c r="O482" t="n">
        <v>0</v>
      </c>
      <c r="P482" t="n">
        <v>0</v>
      </c>
      <c r="Q482" t="n">
        <v>0</v>
      </c>
      <c r="R482" s="2" t="inlineStr"/>
    </row>
    <row r="483" ht="15" customHeight="1">
      <c r="A483" t="inlineStr">
        <is>
          <t>A 34312-2024</t>
        </is>
      </c>
      <c r="B483" s="1" t="n">
        <v>45524.69703703704</v>
      </c>
      <c r="C483" s="1" t="n">
        <v>46065</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22287-2022</t>
        </is>
      </c>
      <c r="B484" s="1" t="n">
        <v>44712</v>
      </c>
      <c r="C484" s="1" t="n">
        <v>46065</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15083-2025</t>
        </is>
      </c>
      <c r="B485" s="1" t="n">
        <v>45743</v>
      </c>
      <c r="C485" s="1" t="n">
        <v>46065</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46065</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65249-2023</t>
        </is>
      </c>
      <c r="B487" s="1" t="n">
        <v>45290</v>
      </c>
      <c r="C487" s="1" t="n">
        <v>46065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13037-2025</t>
        </is>
      </c>
      <c r="B488" s="1" t="n">
        <v>45734</v>
      </c>
      <c r="C488" s="1" t="n">
        <v>46065</v>
      </c>
      <c r="D488" t="inlineStr">
        <is>
          <t>GOTLANDS LÄN</t>
        </is>
      </c>
      <c r="E488" t="inlineStr">
        <is>
          <t>GOTLAND</t>
        </is>
      </c>
      <c r="G488" t="n">
        <v>9.5</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46065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46065</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7638-2025</t>
        </is>
      </c>
      <c r="B491" s="1" t="n">
        <v>45705.77306712963</v>
      </c>
      <c r="C491" s="1" t="n">
        <v>46065</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46065</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50482-2024</t>
        </is>
      </c>
      <c r="B493" s="1" t="n">
        <v>45601.48114583334</v>
      </c>
      <c r="C493" s="1" t="n">
        <v>46065</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13910-2025</t>
        </is>
      </c>
      <c r="B494" s="1" t="n">
        <v>45737</v>
      </c>
      <c r="C494" s="1" t="n">
        <v>46065</v>
      </c>
      <c r="D494" t="inlineStr">
        <is>
          <t>GOTLANDS LÄN</t>
        </is>
      </c>
      <c r="E494" t="inlineStr">
        <is>
          <t>GOTLAND</t>
        </is>
      </c>
      <c r="F494" t="inlineStr">
        <is>
          <t>Kommuner</t>
        </is>
      </c>
      <c r="G494" t="n">
        <v>3.2</v>
      </c>
      <c r="H494" t="n">
        <v>0</v>
      </c>
      <c r="I494" t="n">
        <v>0</v>
      </c>
      <c r="J494" t="n">
        <v>0</v>
      </c>
      <c r="K494" t="n">
        <v>0</v>
      </c>
      <c r="L494" t="n">
        <v>0</v>
      </c>
      <c r="M494" t="n">
        <v>0</v>
      </c>
      <c r="N494" t="n">
        <v>0</v>
      </c>
      <c r="O494" t="n">
        <v>0</v>
      </c>
      <c r="P494" t="n">
        <v>0</v>
      </c>
      <c r="Q494" t="n">
        <v>0</v>
      </c>
      <c r="R494" s="2" t="inlineStr"/>
    </row>
    <row r="495" ht="15" customHeight="1">
      <c r="A495" t="inlineStr">
        <is>
          <t>A 44228-2022</t>
        </is>
      </c>
      <c r="B495" s="1" t="n">
        <v>44839.51599537037</v>
      </c>
      <c r="C495" s="1" t="n">
        <v>46065</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44682.82622685185</v>
      </c>
      <c r="C496" s="1" t="n">
        <v>46065</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46065</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59986-2022</t>
        </is>
      </c>
      <c r="B498" s="1" t="n">
        <v>44909</v>
      </c>
      <c r="C498" s="1" t="n">
        <v>46065</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46065</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18993-2025</t>
        </is>
      </c>
      <c r="B500" s="1" t="n">
        <v>45764</v>
      </c>
      <c r="C500" s="1" t="n">
        <v>46065</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49884-2023</t>
        </is>
      </c>
      <c r="B501" s="1" t="n">
        <v>45213</v>
      </c>
      <c r="C501" s="1" t="n">
        <v>46065</v>
      </c>
      <c r="D501" t="inlineStr">
        <is>
          <t>GOTLANDS LÄN</t>
        </is>
      </c>
      <c r="E501" t="inlineStr">
        <is>
          <t>GOTLAND</t>
        </is>
      </c>
      <c r="G501" t="n">
        <v>8.9</v>
      </c>
      <c r="H501" t="n">
        <v>0</v>
      </c>
      <c r="I501" t="n">
        <v>0</v>
      </c>
      <c r="J501" t="n">
        <v>0</v>
      </c>
      <c r="K501" t="n">
        <v>0</v>
      </c>
      <c r="L501" t="n">
        <v>0</v>
      </c>
      <c r="M501" t="n">
        <v>0</v>
      </c>
      <c r="N501" t="n">
        <v>0</v>
      </c>
      <c r="O501" t="n">
        <v>0</v>
      </c>
      <c r="P501" t="n">
        <v>0</v>
      </c>
      <c r="Q501" t="n">
        <v>0</v>
      </c>
      <c r="R501" s="2" t="inlineStr"/>
    </row>
    <row r="502" ht="15" customHeight="1">
      <c r="A502" t="inlineStr">
        <is>
          <t>A 30135-2025</t>
        </is>
      </c>
      <c r="B502" s="1" t="n">
        <v>45826</v>
      </c>
      <c r="C502" s="1" t="n">
        <v>46065</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12599-2025</t>
        </is>
      </c>
      <c r="B503" s="1" t="n">
        <v>45733.29546296296</v>
      </c>
      <c r="C503" s="1" t="n">
        <v>46065</v>
      </c>
      <c r="D503" t="inlineStr">
        <is>
          <t>GOTLANDS LÄN</t>
        </is>
      </c>
      <c r="E503" t="inlineStr">
        <is>
          <t>GOTLAND</t>
        </is>
      </c>
      <c r="G503" t="n">
        <v>4.7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46065</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35142-2025</t>
        </is>
      </c>
      <c r="B505" s="1" t="n">
        <v>45852.65532407408</v>
      </c>
      <c r="C505" s="1" t="n">
        <v>46065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11874-2024</t>
        </is>
      </c>
      <c r="B506" s="1" t="n">
        <v>45376.46956018519</v>
      </c>
      <c r="C506" s="1" t="n">
        <v>46065</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42041-2024</t>
        </is>
      </c>
      <c r="B508" s="1" t="n">
        <v>45561</v>
      </c>
      <c r="C508" s="1" t="n">
        <v>46065</v>
      </c>
      <c r="D508" t="inlineStr">
        <is>
          <t>GOTLANDS LÄN</t>
        </is>
      </c>
      <c r="E508" t="inlineStr">
        <is>
          <t>GOTLAND</t>
        </is>
      </c>
      <c r="G508" t="n">
        <v>3.2</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46065</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22704-2023</t>
        </is>
      </c>
      <c r="B510" s="1" t="n">
        <v>45071</v>
      </c>
      <c r="C510" s="1" t="n">
        <v>46065</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28425-2023</t>
        </is>
      </c>
      <c r="B511" s="1" t="n">
        <v>45102</v>
      </c>
      <c r="C511" s="1" t="n">
        <v>46065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46065</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39819-2025</t>
        </is>
      </c>
      <c r="B513" s="1" t="n">
        <v>45891.53418981482</v>
      </c>
      <c r="C513" s="1" t="n">
        <v>46065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39814-2025</t>
        </is>
      </c>
      <c r="B514" s="1" t="n">
        <v>45891.52694444444</v>
      </c>
      <c r="C514" s="1" t="n">
        <v>46065</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39849-2025</t>
        </is>
      </c>
      <c r="B515" s="1" t="n">
        <v>45891.58502314815</v>
      </c>
      <c r="C515" s="1" t="n">
        <v>46065</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43200-2023</t>
        </is>
      </c>
      <c r="B516" s="1" t="n">
        <v>45183</v>
      </c>
      <c r="C516" s="1" t="n">
        <v>46065</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43223-2023</t>
        </is>
      </c>
      <c r="B517" s="1" t="n">
        <v>45183.45642361111</v>
      </c>
      <c r="C517" s="1" t="n">
        <v>46065</v>
      </c>
      <c r="D517" t="inlineStr">
        <is>
          <t>GOTLANDS LÄN</t>
        </is>
      </c>
      <c r="E517" t="inlineStr">
        <is>
          <t>GOTLAND</t>
        </is>
      </c>
      <c r="G517" t="n">
        <v>1.8</v>
      </c>
      <c r="H517" t="n">
        <v>0</v>
      </c>
      <c r="I517" t="n">
        <v>0</v>
      </c>
      <c r="J517" t="n">
        <v>0</v>
      </c>
      <c r="K517" t="n">
        <v>0</v>
      </c>
      <c r="L517" t="n">
        <v>0</v>
      </c>
      <c r="M517" t="n">
        <v>0</v>
      </c>
      <c r="N517" t="n">
        <v>0</v>
      </c>
      <c r="O517" t="n">
        <v>0</v>
      </c>
      <c r="P517" t="n">
        <v>0</v>
      </c>
      <c r="Q517" t="n">
        <v>0</v>
      </c>
      <c r="R517" s="2" t="inlineStr"/>
    </row>
    <row r="518" ht="15" customHeight="1">
      <c r="A518" t="inlineStr">
        <is>
          <t>A 39752-2025</t>
        </is>
      </c>
      <c r="B518" s="1" t="n">
        <v>45891</v>
      </c>
      <c r="C518" s="1" t="n">
        <v>46065</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12327-2025</t>
        </is>
      </c>
      <c r="B519" s="1" t="n">
        <v>45730</v>
      </c>
      <c r="C519" s="1" t="n">
        <v>46065</v>
      </c>
      <c r="D519" t="inlineStr">
        <is>
          <t>GOTLANDS LÄN</t>
        </is>
      </c>
      <c r="E519" t="inlineStr">
        <is>
          <t>GOTLAND</t>
        </is>
      </c>
      <c r="G519" t="n">
        <v>1.8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46065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40103-2025</t>
        </is>
      </c>
      <c r="B521" s="1" t="n">
        <v>45894.4880324074</v>
      </c>
      <c r="C521" s="1" t="n">
        <v>46065</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3431-2025</t>
        </is>
      </c>
      <c r="B522" s="1" t="n">
        <v>45680.42935185185</v>
      </c>
      <c r="C522" s="1" t="n">
        <v>46065</v>
      </c>
      <c r="D522" t="inlineStr">
        <is>
          <t>GOTLANDS LÄN</t>
        </is>
      </c>
      <c r="E522" t="inlineStr">
        <is>
          <t>GOTLAND</t>
        </is>
      </c>
      <c r="G522" t="n">
        <v>4.8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46065</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40499-2025</t>
        </is>
      </c>
      <c r="B524" s="1" t="n">
        <v>45896.32517361111</v>
      </c>
      <c r="C524" s="1" t="n">
        <v>46065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40372-2025</t>
        </is>
      </c>
      <c r="B525" s="1" t="n">
        <v>45895.5162037037</v>
      </c>
      <c r="C525" s="1" t="n">
        <v>46065</v>
      </c>
      <c r="D525" t="inlineStr">
        <is>
          <t>GOTLANDS LÄN</t>
        </is>
      </c>
      <c r="E525" t="inlineStr">
        <is>
          <t>GOTLAND</t>
        </is>
      </c>
      <c r="G525" t="n">
        <v>3.3</v>
      </c>
      <c r="H525" t="n">
        <v>0</v>
      </c>
      <c r="I525" t="n">
        <v>0</v>
      </c>
      <c r="J525" t="n">
        <v>0</v>
      </c>
      <c r="K525" t="n">
        <v>0</v>
      </c>
      <c r="L525" t="n">
        <v>0</v>
      </c>
      <c r="M525" t="n">
        <v>0</v>
      </c>
      <c r="N525" t="n">
        <v>0</v>
      </c>
      <c r="O525" t="n">
        <v>0</v>
      </c>
      <c r="P525" t="n">
        <v>0</v>
      </c>
      <c r="Q525" t="n">
        <v>0</v>
      </c>
      <c r="R525" s="2" t="inlineStr"/>
    </row>
    <row r="526" ht="15" customHeight="1">
      <c r="A526" t="inlineStr">
        <is>
          <t>A 12209-2024</t>
        </is>
      </c>
      <c r="B526" s="1" t="n">
        <v>45378</v>
      </c>
      <c r="C526" s="1" t="n">
        <v>46065</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12210-2024</t>
        </is>
      </c>
      <c r="B527" s="1" t="n">
        <v>45378</v>
      </c>
      <c r="C527" s="1" t="n">
        <v>46065</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1364-2025</t>
        </is>
      </c>
      <c r="B528" s="1" t="n">
        <v>45667.63929398148</v>
      </c>
      <c r="C528" s="1" t="n">
        <v>46065</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15042-2025</t>
        </is>
      </c>
      <c r="B529" s="1" t="n">
        <v>45743</v>
      </c>
      <c r="C529" s="1" t="n">
        <v>46065</v>
      </c>
      <c r="D529" t="inlineStr">
        <is>
          <t>GOTLANDS LÄN</t>
        </is>
      </c>
      <c r="E529" t="inlineStr">
        <is>
          <t>GOTLAND</t>
        </is>
      </c>
      <c r="G529" t="n">
        <v>8.5</v>
      </c>
      <c r="H529" t="n">
        <v>0</v>
      </c>
      <c r="I529" t="n">
        <v>0</v>
      </c>
      <c r="J529" t="n">
        <v>0</v>
      </c>
      <c r="K529" t="n">
        <v>0</v>
      </c>
      <c r="L529" t="n">
        <v>0</v>
      </c>
      <c r="M529" t="n">
        <v>0</v>
      </c>
      <c r="N529" t="n">
        <v>0</v>
      </c>
      <c r="O529" t="n">
        <v>0</v>
      </c>
      <c r="P529" t="n">
        <v>0</v>
      </c>
      <c r="Q529" t="n">
        <v>0</v>
      </c>
      <c r="R529" s="2" t="inlineStr"/>
    </row>
    <row r="530" ht="15" customHeight="1">
      <c r="A530" t="inlineStr">
        <is>
          <t>A 39278-2025</t>
        </is>
      </c>
      <c r="B530" s="1" t="n">
        <v>45889</v>
      </c>
      <c r="C530" s="1" t="n">
        <v>46065</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2180-2025</t>
        </is>
      </c>
      <c r="B531" s="1" t="n">
        <v>45673</v>
      </c>
      <c r="C531" s="1" t="n">
        <v>46065</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15436-2025</t>
        </is>
      </c>
      <c r="B532" s="1" t="n">
        <v>45747.47462962963</v>
      </c>
      <c r="C532" s="1" t="n">
        <v>46065</v>
      </c>
      <c r="D532" t="inlineStr">
        <is>
          <t>GOTLANDS LÄN</t>
        </is>
      </c>
      <c r="E532" t="inlineStr">
        <is>
          <t>GOTLAND</t>
        </is>
      </c>
      <c r="G532" t="n">
        <v>4.1</v>
      </c>
      <c r="H532" t="n">
        <v>0</v>
      </c>
      <c r="I532" t="n">
        <v>0</v>
      </c>
      <c r="J532" t="n">
        <v>0</v>
      </c>
      <c r="K532" t="n">
        <v>0</v>
      </c>
      <c r="L532" t="n">
        <v>0</v>
      </c>
      <c r="M532" t="n">
        <v>0</v>
      </c>
      <c r="N532" t="n">
        <v>0</v>
      </c>
      <c r="O532" t="n">
        <v>0</v>
      </c>
      <c r="P532" t="n">
        <v>0</v>
      </c>
      <c r="Q532" t="n">
        <v>0</v>
      </c>
      <c r="R532" s="2" t="inlineStr"/>
    </row>
    <row r="533" ht="15" customHeight="1">
      <c r="A533" t="inlineStr">
        <is>
          <t>A 49257-2024</t>
        </is>
      </c>
      <c r="B533" s="1" t="n">
        <v>45595.47627314815</v>
      </c>
      <c r="C533" s="1" t="n">
        <v>46065</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37202-2024</t>
        </is>
      </c>
      <c r="B534" s="1" t="n">
        <v>45539.67310185185</v>
      </c>
      <c r="C534" s="1" t="n">
        <v>46065</v>
      </c>
      <c r="D534" t="inlineStr">
        <is>
          <t>GOTLANDS LÄN</t>
        </is>
      </c>
      <c r="E534" t="inlineStr">
        <is>
          <t>GOTLAND</t>
        </is>
      </c>
      <c r="G534" t="n">
        <v>0.3</v>
      </c>
      <c r="H534" t="n">
        <v>0</v>
      </c>
      <c r="I534" t="n">
        <v>0</v>
      </c>
      <c r="J534" t="n">
        <v>0</v>
      </c>
      <c r="K534" t="n">
        <v>0</v>
      </c>
      <c r="L534" t="n">
        <v>0</v>
      </c>
      <c r="M534" t="n">
        <v>0</v>
      </c>
      <c r="N534" t="n">
        <v>0</v>
      </c>
      <c r="O534" t="n">
        <v>0</v>
      </c>
      <c r="P534" t="n">
        <v>0</v>
      </c>
      <c r="Q534" t="n">
        <v>0</v>
      </c>
      <c r="R534" s="2" t="inlineStr"/>
    </row>
    <row r="535" ht="15" customHeight="1">
      <c r="A535" t="inlineStr">
        <is>
          <t>A 41435-2025</t>
        </is>
      </c>
      <c r="B535" s="1" t="n">
        <v>45901.39974537037</v>
      </c>
      <c r="C535" s="1" t="n">
        <v>46065</v>
      </c>
      <c r="D535" t="inlineStr">
        <is>
          <t>GOTLANDS LÄN</t>
        </is>
      </c>
      <c r="E535" t="inlineStr">
        <is>
          <t>GOTLAND</t>
        </is>
      </c>
      <c r="G535" t="n">
        <v>4.9</v>
      </c>
      <c r="H535" t="n">
        <v>0</v>
      </c>
      <c r="I535" t="n">
        <v>0</v>
      </c>
      <c r="J535" t="n">
        <v>0</v>
      </c>
      <c r="K535" t="n">
        <v>0</v>
      </c>
      <c r="L535" t="n">
        <v>0</v>
      </c>
      <c r="M535" t="n">
        <v>0</v>
      </c>
      <c r="N535" t="n">
        <v>0</v>
      </c>
      <c r="O535" t="n">
        <v>0</v>
      </c>
      <c r="P535" t="n">
        <v>0</v>
      </c>
      <c r="Q535" t="n">
        <v>0</v>
      </c>
      <c r="R535" s="2" t="inlineStr"/>
    </row>
    <row r="536" ht="15" customHeight="1">
      <c r="A536" t="inlineStr">
        <is>
          <t>A 56115-2023</t>
        </is>
      </c>
      <c r="B536" s="1" t="n">
        <v>45236</v>
      </c>
      <c r="C536" s="1" t="n">
        <v>46065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46065</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2774-2024</t>
        </is>
      </c>
      <c r="B538" s="1" t="n">
        <v>45314.62375</v>
      </c>
      <c r="C538" s="1" t="n">
        <v>46065</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42608-2025</t>
        </is>
      </c>
      <c r="B539" s="1" t="n">
        <v>45905</v>
      </c>
      <c r="C539" s="1" t="n">
        <v>46065</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60709-2023</t>
        </is>
      </c>
      <c r="B540" s="1" t="n">
        <v>45260</v>
      </c>
      <c r="C540" s="1" t="n">
        <v>46065</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16373-2025</t>
        </is>
      </c>
      <c r="B541" s="1" t="n">
        <v>45751</v>
      </c>
      <c r="C541" s="1" t="n">
        <v>46065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64208-2021</t>
        </is>
      </c>
      <c r="B542" s="1" t="n">
        <v>44510</v>
      </c>
      <c r="C542" s="1" t="n">
        <v>46065</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39764-2022</t>
        </is>
      </c>
      <c r="B543" s="1" t="n">
        <v>44819</v>
      </c>
      <c r="C543" s="1" t="n">
        <v>46065</v>
      </c>
      <c r="D543" t="inlineStr">
        <is>
          <t>GOTLANDS LÄN</t>
        </is>
      </c>
      <c r="E543" t="inlineStr">
        <is>
          <t>GOTLAND</t>
        </is>
      </c>
      <c r="F543" t="inlineStr">
        <is>
          <t>Kyrkan</t>
        </is>
      </c>
      <c r="G543" t="n">
        <v>3.7</v>
      </c>
      <c r="H543" t="n">
        <v>0</v>
      </c>
      <c r="I543" t="n">
        <v>0</v>
      </c>
      <c r="J543" t="n">
        <v>0</v>
      </c>
      <c r="K543" t="n">
        <v>0</v>
      </c>
      <c r="L543" t="n">
        <v>0</v>
      </c>
      <c r="M543" t="n">
        <v>0</v>
      </c>
      <c r="N543" t="n">
        <v>0</v>
      </c>
      <c r="O543" t="n">
        <v>0</v>
      </c>
      <c r="P543" t="n">
        <v>0</v>
      </c>
      <c r="Q543" t="n">
        <v>0</v>
      </c>
      <c r="R543" s="2" t="inlineStr"/>
    </row>
    <row r="544" ht="15" customHeight="1">
      <c r="A544" t="inlineStr">
        <is>
          <t>A 10158-2025</t>
        </is>
      </c>
      <c r="B544" s="1" t="n">
        <v>45719</v>
      </c>
      <c r="C544" s="1" t="n">
        <v>46065</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58211-2024</t>
        </is>
      </c>
      <c r="B545" s="1" t="n">
        <v>45632.49292824074</v>
      </c>
      <c r="C545" s="1" t="n">
        <v>46065</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30956-2024</t>
        </is>
      </c>
      <c r="B546" s="1" t="n">
        <v>45499.42527777778</v>
      </c>
      <c r="C546" s="1" t="n">
        <v>46065</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30892-2024</t>
        </is>
      </c>
      <c r="B547" s="1" t="n">
        <v>45491</v>
      </c>
      <c r="C547" s="1" t="n">
        <v>46065</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14635-2023</t>
        </is>
      </c>
      <c r="B548" s="1" t="n">
        <v>45013.69365740741</v>
      </c>
      <c r="C548" s="1" t="n">
        <v>46065</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43911-2025</t>
        </is>
      </c>
      <c r="B549" s="1" t="n">
        <v>45914.3881712963</v>
      </c>
      <c r="C549" s="1" t="n">
        <v>46065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59469-2024</t>
        </is>
      </c>
      <c r="B550" s="1" t="n">
        <v>45638</v>
      </c>
      <c r="C550" s="1" t="n">
        <v>46065</v>
      </c>
      <c r="D550" t="inlineStr">
        <is>
          <t>GOTLANDS LÄN</t>
        </is>
      </c>
      <c r="E550" t="inlineStr">
        <is>
          <t>GOTLAND</t>
        </is>
      </c>
      <c r="G550" t="n">
        <v>0.4</v>
      </c>
      <c r="H550" t="n">
        <v>0</v>
      </c>
      <c r="I550" t="n">
        <v>0</v>
      </c>
      <c r="J550" t="n">
        <v>0</v>
      </c>
      <c r="K550" t="n">
        <v>0</v>
      </c>
      <c r="L550" t="n">
        <v>0</v>
      </c>
      <c r="M550" t="n">
        <v>0</v>
      </c>
      <c r="N550" t="n">
        <v>0</v>
      </c>
      <c r="O550" t="n">
        <v>0</v>
      </c>
      <c r="P550" t="n">
        <v>0</v>
      </c>
      <c r="Q550" t="n">
        <v>0</v>
      </c>
      <c r="R550" s="2" t="inlineStr"/>
    </row>
    <row r="551" ht="15" customHeight="1">
      <c r="A551" t="inlineStr">
        <is>
          <t>A 7858-2025</t>
        </is>
      </c>
      <c r="B551" s="1" t="n">
        <v>45706.68633101852</v>
      </c>
      <c r="C551" s="1" t="n">
        <v>46065</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44410-2025</t>
        </is>
      </c>
      <c r="B552" s="1" t="n">
        <v>45916.53699074074</v>
      </c>
      <c r="C552" s="1" t="n">
        <v>46065</v>
      </c>
      <c r="D552" t="inlineStr">
        <is>
          <t>GOTLANDS LÄN</t>
        </is>
      </c>
      <c r="E552" t="inlineStr">
        <is>
          <t>GOTLAND</t>
        </is>
      </c>
      <c r="G552" t="n">
        <v>2.3</v>
      </c>
      <c r="H552" t="n">
        <v>0</v>
      </c>
      <c r="I552" t="n">
        <v>0</v>
      </c>
      <c r="J552" t="n">
        <v>0</v>
      </c>
      <c r="K552" t="n">
        <v>0</v>
      </c>
      <c r="L552" t="n">
        <v>0</v>
      </c>
      <c r="M552" t="n">
        <v>0</v>
      </c>
      <c r="N552" t="n">
        <v>0</v>
      </c>
      <c r="O552" t="n">
        <v>0</v>
      </c>
      <c r="P552" t="n">
        <v>0</v>
      </c>
      <c r="Q552" t="n">
        <v>0</v>
      </c>
      <c r="R552" s="2" t="inlineStr"/>
    </row>
    <row r="553" ht="15" customHeight="1">
      <c r="A553" t="inlineStr">
        <is>
          <t>A 43951-2025</t>
        </is>
      </c>
      <c r="B553" s="1" t="n">
        <v>45915.38119212963</v>
      </c>
      <c r="C553" s="1" t="n">
        <v>46065</v>
      </c>
      <c r="D553" t="inlineStr">
        <is>
          <t>GOTLANDS LÄN</t>
        </is>
      </c>
      <c r="E553" t="inlineStr">
        <is>
          <t>GOTLAND</t>
        </is>
      </c>
      <c r="G553" t="n">
        <v>4.4</v>
      </c>
      <c r="H553" t="n">
        <v>0</v>
      </c>
      <c r="I553" t="n">
        <v>0</v>
      </c>
      <c r="J553" t="n">
        <v>0</v>
      </c>
      <c r="K553" t="n">
        <v>0</v>
      </c>
      <c r="L553" t="n">
        <v>0</v>
      </c>
      <c r="M553" t="n">
        <v>0</v>
      </c>
      <c r="N553" t="n">
        <v>0</v>
      </c>
      <c r="O553" t="n">
        <v>0</v>
      </c>
      <c r="P553" t="n">
        <v>0</v>
      </c>
      <c r="Q553" t="n">
        <v>0</v>
      </c>
      <c r="R553" s="2" t="inlineStr"/>
    </row>
    <row r="554" ht="15" customHeight="1">
      <c r="A554" t="inlineStr">
        <is>
          <t>A 44405-2025</t>
        </is>
      </c>
      <c r="B554" s="1" t="n">
        <v>45916.52405092592</v>
      </c>
      <c r="C554" s="1" t="n">
        <v>46065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53935-2024</t>
        </is>
      </c>
      <c r="B555" s="1" t="n">
        <v>45615</v>
      </c>
      <c r="C555" s="1" t="n">
        <v>46065</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18223-2025</t>
        </is>
      </c>
      <c r="B556" s="1" t="n">
        <v>45761</v>
      </c>
      <c r="C556" s="1" t="n">
        <v>46065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4420-2025</t>
        </is>
      </c>
      <c r="B557" s="1" t="n">
        <v>45686.47157407407</v>
      </c>
      <c r="C557" s="1" t="n">
        <v>46065</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5891-2025</t>
        </is>
      </c>
      <c r="B558" s="1" t="n">
        <v>45695.38327546296</v>
      </c>
      <c r="C558" s="1" t="n">
        <v>46065</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7835-2024</t>
        </is>
      </c>
      <c r="B559" s="1" t="n">
        <v>45349.83138888889</v>
      </c>
      <c r="C559" s="1" t="n">
        <v>46065</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20794-2025</t>
        </is>
      </c>
      <c r="B560" s="1" t="n">
        <v>45776</v>
      </c>
      <c r="C560" s="1" t="n">
        <v>46065</v>
      </c>
      <c r="D560" t="inlineStr">
        <is>
          <t>GOTLANDS LÄN</t>
        </is>
      </c>
      <c r="E560" t="inlineStr">
        <is>
          <t>GOTLAND</t>
        </is>
      </c>
      <c r="G560" t="n">
        <v>6</v>
      </c>
      <c r="H560" t="n">
        <v>0</v>
      </c>
      <c r="I560" t="n">
        <v>0</v>
      </c>
      <c r="J560" t="n">
        <v>0</v>
      </c>
      <c r="K560" t="n">
        <v>0</v>
      </c>
      <c r="L560" t="n">
        <v>0</v>
      </c>
      <c r="M560" t="n">
        <v>0</v>
      </c>
      <c r="N560" t="n">
        <v>0</v>
      </c>
      <c r="O560" t="n">
        <v>0</v>
      </c>
      <c r="P560" t="n">
        <v>0</v>
      </c>
      <c r="Q560" t="n">
        <v>0</v>
      </c>
      <c r="R560" s="2" t="inlineStr"/>
    </row>
    <row r="561" ht="15" customHeight="1">
      <c r="A561" t="inlineStr">
        <is>
          <t>A 20805-2025</t>
        </is>
      </c>
      <c r="B561" s="1" t="n">
        <v>45776</v>
      </c>
      <c r="C561" s="1" t="n">
        <v>46065</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26391-2025</t>
        </is>
      </c>
      <c r="B562" s="1" t="n">
        <v>45806</v>
      </c>
      <c r="C562" s="1" t="n">
        <v>46065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21389-2025</t>
        </is>
      </c>
      <c r="B563" s="1" t="n">
        <v>45782</v>
      </c>
      <c r="C563" s="1" t="n">
        <v>46065</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46836-2025</t>
        </is>
      </c>
      <c r="B564" s="1" t="n">
        <v>45928.31511574074</v>
      </c>
      <c r="C564" s="1" t="n">
        <v>46065</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21651-2025</t>
        </is>
      </c>
      <c r="B565" s="1" t="n">
        <v>45783</v>
      </c>
      <c r="C565" s="1" t="n">
        <v>46065</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47637-2025</t>
        </is>
      </c>
      <c r="B566" s="1" t="n">
        <v>45931.49753472222</v>
      </c>
      <c r="C566" s="1" t="n">
        <v>46065</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32378-2025</t>
        </is>
      </c>
      <c r="B567" s="1" t="n">
        <v>45837</v>
      </c>
      <c r="C567" s="1" t="n">
        <v>46065</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35550-2025</t>
        </is>
      </c>
      <c r="B568" s="1" t="n">
        <v>45856.49324074074</v>
      </c>
      <c r="C568" s="1" t="n">
        <v>46065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47578-2025</t>
        </is>
      </c>
      <c r="B569" s="1" t="n">
        <v>45931</v>
      </c>
      <c r="C569" s="1" t="n">
        <v>46065</v>
      </c>
      <c r="D569" t="inlineStr">
        <is>
          <t>GOTLANDS LÄN</t>
        </is>
      </c>
      <c r="E569" t="inlineStr">
        <is>
          <t>GOTLAND</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57356-2023</t>
        </is>
      </c>
      <c r="B570" s="1" t="n">
        <v>45240</v>
      </c>
      <c r="C570" s="1" t="n">
        <v>46065</v>
      </c>
      <c r="D570" t="inlineStr">
        <is>
          <t>GOTLANDS LÄN</t>
        </is>
      </c>
      <c r="E570" t="inlineStr">
        <is>
          <t>GOTLAND</t>
        </is>
      </c>
      <c r="G570" t="n">
        <v>6.4</v>
      </c>
      <c r="H570" t="n">
        <v>0</v>
      </c>
      <c r="I570" t="n">
        <v>0</v>
      </c>
      <c r="J570" t="n">
        <v>0</v>
      </c>
      <c r="K570" t="n">
        <v>0</v>
      </c>
      <c r="L570" t="n">
        <v>0</v>
      </c>
      <c r="M570" t="n">
        <v>0</v>
      </c>
      <c r="N570" t="n">
        <v>0</v>
      </c>
      <c r="O570" t="n">
        <v>0</v>
      </c>
      <c r="P570" t="n">
        <v>0</v>
      </c>
      <c r="Q570" t="n">
        <v>0</v>
      </c>
      <c r="R570" s="2" t="inlineStr"/>
    </row>
    <row r="571" ht="15" customHeight="1">
      <c r="A571" t="inlineStr">
        <is>
          <t>A 10656-2024</t>
        </is>
      </c>
      <c r="B571" s="1" t="n">
        <v>45368</v>
      </c>
      <c r="C571" s="1" t="n">
        <v>46065</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49724-2025</t>
        </is>
      </c>
      <c r="B572" s="1" t="n">
        <v>45939.83730324074</v>
      </c>
      <c r="C572" s="1" t="n">
        <v>46065</v>
      </c>
      <c r="D572" t="inlineStr">
        <is>
          <t>GOTLANDS LÄN</t>
        </is>
      </c>
      <c r="E572" t="inlineStr">
        <is>
          <t>GOTLAND</t>
        </is>
      </c>
      <c r="F572" t="inlineStr">
        <is>
          <t>Kyrkan</t>
        </is>
      </c>
      <c r="G572" t="n">
        <v>3.1</v>
      </c>
      <c r="H572" t="n">
        <v>0</v>
      </c>
      <c r="I572" t="n">
        <v>0</v>
      </c>
      <c r="J572" t="n">
        <v>0</v>
      </c>
      <c r="K572" t="n">
        <v>0</v>
      </c>
      <c r="L572" t="n">
        <v>0</v>
      </c>
      <c r="M572" t="n">
        <v>0</v>
      </c>
      <c r="N572" t="n">
        <v>0</v>
      </c>
      <c r="O572" t="n">
        <v>0</v>
      </c>
      <c r="P572" t="n">
        <v>0</v>
      </c>
      <c r="Q572" t="n">
        <v>0</v>
      </c>
      <c r="R572" s="2" t="inlineStr"/>
    </row>
    <row r="573" ht="15" customHeight="1">
      <c r="A573" t="inlineStr">
        <is>
          <t>A 49730-2025</t>
        </is>
      </c>
      <c r="B573" s="1" t="n">
        <v>45939.87613425926</v>
      </c>
      <c r="C573" s="1" t="n">
        <v>46065</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49690-2025</t>
        </is>
      </c>
      <c r="B574" s="1" t="n">
        <v>45939.66730324074</v>
      </c>
      <c r="C574" s="1" t="n">
        <v>46065</v>
      </c>
      <c r="D574" t="inlineStr">
        <is>
          <t>GOTLANDS LÄN</t>
        </is>
      </c>
      <c r="E574" t="inlineStr">
        <is>
          <t>GOTLAND</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33011-2025</t>
        </is>
      </c>
      <c r="B575" s="1" t="n">
        <v>45840</v>
      </c>
      <c r="C575" s="1" t="n">
        <v>46065</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28506-2023</t>
        </is>
      </c>
      <c r="B576" s="1" t="n">
        <v>45103</v>
      </c>
      <c r="C576" s="1" t="n">
        <v>46065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21420-2024</t>
        </is>
      </c>
      <c r="B577" s="1" t="n">
        <v>45441.38293981482</v>
      </c>
      <c r="C577" s="1" t="n">
        <v>46065</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50421-2025</t>
        </is>
      </c>
      <c r="B578" s="1" t="n">
        <v>45944.66049768519</v>
      </c>
      <c r="C578" s="1" t="n">
        <v>46065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23188-2025</t>
        </is>
      </c>
      <c r="B579" s="1" t="n">
        <v>45791</v>
      </c>
      <c r="C579" s="1" t="n">
        <v>46065</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50431-2025</t>
        </is>
      </c>
      <c r="B580" s="1" t="n">
        <v>45944.68453703704</v>
      </c>
      <c r="C580" s="1" t="n">
        <v>46065</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50928-2025</t>
        </is>
      </c>
      <c r="B581" s="1" t="n">
        <v>45946.67896990741</v>
      </c>
      <c r="C581" s="1" t="n">
        <v>46065</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23473-2025</t>
        </is>
      </c>
      <c r="B582" s="1" t="n">
        <v>45792</v>
      </c>
      <c r="C582" s="1" t="n">
        <v>46065</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51262-2025</t>
        </is>
      </c>
      <c r="B583" s="1" t="n">
        <v>45949.49872685185</v>
      </c>
      <c r="C583" s="1" t="n">
        <v>46065</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23856-2025</t>
        </is>
      </c>
      <c r="B584" s="1" t="n">
        <v>45793</v>
      </c>
      <c r="C584" s="1" t="n">
        <v>46065</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52249-2025</t>
        </is>
      </c>
      <c r="B585" s="1" t="n">
        <v>45953.48637731482</v>
      </c>
      <c r="C585" s="1" t="n">
        <v>46065</v>
      </c>
      <c r="D585" t="inlineStr">
        <is>
          <t>GOTLANDS LÄN</t>
        </is>
      </c>
      <c r="E585" t="inlineStr">
        <is>
          <t>GOTLAND</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15073-2025</t>
        </is>
      </c>
      <c r="B586" s="1" t="n">
        <v>45743</v>
      </c>
      <c r="C586" s="1" t="n">
        <v>46065</v>
      </c>
      <c r="D586" t="inlineStr">
        <is>
          <t>GOTLANDS LÄN</t>
        </is>
      </c>
      <c r="E586" t="inlineStr">
        <is>
          <t>GOTLAND</t>
        </is>
      </c>
      <c r="G586" t="n">
        <v>12.1</v>
      </c>
      <c r="H586" t="n">
        <v>0</v>
      </c>
      <c r="I586" t="n">
        <v>0</v>
      </c>
      <c r="J586" t="n">
        <v>0</v>
      </c>
      <c r="K586" t="n">
        <v>0</v>
      </c>
      <c r="L586" t="n">
        <v>0</v>
      </c>
      <c r="M586" t="n">
        <v>0</v>
      </c>
      <c r="N586" t="n">
        <v>0</v>
      </c>
      <c r="O586" t="n">
        <v>0</v>
      </c>
      <c r="P586" t="n">
        <v>0</v>
      </c>
      <c r="Q586" t="n">
        <v>0</v>
      </c>
      <c r="R586" s="2" t="inlineStr"/>
    </row>
    <row r="587" ht="15" customHeight="1">
      <c r="A587" t="inlineStr">
        <is>
          <t>A 6749-2025</t>
        </is>
      </c>
      <c r="B587" s="1" t="n">
        <v>45700</v>
      </c>
      <c r="C587" s="1" t="n">
        <v>46065</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46065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23698-2025</t>
        </is>
      </c>
      <c r="B589" s="1" t="n">
        <v>45793</v>
      </c>
      <c r="C589" s="1" t="n">
        <v>46065</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53569-2025</t>
        </is>
      </c>
      <c r="B590" s="1" t="n">
        <v>45960.41155092593</v>
      </c>
      <c r="C590" s="1" t="n">
        <v>46065</v>
      </c>
      <c r="D590" t="inlineStr">
        <is>
          <t>GOTLANDS LÄN</t>
        </is>
      </c>
      <c r="E590" t="inlineStr">
        <is>
          <t>GOTLAND</t>
        </is>
      </c>
      <c r="F590" t="inlineStr">
        <is>
          <t>Övriga Aktiebolag</t>
        </is>
      </c>
      <c r="G590" t="n">
        <v>11.3</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46065</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5462-2025</t>
        </is>
      </c>
      <c r="B592" s="1" t="n">
        <v>45693.29331018519</v>
      </c>
      <c r="C592" s="1" t="n">
        <v>46065</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25796-2025</t>
        </is>
      </c>
      <c r="B593" s="1" t="n">
        <v>45804.39543981481</v>
      </c>
      <c r="C593" s="1" t="n">
        <v>46065</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56799-2025</t>
        </is>
      </c>
      <c r="B594" s="1" t="n">
        <v>45978.43392361111</v>
      </c>
      <c r="C594" s="1" t="n">
        <v>46065</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56688-2025</t>
        </is>
      </c>
      <c r="B595" s="1" t="n">
        <v>45975.84331018518</v>
      </c>
      <c r="C595" s="1" t="n">
        <v>46065</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36-2026</t>
        </is>
      </c>
      <c r="B596" s="1" t="n">
        <v>46024.38886574074</v>
      </c>
      <c r="C596" s="1" t="n">
        <v>46065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59197-2025</t>
        </is>
      </c>
      <c r="B597" s="1" t="n">
        <v>45988.59846064815</v>
      </c>
      <c r="C597" s="1" t="n">
        <v>46065</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1355-2026</t>
        </is>
      </c>
      <c r="B598" s="1" t="n">
        <v>46031.59909722222</v>
      </c>
      <c r="C598" s="1" t="n">
        <v>46065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2415-2026</t>
        </is>
      </c>
      <c r="B599" s="1" t="n">
        <v>46036.76203703704</v>
      </c>
      <c r="C599" s="1" t="n">
        <v>46065</v>
      </c>
      <c r="D599" t="inlineStr">
        <is>
          <t>GOTLANDS LÄN</t>
        </is>
      </c>
      <c r="E599" t="inlineStr">
        <is>
          <t>GOTLAND</t>
        </is>
      </c>
      <c r="G599" t="n">
        <v>6.9</v>
      </c>
      <c r="H599" t="n">
        <v>0</v>
      </c>
      <c r="I599" t="n">
        <v>0</v>
      </c>
      <c r="J599" t="n">
        <v>0</v>
      </c>
      <c r="K599" t="n">
        <v>0</v>
      </c>
      <c r="L599" t="n">
        <v>0</v>
      </c>
      <c r="M599" t="n">
        <v>0</v>
      </c>
      <c r="N599" t="n">
        <v>0</v>
      </c>
      <c r="O599" t="n">
        <v>0</v>
      </c>
      <c r="P599" t="n">
        <v>0</v>
      </c>
      <c r="Q599" t="n">
        <v>0</v>
      </c>
      <c r="R599" s="2" t="inlineStr"/>
    </row>
    <row r="600" ht="15" customHeight="1">
      <c r="A600" t="inlineStr">
        <is>
          <t>A 36319-2025</t>
        </is>
      </c>
      <c r="B600" s="1" t="n">
        <v>45868</v>
      </c>
      <c r="C600" s="1" t="n">
        <v>46065</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1839-2026</t>
        </is>
      </c>
      <c r="B601" s="1" t="n">
        <v>46035.3942824074</v>
      </c>
      <c r="C601" s="1" t="n">
        <v>46065</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1854-2026</t>
        </is>
      </c>
      <c r="B602" s="1" t="n">
        <v>46035.4171875</v>
      </c>
      <c r="C602" s="1" t="n">
        <v>46065</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2135-2026</t>
        </is>
      </c>
      <c r="B603" s="1" t="n">
        <v>46036</v>
      </c>
      <c r="C603" s="1" t="n">
        <v>46065</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2134-2026</t>
        </is>
      </c>
      <c r="B604" s="1" t="n">
        <v>46036</v>
      </c>
      <c r="C604" s="1" t="n">
        <v>46065</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1898-2026</t>
        </is>
      </c>
      <c r="B605" s="1" t="n">
        <v>46035.52024305556</v>
      </c>
      <c r="C605" s="1" t="n">
        <v>46065</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3067-2026</t>
        </is>
      </c>
      <c r="B606" s="1" t="n">
        <v>46040.59025462963</v>
      </c>
      <c r="C606" s="1" t="n">
        <v>46065</v>
      </c>
      <c r="D606" t="inlineStr">
        <is>
          <t>GOTLANDS LÄN</t>
        </is>
      </c>
      <c r="E606" t="inlineStr">
        <is>
          <t>GOTLAND</t>
        </is>
      </c>
      <c r="G606" t="n">
        <v>7.8</v>
      </c>
      <c r="H606" t="n">
        <v>0</v>
      </c>
      <c r="I606" t="n">
        <v>0</v>
      </c>
      <c r="J606" t="n">
        <v>0</v>
      </c>
      <c r="K606" t="n">
        <v>0</v>
      </c>
      <c r="L606" t="n">
        <v>0</v>
      </c>
      <c r="M606" t="n">
        <v>0</v>
      </c>
      <c r="N606" t="n">
        <v>0</v>
      </c>
      <c r="O606" t="n">
        <v>0</v>
      </c>
      <c r="P606" t="n">
        <v>0</v>
      </c>
      <c r="Q606" t="n">
        <v>0</v>
      </c>
      <c r="R606" s="2" t="inlineStr"/>
    </row>
    <row r="607" ht="15" customHeight="1">
      <c r="A607" t="inlineStr">
        <is>
          <t>A 3253-2026</t>
        </is>
      </c>
      <c r="B607" s="1" t="n">
        <v>46041.58902777778</v>
      </c>
      <c r="C607" s="1" t="n">
        <v>46065</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4662-2026</t>
        </is>
      </c>
      <c r="B608" s="1" t="n">
        <v>46048.40949074074</v>
      </c>
      <c r="C608" s="1" t="n">
        <v>46065</v>
      </c>
      <c r="D608" t="inlineStr">
        <is>
          <t>GOTLANDS LÄN</t>
        </is>
      </c>
      <c r="E608" t="inlineStr">
        <is>
          <t>GOTLAND</t>
        </is>
      </c>
      <c r="G608" t="n">
        <v>7.6</v>
      </c>
      <c r="H608" t="n">
        <v>0</v>
      </c>
      <c r="I608" t="n">
        <v>0</v>
      </c>
      <c r="J608" t="n">
        <v>0</v>
      </c>
      <c r="K608" t="n">
        <v>0</v>
      </c>
      <c r="L608" t="n">
        <v>0</v>
      </c>
      <c r="M608" t="n">
        <v>0</v>
      </c>
      <c r="N608" t="n">
        <v>0</v>
      </c>
      <c r="O608" t="n">
        <v>0</v>
      </c>
      <c r="P608" t="n">
        <v>0</v>
      </c>
      <c r="Q608" t="n">
        <v>0</v>
      </c>
      <c r="R608" s="2" t="inlineStr"/>
    </row>
    <row r="609" ht="15" customHeight="1">
      <c r="A609" t="inlineStr">
        <is>
          <t>A 4634-2026</t>
        </is>
      </c>
      <c r="B609" s="1" t="n">
        <v>46048.39304398148</v>
      </c>
      <c r="C609" s="1" t="n">
        <v>46065</v>
      </c>
      <c r="D609" t="inlineStr">
        <is>
          <t>GOTLANDS LÄN</t>
        </is>
      </c>
      <c r="E609" t="inlineStr">
        <is>
          <t>GOTLAND</t>
        </is>
      </c>
      <c r="G609" t="n">
        <v>7.8</v>
      </c>
      <c r="H609" t="n">
        <v>0</v>
      </c>
      <c r="I609" t="n">
        <v>0</v>
      </c>
      <c r="J609" t="n">
        <v>0</v>
      </c>
      <c r="K609" t="n">
        <v>0</v>
      </c>
      <c r="L609" t="n">
        <v>0</v>
      </c>
      <c r="M609" t="n">
        <v>0</v>
      </c>
      <c r="N609" t="n">
        <v>0</v>
      </c>
      <c r="O609" t="n">
        <v>0</v>
      </c>
      <c r="P609" t="n">
        <v>0</v>
      </c>
      <c r="Q609" t="n">
        <v>0</v>
      </c>
      <c r="R609" s="2" t="inlineStr"/>
    </row>
    <row r="610" ht="15" customHeight="1">
      <c r="A610" t="inlineStr">
        <is>
          <t>A 4646-2026</t>
        </is>
      </c>
      <c r="B610" s="1" t="n">
        <v>46048.40357638889</v>
      </c>
      <c r="C610" s="1" t="n">
        <v>46065</v>
      </c>
      <c r="D610" t="inlineStr">
        <is>
          <t>GOTLANDS LÄN</t>
        </is>
      </c>
      <c r="E610" t="inlineStr">
        <is>
          <t>GOTLAND</t>
        </is>
      </c>
      <c r="G610" t="n">
        <v>2.7</v>
      </c>
      <c r="H610" t="n">
        <v>0</v>
      </c>
      <c r="I610" t="n">
        <v>0</v>
      </c>
      <c r="J610" t="n">
        <v>0</v>
      </c>
      <c r="K610" t="n">
        <v>0</v>
      </c>
      <c r="L610" t="n">
        <v>0</v>
      </c>
      <c r="M610" t="n">
        <v>0</v>
      </c>
      <c r="N610" t="n">
        <v>0</v>
      </c>
      <c r="O610" t="n">
        <v>0</v>
      </c>
      <c r="P610" t="n">
        <v>0</v>
      </c>
      <c r="Q610" t="n">
        <v>0</v>
      </c>
      <c r="R610" s="2" t="inlineStr"/>
    </row>
    <row r="611" ht="15" customHeight="1">
      <c r="A611" t="inlineStr">
        <is>
          <t>A 4670-2026</t>
        </is>
      </c>
      <c r="B611" s="1" t="n">
        <v>46048.41733796296</v>
      </c>
      <c r="C611" s="1" t="n">
        <v>46065</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62066-2025</t>
        </is>
      </c>
      <c r="B612" s="1" t="n">
        <v>46006.34738425926</v>
      </c>
      <c r="C612" s="1" t="n">
        <v>46065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4639-2026</t>
        </is>
      </c>
      <c r="B613" s="1" t="n">
        <v>46048.39880787037</v>
      </c>
      <c r="C613" s="1" t="n">
        <v>46065</v>
      </c>
      <c r="D613" t="inlineStr">
        <is>
          <t>GOTLANDS LÄN</t>
        </is>
      </c>
      <c r="E613" t="inlineStr">
        <is>
          <t>GOTLAND</t>
        </is>
      </c>
      <c r="G613" t="n">
        <v>0.8</v>
      </c>
      <c r="H613" t="n">
        <v>0</v>
      </c>
      <c r="I613" t="n">
        <v>0</v>
      </c>
      <c r="J613" t="n">
        <v>0</v>
      </c>
      <c r="K613" t="n">
        <v>0</v>
      </c>
      <c r="L613" t="n">
        <v>0</v>
      </c>
      <c r="M613" t="n">
        <v>0</v>
      </c>
      <c r="N613" t="n">
        <v>0</v>
      </c>
      <c r="O613" t="n">
        <v>0</v>
      </c>
      <c r="P613" t="n">
        <v>0</v>
      </c>
      <c r="Q613" t="n">
        <v>0</v>
      </c>
      <c r="R613" s="2" t="inlineStr"/>
    </row>
    <row r="614" ht="15" customHeight="1">
      <c r="A614" t="inlineStr">
        <is>
          <t>A 62103-2025</t>
        </is>
      </c>
      <c r="B614" s="1" t="n">
        <v>46006</v>
      </c>
      <c r="C614" s="1" t="n">
        <v>46065</v>
      </c>
      <c r="D614" t="inlineStr">
        <is>
          <t>GOTLANDS LÄN</t>
        </is>
      </c>
      <c r="E614" t="inlineStr">
        <is>
          <t>GOTLAND</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62751-2025</t>
        </is>
      </c>
      <c r="B615" s="1" t="n">
        <v>46008</v>
      </c>
      <c r="C615" s="1" t="n">
        <v>46065</v>
      </c>
      <c r="D615" t="inlineStr">
        <is>
          <t>GOTLANDS LÄN</t>
        </is>
      </c>
      <c r="E615" t="inlineStr">
        <is>
          <t>GOTLAND</t>
        </is>
      </c>
      <c r="F615" t="inlineStr">
        <is>
          <t>Övriga Aktiebolag</t>
        </is>
      </c>
      <c r="G615" t="n">
        <v>7.8</v>
      </c>
      <c r="H615" t="n">
        <v>0</v>
      </c>
      <c r="I615" t="n">
        <v>0</v>
      </c>
      <c r="J615" t="n">
        <v>0</v>
      </c>
      <c r="K615" t="n">
        <v>0</v>
      </c>
      <c r="L615" t="n">
        <v>0</v>
      </c>
      <c r="M615" t="n">
        <v>0</v>
      </c>
      <c r="N615" t="n">
        <v>0</v>
      </c>
      <c r="O615" t="n">
        <v>0</v>
      </c>
      <c r="P615" t="n">
        <v>0</v>
      </c>
      <c r="Q615" t="n">
        <v>0</v>
      </c>
      <c r="R615" s="2" t="inlineStr"/>
    </row>
    <row r="616" ht="15" customHeight="1">
      <c r="A616" t="inlineStr">
        <is>
          <t>A 62754-2025</t>
        </is>
      </c>
      <c r="B616" s="1" t="n">
        <v>46008</v>
      </c>
      <c r="C616" s="1" t="n">
        <v>46065</v>
      </c>
      <c r="D616" t="inlineStr">
        <is>
          <t>GOTLANDS LÄN</t>
        </is>
      </c>
      <c r="E616" t="inlineStr">
        <is>
          <t>GOTLAND</t>
        </is>
      </c>
      <c r="F616" t="inlineStr">
        <is>
          <t>Övriga Aktiebolag</t>
        </is>
      </c>
      <c r="G616" t="n">
        <v>2.9</v>
      </c>
      <c r="H616" t="n">
        <v>0</v>
      </c>
      <c r="I616" t="n">
        <v>0</v>
      </c>
      <c r="J616" t="n">
        <v>0</v>
      </c>
      <c r="K616" t="n">
        <v>0</v>
      </c>
      <c r="L616" t="n">
        <v>0</v>
      </c>
      <c r="M616" t="n">
        <v>0</v>
      </c>
      <c r="N616" t="n">
        <v>0</v>
      </c>
      <c r="O616" t="n">
        <v>0</v>
      </c>
      <c r="P616" t="n">
        <v>0</v>
      </c>
      <c r="Q616" t="n">
        <v>0</v>
      </c>
      <c r="R616" s="2" t="inlineStr"/>
    </row>
    <row r="617" ht="15" customHeight="1">
      <c r="A617" t="inlineStr">
        <is>
          <t>A 63000-2025</t>
        </is>
      </c>
      <c r="B617" s="1" t="n">
        <v>46009</v>
      </c>
      <c r="C617" s="1" t="n">
        <v>46065</v>
      </c>
      <c r="D617" t="inlineStr">
        <is>
          <t>GOTLANDS LÄN</t>
        </is>
      </c>
      <c r="E617" t="inlineStr">
        <is>
          <t>GOTLAND</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47147-2025</t>
        </is>
      </c>
      <c r="B618" s="1" t="n">
        <v>45929</v>
      </c>
      <c r="C618" s="1" t="n">
        <v>46065</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5863-2026</t>
        </is>
      </c>
      <c r="B619" s="1" t="n">
        <v>46052.36697916667</v>
      </c>
      <c r="C619" s="1" t="n">
        <v>46065</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63002-2025</t>
        </is>
      </c>
      <c r="B620" s="1" t="n">
        <v>46009.56564814815</v>
      </c>
      <c r="C620" s="1" t="n">
        <v>46065</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6218-2026</t>
        </is>
      </c>
      <c r="B621" s="1" t="n">
        <v>46055.42859953704</v>
      </c>
      <c r="C621" s="1" t="n">
        <v>46065</v>
      </c>
      <c r="D621" t="inlineStr">
        <is>
          <t>GOTLANDS LÄN</t>
        </is>
      </c>
      <c r="E621" t="inlineStr">
        <is>
          <t>GOTLAND</t>
        </is>
      </c>
      <c r="G621" t="n">
        <v>4.3</v>
      </c>
      <c r="H621" t="n">
        <v>0</v>
      </c>
      <c r="I621" t="n">
        <v>0</v>
      </c>
      <c r="J621" t="n">
        <v>0</v>
      </c>
      <c r="K621" t="n">
        <v>0</v>
      </c>
      <c r="L621" t="n">
        <v>0</v>
      </c>
      <c r="M621" t="n">
        <v>0</v>
      </c>
      <c r="N621" t="n">
        <v>0</v>
      </c>
      <c r="O621" t="n">
        <v>0</v>
      </c>
      <c r="P621" t="n">
        <v>0</v>
      </c>
      <c r="Q621" t="n">
        <v>0</v>
      </c>
      <c r="R621" s="2" t="inlineStr"/>
    </row>
    <row r="622" ht="15" customHeight="1">
      <c r="A622" t="inlineStr">
        <is>
          <t>A 54584-2025</t>
        </is>
      </c>
      <c r="B622" s="1" t="n">
        <v>45965.71788194445</v>
      </c>
      <c r="C622" s="1" t="n">
        <v>46065</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6207-2026</t>
        </is>
      </c>
      <c r="B623" s="1" t="n">
        <v>46055.42083333333</v>
      </c>
      <c r="C623" s="1" t="n">
        <v>46065</v>
      </c>
      <c r="D623" t="inlineStr">
        <is>
          <t>GOTLANDS LÄN</t>
        </is>
      </c>
      <c r="E623" t="inlineStr">
        <is>
          <t>GOTLAND</t>
        </is>
      </c>
      <c r="G623" t="n">
        <v>7.6</v>
      </c>
      <c r="H623" t="n">
        <v>0</v>
      </c>
      <c r="I623" t="n">
        <v>0</v>
      </c>
      <c r="J623" t="n">
        <v>0</v>
      </c>
      <c r="K623" t="n">
        <v>0</v>
      </c>
      <c r="L623" t="n">
        <v>0</v>
      </c>
      <c r="M623" t="n">
        <v>0</v>
      </c>
      <c r="N623" t="n">
        <v>0</v>
      </c>
      <c r="O623" t="n">
        <v>0</v>
      </c>
      <c r="P623" t="n">
        <v>0</v>
      </c>
      <c r="Q623" t="n">
        <v>0</v>
      </c>
      <c r="R623" s="2" t="inlineStr"/>
    </row>
    <row r="624" ht="15" customHeight="1">
      <c r="A624" t="inlineStr">
        <is>
          <t>A 6960-2026</t>
        </is>
      </c>
      <c r="B624" s="1" t="n">
        <v>46057.58105324074</v>
      </c>
      <c r="C624" s="1" t="n">
        <v>46065</v>
      </c>
      <c r="D624" t="inlineStr">
        <is>
          <t>GOTLANDS LÄN</t>
        </is>
      </c>
      <c r="E624" t="inlineStr">
        <is>
          <t>GOTLAND</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6959-2026</t>
        </is>
      </c>
      <c r="B625" s="1" t="n">
        <v>46057.580625</v>
      </c>
      <c r="C625" s="1" t="n">
        <v>46065</v>
      </c>
      <c r="D625" t="inlineStr">
        <is>
          <t>GOTLANDS LÄN</t>
        </is>
      </c>
      <c r="E625" t="inlineStr">
        <is>
          <t>GOTLAND</t>
        </is>
      </c>
      <c r="F625" t="inlineStr">
        <is>
          <t>Kyrkan</t>
        </is>
      </c>
      <c r="G625" t="n">
        <v>1.2</v>
      </c>
      <c r="H625" t="n">
        <v>0</v>
      </c>
      <c r="I625" t="n">
        <v>0</v>
      </c>
      <c r="J625" t="n">
        <v>0</v>
      </c>
      <c r="K625" t="n">
        <v>0</v>
      </c>
      <c r="L625" t="n">
        <v>0</v>
      </c>
      <c r="M625" t="n">
        <v>0</v>
      </c>
      <c r="N625" t="n">
        <v>0</v>
      </c>
      <c r="O625" t="n">
        <v>0</v>
      </c>
      <c r="P625" t="n">
        <v>0</v>
      </c>
      <c r="Q625" t="n">
        <v>0</v>
      </c>
      <c r="R625" s="2" t="inlineStr"/>
    </row>
    <row r="626" ht="15" customHeight="1">
      <c r="A626" t="inlineStr">
        <is>
          <t>A 63105-2025</t>
        </is>
      </c>
      <c r="B626" s="1" t="n">
        <v>46009</v>
      </c>
      <c r="C626" s="1" t="n">
        <v>46065</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62674-2025</t>
        </is>
      </c>
      <c r="B627" s="1" t="n">
        <v>46008</v>
      </c>
      <c r="C627" s="1" t="n">
        <v>46065</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38649-2025</t>
        </is>
      </c>
      <c r="B628" s="1" t="n">
        <v>45884</v>
      </c>
      <c r="C628" s="1" t="n">
        <v>46065</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63152-2025</t>
        </is>
      </c>
      <c r="B629" s="1" t="n">
        <v>46010</v>
      </c>
      <c r="C629" s="1" t="n">
        <v>46065</v>
      </c>
      <c r="D629" t="inlineStr">
        <is>
          <t>GOTLANDS LÄN</t>
        </is>
      </c>
      <c r="E629" t="inlineStr">
        <is>
          <t>GOTLAND</t>
        </is>
      </c>
      <c r="G629" t="n">
        <v>1.5</v>
      </c>
      <c r="H629" t="n">
        <v>0</v>
      </c>
      <c r="I629" t="n">
        <v>0</v>
      </c>
      <c r="J629" t="n">
        <v>0</v>
      </c>
      <c r="K629" t="n">
        <v>0</v>
      </c>
      <c r="L629" t="n">
        <v>0</v>
      </c>
      <c r="M629" t="n">
        <v>0</v>
      </c>
      <c r="N629" t="n">
        <v>0</v>
      </c>
      <c r="O629" t="n">
        <v>0</v>
      </c>
      <c r="P629" t="n">
        <v>0</v>
      </c>
      <c r="Q629" t="n">
        <v>0</v>
      </c>
      <c r="R629" s="2" t="inlineStr"/>
    </row>
    <row r="630" ht="15" customHeight="1">
      <c r="A630" t="inlineStr">
        <is>
          <t>A 61078-2025</t>
        </is>
      </c>
      <c r="B630" s="1" t="n">
        <v>46000</v>
      </c>
      <c r="C630" s="1" t="n">
        <v>46065</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7625-2026</t>
        </is>
      </c>
      <c r="B631" s="1" t="n">
        <v>46062.35135416667</v>
      </c>
      <c r="C631" s="1" t="n">
        <v>46065</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7627-2026</t>
        </is>
      </c>
      <c r="B632" s="1" t="n">
        <v>46062.35465277778</v>
      </c>
      <c r="C632" s="1" t="n">
        <v>46065</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60384-2025</t>
        </is>
      </c>
      <c r="B633" s="1" t="n">
        <v>45995</v>
      </c>
      <c r="C633" s="1" t="n">
        <v>46065</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53587-2025</t>
        </is>
      </c>
      <c r="B634" s="1" t="n">
        <v>45960.43681712963</v>
      </c>
      <c r="C634" s="1" t="n">
        <v>46065</v>
      </c>
      <c r="D634" t="inlineStr">
        <is>
          <t>GOTLANDS LÄN</t>
        </is>
      </c>
      <c r="E634" t="inlineStr">
        <is>
          <t>GOTLAND</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53561-2025</t>
        </is>
      </c>
      <c r="B635" s="1" t="n">
        <v>45960.4059375</v>
      </c>
      <c r="C635" s="1" t="n">
        <v>46065</v>
      </c>
      <c r="D635" t="inlineStr">
        <is>
          <t>GOTLANDS LÄN</t>
        </is>
      </c>
      <c r="E635" t="inlineStr">
        <is>
          <t>GOTLAND</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61080-2025</t>
        </is>
      </c>
      <c r="B636" s="1" t="n">
        <v>46000</v>
      </c>
      <c r="C636" s="1" t="n">
        <v>46065</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c r="A637" t="inlineStr">
        <is>
          <t>A 62836-2025</t>
        </is>
      </c>
      <c r="B637" s="1" t="n">
        <v>46008</v>
      </c>
      <c r="C637" s="1" t="n">
        <v>46065</v>
      </c>
      <c r="D637" t="inlineStr">
        <is>
          <t>GOTLANDS LÄN</t>
        </is>
      </c>
      <c r="E637" t="inlineStr">
        <is>
          <t>GOTLAND</t>
        </is>
      </c>
      <c r="G637" t="n">
        <v>6.5</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2026-02-12T11:03:07Z</dcterms:created>
  <dcterms:modified xmlns:dcterms="http://purl.org/dc/terms/" xmlns:xsi="http://www.w3.org/2001/XMLSchema-instance" xsi:type="dcterms:W3CDTF">2026-02-12T11:03:07Z</dcterms:modified>
</cp:coreProperties>
</file>