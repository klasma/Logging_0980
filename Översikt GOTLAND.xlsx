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45904</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45904</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45904</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4572-2025</t>
        </is>
      </c>
      <c r="B10" s="1" t="n">
        <v>45687</v>
      </c>
      <c r="C10" s="1" t="n">
        <v>45904</v>
      </c>
      <c r="D10" t="inlineStr">
        <is>
          <t>GOTLANDS LÄN</t>
        </is>
      </c>
      <c r="E10" t="inlineStr">
        <is>
          <t>GOTLAND</t>
        </is>
      </c>
      <c r="G10" t="n">
        <v>6.2</v>
      </c>
      <c r="H10" t="n">
        <v>13</v>
      </c>
      <c r="I10" t="n">
        <v>2</v>
      </c>
      <c r="J10" t="n">
        <v>10</v>
      </c>
      <c r="K10" t="n">
        <v>0</v>
      </c>
      <c r="L10" t="n">
        <v>1</v>
      </c>
      <c r="M10" t="n">
        <v>0</v>
      </c>
      <c r="N10" t="n">
        <v>0</v>
      </c>
      <c r="O10" t="n">
        <v>11</v>
      </c>
      <c r="P10" t="n">
        <v>1</v>
      </c>
      <c r="Q10" t="n">
        <v>18</v>
      </c>
      <c r="R10" s="2" t="inlineStr">
        <is>
          <t>Brun glada
Apollofjäril
Axveronika
Backtimjan
Havsörn
Jordtistel
Mindre hackspett
Reliktbock
Solvända
Spillkråka
Svartfläckig blåvinge
Purpurknipprot
Skogsknipprot
Brudsporre
Grönvit nattviol
Nattviol
Sankt pers nycklar
Blåsippa</t>
        </is>
      </c>
      <c r="S10">
        <f>HYPERLINK("https://klasma.github.io/Logging_0980/artfynd/A 4572-2025 artfynd.xlsx", "A 4572-2025")</f>
        <v/>
      </c>
      <c r="T10">
        <f>HYPERLINK("https://klasma.github.io/Logging_0980/kartor/A 4572-2025 karta.png", "A 4572-2025")</f>
        <v/>
      </c>
      <c r="V10">
        <f>HYPERLINK("https://klasma.github.io/Logging_0980/klagomål/A 4572-2025 FSC-klagomål.docx", "A 4572-2025")</f>
        <v/>
      </c>
      <c r="W10">
        <f>HYPERLINK("https://klasma.github.io/Logging_0980/klagomålsmail/A 4572-2025 FSC-klagomål mail.docx", "A 4572-2025")</f>
        <v/>
      </c>
      <c r="X10">
        <f>HYPERLINK("https://klasma.github.io/Logging_0980/tillsyn/A 4572-2025 tillsynsbegäran.docx", "A 4572-2025")</f>
        <v/>
      </c>
      <c r="Y10">
        <f>HYPERLINK("https://klasma.github.io/Logging_0980/tillsynsmail/A 4572-2025 tillsynsbegäran mail.docx", "A 4572-2025")</f>
        <v/>
      </c>
      <c r="Z10">
        <f>HYPERLINK("https://klasma.github.io/Logging_0980/fåglar/A 4572-2025 prioriterade fågelarter.docx", "A 4572-2025")</f>
        <v/>
      </c>
    </row>
    <row r="11" ht="15" customHeight="1">
      <c r="A11" t="inlineStr">
        <is>
          <t>A 62551-2022</t>
        </is>
      </c>
      <c r="B11" s="1" t="n">
        <v>44924</v>
      </c>
      <c r="C11" s="1" t="n">
        <v>45904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8645-2025</t>
        </is>
      </c>
      <c r="B12" s="1" t="n">
        <v>45712</v>
      </c>
      <c r="C12" s="1" t="n">
        <v>45904</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34100-2024</t>
        </is>
      </c>
      <c r="B13" s="1" t="n">
        <v>45523</v>
      </c>
      <c r="C13" s="1" t="n">
        <v>45904</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45904</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45904</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61697-2023</t>
        </is>
      </c>
      <c r="B16" s="1" t="n">
        <v>45265</v>
      </c>
      <c r="C16" s="1" t="n">
        <v>45904</v>
      </c>
      <c r="D16" t="inlineStr">
        <is>
          <t>GOTLANDS LÄN</t>
        </is>
      </c>
      <c r="E16" t="inlineStr">
        <is>
          <t>GOTLAND</t>
        </is>
      </c>
      <c r="G16" t="n">
        <v>8.699999999999999</v>
      </c>
      <c r="H16" t="n">
        <v>2</v>
      </c>
      <c r="I16" t="n">
        <v>3</v>
      </c>
      <c r="J16" t="n">
        <v>4</v>
      </c>
      <c r="K16" t="n">
        <v>7</v>
      </c>
      <c r="L16" t="n">
        <v>1</v>
      </c>
      <c r="M16" t="n">
        <v>0</v>
      </c>
      <c r="N16" t="n">
        <v>0</v>
      </c>
      <c r="O16" t="n">
        <v>12</v>
      </c>
      <c r="P16" t="n">
        <v>8</v>
      </c>
      <c r="Q16" t="n">
        <v>15</v>
      </c>
      <c r="R16" s="2" t="inlineStr">
        <is>
          <t>Ryl
Duvspindling
Granrotsspindling
Gulsträngad fagerspindling
Läderdoftande fingersvamp
Svartgrön spindling
Tallkejsarspindling
Violettrandad spindling
Denisespindling
Odörspindling
Röd skogslilja
Säfferot
Anisspindling
Murgröna
Nästrot</t>
        </is>
      </c>
      <c r="S16">
        <f>HYPERLINK("https://klasma.github.io/Logging_0980/artfynd/A 61697-2023 artfynd.xlsx", "A 61697-2023")</f>
        <v/>
      </c>
      <c r="T16">
        <f>HYPERLINK("https://klasma.github.io/Logging_0980/kartor/A 61697-2023 karta.png", "A 61697-2023")</f>
        <v/>
      </c>
      <c r="V16">
        <f>HYPERLINK("https://klasma.github.io/Logging_0980/klagomål/A 61697-2023 FSC-klagomål.docx", "A 61697-2023")</f>
        <v/>
      </c>
      <c r="W16">
        <f>HYPERLINK("https://klasma.github.io/Logging_0980/klagomålsmail/A 61697-2023 FSC-klagomål mail.docx", "A 61697-2023")</f>
        <v/>
      </c>
      <c r="X16">
        <f>HYPERLINK("https://klasma.github.io/Logging_0980/tillsyn/A 61697-2023 tillsynsbegäran.docx", "A 61697-2023")</f>
        <v/>
      </c>
      <c r="Y16">
        <f>HYPERLINK("https://klasma.github.io/Logging_0980/tillsynsmail/A 61697-2023 tillsynsbegäran mail.docx", "A 61697-2023")</f>
        <v/>
      </c>
    </row>
    <row r="17" ht="15" customHeight="1">
      <c r="A17" t="inlineStr">
        <is>
          <t>A 15629-2024</t>
        </is>
      </c>
      <c r="B17" s="1" t="n">
        <v>45402.78372685185</v>
      </c>
      <c r="C17" s="1" t="n">
        <v>45904</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45904</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17762-2024</t>
        </is>
      </c>
      <c r="B19" s="1" t="n">
        <v>45418</v>
      </c>
      <c r="C19" s="1" t="n">
        <v>45904</v>
      </c>
      <c r="D19" t="inlineStr">
        <is>
          <t>GOTLANDS LÄN</t>
        </is>
      </c>
      <c r="E19" t="inlineStr">
        <is>
          <t>GOTLAND</t>
        </is>
      </c>
      <c r="G19" t="n">
        <v>5.8</v>
      </c>
      <c r="H19" t="n">
        <v>2</v>
      </c>
      <c r="I19" t="n">
        <v>2</v>
      </c>
      <c r="J19" t="n">
        <v>8</v>
      </c>
      <c r="K19" t="n">
        <v>1</v>
      </c>
      <c r="L19" t="n">
        <v>1</v>
      </c>
      <c r="M19" t="n">
        <v>1</v>
      </c>
      <c r="N19" t="n">
        <v>0</v>
      </c>
      <c r="O19" t="n">
        <v>11</v>
      </c>
      <c r="P19" t="n">
        <v>3</v>
      </c>
      <c r="Q19" t="n">
        <v>15</v>
      </c>
      <c r="R19" s="2" t="inlineStr">
        <is>
          <t>Järnek
Naveljordstjärna
Gråfingerört
Axveronika
Backstarr
Backtimjan
Crepis tectorum subsp. tectorum
Kalkvaxing
Odörspindling
Solvända
Svinrot
Anisspindling
Mindre märgborre
Sankt pers nycklar
Blåsippa</t>
        </is>
      </c>
      <c r="S19">
        <f>HYPERLINK("https://klasma.github.io/Logging_0980/artfynd/A 17762-2024 artfynd.xlsx", "A 17762-2024")</f>
        <v/>
      </c>
      <c r="T19">
        <f>HYPERLINK("https://klasma.github.io/Logging_0980/kartor/A 17762-2024 karta.png", "A 17762-2024")</f>
        <v/>
      </c>
      <c r="V19">
        <f>HYPERLINK("https://klasma.github.io/Logging_0980/klagomål/A 17762-2024 FSC-klagomål.docx", "A 17762-2024")</f>
        <v/>
      </c>
      <c r="W19">
        <f>HYPERLINK("https://klasma.github.io/Logging_0980/klagomålsmail/A 17762-2024 FSC-klagomål mail.docx", "A 17762-2024")</f>
        <v/>
      </c>
      <c r="X19">
        <f>HYPERLINK("https://klasma.github.io/Logging_0980/tillsyn/A 17762-2024 tillsynsbegäran.docx", "A 17762-2024")</f>
        <v/>
      </c>
      <c r="Y19">
        <f>HYPERLINK("https://klasma.github.io/Logging_0980/tillsynsmail/A 17762-2024 tillsynsbegäran mail.docx", "A 17762-2024")</f>
        <v/>
      </c>
    </row>
    <row r="20" ht="15" customHeight="1">
      <c r="A20" t="inlineStr">
        <is>
          <t>A 62132-2023</t>
        </is>
      </c>
      <c r="B20" s="1" t="n">
        <v>45267</v>
      </c>
      <c r="C20" s="1" t="n">
        <v>45904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25779-2022</t>
        </is>
      </c>
      <c r="B21" s="1" t="n">
        <v>44733</v>
      </c>
      <c r="C21" s="1" t="n">
        <v>45904</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45904</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45904</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45904</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35141-2022</t>
        </is>
      </c>
      <c r="B25" s="1" t="n">
        <v>44797.53318287037</v>
      </c>
      <c r="C25" s="1" t="n">
        <v>45904</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45904</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45904</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45904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45904</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45904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45904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45904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15850-2025</t>
        </is>
      </c>
      <c r="B33" s="1" t="n">
        <v>45748.92798611111</v>
      </c>
      <c r="C33" s="1" t="n">
        <v>45904</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28287-2024</t>
        </is>
      </c>
      <c r="B34" s="1" t="n">
        <v>45477</v>
      </c>
      <c r="C34" s="1" t="n">
        <v>45904</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30542-2025</t>
        </is>
      </c>
      <c r="B35" s="1" t="n">
        <v>45831</v>
      </c>
      <c r="C35" s="1" t="n">
        <v>45904</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45904</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45904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45904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45904</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45904</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584-2023</t>
        </is>
      </c>
      <c r="B41" s="1" t="n">
        <v>44930</v>
      </c>
      <c r="C41" s="1" t="n">
        <v>45904</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1719-2025</t>
        </is>
      </c>
      <c r="B42" s="1" t="n">
        <v>45671</v>
      </c>
      <c r="C42" s="1" t="n">
        <v>45904</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45904</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45904</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45904</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45904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45904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45904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45904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45904</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45904</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45904</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45904</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45904</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45904</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45904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45904</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54527-2023</t>
        </is>
      </c>
      <c r="B61" s="1" t="n">
        <v>45233</v>
      </c>
      <c r="C61" s="1" t="n">
        <v>45904</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16823-2024</t>
        </is>
      </c>
      <c r="B62" s="1" t="n">
        <v>45411</v>
      </c>
      <c r="C62" s="1" t="n">
        <v>45904</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65819-2020</t>
        </is>
      </c>
      <c r="B63" s="1" t="n">
        <v>44174</v>
      </c>
      <c r="C63" s="1" t="n">
        <v>45904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45904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45904</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45904</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45904</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45904</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32326-2024</t>
        </is>
      </c>
      <c r="B70" s="1" t="n">
        <v>45512</v>
      </c>
      <c r="C70" s="1" t="n">
        <v>45904</v>
      </c>
      <c r="D70" t="inlineStr">
        <is>
          <t>GOTLANDS LÄN</t>
        </is>
      </c>
      <c r="E70" t="inlineStr">
        <is>
          <t>GOTLAND</t>
        </is>
      </c>
      <c r="G70" t="n">
        <v>9.199999999999999</v>
      </c>
      <c r="H70" t="n">
        <v>3</v>
      </c>
      <c r="I70" t="n">
        <v>2</v>
      </c>
      <c r="J70" t="n">
        <v>2</v>
      </c>
      <c r="K70" t="n">
        <v>0</v>
      </c>
      <c r="L70" t="n">
        <v>0</v>
      </c>
      <c r="M70" t="n">
        <v>0</v>
      </c>
      <c r="N70" t="n">
        <v>0</v>
      </c>
      <c r="O70" t="n">
        <v>2</v>
      </c>
      <c r="P70" t="n">
        <v>0</v>
      </c>
      <c r="Q70" t="n">
        <v>5</v>
      </c>
      <c r="R70" s="2" t="inlineStr">
        <is>
          <t>Jordtistel
Svinrot
Purpurknipprot
Skogsknipprot
Brudsporre</t>
        </is>
      </c>
      <c r="S70">
        <f>HYPERLINK("https://klasma.github.io/Logging_0980/artfynd/A 32326-2024 artfynd.xlsx", "A 32326-2024")</f>
        <v/>
      </c>
      <c r="T70">
        <f>HYPERLINK("https://klasma.github.io/Logging_0980/kartor/A 32326-2024 karta.png", "A 32326-2024")</f>
        <v/>
      </c>
      <c r="V70">
        <f>HYPERLINK("https://klasma.github.io/Logging_0980/klagomål/A 32326-2024 FSC-klagomål.docx", "A 32326-2024")</f>
        <v/>
      </c>
      <c r="W70">
        <f>HYPERLINK("https://klasma.github.io/Logging_0980/klagomålsmail/A 32326-2024 FSC-klagomål mail.docx", "A 32326-2024")</f>
        <v/>
      </c>
      <c r="X70">
        <f>HYPERLINK("https://klasma.github.io/Logging_0980/tillsyn/A 32326-2024 tillsynsbegäran.docx", "A 32326-2024")</f>
        <v/>
      </c>
      <c r="Y70">
        <f>HYPERLINK("https://klasma.github.io/Logging_0980/tillsynsmail/A 32326-2024 tillsynsbegäran mail.docx", "A 32326-2024")</f>
        <v/>
      </c>
    </row>
    <row r="71" ht="15" customHeight="1">
      <c r="A71" t="inlineStr">
        <is>
          <t>A 54055-2022</t>
        </is>
      </c>
      <c r="B71" s="1" t="n">
        <v>44881</v>
      </c>
      <c r="C71" s="1" t="n">
        <v>45904</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35293-2025</t>
        </is>
      </c>
      <c r="B72" s="1" t="n">
        <v>45854.39438657407</v>
      </c>
      <c r="C72" s="1" t="n">
        <v>45904</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29331-2021</t>
        </is>
      </c>
      <c r="B73" s="1" t="n">
        <v>44361</v>
      </c>
      <c r="C73" s="1" t="n">
        <v>45904</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1971-2023</t>
        </is>
      </c>
      <c r="B74" s="1" t="n">
        <v>44939</v>
      </c>
      <c r="C74" s="1" t="n">
        <v>45904</v>
      </c>
      <c r="D74" t="inlineStr">
        <is>
          <t>GOTLANDS LÄN</t>
        </is>
      </c>
      <c r="E74" t="inlineStr">
        <is>
          <t>GOTLAND</t>
        </is>
      </c>
      <c r="G74" t="n">
        <v>5.5</v>
      </c>
      <c r="H74" t="n">
        <v>0</v>
      </c>
      <c r="I74" t="n">
        <v>2</v>
      </c>
      <c r="J74" t="n">
        <v>1</v>
      </c>
      <c r="K74" t="n">
        <v>1</v>
      </c>
      <c r="L74" t="n">
        <v>0</v>
      </c>
      <c r="M74" t="n">
        <v>0</v>
      </c>
      <c r="N74" t="n">
        <v>0</v>
      </c>
      <c r="O74" t="n">
        <v>2</v>
      </c>
      <c r="P74" t="n">
        <v>1</v>
      </c>
      <c r="Q74" t="n">
        <v>4</v>
      </c>
      <c r="R74" s="2" t="inlineStr">
        <is>
          <t>Gulsträngad fagerspindling
Svinrot
Fjällig taggsvamp s.str.
Olivspindling</t>
        </is>
      </c>
      <c r="S74">
        <f>HYPERLINK("https://klasma.github.io/Logging_0980/artfynd/A 1971-2023 artfynd.xlsx", "A 1971-2023")</f>
        <v/>
      </c>
      <c r="T74">
        <f>HYPERLINK("https://klasma.github.io/Logging_0980/kartor/A 1971-2023 karta.png", "A 1971-2023")</f>
        <v/>
      </c>
      <c r="V74">
        <f>HYPERLINK("https://klasma.github.io/Logging_0980/klagomål/A 1971-2023 FSC-klagomål.docx", "A 1971-2023")</f>
        <v/>
      </c>
      <c r="W74">
        <f>HYPERLINK("https://klasma.github.io/Logging_0980/klagomålsmail/A 1971-2023 FSC-klagomål mail.docx", "A 1971-2023")</f>
        <v/>
      </c>
      <c r="X74">
        <f>HYPERLINK("https://klasma.github.io/Logging_0980/tillsyn/A 1971-2023 tillsynsbegäran.docx", "A 1971-2023")</f>
        <v/>
      </c>
      <c r="Y74">
        <f>HYPERLINK("https://klasma.github.io/Logging_0980/tillsynsmail/A 1971-2023 tillsynsbegäran mail.docx", "A 1971-2023")</f>
        <v/>
      </c>
    </row>
    <row r="75" ht="15" customHeight="1">
      <c r="A75" t="inlineStr">
        <is>
          <t>A 186-2023</t>
        </is>
      </c>
      <c r="B75" s="1" t="n">
        <v>44928</v>
      </c>
      <c r="C75" s="1" t="n">
        <v>45904</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45904</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20833-2024</t>
        </is>
      </c>
      <c r="B77" s="1" t="n">
        <v>45439</v>
      </c>
      <c r="C77" s="1" t="n">
        <v>45904</v>
      </c>
      <c r="D77" t="inlineStr">
        <is>
          <t>GOTLANDS LÄN</t>
        </is>
      </c>
      <c r="E77" t="inlineStr">
        <is>
          <t>GOTLAND</t>
        </is>
      </c>
      <c r="G77" t="n">
        <v>0.9</v>
      </c>
      <c r="H77" t="n">
        <v>3</v>
      </c>
      <c r="I77" t="n">
        <v>1</v>
      </c>
      <c r="J77" t="n">
        <v>3</v>
      </c>
      <c r="K77" t="n">
        <v>0</v>
      </c>
      <c r="L77" t="n">
        <v>0</v>
      </c>
      <c r="M77" t="n">
        <v>0</v>
      </c>
      <c r="N77" t="n">
        <v>0</v>
      </c>
      <c r="O77" t="n">
        <v>3</v>
      </c>
      <c r="P77" t="n">
        <v>0</v>
      </c>
      <c r="Q77" t="n">
        <v>4</v>
      </c>
      <c r="R77" s="2" t="inlineStr">
        <is>
          <t>Dårgräsfjäril
Spillkråka
Svinrot
Skogsknipprot</t>
        </is>
      </c>
      <c r="S77">
        <f>HYPERLINK("https://klasma.github.io/Logging_0980/artfynd/A 20833-2024 artfynd.xlsx", "A 20833-2024")</f>
        <v/>
      </c>
      <c r="T77">
        <f>HYPERLINK("https://klasma.github.io/Logging_0980/kartor/A 20833-2024 karta.png", "A 20833-2024")</f>
        <v/>
      </c>
      <c r="V77">
        <f>HYPERLINK("https://klasma.github.io/Logging_0980/klagomål/A 20833-2024 FSC-klagomål.docx", "A 20833-2024")</f>
        <v/>
      </c>
      <c r="W77">
        <f>HYPERLINK("https://klasma.github.io/Logging_0980/klagomålsmail/A 20833-2024 FSC-klagomål mail.docx", "A 20833-2024")</f>
        <v/>
      </c>
      <c r="X77">
        <f>HYPERLINK("https://klasma.github.io/Logging_0980/tillsyn/A 20833-2024 tillsynsbegäran.docx", "A 20833-2024")</f>
        <v/>
      </c>
      <c r="Y77">
        <f>HYPERLINK("https://klasma.github.io/Logging_0980/tillsynsmail/A 20833-2024 tillsynsbegäran mail.docx", "A 20833-2024")</f>
        <v/>
      </c>
      <c r="Z77">
        <f>HYPERLINK("https://klasma.github.io/Logging_0980/fåglar/A 20833-2024 prioriterade fågelarter.docx", "A 20833-2024")</f>
        <v/>
      </c>
    </row>
    <row r="78" ht="15" customHeight="1">
      <c r="A78" t="inlineStr">
        <is>
          <t>A 40099-2025</t>
        </is>
      </c>
      <c r="B78" s="1" t="n">
        <v>45894.48462962963</v>
      </c>
      <c r="C78" s="1" t="n">
        <v>45904</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54523-2023</t>
        </is>
      </c>
      <c r="B79" s="1" t="n">
        <v>45233</v>
      </c>
      <c r="C79" s="1" t="n">
        <v>45904</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2485-2025</t>
        </is>
      </c>
      <c r="B80" s="1" t="n">
        <v>45673</v>
      </c>
      <c r="C80" s="1" t="n">
        <v>45904</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8265-2023</t>
        </is>
      </c>
      <c r="B81" s="1" t="n">
        <v>44974</v>
      </c>
      <c r="C81" s="1" t="n">
        <v>45904</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6159-2023</t>
        </is>
      </c>
      <c r="B82" s="1" t="n">
        <v>44964</v>
      </c>
      <c r="C82" s="1" t="n">
        <v>45904</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45904</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5904-2024</t>
        </is>
      </c>
      <c r="B84" s="1" t="n">
        <v>45335</v>
      </c>
      <c r="C84" s="1" t="n">
        <v>45904</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44933-2022</t>
        </is>
      </c>
      <c r="B85" s="1" t="n">
        <v>44841</v>
      </c>
      <c r="C85" s="1" t="n">
        <v>45904</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45904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55029-2020</t>
        </is>
      </c>
      <c r="B87" s="1" t="n">
        <v>44130</v>
      </c>
      <c r="C87" s="1" t="n">
        <v>45904</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45904</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45904</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45904</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45904</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45904</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43013-2022</t>
        </is>
      </c>
      <c r="B93" s="1" t="n">
        <v>44833</v>
      </c>
      <c r="C93" s="1" t="n">
        <v>45904</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17982-2023</t>
        </is>
      </c>
      <c r="B94" s="1" t="n">
        <v>45040</v>
      </c>
      <c r="C94" s="1" t="n">
        <v>45904</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13499-2022</t>
        </is>
      </c>
      <c r="B95" s="1" t="n">
        <v>44647.79203703703</v>
      </c>
      <c r="C95" s="1" t="n">
        <v>45904</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45904</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45904</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12315-2024</t>
        </is>
      </c>
      <c r="B98" s="1" t="n">
        <v>45378.6434837963</v>
      </c>
      <c r="C98" s="1" t="n">
        <v>45904</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30490-2025</t>
        </is>
      </c>
      <c r="B99" s="1" t="n">
        <v>45830</v>
      </c>
      <c r="C99" s="1" t="n">
        <v>45904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20831-2024</t>
        </is>
      </c>
      <c r="B100" s="1" t="n">
        <v>45439</v>
      </c>
      <c r="C100" s="1" t="n">
        <v>45904</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17975-2024</t>
        </is>
      </c>
      <c r="B101" s="1" t="n">
        <v>45419.85546296297</v>
      </c>
      <c r="C101" s="1" t="n">
        <v>45904</v>
      </c>
      <c r="D101" t="inlineStr">
        <is>
          <t>GOTLANDS LÄN</t>
        </is>
      </c>
      <c r="E101" t="inlineStr">
        <is>
          <t>GOTLAND</t>
        </is>
      </c>
      <c r="G101" t="n">
        <v>7.9</v>
      </c>
      <c r="H101" t="n">
        <v>0</v>
      </c>
      <c r="I101" t="n">
        <v>1</v>
      </c>
      <c r="J101" t="n">
        <v>1</v>
      </c>
      <c r="K101" t="n">
        <v>0</v>
      </c>
      <c r="L101" t="n">
        <v>1</v>
      </c>
      <c r="M101" t="n">
        <v>0</v>
      </c>
      <c r="N101" t="n">
        <v>0</v>
      </c>
      <c r="O101" t="n">
        <v>2</v>
      </c>
      <c r="P101" t="n">
        <v>1</v>
      </c>
      <c r="Q101" t="n">
        <v>3</v>
      </c>
      <c r="R101" s="2" t="inlineStr">
        <is>
          <t>Ask
Skugglosta
Strävlosta</t>
        </is>
      </c>
      <c r="S101">
        <f>HYPERLINK("https://klasma.github.io/Logging_0980/artfynd/A 17975-2024 artfynd.xlsx", "A 17975-2024")</f>
        <v/>
      </c>
      <c r="T101">
        <f>HYPERLINK("https://klasma.github.io/Logging_0980/kartor/A 17975-2024 karta.png", "A 17975-2024")</f>
        <v/>
      </c>
      <c r="V101">
        <f>HYPERLINK("https://klasma.github.io/Logging_0980/klagomål/A 17975-2024 FSC-klagomål.docx", "A 17975-2024")</f>
        <v/>
      </c>
      <c r="W101">
        <f>HYPERLINK("https://klasma.github.io/Logging_0980/klagomålsmail/A 17975-2024 FSC-klagomål mail.docx", "A 17975-2024")</f>
        <v/>
      </c>
      <c r="X101">
        <f>HYPERLINK("https://klasma.github.io/Logging_0980/tillsyn/A 17975-2024 tillsynsbegäran.docx", "A 17975-2024")</f>
        <v/>
      </c>
      <c r="Y101">
        <f>HYPERLINK("https://klasma.github.io/Logging_0980/tillsynsmail/A 17975-2024 tillsynsbegäran mail.docx", "A 17975-2024")</f>
        <v/>
      </c>
    </row>
    <row r="102" ht="15" customHeight="1">
      <c r="A102" t="inlineStr">
        <is>
          <t>A 62326-2020</t>
        </is>
      </c>
      <c r="B102" s="1" t="n">
        <v>44160</v>
      </c>
      <c r="C102" s="1" t="n">
        <v>45904</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45904</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45904</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45904</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45904</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45904</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45904</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73144-2021</t>
        </is>
      </c>
      <c r="B109" s="1" t="n">
        <v>44550</v>
      </c>
      <c r="C109" s="1" t="n">
        <v>45904</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28261-2024</t>
        </is>
      </c>
      <c r="B110" s="1" t="n">
        <v>45477</v>
      </c>
      <c r="C110" s="1" t="n">
        <v>45904</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28261-2024 artfynd.xlsx", "A 28261-2024")</f>
        <v/>
      </c>
      <c r="T110">
        <f>HYPERLINK("https://klasma.github.io/Logging_0980/kartor/A 28261-2024 karta.png", "A 28261-2024")</f>
        <v/>
      </c>
      <c r="V110">
        <f>HYPERLINK("https://klasma.github.io/Logging_0980/klagomål/A 28261-2024 FSC-klagomål.docx", "A 28261-2024")</f>
        <v/>
      </c>
      <c r="W110">
        <f>HYPERLINK("https://klasma.github.io/Logging_0980/klagomålsmail/A 28261-2024 FSC-klagomål mail.docx", "A 28261-2024")</f>
        <v/>
      </c>
      <c r="X110">
        <f>HYPERLINK("https://klasma.github.io/Logging_0980/tillsyn/A 28261-2024 tillsynsbegäran.docx", "A 28261-2024")</f>
        <v/>
      </c>
      <c r="Y110">
        <f>HYPERLINK("https://klasma.github.io/Logging_0980/tillsynsmail/A 28261-2024 tillsynsbegäran mail.docx", "A 28261-2024")</f>
        <v/>
      </c>
    </row>
    <row r="111" ht="15" customHeight="1">
      <c r="A111" t="inlineStr">
        <is>
          <t>A 55649-2024</t>
        </is>
      </c>
      <c r="B111" s="1" t="n">
        <v>45622.63053240741</v>
      </c>
      <c r="C111" s="1" t="n">
        <v>45904</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45904</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45904</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45904</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45904</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45904</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45904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45904</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45904</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41238-2025</t>
        </is>
      </c>
      <c r="B120" s="1" t="n">
        <v>45898</v>
      </c>
      <c r="C120" s="1" t="n">
        <v>45904</v>
      </c>
      <c r="D120" t="inlineStr">
        <is>
          <t>GOTLANDS LÄN</t>
        </is>
      </c>
      <c r="E120" t="inlineStr">
        <is>
          <t>GOTLAND</t>
        </is>
      </c>
      <c r="G120" t="n">
        <v>7.1</v>
      </c>
      <c r="H120" t="n">
        <v>1</v>
      </c>
      <c r="I120" t="n">
        <v>2</v>
      </c>
      <c r="J120" t="n">
        <v>0</v>
      </c>
      <c r="K120" t="n">
        <v>0</v>
      </c>
      <c r="L120" t="n">
        <v>0</v>
      </c>
      <c r="M120" t="n">
        <v>0</v>
      </c>
      <c r="N120" t="n">
        <v>0</v>
      </c>
      <c r="O120" t="n">
        <v>0</v>
      </c>
      <c r="P120" t="n">
        <v>0</v>
      </c>
      <c r="Q120" t="n">
        <v>2</v>
      </c>
      <c r="R120" s="2" t="inlineStr">
        <is>
          <t>Granbarkgnagare
Skogsknipprot</t>
        </is>
      </c>
      <c r="S120">
        <f>HYPERLINK("https://klasma.github.io/Logging_0980/artfynd/A 41238-2025 artfynd.xlsx", "A 41238-2025")</f>
        <v/>
      </c>
      <c r="T120">
        <f>HYPERLINK("https://klasma.github.io/Logging_0980/kartor/A 41238-2025 karta.png", "A 41238-2025")</f>
        <v/>
      </c>
      <c r="V120">
        <f>HYPERLINK("https://klasma.github.io/Logging_0980/klagomål/A 41238-2025 FSC-klagomål.docx", "A 41238-2025")</f>
        <v/>
      </c>
      <c r="W120">
        <f>HYPERLINK("https://klasma.github.io/Logging_0980/klagomålsmail/A 41238-2025 FSC-klagomål mail.docx", "A 41238-2025")</f>
        <v/>
      </c>
      <c r="X120">
        <f>HYPERLINK("https://klasma.github.io/Logging_0980/tillsyn/A 41238-2025 tillsynsbegäran.docx", "A 41238-2025")</f>
        <v/>
      </c>
      <c r="Y120">
        <f>HYPERLINK("https://klasma.github.io/Logging_0980/tillsynsmail/A 41238-2025 tillsynsbegäran mail.docx", "A 41238-2025")</f>
        <v/>
      </c>
    </row>
    <row r="121" ht="15" customHeight="1">
      <c r="A121" t="inlineStr">
        <is>
          <t>A 54357-2024</t>
        </is>
      </c>
      <c r="B121" s="1" t="n">
        <v>45617.40662037037</v>
      </c>
      <c r="C121" s="1" t="n">
        <v>45904</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28276-2024</t>
        </is>
      </c>
      <c r="B122" s="1" t="n">
        <v>45477</v>
      </c>
      <c r="C122" s="1" t="n">
        <v>45904</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20838-2024</t>
        </is>
      </c>
      <c r="B123" s="1" t="n">
        <v>45439</v>
      </c>
      <c r="C123" s="1" t="n">
        <v>45904</v>
      </c>
      <c r="D123" t="inlineStr">
        <is>
          <t>GOTLANDS LÄN</t>
        </is>
      </c>
      <c r="E123" t="inlineStr">
        <is>
          <t>GOTLAND</t>
        </is>
      </c>
      <c r="G123" t="n">
        <v>0.7</v>
      </c>
      <c r="H123" t="n">
        <v>2</v>
      </c>
      <c r="I123" t="n">
        <v>1</v>
      </c>
      <c r="J123" t="n">
        <v>1</v>
      </c>
      <c r="K123" t="n">
        <v>0</v>
      </c>
      <c r="L123" t="n">
        <v>0</v>
      </c>
      <c r="M123" t="n">
        <v>0</v>
      </c>
      <c r="N123" t="n">
        <v>0</v>
      </c>
      <c r="O123" t="n">
        <v>1</v>
      </c>
      <c r="P123" t="n">
        <v>0</v>
      </c>
      <c r="Q123" t="n">
        <v>2</v>
      </c>
      <c r="R123" s="2" t="inlineStr">
        <is>
          <t>Spillkråka
Skogsknipprot</t>
        </is>
      </c>
      <c r="S123">
        <f>HYPERLINK("https://klasma.github.io/Logging_0980/artfynd/A 20838-2024 artfynd.xlsx", "A 20838-2024")</f>
        <v/>
      </c>
      <c r="T123">
        <f>HYPERLINK("https://klasma.github.io/Logging_0980/kartor/A 20838-2024 karta.png", "A 20838-2024")</f>
        <v/>
      </c>
      <c r="V123">
        <f>HYPERLINK("https://klasma.github.io/Logging_0980/klagomål/A 20838-2024 FSC-klagomål.docx", "A 20838-2024")</f>
        <v/>
      </c>
      <c r="W123">
        <f>HYPERLINK("https://klasma.github.io/Logging_0980/klagomålsmail/A 20838-2024 FSC-klagomål mail.docx", "A 20838-2024")</f>
        <v/>
      </c>
      <c r="X123">
        <f>HYPERLINK("https://klasma.github.io/Logging_0980/tillsyn/A 20838-2024 tillsynsbegäran.docx", "A 20838-2024")</f>
        <v/>
      </c>
      <c r="Y123">
        <f>HYPERLINK("https://klasma.github.io/Logging_0980/tillsynsmail/A 20838-2024 tillsynsbegäran mail.docx", "A 20838-2024")</f>
        <v/>
      </c>
      <c r="Z123">
        <f>HYPERLINK("https://klasma.github.io/Logging_0980/fåglar/A 20838-2024 prioriterade fågelarter.docx", "A 20838-2024")</f>
        <v/>
      </c>
    </row>
    <row r="124" ht="15" customHeight="1">
      <c r="A124" t="inlineStr">
        <is>
          <t>A 24-2021</t>
        </is>
      </c>
      <c r="B124" s="1" t="n">
        <v>44197</v>
      </c>
      <c r="C124" s="1" t="n">
        <v>45904</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45904</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45904</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45904</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45904</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45904</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45904</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24245-2022</t>
        </is>
      </c>
      <c r="B131" s="1" t="n">
        <v>44725</v>
      </c>
      <c r="C131" s="1" t="n">
        <v>45904</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49304-2024</t>
        </is>
      </c>
      <c r="B132" s="1" t="n">
        <v>45595.54996527778</v>
      </c>
      <c r="C132" s="1" t="n">
        <v>45904</v>
      </c>
      <c r="D132" t="inlineStr">
        <is>
          <t>GOTLANDS LÄN</t>
        </is>
      </c>
      <c r="E132" t="inlineStr">
        <is>
          <t>GOTLAND</t>
        </is>
      </c>
      <c r="G132" t="n">
        <v>10.8</v>
      </c>
      <c r="H132" t="n">
        <v>0</v>
      </c>
      <c r="I132" t="n">
        <v>0</v>
      </c>
      <c r="J132" t="n">
        <v>1</v>
      </c>
      <c r="K132" t="n">
        <v>0</v>
      </c>
      <c r="L132" t="n">
        <v>0</v>
      </c>
      <c r="M132" t="n">
        <v>0</v>
      </c>
      <c r="N132" t="n">
        <v>0</v>
      </c>
      <c r="O132" t="n">
        <v>1</v>
      </c>
      <c r="P132" t="n">
        <v>0</v>
      </c>
      <c r="Q132" t="n">
        <v>1</v>
      </c>
      <c r="R132" s="2" t="inlineStr">
        <is>
          <t>Åkerranunkel</t>
        </is>
      </c>
      <c r="S132">
        <f>HYPERLINK("https://klasma.github.io/Logging_0980/artfynd/A 49304-2024 artfynd.xlsx", "A 49304-2024")</f>
        <v/>
      </c>
      <c r="T132">
        <f>HYPERLINK("https://klasma.github.io/Logging_0980/kartor/A 49304-2024 karta.png", "A 49304-2024")</f>
        <v/>
      </c>
      <c r="V132">
        <f>HYPERLINK("https://klasma.github.io/Logging_0980/klagomål/A 49304-2024 FSC-klagomål.docx", "A 49304-2024")</f>
        <v/>
      </c>
      <c r="W132">
        <f>HYPERLINK("https://klasma.github.io/Logging_0980/klagomålsmail/A 49304-2024 FSC-klagomål mail.docx", "A 49304-2024")</f>
        <v/>
      </c>
      <c r="X132">
        <f>HYPERLINK("https://klasma.github.io/Logging_0980/tillsyn/A 49304-2024 tillsynsbegäran.docx", "A 49304-2024")</f>
        <v/>
      </c>
      <c r="Y132">
        <f>HYPERLINK("https://klasma.github.io/Logging_0980/tillsynsmail/A 49304-2024 tillsynsbegäran mail.docx", "A 49304-2024")</f>
        <v/>
      </c>
    </row>
    <row r="133" ht="15" customHeight="1">
      <c r="A133" t="inlineStr">
        <is>
          <t>A 21466-2025</t>
        </is>
      </c>
      <c r="B133" s="1" t="n">
        <v>45782</v>
      </c>
      <c r="C133" s="1" t="n">
        <v>45904</v>
      </c>
      <c r="D133" t="inlineStr">
        <is>
          <t>GOTLANDS LÄN</t>
        </is>
      </c>
      <c r="E133" t="inlineStr">
        <is>
          <t>GOTLAND</t>
        </is>
      </c>
      <c r="F133" t="inlineStr">
        <is>
          <t>Övriga statliga verk och myndigheter</t>
        </is>
      </c>
      <c r="G133" t="n">
        <v>1.7</v>
      </c>
      <c r="H133" t="n">
        <v>1</v>
      </c>
      <c r="I133" t="n">
        <v>0</v>
      </c>
      <c r="J133" t="n">
        <v>0</v>
      </c>
      <c r="K133" t="n">
        <v>0</v>
      </c>
      <c r="L133" t="n">
        <v>0</v>
      </c>
      <c r="M133" t="n">
        <v>0</v>
      </c>
      <c r="N133" t="n">
        <v>0</v>
      </c>
      <c r="O133" t="n">
        <v>0</v>
      </c>
      <c r="P133" t="n">
        <v>0</v>
      </c>
      <c r="Q133" t="n">
        <v>1</v>
      </c>
      <c r="R133" s="2" t="inlineStr">
        <is>
          <t>Blåsippa</t>
        </is>
      </c>
      <c r="S133">
        <f>HYPERLINK("https://klasma.github.io/Logging_0980/artfynd/A 21466-2025 artfynd.xlsx", "A 21466-2025")</f>
        <v/>
      </c>
      <c r="T133">
        <f>HYPERLINK("https://klasma.github.io/Logging_0980/kartor/A 21466-2025 karta.png", "A 21466-2025")</f>
        <v/>
      </c>
      <c r="V133">
        <f>HYPERLINK("https://klasma.github.io/Logging_0980/klagomål/A 21466-2025 FSC-klagomål.docx", "A 21466-2025")</f>
        <v/>
      </c>
      <c r="W133">
        <f>HYPERLINK("https://klasma.github.io/Logging_0980/klagomålsmail/A 21466-2025 FSC-klagomål mail.docx", "A 21466-2025")</f>
        <v/>
      </c>
      <c r="X133">
        <f>HYPERLINK("https://klasma.github.io/Logging_0980/tillsyn/A 21466-2025 tillsynsbegäran.docx", "A 21466-2025")</f>
        <v/>
      </c>
      <c r="Y133">
        <f>HYPERLINK("https://klasma.github.io/Logging_0980/tillsynsmail/A 21466-2025 tillsynsbegäran mail.docx", "A 21466-2025")</f>
        <v/>
      </c>
    </row>
    <row r="134" ht="15" customHeight="1">
      <c r="A134" t="inlineStr">
        <is>
          <t>A 22782-2023</t>
        </is>
      </c>
      <c r="B134" s="1" t="n">
        <v>45072</v>
      </c>
      <c r="C134" s="1" t="n">
        <v>45904</v>
      </c>
      <c r="D134" t="inlineStr">
        <is>
          <t>GOTLANDS LÄN</t>
        </is>
      </c>
      <c r="E134" t="inlineStr">
        <is>
          <t>GOTLAND</t>
        </is>
      </c>
      <c r="F134" t="inlineStr">
        <is>
          <t>Kyrkan</t>
        </is>
      </c>
      <c r="G134" t="n">
        <v>3.1</v>
      </c>
      <c r="H134" t="n">
        <v>1</v>
      </c>
      <c r="I134" t="n">
        <v>0</v>
      </c>
      <c r="J134" t="n">
        <v>0</v>
      </c>
      <c r="K134" t="n">
        <v>0</v>
      </c>
      <c r="L134" t="n">
        <v>0</v>
      </c>
      <c r="M134" t="n">
        <v>0</v>
      </c>
      <c r="N134" t="n">
        <v>0</v>
      </c>
      <c r="O134" t="n">
        <v>0</v>
      </c>
      <c r="P134" t="n">
        <v>0</v>
      </c>
      <c r="Q134" t="n">
        <v>1</v>
      </c>
      <c r="R134" s="2" t="inlineStr">
        <is>
          <t>Ängsnycklar × skogsnycklar</t>
        </is>
      </c>
      <c r="S134">
        <f>HYPERLINK("https://klasma.github.io/Logging_0980/artfynd/A 22782-2023 artfynd.xlsx", "A 22782-2023")</f>
        <v/>
      </c>
      <c r="T134">
        <f>HYPERLINK("https://klasma.github.io/Logging_0980/kartor/A 22782-2023 karta.png", "A 22782-2023")</f>
        <v/>
      </c>
      <c r="V134">
        <f>HYPERLINK("https://klasma.github.io/Logging_0980/klagomål/A 22782-2023 FSC-klagomål.docx", "A 22782-2023")</f>
        <v/>
      </c>
      <c r="W134">
        <f>HYPERLINK("https://klasma.github.io/Logging_0980/klagomålsmail/A 22782-2023 FSC-klagomål mail.docx", "A 22782-2023")</f>
        <v/>
      </c>
      <c r="X134">
        <f>HYPERLINK("https://klasma.github.io/Logging_0980/tillsyn/A 22782-2023 tillsynsbegäran.docx", "A 22782-2023")</f>
        <v/>
      </c>
      <c r="Y134">
        <f>HYPERLINK("https://klasma.github.io/Logging_0980/tillsynsmail/A 22782-2023 tillsynsbegäran mail.docx", "A 22782-2023")</f>
        <v/>
      </c>
    </row>
    <row r="135" ht="15" customHeight="1">
      <c r="A135" t="inlineStr">
        <is>
          <t>A 10440-2024</t>
        </is>
      </c>
      <c r="B135" s="1" t="n">
        <v>45366.32818287037</v>
      </c>
      <c r="C135" s="1" t="n">
        <v>45904</v>
      </c>
      <c r="D135" t="inlineStr">
        <is>
          <t>GOTLANDS LÄN</t>
        </is>
      </c>
      <c r="E135" t="inlineStr">
        <is>
          <t>GOTLAND</t>
        </is>
      </c>
      <c r="G135" t="n">
        <v>2.5</v>
      </c>
      <c r="H135" t="n">
        <v>1</v>
      </c>
      <c r="I135" t="n">
        <v>0</v>
      </c>
      <c r="J135" t="n">
        <v>1</v>
      </c>
      <c r="K135" t="n">
        <v>0</v>
      </c>
      <c r="L135" t="n">
        <v>0</v>
      </c>
      <c r="M135" t="n">
        <v>0</v>
      </c>
      <c r="N135" t="n">
        <v>0</v>
      </c>
      <c r="O135" t="n">
        <v>1</v>
      </c>
      <c r="P135" t="n">
        <v>0</v>
      </c>
      <c r="Q135" t="n">
        <v>1</v>
      </c>
      <c r="R135" s="2" t="inlineStr">
        <is>
          <t>Mindre hackspett</t>
        </is>
      </c>
      <c r="S135">
        <f>HYPERLINK("https://klasma.github.io/Logging_0980/artfynd/A 10440-2024 artfynd.xlsx", "A 10440-2024")</f>
        <v/>
      </c>
      <c r="T135">
        <f>HYPERLINK("https://klasma.github.io/Logging_0980/kartor/A 10440-2024 karta.png", "A 10440-2024")</f>
        <v/>
      </c>
      <c r="V135">
        <f>HYPERLINK("https://klasma.github.io/Logging_0980/klagomål/A 10440-2024 FSC-klagomål.docx", "A 10440-2024")</f>
        <v/>
      </c>
      <c r="W135">
        <f>HYPERLINK("https://klasma.github.io/Logging_0980/klagomålsmail/A 10440-2024 FSC-klagomål mail.docx", "A 10440-2024")</f>
        <v/>
      </c>
      <c r="X135">
        <f>HYPERLINK("https://klasma.github.io/Logging_0980/tillsyn/A 10440-2024 tillsynsbegäran.docx", "A 10440-2024")</f>
        <v/>
      </c>
      <c r="Y135">
        <f>HYPERLINK("https://klasma.github.io/Logging_0980/tillsynsmail/A 10440-2024 tillsynsbegäran mail.docx", "A 10440-2024")</f>
        <v/>
      </c>
      <c r="Z135">
        <f>HYPERLINK("https://klasma.github.io/Logging_0980/fåglar/A 10440-2024 prioriterade fågelarter.docx", "A 10440-2024")</f>
        <v/>
      </c>
    </row>
    <row r="136" ht="15" customHeight="1">
      <c r="A136" t="inlineStr">
        <is>
          <t>A 44088-2022</t>
        </is>
      </c>
      <c r="B136" s="1" t="n">
        <v>44839</v>
      </c>
      <c r="C136" s="1" t="n">
        <v>45904</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2213-2023</t>
        </is>
      </c>
      <c r="B137" s="1" t="n">
        <v>44942</v>
      </c>
      <c r="C137" s="1" t="n">
        <v>45904</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44308-2021</t>
        </is>
      </c>
      <c r="B138" s="1" t="n">
        <v>44434</v>
      </c>
      <c r="C138" s="1" t="n">
        <v>45904</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12924-2025</t>
        </is>
      </c>
      <c r="B139" s="1" t="n">
        <v>45734</v>
      </c>
      <c r="C139" s="1" t="n">
        <v>45904</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8725-2025</t>
        </is>
      </c>
      <c r="B140" s="1" t="n">
        <v>45712</v>
      </c>
      <c r="C140" s="1" t="n">
        <v>45904</v>
      </c>
      <c r="D140" t="inlineStr">
        <is>
          <t>GOTLANDS LÄN</t>
        </is>
      </c>
      <c r="E140" t="inlineStr">
        <is>
          <t>GOTLAND</t>
        </is>
      </c>
      <c r="G140" t="n">
        <v>4.4</v>
      </c>
      <c r="H140" t="n">
        <v>1</v>
      </c>
      <c r="I140" t="n">
        <v>0</v>
      </c>
      <c r="J140" t="n">
        <v>1</v>
      </c>
      <c r="K140" t="n">
        <v>0</v>
      </c>
      <c r="L140" t="n">
        <v>0</v>
      </c>
      <c r="M140" t="n">
        <v>0</v>
      </c>
      <c r="N140" t="n">
        <v>0</v>
      </c>
      <c r="O140" t="n">
        <v>1</v>
      </c>
      <c r="P140" t="n">
        <v>0</v>
      </c>
      <c r="Q140" t="n">
        <v>1</v>
      </c>
      <c r="R140" s="2" t="inlineStr">
        <is>
          <t>Spillkråka</t>
        </is>
      </c>
      <c r="S140">
        <f>HYPERLINK("https://klasma.github.io/Logging_0980/artfynd/A 8725-2025 artfynd.xlsx", "A 8725-2025")</f>
        <v/>
      </c>
      <c r="T140">
        <f>HYPERLINK("https://klasma.github.io/Logging_0980/kartor/A 8725-2025 karta.png", "A 8725-2025")</f>
        <v/>
      </c>
      <c r="V140">
        <f>HYPERLINK("https://klasma.github.io/Logging_0980/klagomål/A 8725-2025 FSC-klagomål.docx", "A 8725-2025")</f>
        <v/>
      </c>
      <c r="W140">
        <f>HYPERLINK("https://klasma.github.io/Logging_0980/klagomålsmail/A 8725-2025 FSC-klagomål mail.docx", "A 8725-2025")</f>
        <v/>
      </c>
      <c r="X140">
        <f>HYPERLINK("https://klasma.github.io/Logging_0980/tillsyn/A 8725-2025 tillsynsbegäran.docx", "A 8725-2025")</f>
        <v/>
      </c>
      <c r="Y140">
        <f>HYPERLINK("https://klasma.github.io/Logging_0980/tillsynsmail/A 8725-2025 tillsynsbegäran mail.docx", "A 8725-2025")</f>
        <v/>
      </c>
      <c r="Z140">
        <f>HYPERLINK("https://klasma.github.io/Logging_0980/fåglar/A 8725-2025 prioriterade fågelarter.docx", "A 8725-2025")</f>
        <v/>
      </c>
    </row>
    <row r="141" ht="15" customHeight="1">
      <c r="A141" t="inlineStr">
        <is>
          <t>A 26461-2025</t>
        </is>
      </c>
      <c r="B141" s="1" t="n">
        <v>45807.43337962963</v>
      </c>
      <c r="C141" s="1" t="n">
        <v>45904</v>
      </c>
      <c r="D141" t="inlineStr">
        <is>
          <t>GOTLANDS LÄN</t>
        </is>
      </c>
      <c r="E141" t="inlineStr">
        <is>
          <t>GOTLAND</t>
        </is>
      </c>
      <c r="G141" t="n">
        <v>4.1</v>
      </c>
      <c r="H141" t="n">
        <v>0</v>
      </c>
      <c r="I141" t="n">
        <v>0</v>
      </c>
      <c r="J141" t="n">
        <v>0</v>
      </c>
      <c r="K141" t="n">
        <v>1</v>
      </c>
      <c r="L141" t="n">
        <v>0</v>
      </c>
      <c r="M141" t="n">
        <v>0</v>
      </c>
      <c r="N141" t="n">
        <v>0</v>
      </c>
      <c r="O141" t="n">
        <v>1</v>
      </c>
      <c r="P141" t="n">
        <v>1</v>
      </c>
      <c r="Q141" t="n">
        <v>1</v>
      </c>
      <c r="R141" s="2" t="inlineStr">
        <is>
          <t>Gotlandsmåra</t>
        </is>
      </c>
      <c r="S141">
        <f>HYPERLINK("https://klasma.github.io/Logging_0980/artfynd/A 26461-2025 artfynd.xlsx", "A 26461-2025")</f>
        <v/>
      </c>
      <c r="T141">
        <f>HYPERLINK("https://klasma.github.io/Logging_0980/kartor/A 26461-2025 karta.png", "A 26461-2025")</f>
        <v/>
      </c>
      <c r="V141">
        <f>HYPERLINK("https://klasma.github.io/Logging_0980/klagomål/A 26461-2025 FSC-klagomål.docx", "A 26461-2025")</f>
        <v/>
      </c>
      <c r="W141">
        <f>HYPERLINK("https://klasma.github.io/Logging_0980/klagomålsmail/A 26461-2025 FSC-klagomål mail.docx", "A 26461-2025")</f>
        <v/>
      </c>
      <c r="X141">
        <f>HYPERLINK("https://klasma.github.io/Logging_0980/tillsyn/A 26461-2025 tillsynsbegäran.docx", "A 26461-2025")</f>
        <v/>
      </c>
      <c r="Y141">
        <f>HYPERLINK("https://klasma.github.io/Logging_0980/tillsynsmail/A 26461-2025 tillsynsbegäran mail.docx", "A 26461-2025")</f>
        <v/>
      </c>
    </row>
    <row r="142" ht="15" customHeight="1">
      <c r="A142" t="inlineStr">
        <is>
          <t>A 46527-2023</t>
        </is>
      </c>
      <c r="B142" s="1" t="n">
        <v>45197</v>
      </c>
      <c r="C142" s="1" t="n">
        <v>45904</v>
      </c>
      <c r="D142" t="inlineStr">
        <is>
          <t>GOTLANDS LÄN</t>
        </is>
      </c>
      <c r="E142" t="inlineStr">
        <is>
          <t>GOTLAND</t>
        </is>
      </c>
      <c r="G142" t="n">
        <v>0.9</v>
      </c>
      <c r="H142" t="n">
        <v>0</v>
      </c>
      <c r="I142" t="n">
        <v>0</v>
      </c>
      <c r="J142" t="n">
        <v>1</v>
      </c>
      <c r="K142" t="n">
        <v>0</v>
      </c>
      <c r="L142" t="n">
        <v>0</v>
      </c>
      <c r="M142" t="n">
        <v>0</v>
      </c>
      <c r="N142" t="n">
        <v>0</v>
      </c>
      <c r="O142" t="n">
        <v>1</v>
      </c>
      <c r="P142" t="n">
        <v>0</v>
      </c>
      <c r="Q142" t="n">
        <v>1</v>
      </c>
      <c r="R142" s="2" t="inlineStr">
        <is>
          <t>Guldgräshoppa</t>
        </is>
      </c>
      <c r="S142">
        <f>HYPERLINK("https://klasma.github.io/Logging_0980/artfynd/A 46527-2023 artfynd.xlsx", "A 46527-2023")</f>
        <v/>
      </c>
      <c r="T142">
        <f>HYPERLINK("https://klasma.github.io/Logging_0980/kartor/A 46527-2023 karta.png", "A 46527-2023")</f>
        <v/>
      </c>
      <c r="V142">
        <f>HYPERLINK("https://klasma.github.io/Logging_0980/klagomål/A 46527-2023 FSC-klagomål.docx", "A 46527-2023")</f>
        <v/>
      </c>
      <c r="W142">
        <f>HYPERLINK("https://klasma.github.io/Logging_0980/klagomålsmail/A 46527-2023 FSC-klagomål mail.docx", "A 46527-2023")</f>
        <v/>
      </c>
      <c r="X142">
        <f>HYPERLINK("https://klasma.github.io/Logging_0980/tillsyn/A 46527-2023 tillsynsbegäran.docx", "A 46527-2023")</f>
        <v/>
      </c>
      <c r="Y142">
        <f>HYPERLINK("https://klasma.github.io/Logging_0980/tillsynsmail/A 46527-2023 tillsynsbegäran mail.docx", "A 46527-2023")</f>
        <v/>
      </c>
    </row>
    <row r="143" ht="15" customHeight="1">
      <c r="A143" t="inlineStr">
        <is>
          <t>A 17723-2021</t>
        </is>
      </c>
      <c r="B143" s="1" t="n">
        <v>44300</v>
      </c>
      <c r="C143" s="1" t="n">
        <v>45904</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6303-2024</t>
        </is>
      </c>
      <c r="B144" s="1" t="n">
        <v>45338.35376157407</v>
      </c>
      <c r="C144" s="1" t="n">
        <v>45904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45904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45904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25977-2024</t>
        </is>
      </c>
      <c r="B147" s="1" t="n">
        <v>45467.69356481481</v>
      </c>
      <c r="C147" s="1" t="n">
        <v>45904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45904</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7637-2025</t>
        </is>
      </c>
      <c r="B149" s="1" t="n">
        <v>45705.77181712963</v>
      </c>
      <c r="C149" s="1" t="n">
        <v>45904</v>
      </c>
      <c r="D149" t="inlineStr">
        <is>
          <t>GOTLANDS LÄN</t>
        </is>
      </c>
      <c r="E149" t="inlineStr">
        <is>
          <t>GOTLAND</t>
        </is>
      </c>
      <c r="G149" t="n">
        <v>3.7</v>
      </c>
      <c r="H149" t="n">
        <v>0</v>
      </c>
      <c r="I149" t="n">
        <v>0</v>
      </c>
      <c r="J149" t="n">
        <v>0</v>
      </c>
      <c r="K149" t="n">
        <v>0</v>
      </c>
      <c r="L149" t="n">
        <v>0</v>
      </c>
      <c r="M149" t="n">
        <v>1</v>
      </c>
      <c r="N149" t="n">
        <v>0</v>
      </c>
      <c r="O149" t="n">
        <v>1</v>
      </c>
      <c r="P149" t="n">
        <v>1</v>
      </c>
      <c r="Q149" t="n">
        <v>1</v>
      </c>
      <c r="R149" s="2" t="inlineStr">
        <is>
          <t>Skogsalm</t>
        </is>
      </c>
      <c r="S149">
        <f>HYPERLINK("https://klasma.github.io/Logging_0980/artfynd/A 7637-2025 artfynd.xlsx", "A 7637-2025")</f>
        <v/>
      </c>
      <c r="T149">
        <f>HYPERLINK("https://klasma.github.io/Logging_0980/kartor/A 7637-2025 karta.png", "A 7637-2025")</f>
        <v/>
      </c>
      <c r="V149">
        <f>HYPERLINK("https://klasma.github.io/Logging_0980/klagomål/A 7637-2025 FSC-klagomål.docx", "A 7637-2025")</f>
        <v/>
      </c>
      <c r="W149">
        <f>HYPERLINK("https://klasma.github.io/Logging_0980/klagomålsmail/A 7637-2025 FSC-klagomål mail.docx", "A 7637-2025")</f>
        <v/>
      </c>
      <c r="X149">
        <f>HYPERLINK("https://klasma.github.io/Logging_0980/tillsyn/A 7637-2025 tillsynsbegäran.docx", "A 7637-2025")</f>
        <v/>
      </c>
      <c r="Y149">
        <f>HYPERLINK("https://klasma.github.io/Logging_0980/tillsynsmail/A 7637-2025 tillsynsbegäran mail.docx", "A 7637-2025")</f>
        <v/>
      </c>
    </row>
    <row r="150" ht="15" customHeight="1">
      <c r="A150" t="inlineStr">
        <is>
          <t>A 9862-2024</t>
        </is>
      </c>
      <c r="B150" s="1" t="n">
        <v>45363</v>
      </c>
      <c r="C150" s="1" t="n">
        <v>45904</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45904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44468-2024</t>
        </is>
      </c>
      <c r="B152" s="1" t="n">
        <v>45574.36651620371</v>
      </c>
      <c r="C152" s="1" t="n">
        <v>45904</v>
      </c>
      <c r="D152" t="inlineStr">
        <is>
          <t>GOTLANDS LÄN</t>
        </is>
      </c>
      <c r="E152" t="inlineStr">
        <is>
          <t>GOTLAND</t>
        </is>
      </c>
      <c r="G152" t="n">
        <v>7</v>
      </c>
      <c r="H152" t="n">
        <v>0</v>
      </c>
      <c r="I152" t="n">
        <v>0</v>
      </c>
      <c r="J152" t="n">
        <v>0</v>
      </c>
      <c r="K152" t="n">
        <v>0</v>
      </c>
      <c r="L152" t="n">
        <v>0</v>
      </c>
      <c r="M152" t="n">
        <v>1</v>
      </c>
      <c r="N152" t="n">
        <v>0</v>
      </c>
      <c r="O152" t="n">
        <v>1</v>
      </c>
      <c r="P152" t="n">
        <v>1</v>
      </c>
      <c r="Q152" t="n">
        <v>1</v>
      </c>
      <c r="R152" s="2" t="inlineStr">
        <is>
          <t>Skogsalm</t>
        </is>
      </c>
      <c r="S152">
        <f>HYPERLINK("https://klasma.github.io/Logging_0980/artfynd/A 44468-2024 artfynd.xlsx", "A 44468-2024")</f>
        <v/>
      </c>
      <c r="T152">
        <f>HYPERLINK("https://klasma.github.io/Logging_0980/kartor/A 44468-2024 karta.png", "A 44468-2024")</f>
        <v/>
      </c>
      <c r="V152">
        <f>HYPERLINK("https://klasma.github.io/Logging_0980/klagomål/A 44468-2024 FSC-klagomål.docx", "A 44468-2024")</f>
        <v/>
      </c>
      <c r="W152">
        <f>HYPERLINK("https://klasma.github.io/Logging_0980/klagomålsmail/A 44468-2024 FSC-klagomål mail.docx", "A 44468-2024")</f>
        <v/>
      </c>
      <c r="X152">
        <f>HYPERLINK("https://klasma.github.io/Logging_0980/tillsyn/A 44468-2024 tillsynsbegäran.docx", "A 44468-2024")</f>
        <v/>
      </c>
      <c r="Y152">
        <f>HYPERLINK("https://klasma.github.io/Logging_0980/tillsynsmail/A 44468-2024 tillsynsbegäran mail.docx", "A 44468-2024")</f>
        <v/>
      </c>
    </row>
    <row r="153" ht="15" customHeight="1">
      <c r="A153" t="inlineStr">
        <is>
          <t>A 65927-2021</t>
        </is>
      </c>
      <c r="B153" s="1" t="n">
        <v>44516</v>
      </c>
      <c r="C153" s="1" t="n">
        <v>45904</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61796-2022</t>
        </is>
      </c>
      <c r="B154" s="1" t="n">
        <v>44917</v>
      </c>
      <c r="C154" s="1" t="n">
        <v>45904</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947-2023</t>
        </is>
      </c>
      <c r="B155" s="1" t="n">
        <v>44934</v>
      </c>
      <c r="C155" s="1" t="n">
        <v>45904</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39812-2025</t>
        </is>
      </c>
      <c r="B156" s="1" t="n">
        <v>45891</v>
      </c>
      <c r="C156" s="1" t="n">
        <v>45904</v>
      </c>
      <c r="D156" t="inlineStr">
        <is>
          <t>GOTLANDS LÄN</t>
        </is>
      </c>
      <c r="E156" t="inlineStr">
        <is>
          <t>GOTLAND</t>
        </is>
      </c>
      <c r="G156" t="n">
        <v>6</v>
      </c>
      <c r="H156" t="n">
        <v>1</v>
      </c>
      <c r="I156" t="n">
        <v>0</v>
      </c>
      <c r="J156" t="n">
        <v>0</v>
      </c>
      <c r="K156" t="n">
        <v>0</v>
      </c>
      <c r="L156" t="n">
        <v>1</v>
      </c>
      <c r="M156" t="n">
        <v>0</v>
      </c>
      <c r="N156" t="n">
        <v>0</v>
      </c>
      <c r="O156" t="n">
        <v>1</v>
      </c>
      <c r="P156" t="n">
        <v>1</v>
      </c>
      <c r="Q156" t="n">
        <v>1</v>
      </c>
      <c r="R156" s="2" t="inlineStr">
        <is>
          <t>Nålkörvel</t>
        </is>
      </c>
      <c r="S156">
        <f>HYPERLINK("https://klasma.github.io/Logging_0980/artfynd/A 39812-2025 artfynd.xlsx", "A 39812-2025")</f>
        <v/>
      </c>
      <c r="T156">
        <f>HYPERLINK("https://klasma.github.io/Logging_0980/kartor/A 39812-2025 karta.png", "A 39812-2025")</f>
        <v/>
      </c>
      <c r="V156">
        <f>HYPERLINK("https://klasma.github.io/Logging_0980/klagomål/A 39812-2025 FSC-klagomål.docx", "A 39812-2025")</f>
        <v/>
      </c>
      <c r="W156">
        <f>HYPERLINK("https://klasma.github.io/Logging_0980/klagomålsmail/A 39812-2025 FSC-klagomål mail.docx", "A 39812-2025")</f>
        <v/>
      </c>
      <c r="X156">
        <f>HYPERLINK("https://klasma.github.io/Logging_0980/tillsyn/A 39812-2025 tillsynsbegäran.docx", "A 39812-2025")</f>
        <v/>
      </c>
      <c r="Y156">
        <f>HYPERLINK("https://klasma.github.io/Logging_0980/tillsynsmail/A 39812-2025 tillsynsbegäran mail.docx", "A 39812-2025")</f>
        <v/>
      </c>
    </row>
    <row r="157" ht="15" customHeight="1">
      <c r="A157" t="inlineStr">
        <is>
          <t>A 10218-2025</t>
        </is>
      </c>
      <c r="B157" s="1" t="n">
        <v>45720</v>
      </c>
      <c r="C157" s="1" t="n">
        <v>45904</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45904</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45904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45904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61561-2023</t>
        </is>
      </c>
      <c r="B161" s="1" t="n">
        <v>45265</v>
      </c>
      <c r="C161" s="1" t="n">
        <v>45904</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15637-2024</t>
        </is>
      </c>
      <c r="B162" s="1" t="n">
        <v>45403.6684837963</v>
      </c>
      <c r="C162" s="1" t="n">
        <v>45904</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43219-2023</t>
        </is>
      </c>
      <c r="B163" s="1" t="n">
        <v>45183</v>
      </c>
      <c r="C163" s="1" t="n">
        <v>45904</v>
      </c>
      <c r="D163" t="inlineStr">
        <is>
          <t>GOTLANDS LÄN</t>
        </is>
      </c>
      <c r="E163" t="inlineStr">
        <is>
          <t>GOTLAND</t>
        </is>
      </c>
      <c r="G163" t="n">
        <v>3.6</v>
      </c>
      <c r="H163" t="n">
        <v>1</v>
      </c>
      <c r="I163" t="n">
        <v>0</v>
      </c>
      <c r="J163" t="n">
        <v>0</v>
      </c>
      <c r="K163" t="n">
        <v>0</v>
      </c>
      <c r="L163" t="n">
        <v>0</v>
      </c>
      <c r="M163" t="n">
        <v>0</v>
      </c>
      <c r="N163" t="n">
        <v>0</v>
      </c>
      <c r="O163" t="n">
        <v>0</v>
      </c>
      <c r="P163" t="n">
        <v>0</v>
      </c>
      <c r="Q163" t="n">
        <v>1</v>
      </c>
      <c r="R163" s="2" t="inlineStr">
        <is>
          <t>Skogsduva</t>
        </is>
      </c>
      <c r="S163">
        <f>HYPERLINK("https://klasma.github.io/Logging_0980/artfynd/A 43219-2023 artfynd.xlsx", "A 43219-2023")</f>
        <v/>
      </c>
      <c r="T163">
        <f>HYPERLINK("https://klasma.github.io/Logging_0980/kartor/A 43219-2023 karta.png", "A 43219-2023")</f>
        <v/>
      </c>
      <c r="V163">
        <f>HYPERLINK("https://klasma.github.io/Logging_0980/klagomål/A 43219-2023 FSC-klagomål.docx", "A 43219-2023")</f>
        <v/>
      </c>
      <c r="W163">
        <f>HYPERLINK("https://klasma.github.io/Logging_0980/klagomålsmail/A 43219-2023 FSC-klagomål mail.docx", "A 43219-2023")</f>
        <v/>
      </c>
      <c r="X163">
        <f>HYPERLINK("https://klasma.github.io/Logging_0980/tillsyn/A 43219-2023 tillsynsbegäran.docx", "A 43219-2023")</f>
        <v/>
      </c>
      <c r="Y163">
        <f>HYPERLINK("https://klasma.github.io/Logging_0980/tillsynsmail/A 43219-2023 tillsynsbegäran mail.docx", "A 43219-2023")</f>
        <v/>
      </c>
      <c r="Z163">
        <f>HYPERLINK("https://klasma.github.io/Logging_0980/fåglar/A 43219-2023 prioriterade fågelarter.docx", "A 43219-2023")</f>
        <v/>
      </c>
    </row>
    <row r="164" ht="15" customHeight="1">
      <c r="A164" t="inlineStr">
        <is>
          <t>A 12324-2025</t>
        </is>
      </c>
      <c r="B164" s="1" t="n">
        <v>45730</v>
      </c>
      <c r="C164" s="1" t="n">
        <v>45904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63299-2020</t>
        </is>
      </c>
      <c r="B165" s="1" t="n">
        <v>44165</v>
      </c>
      <c r="C165" s="1" t="n">
        <v>45904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44958-2020</t>
        </is>
      </c>
      <c r="B166" s="1" t="n">
        <v>44088</v>
      </c>
      <c r="C166" s="1" t="n">
        <v>45904</v>
      </c>
      <c r="D166" t="inlineStr">
        <is>
          <t>GOTLANDS LÄN</t>
        </is>
      </c>
      <c r="E166" t="inlineStr">
        <is>
          <t>GOTLAND</t>
        </is>
      </c>
      <c r="G166" t="n">
        <v>0.6</v>
      </c>
      <c r="H166" t="n">
        <v>1</v>
      </c>
      <c r="I166" t="n">
        <v>0</v>
      </c>
      <c r="J166" t="n">
        <v>1</v>
      </c>
      <c r="K166" t="n">
        <v>0</v>
      </c>
      <c r="L166" t="n">
        <v>0</v>
      </c>
      <c r="M166" t="n">
        <v>0</v>
      </c>
      <c r="N166" t="n">
        <v>0</v>
      </c>
      <c r="O166" t="n">
        <v>1</v>
      </c>
      <c r="P166" t="n">
        <v>0</v>
      </c>
      <c r="Q166" t="n">
        <v>1</v>
      </c>
      <c r="R166" s="2" t="inlineStr">
        <is>
          <t>Hornuggla</t>
        </is>
      </c>
      <c r="S166">
        <f>HYPERLINK("https://klasma.github.io/Logging_0980/artfynd/A 44958-2020 artfynd.xlsx", "A 44958-2020")</f>
        <v/>
      </c>
      <c r="T166">
        <f>HYPERLINK("https://klasma.github.io/Logging_0980/kartor/A 44958-2020 karta.png", "A 44958-2020")</f>
        <v/>
      </c>
      <c r="V166">
        <f>HYPERLINK("https://klasma.github.io/Logging_0980/klagomål/A 44958-2020 FSC-klagomål.docx", "A 44958-2020")</f>
        <v/>
      </c>
      <c r="W166">
        <f>HYPERLINK("https://klasma.github.io/Logging_0980/klagomålsmail/A 44958-2020 FSC-klagomål mail.docx", "A 44958-2020")</f>
        <v/>
      </c>
      <c r="X166">
        <f>HYPERLINK("https://klasma.github.io/Logging_0980/tillsyn/A 44958-2020 tillsynsbegäran.docx", "A 44958-2020")</f>
        <v/>
      </c>
      <c r="Y166">
        <f>HYPERLINK("https://klasma.github.io/Logging_0980/tillsynsmail/A 44958-2020 tillsynsbegäran mail.docx", "A 44958-2020")</f>
        <v/>
      </c>
      <c r="Z166">
        <f>HYPERLINK("https://klasma.github.io/Logging_0980/fåglar/A 44958-2020 prioriterade fågelarter.docx", "A 44958-2020")</f>
        <v/>
      </c>
    </row>
    <row r="167" ht="15" customHeight="1">
      <c r="A167" t="inlineStr">
        <is>
          <t>A 49847-2023</t>
        </is>
      </c>
      <c r="B167" s="1" t="n">
        <v>45212</v>
      </c>
      <c r="C167" s="1" t="n">
        <v>45904</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2476-2025</t>
        </is>
      </c>
      <c r="B168" s="1" t="n">
        <v>45673</v>
      </c>
      <c r="C168" s="1" t="n">
        <v>45904</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20429-2025</t>
        </is>
      </c>
      <c r="B169" s="1" t="n">
        <v>45775.47728009259</v>
      </c>
      <c r="C169" s="1" t="n">
        <v>45904</v>
      </c>
      <c r="D169" t="inlineStr">
        <is>
          <t>GOTLANDS LÄN</t>
        </is>
      </c>
      <c r="E169" t="inlineStr">
        <is>
          <t>GOTLAND</t>
        </is>
      </c>
      <c r="G169" t="n">
        <v>1.4</v>
      </c>
      <c r="H169" t="n">
        <v>1</v>
      </c>
      <c r="I169" t="n">
        <v>0</v>
      </c>
      <c r="J169" t="n">
        <v>0</v>
      </c>
      <c r="K169" t="n">
        <v>0</v>
      </c>
      <c r="L169" t="n">
        <v>0</v>
      </c>
      <c r="M169" t="n">
        <v>0</v>
      </c>
      <c r="N169" t="n">
        <v>0</v>
      </c>
      <c r="O169" t="n">
        <v>0</v>
      </c>
      <c r="P169" t="n">
        <v>0</v>
      </c>
      <c r="Q169" t="n">
        <v>1</v>
      </c>
      <c r="R169" s="2" t="inlineStr">
        <is>
          <t>Äkta lopplummer</t>
        </is>
      </c>
      <c r="S169">
        <f>HYPERLINK("https://klasma.github.io/Logging_0980/artfynd/A 20429-2025 artfynd.xlsx", "A 20429-2025")</f>
        <v/>
      </c>
      <c r="T169">
        <f>HYPERLINK("https://klasma.github.io/Logging_0980/kartor/A 20429-2025 karta.png", "A 20429-2025")</f>
        <v/>
      </c>
      <c r="V169">
        <f>HYPERLINK("https://klasma.github.io/Logging_0980/klagomål/A 20429-2025 FSC-klagomål.docx", "A 20429-2025")</f>
        <v/>
      </c>
      <c r="W169">
        <f>HYPERLINK("https://klasma.github.io/Logging_0980/klagomålsmail/A 20429-2025 FSC-klagomål mail.docx", "A 20429-2025")</f>
        <v/>
      </c>
      <c r="X169">
        <f>HYPERLINK("https://klasma.github.io/Logging_0980/tillsyn/A 20429-2025 tillsynsbegäran.docx", "A 20429-2025")</f>
        <v/>
      </c>
      <c r="Y169">
        <f>HYPERLINK("https://klasma.github.io/Logging_0980/tillsynsmail/A 20429-2025 tillsynsbegäran mail.docx", "A 20429-2025")</f>
        <v/>
      </c>
    </row>
    <row r="170" ht="15" customHeight="1">
      <c r="A170" t="inlineStr">
        <is>
          <t>A 447-2023</t>
        </is>
      </c>
      <c r="B170" s="1" t="n">
        <v>44929</v>
      </c>
      <c r="C170" s="1" t="n">
        <v>45904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10995-2023</t>
        </is>
      </c>
      <c r="B171" s="1" t="n">
        <v>44986</v>
      </c>
      <c r="C171" s="1" t="n">
        <v>45904</v>
      </c>
      <c r="D171" t="inlineStr">
        <is>
          <t>GOTLANDS LÄN</t>
        </is>
      </c>
      <c r="E171" t="inlineStr">
        <is>
          <t>GOTLAND</t>
        </is>
      </c>
      <c r="G171" t="n">
        <v>2.8</v>
      </c>
      <c r="H171" t="n">
        <v>0</v>
      </c>
      <c r="I171" t="n">
        <v>0</v>
      </c>
      <c r="J171" t="n">
        <v>0</v>
      </c>
      <c r="K171" t="n">
        <v>1</v>
      </c>
      <c r="L171" t="n">
        <v>0</v>
      </c>
      <c r="M171" t="n">
        <v>0</v>
      </c>
      <c r="N171" t="n">
        <v>0</v>
      </c>
      <c r="O171" t="n">
        <v>1</v>
      </c>
      <c r="P171" t="n">
        <v>1</v>
      </c>
      <c r="Q171" t="n">
        <v>1</v>
      </c>
      <c r="R171" s="2" t="inlineStr">
        <is>
          <t>Violettfläckig spindling</t>
        </is>
      </c>
      <c r="S171">
        <f>HYPERLINK("https://klasma.github.io/Logging_0980/artfynd/A 10995-2023 artfynd.xlsx", "A 10995-2023")</f>
        <v/>
      </c>
      <c r="T171">
        <f>HYPERLINK("https://klasma.github.io/Logging_0980/kartor/A 10995-2023 karta.png", "A 10995-2023")</f>
        <v/>
      </c>
      <c r="V171">
        <f>HYPERLINK("https://klasma.github.io/Logging_0980/klagomål/A 10995-2023 FSC-klagomål.docx", "A 10995-2023")</f>
        <v/>
      </c>
      <c r="W171">
        <f>HYPERLINK("https://klasma.github.io/Logging_0980/klagomålsmail/A 10995-2023 FSC-klagomål mail.docx", "A 10995-2023")</f>
        <v/>
      </c>
      <c r="X171">
        <f>HYPERLINK("https://klasma.github.io/Logging_0980/tillsyn/A 10995-2023 tillsynsbegäran.docx", "A 10995-2023")</f>
        <v/>
      </c>
      <c r="Y171">
        <f>HYPERLINK("https://klasma.github.io/Logging_0980/tillsynsmail/A 10995-2023 tillsynsbegäran mail.docx", "A 10995-2023")</f>
        <v/>
      </c>
    </row>
    <row r="172" ht="15" customHeight="1">
      <c r="A172" t="inlineStr">
        <is>
          <t>A 34809-2024</t>
        </is>
      </c>
      <c r="B172" s="1" t="n">
        <v>45526</v>
      </c>
      <c r="C172" s="1" t="n">
        <v>45904</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19901-2021</t>
        </is>
      </c>
      <c r="B173" s="1" t="n">
        <v>44312</v>
      </c>
      <c r="C173" s="1" t="n">
        <v>45904</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45904</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45904</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45904</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45904</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45904</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45904</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45904</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45904</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45904</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45904</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45904</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45904</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8329-2021</t>
        </is>
      </c>
      <c r="B186" s="1" t="n">
        <v>44244</v>
      </c>
      <c r="C186" s="1" t="n">
        <v>45904</v>
      </c>
      <c r="D186" t="inlineStr">
        <is>
          <t>GOTLANDS LÄN</t>
        </is>
      </c>
      <c r="E186" t="inlineStr">
        <is>
          <t>GOTLAND</t>
        </is>
      </c>
      <c r="F186" t="inlineStr">
        <is>
          <t>Kyrkan</t>
        </is>
      </c>
      <c r="G186" t="n">
        <v>4.5</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45904</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45904</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45904</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45921-2020</t>
        </is>
      </c>
      <c r="B190" s="1" t="n">
        <v>44088</v>
      </c>
      <c r="C190" s="1" t="n">
        <v>45904</v>
      </c>
      <c r="D190" t="inlineStr">
        <is>
          <t>GOTLANDS LÄN</t>
        </is>
      </c>
      <c r="E190" t="inlineStr">
        <is>
          <t>GOTLAND</t>
        </is>
      </c>
      <c r="G190" t="n">
        <v>6.5</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45904</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45904</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45904</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45904</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45904</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45904</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45904</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45904</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45904</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45904</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45904</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45904</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45904</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45904</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45904</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45904</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45904</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45904</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45904</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45904</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45904</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45904</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45904</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45904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45904</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45904</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45904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45904</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45904</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45904</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45904</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45904</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37037-2021</t>
        </is>
      </c>
      <c r="B231" s="1" t="n">
        <v>44393.84688657407</v>
      </c>
      <c r="C231" s="1" t="n">
        <v>45904</v>
      </c>
      <c r="D231" t="inlineStr">
        <is>
          <t>GOTLANDS LÄN</t>
        </is>
      </c>
      <c r="E231" t="inlineStr">
        <is>
          <t>GOTLAND</t>
        </is>
      </c>
      <c r="G231" t="n">
        <v>10.2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45904</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45904</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44942-2022</t>
        </is>
      </c>
      <c r="B234" s="1" t="n">
        <v>44841</v>
      </c>
      <c r="C234" s="1" t="n">
        <v>45904</v>
      </c>
      <c r="D234" t="inlineStr">
        <is>
          <t>GOTLANDS LÄN</t>
        </is>
      </c>
      <c r="E234" t="inlineStr">
        <is>
          <t>GOTLAND</t>
        </is>
      </c>
      <c r="G234" t="n">
        <v>2</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45904</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6153-2024</t>
        </is>
      </c>
      <c r="B236" s="1" t="n">
        <v>45337</v>
      </c>
      <c r="C236" s="1" t="n">
        <v>45904</v>
      </c>
      <c r="D236" t="inlineStr">
        <is>
          <t>GOTLANDS LÄN</t>
        </is>
      </c>
      <c r="E236" t="inlineStr">
        <is>
          <t>GOTLAND</t>
        </is>
      </c>
      <c r="G236" t="n">
        <v>14.2</v>
      </c>
      <c r="H236" t="n">
        <v>0</v>
      </c>
      <c r="I236" t="n">
        <v>0</v>
      </c>
      <c r="J236" t="n">
        <v>0</v>
      </c>
      <c r="K236" t="n">
        <v>0</v>
      </c>
      <c r="L236" t="n">
        <v>0</v>
      </c>
      <c r="M236" t="n">
        <v>0</v>
      </c>
      <c r="N236" t="n">
        <v>0</v>
      </c>
      <c r="O236" t="n">
        <v>0</v>
      </c>
      <c r="P236" t="n">
        <v>0</v>
      </c>
      <c r="Q236" t="n">
        <v>0</v>
      </c>
      <c r="R236" s="2" t="inlineStr"/>
    </row>
    <row r="237" ht="15" customHeight="1">
      <c r="A237" t="inlineStr">
        <is>
          <t>A 27095-2022</t>
        </is>
      </c>
      <c r="B237" s="1" t="n">
        <v>44741</v>
      </c>
      <c r="C237" s="1" t="n">
        <v>45904</v>
      </c>
      <c r="D237" t="inlineStr">
        <is>
          <t>GOTLANDS LÄN</t>
        </is>
      </c>
      <c r="E237" t="inlineStr">
        <is>
          <t>GOTLAND</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458-2023</t>
        </is>
      </c>
      <c r="B238" s="1" t="n">
        <v>44929</v>
      </c>
      <c r="C238" s="1" t="n">
        <v>45904</v>
      </c>
      <c r="D238" t="inlineStr">
        <is>
          <t>GOTLANDS LÄN</t>
        </is>
      </c>
      <c r="E238" t="inlineStr">
        <is>
          <t>GOTLAND</t>
        </is>
      </c>
      <c r="G238" t="n">
        <v>3.6</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45904</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1291-2023</t>
        </is>
      </c>
      <c r="B240" s="1" t="n">
        <v>44936.47561342592</v>
      </c>
      <c r="C240" s="1" t="n">
        <v>45904</v>
      </c>
      <c r="D240" t="inlineStr">
        <is>
          <t>GOTLANDS LÄN</t>
        </is>
      </c>
      <c r="E240" t="inlineStr">
        <is>
          <t>GOTLAND</t>
        </is>
      </c>
      <c r="G240" t="n">
        <v>7.4</v>
      </c>
      <c r="H240" t="n">
        <v>0</v>
      </c>
      <c r="I240" t="n">
        <v>0</v>
      </c>
      <c r="J240" t="n">
        <v>0</v>
      </c>
      <c r="K240" t="n">
        <v>0</v>
      </c>
      <c r="L240" t="n">
        <v>0</v>
      </c>
      <c r="M240" t="n">
        <v>0</v>
      </c>
      <c r="N240" t="n">
        <v>0</v>
      </c>
      <c r="O240" t="n">
        <v>0</v>
      </c>
      <c r="P240" t="n">
        <v>0</v>
      </c>
      <c r="Q240" t="n">
        <v>0</v>
      </c>
      <c r="R240" s="2" t="inlineStr"/>
    </row>
    <row r="241" ht="15" customHeight="1">
      <c r="A241" t="inlineStr">
        <is>
          <t>A 21164-2024</t>
        </is>
      </c>
      <c r="B241" s="1" t="n">
        <v>45440</v>
      </c>
      <c r="C241" s="1" t="n">
        <v>45904</v>
      </c>
      <c r="D241" t="inlineStr">
        <is>
          <t>GOTLANDS LÄN</t>
        </is>
      </c>
      <c r="E241" t="inlineStr">
        <is>
          <t>GOTLAND</t>
        </is>
      </c>
      <c r="G241" t="n">
        <v>6.3</v>
      </c>
      <c r="H241" t="n">
        <v>0</v>
      </c>
      <c r="I241" t="n">
        <v>0</v>
      </c>
      <c r="J241" t="n">
        <v>0</v>
      </c>
      <c r="K241" t="n">
        <v>0</v>
      </c>
      <c r="L241" t="n">
        <v>0</v>
      </c>
      <c r="M241" t="n">
        <v>0</v>
      </c>
      <c r="N241" t="n">
        <v>0</v>
      </c>
      <c r="O241" t="n">
        <v>0</v>
      </c>
      <c r="P241" t="n">
        <v>0</v>
      </c>
      <c r="Q241" t="n">
        <v>0</v>
      </c>
      <c r="R241" s="2" t="inlineStr"/>
    </row>
    <row r="242" ht="15" customHeight="1">
      <c r="A242" t="inlineStr">
        <is>
          <t>A 17541-2024</t>
        </is>
      </c>
      <c r="B242" s="1" t="n">
        <v>45415</v>
      </c>
      <c r="C242" s="1" t="n">
        <v>45904</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883-2025</t>
        </is>
      </c>
      <c r="B243" s="1" t="n">
        <v>45665</v>
      </c>
      <c r="C243" s="1" t="n">
        <v>45904</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13910-2025</t>
        </is>
      </c>
      <c r="B244" s="1" t="n">
        <v>45737</v>
      </c>
      <c r="C244" s="1" t="n">
        <v>45904</v>
      </c>
      <c r="D244" t="inlineStr">
        <is>
          <t>GOTLANDS LÄN</t>
        </is>
      </c>
      <c r="E244" t="inlineStr">
        <is>
          <t>GOTLAND</t>
        </is>
      </c>
      <c r="F244" t="inlineStr">
        <is>
          <t>Kommuner</t>
        </is>
      </c>
      <c r="G244" t="n">
        <v>3.2</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45904</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17901-2023</t>
        </is>
      </c>
      <c r="B246" s="1" t="n">
        <v>45039</v>
      </c>
      <c r="C246" s="1" t="n">
        <v>45904</v>
      </c>
      <c r="D246" t="inlineStr">
        <is>
          <t>GOTLANDS LÄN</t>
        </is>
      </c>
      <c r="E246" t="inlineStr">
        <is>
          <t>GOTLAND</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20794-2025</t>
        </is>
      </c>
      <c r="B247" s="1" t="n">
        <v>45776</v>
      </c>
      <c r="C247" s="1" t="n">
        <v>45904</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456-2023</t>
        </is>
      </c>
      <c r="B248" s="1" t="n">
        <v>44929.87122685185</v>
      </c>
      <c r="C248" s="1" t="n">
        <v>45904</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32330-2024</t>
        </is>
      </c>
      <c r="B249" s="1" t="n">
        <v>45512</v>
      </c>
      <c r="C249" s="1" t="n">
        <v>45904</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20812-2025</t>
        </is>
      </c>
      <c r="B250" s="1" t="n">
        <v>45776</v>
      </c>
      <c r="C250" s="1" t="n">
        <v>45904</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63229-2021</t>
        </is>
      </c>
      <c r="B251" s="1" t="n">
        <v>44508.34518518519</v>
      </c>
      <c r="C251" s="1" t="n">
        <v>45904</v>
      </c>
      <c r="D251" t="inlineStr">
        <is>
          <t>GOTLANDS LÄN</t>
        </is>
      </c>
      <c r="E251" t="inlineStr">
        <is>
          <t>GOTLAND</t>
        </is>
      </c>
      <c r="F251" t="inlineStr">
        <is>
          <t>Kyrkan</t>
        </is>
      </c>
      <c r="G251" t="n">
        <v>3.8</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45904</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61596-2023</t>
        </is>
      </c>
      <c r="B253" s="1" t="n">
        <v>45265</v>
      </c>
      <c r="C253" s="1" t="n">
        <v>45904</v>
      </c>
      <c r="D253" t="inlineStr">
        <is>
          <t>GOTLANDS LÄN</t>
        </is>
      </c>
      <c r="E253" t="inlineStr">
        <is>
          <t>GOTLAND</t>
        </is>
      </c>
      <c r="G253" t="n">
        <v>1.7</v>
      </c>
      <c r="H253" t="n">
        <v>0</v>
      </c>
      <c r="I253" t="n">
        <v>0</v>
      </c>
      <c r="J253" t="n">
        <v>0</v>
      </c>
      <c r="K253" t="n">
        <v>0</v>
      </c>
      <c r="L253" t="n">
        <v>0</v>
      </c>
      <c r="M253" t="n">
        <v>0</v>
      </c>
      <c r="N253" t="n">
        <v>0</v>
      </c>
      <c r="O253" t="n">
        <v>0</v>
      </c>
      <c r="P253" t="n">
        <v>0</v>
      </c>
      <c r="Q253" t="n">
        <v>0</v>
      </c>
      <c r="R253" s="2" t="inlineStr"/>
    </row>
    <row r="254" ht="15" customHeight="1">
      <c r="A254" t="inlineStr">
        <is>
          <t>A 21389-2025</t>
        </is>
      </c>
      <c r="B254" s="1" t="n">
        <v>45782</v>
      </c>
      <c r="C254" s="1" t="n">
        <v>45904</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12599-2025</t>
        </is>
      </c>
      <c r="B255" s="1" t="n">
        <v>45733.29546296296</v>
      </c>
      <c r="C255" s="1" t="n">
        <v>45904</v>
      </c>
      <c r="D255" t="inlineStr">
        <is>
          <t>GOTLANDS LÄN</t>
        </is>
      </c>
      <c r="E255" t="inlineStr">
        <is>
          <t>GOTLAND</t>
        </is>
      </c>
      <c r="G255" t="n">
        <v>4.7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45904</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45904</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44228-2022</t>
        </is>
      </c>
      <c r="B258" s="1" t="n">
        <v>44839.51599537037</v>
      </c>
      <c r="C258" s="1" t="n">
        <v>45904</v>
      </c>
      <c r="D258" t="inlineStr">
        <is>
          <t>GOTLANDS LÄN</t>
        </is>
      </c>
      <c r="E258" t="inlineStr">
        <is>
          <t>GOTLAND</t>
        </is>
      </c>
      <c r="G258" t="n">
        <v>2.1</v>
      </c>
      <c r="H258" t="n">
        <v>0</v>
      </c>
      <c r="I258" t="n">
        <v>0</v>
      </c>
      <c r="J258" t="n">
        <v>0</v>
      </c>
      <c r="K258" t="n">
        <v>0</v>
      </c>
      <c r="L258" t="n">
        <v>0</v>
      </c>
      <c r="M258" t="n">
        <v>0</v>
      </c>
      <c r="N258" t="n">
        <v>0</v>
      </c>
      <c r="O258" t="n">
        <v>0</v>
      </c>
      <c r="P258" t="n">
        <v>0</v>
      </c>
      <c r="Q258" t="n">
        <v>0</v>
      </c>
      <c r="R258" s="2" t="inlineStr"/>
    </row>
    <row r="259" ht="15" customHeight="1">
      <c r="A259" t="inlineStr">
        <is>
          <t>A 61386-2023</t>
        </is>
      </c>
      <c r="B259" s="1" t="n">
        <v>45264</v>
      </c>
      <c r="C259" s="1" t="n">
        <v>45904</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14804-2021</t>
        </is>
      </c>
      <c r="B260" s="1" t="n">
        <v>44280</v>
      </c>
      <c r="C260" s="1" t="n">
        <v>45904</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22883-2024</t>
        </is>
      </c>
      <c r="B261" s="1" t="n">
        <v>45448.66368055555</v>
      </c>
      <c r="C261" s="1" t="n">
        <v>45904</v>
      </c>
      <c r="D261" t="inlineStr">
        <is>
          <t>GOTLANDS LÄN</t>
        </is>
      </c>
      <c r="E261" t="inlineStr">
        <is>
          <t>GOTLAND</t>
        </is>
      </c>
      <c r="G261" t="n">
        <v>0.5</v>
      </c>
      <c r="H261" t="n">
        <v>0</v>
      </c>
      <c r="I261" t="n">
        <v>0</v>
      </c>
      <c r="J261" t="n">
        <v>0</v>
      </c>
      <c r="K261" t="n">
        <v>0</v>
      </c>
      <c r="L261" t="n">
        <v>0</v>
      </c>
      <c r="M261" t="n">
        <v>0</v>
      </c>
      <c r="N261" t="n">
        <v>0</v>
      </c>
      <c r="O261" t="n">
        <v>0</v>
      </c>
      <c r="P261" t="n">
        <v>0</v>
      </c>
      <c r="Q261" t="n">
        <v>0</v>
      </c>
      <c r="R261" s="2" t="inlineStr"/>
    </row>
    <row r="262" ht="15" customHeight="1">
      <c r="A262" t="inlineStr">
        <is>
          <t>A 6108-2025</t>
        </is>
      </c>
      <c r="B262" s="1" t="n">
        <v>45698.29880787037</v>
      </c>
      <c r="C262" s="1" t="n">
        <v>45904</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19002-2025</t>
        </is>
      </c>
      <c r="B263" s="1" t="n">
        <v>45764</v>
      </c>
      <c r="C263" s="1" t="n">
        <v>45904</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21142-2025</t>
        </is>
      </c>
      <c r="B264" s="1" t="n">
        <v>45779</v>
      </c>
      <c r="C264" s="1" t="n">
        <v>45904</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2719-2023</t>
        </is>
      </c>
      <c r="B265" s="1" t="n">
        <v>44944.55361111111</v>
      </c>
      <c r="C265" s="1" t="n">
        <v>45904</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17144-2025</t>
        </is>
      </c>
      <c r="B266" s="1" t="n">
        <v>45755.9499537037</v>
      </c>
      <c r="C266" s="1" t="n">
        <v>45904</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45904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25129-2023</t>
        </is>
      </c>
      <c r="B268" s="1" t="n">
        <v>45086.44261574074</v>
      </c>
      <c r="C268" s="1" t="n">
        <v>45904</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49314-2024</t>
        </is>
      </c>
      <c r="B269" s="1" t="n">
        <v>45595.55893518519</v>
      </c>
      <c r="C269" s="1" t="n">
        <v>45904</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9875-2025</t>
        </is>
      </c>
      <c r="B270" s="1" t="n">
        <v>45716</v>
      </c>
      <c r="C270" s="1" t="n">
        <v>45904</v>
      </c>
      <c r="D270" t="inlineStr">
        <is>
          <t>GOTLANDS LÄN</t>
        </is>
      </c>
      <c r="E270" t="inlineStr">
        <is>
          <t>GOTLAND</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29809-2022</t>
        </is>
      </c>
      <c r="B271" s="1" t="n">
        <v>44755.8713425926</v>
      </c>
      <c r="C271" s="1" t="n">
        <v>45904</v>
      </c>
      <c r="D271" t="inlineStr">
        <is>
          <t>GOTLANDS LÄN</t>
        </is>
      </c>
      <c r="E271" t="inlineStr">
        <is>
          <t>GOTLAND</t>
        </is>
      </c>
      <c r="G271" t="n">
        <v>11.5</v>
      </c>
      <c r="H271" t="n">
        <v>0</v>
      </c>
      <c r="I271" t="n">
        <v>0</v>
      </c>
      <c r="J271" t="n">
        <v>0</v>
      </c>
      <c r="K271" t="n">
        <v>0</v>
      </c>
      <c r="L271" t="n">
        <v>0</v>
      </c>
      <c r="M271" t="n">
        <v>0</v>
      </c>
      <c r="N271" t="n">
        <v>0</v>
      </c>
      <c r="O271" t="n">
        <v>0</v>
      </c>
      <c r="P271" t="n">
        <v>0</v>
      </c>
      <c r="Q271" t="n">
        <v>0</v>
      </c>
      <c r="R271" s="2" t="inlineStr"/>
    </row>
    <row r="272" ht="15" customHeight="1">
      <c r="A272" t="inlineStr">
        <is>
          <t>A 21651-2025</t>
        </is>
      </c>
      <c r="B272" s="1" t="n">
        <v>45783</v>
      </c>
      <c r="C272" s="1" t="n">
        <v>45904</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44204-2022</t>
        </is>
      </c>
      <c r="B273" s="1" t="n">
        <v>44839</v>
      </c>
      <c r="C273" s="1" t="n">
        <v>45904</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10497-2025</t>
        </is>
      </c>
      <c r="B274" s="1" t="n">
        <v>45721</v>
      </c>
      <c r="C274" s="1" t="n">
        <v>45904</v>
      </c>
      <c r="D274" t="inlineStr">
        <is>
          <t>GOTLANDS LÄN</t>
        </is>
      </c>
      <c r="E274" t="inlineStr">
        <is>
          <t>GOTLAND</t>
        </is>
      </c>
      <c r="G274" t="n">
        <v>0.9</v>
      </c>
      <c r="H274" t="n">
        <v>0</v>
      </c>
      <c r="I274" t="n">
        <v>0</v>
      </c>
      <c r="J274" t="n">
        <v>0</v>
      </c>
      <c r="K274" t="n">
        <v>0</v>
      </c>
      <c r="L274" t="n">
        <v>0</v>
      </c>
      <c r="M274" t="n">
        <v>0</v>
      </c>
      <c r="N274" t="n">
        <v>0</v>
      </c>
      <c r="O274" t="n">
        <v>0</v>
      </c>
      <c r="P274" t="n">
        <v>0</v>
      </c>
      <c r="Q274" t="n">
        <v>0</v>
      </c>
      <c r="R274" s="2" t="inlineStr"/>
    </row>
    <row r="275" ht="15" customHeight="1">
      <c r="A275" t="inlineStr">
        <is>
          <t>A 16361-2024</t>
        </is>
      </c>
      <c r="B275" s="1" t="n">
        <v>45407</v>
      </c>
      <c r="C275" s="1" t="n">
        <v>45904</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2035-2025</t>
        </is>
      </c>
      <c r="B276" s="1" t="n">
        <v>45672</v>
      </c>
      <c r="C276" s="1" t="n">
        <v>45904</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43081-2022</t>
        </is>
      </c>
      <c r="B277" s="1" t="n">
        <v>44833</v>
      </c>
      <c r="C277" s="1" t="n">
        <v>45904</v>
      </c>
      <c r="D277" t="inlineStr">
        <is>
          <t>GOTLANDS LÄN</t>
        </is>
      </c>
      <c r="E277" t="inlineStr">
        <is>
          <t>GOTLAND</t>
        </is>
      </c>
      <c r="G277" t="n">
        <v>6.8</v>
      </c>
      <c r="H277" t="n">
        <v>0</v>
      </c>
      <c r="I277" t="n">
        <v>0</v>
      </c>
      <c r="J277" t="n">
        <v>0</v>
      </c>
      <c r="K277" t="n">
        <v>0</v>
      </c>
      <c r="L277" t="n">
        <v>0</v>
      </c>
      <c r="M277" t="n">
        <v>0</v>
      </c>
      <c r="N277" t="n">
        <v>0</v>
      </c>
      <c r="O277" t="n">
        <v>0</v>
      </c>
      <c r="P277" t="n">
        <v>0</v>
      </c>
      <c r="Q277" t="n">
        <v>0</v>
      </c>
      <c r="R277" s="2" t="inlineStr"/>
    </row>
    <row r="278" ht="15" customHeight="1">
      <c r="A278" t="inlineStr">
        <is>
          <t>A 1175-2025</t>
        </is>
      </c>
      <c r="B278" s="1" t="n">
        <v>45667.34449074074</v>
      </c>
      <c r="C278" s="1" t="n">
        <v>45904</v>
      </c>
      <c r="D278" t="inlineStr">
        <is>
          <t>GOTLANDS LÄN</t>
        </is>
      </c>
      <c r="E278" t="inlineStr">
        <is>
          <t>GOTLAND</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42201-2023</t>
        </is>
      </c>
      <c r="B279" s="1" t="n">
        <v>45179</v>
      </c>
      <c r="C279" s="1" t="n">
        <v>45904</v>
      </c>
      <c r="D279" t="inlineStr">
        <is>
          <t>GOTLANDS LÄN</t>
        </is>
      </c>
      <c r="E279" t="inlineStr">
        <is>
          <t>GOTLAND</t>
        </is>
      </c>
      <c r="G279" t="n">
        <v>11.9</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45679.28974537037</v>
      </c>
      <c r="C280" s="1" t="n">
        <v>45904</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45904</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10656-2024</t>
        </is>
      </c>
      <c r="B282" s="1" t="n">
        <v>45368</v>
      </c>
      <c r="C282" s="1" t="n">
        <v>45904</v>
      </c>
      <c r="D282" t="inlineStr">
        <is>
          <t>GOTLANDS LÄN</t>
        </is>
      </c>
      <c r="E282" t="inlineStr">
        <is>
          <t>GOTLAND</t>
        </is>
      </c>
      <c r="G282" t="n">
        <v>1.5</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45904</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42041-2024</t>
        </is>
      </c>
      <c r="B284" s="1" t="n">
        <v>45561</v>
      </c>
      <c r="C284" s="1" t="n">
        <v>45904</v>
      </c>
      <c r="D284" t="inlineStr">
        <is>
          <t>GOTLANDS LÄN</t>
        </is>
      </c>
      <c r="E284" t="inlineStr">
        <is>
          <t>GOTLAND</t>
        </is>
      </c>
      <c r="G284" t="n">
        <v>3.2</v>
      </c>
      <c r="H284" t="n">
        <v>0</v>
      </c>
      <c r="I284" t="n">
        <v>0</v>
      </c>
      <c r="J284" t="n">
        <v>0</v>
      </c>
      <c r="K284" t="n">
        <v>0</v>
      </c>
      <c r="L284" t="n">
        <v>0</v>
      </c>
      <c r="M284" t="n">
        <v>0</v>
      </c>
      <c r="N284" t="n">
        <v>0</v>
      </c>
      <c r="O284" t="n">
        <v>0</v>
      </c>
      <c r="P284" t="n">
        <v>0</v>
      </c>
      <c r="Q284" t="n">
        <v>0</v>
      </c>
      <c r="R284" s="2" t="inlineStr"/>
    </row>
    <row r="285" ht="15" customHeight="1">
      <c r="A285" t="inlineStr">
        <is>
          <t>A 28506-2023</t>
        </is>
      </c>
      <c r="B285" s="1" t="n">
        <v>45103</v>
      </c>
      <c r="C285" s="1" t="n">
        <v>45904</v>
      </c>
      <c r="D285" t="inlineStr">
        <is>
          <t>GOTLANDS LÄN</t>
        </is>
      </c>
      <c r="E285" t="inlineStr">
        <is>
          <t>GOTLAND</t>
        </is>
      </c>
      <c r="G285" t="n">
        <v>3.2</v>
      </c>
      <c r="H285" t="n">
        <v>0</v>
      </c>
      <c r="I285" t="n">
        <v>0</v>
      </c>
      <c r="J285" t="n">
        <v>0</v>
      </c>
      <c r="K285" t="n">
        <v>0</v>
      </c>
      <c r="L285" t="n">
        <v>0</v>
      </c>
      <c r="M285" t="n">
        <v>0</v>
      </c>
      <c r="N285" t="n">
        <v>0</v>
      </c>
      <c r="O285" t="n">
        <v>0</v>
      </c>
      <c r="P285" t="n">
        <v>0</v>
      </c>
      <c r="Q285" t="n">
        <v>0</v>
      </c>
      <c r="R285" s="2" t="inlineStr"/>
    </row>
    <row r="286" ht="15" customHeight="1">
      <c r="A286" t="inlineStr">
        <is>
          <t>A 23188-2025</t>
        </is>
      </c>
      <c r="B286" s="1" t="n">
        <v>45791</v>
      </c>
      <c r="C286" s="1" t="n">
        <v>45904</v>
      </c>
      <c r="D286" t="inlineStr">
        <is>
          <t>GOTLANDS LÄN</t>
        </is>
      </c>
      <c r="E286" t="inlineStr">
        <is>
          <t>GOTLAND</t>
        </is>
      </c>
      <c r="G286" t="n">
        <v>6.2</v>
      </c>
      <c r="H286" t="n">
        <v>0</v>
      </c>
      <c r="I286" t="n">
        <v>0</v>
      </c>
      <c r="J286" t="n">
        <v>0</v>
      </c>
      <c r="K286" t="n">
        <v>0</v>
      </c>
      <c r="L286" t="n">
        <v>0</v>
      </c>
      <c r="M286" t="n">
        <v>0</v>
      </c>
      <c r="N286" t="n">
        <v>0</v>
      </c>
      <c r="O286" t="n">
        <v>0</v>
      </c>
      <c r="P286" t="n">
        <v>0</v>
      </c>
      <c r="Q286" t="n">
        <v>0</v>
      </c>
      <c r="R286" s="2" t="inlineStr"/>
    </row>
    <row r="287" ht="15" customHeight="1">
      <c r="A287" t="inlineStr">
        <is>
          <t>A 56009-2024</t>
        </is>
      </c>
      <c r="B287" s="1" t="n">
        <v>45623.80864583333</v>
      </c>
      <c r="C287" s="1" t="n">
        <v>45904</v>
      </c>
      <c r="D287" t="inlineStr">
        <is>
          <t>GOTLANDS LÄN</t>
        </is>
      </c>
      <c r="E287" t="inlineStr">
        <is>
          <t>GOTLAND</t>
        </is>
      </c>
      <c r="G287" t="n">
        <v>2.8</v>
      </c>
      <c r="H287" t="n">
        <v>0</v>
      </c>
      <c r="I287" t="n">
        <v>0</v>
      </c>
      <c r="J287" t="n">
        <v>0</v>
      </c>
      <c r="K287" t="n">
        <v>0</v>
      </c>
      <c r="L287" t="n">
        <v>0</v>
      </c>
      <c r="M287" t="n">
        <v>0</v>
      </c>
      <c r="N287" t="n">
        <v>0</v>
      </c>
      <c r="O287" t="n">
        <v>0</v>
      </c>
      <c r="P287" t="n">
        <v>0</v>
      </c>
      <c r="Q287" t="n">
        <v>0</v>
      </c>
      <c r="R287" s="2" t="inlineStr"/>
    </row>
    <row r="288" ht="15" customHeight="1">
      <c r="A288" t="inlineStr">
        <is>
          <t>A 54073-2022</t>
        </is>
      </c>
      <c r="B288" s="1" t="n">
        <v>44881.50380787037</v>
      </c>
      <c r="C288" s="1" t="n">
        <v>45904</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3964-2024</t>
        </is>
      </c>
      <c r="B289" s="1" t="n">
        <v>45322</v>
      </c>
      <c r="C289" s="1" t="n">
        <v>45904</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45106-2024</t>
        </is>
      </c>
      <c r="B290" s="1" t="n">
        <v>45575</v>
      </c>
      <c r="C290" s="1" t="n">
        <v>45904</v>
      </c>
      <c r="D290" t="inlineStr">
        <is>
          <t>GOTLANDS LÄN</t>
        </is>
      </c>
      <c r="E290" t="inlineStr">
        <is>
          <t>GOTLAND</t>
        </is>
      </c>
      <c r="G290" t="n">
        <v>10</v>
      </c>
      <c r="H290" t="n">
        <v>0</v>
      </c>
      <c r="I290" t="n">
        <v>0</v>
      </c>
      <c r="J290" t="n">
        <v>0</v>
      </c>
      <c r="K290" t="n">
        <v>0</v>
      </c>
      <c r="L290" t="n">
        <v>0</v>
      </c>
      <c r="M290" t="n">
        <v>0</v>
      </c>
      <c r="N290" t="n">
        <v>0</v>
      </c>
      <c r="O290" t="n">
        <v>0</v>
      </c>
      <c r="P290" t="n">
        <v>0</v>
      </c>
      <c r="Q290" t="n">
        <v>0</v>
      </c>
      <c r="R290" s="2" t="inlineStr"/>
    </row>
    <row r="291" ht="15" customHeight="1">
      <c r="A291" t="inlineStr">
        <is>
          <t>A 45112-2024</t>
        </is>
      </c>
      <c r="B291" s="1" t="n">
        <v>45575</v>
      </c>
      <c r="C291" s="1" t="n">
        <v>45904</v>
      </c>
      <c r="D291" t="inlineStr">
        <is>
          <t>GOTLANDS LÄN</t>
        </is>
      </c>
      <c r="E291" t="inlineStr">
        <is>
          <t>GOTLAND</t>
        </is>
      </c>
      <c r="G291" t="n">
        <v>5.1</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45904</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15436-2025</t>
        </is>
      </c>
      <c r="B293" s="1" t="n">
        <v>45747.47462962963</v>
      </c>
      <c r="C293" s="1" t="n">
        <v>45904</v>
      </c>
      <c r="D293" t="inlineStr">
        <is>
          <t>GOTLANDS LÄN</t>
        </is>
      </c>
      <c r="E293" t="inlineStr">
        <is>
          <t>GOTLAND</t>
        </is>
      </c>
      <c r="G293" t="n">
        <v>4.1</v>
      </c>
      <c r="H293" t="n">
        <v>0</v>
      </c>
      <c r="I293" t="n">
        <v>0</v>
      </c>
      <c r="J293" t="n">
        <v>0</v>
      </c>
      <c r="K293" t="n">
        <v>0</v>
      </c>
      <c r="L293" t="n">
        <v>0</v>
      </c>
      <c r="M293" t="n">
        <v>0</v>
      </c>
      <c r="N293" t="n">
        <v>0</v>
      </c>
      <c r="O293" t="n">
        <v>0</v>
      </c>
      <c r="P293" t="n">
        <v>0</v>
      </c>
      <c r="Q293" t="n">
        <v>0</v>
      </c>
      <c r="R293" s="2" t="inlineStr"/>
    </row>
    <row r="294" ht="15" customHeight="1">
      <c r="A294" t="inlineStr">
        <is>
          <t>A 7026-2023</t>
        </is>
      </c>
      <c r="B294" s="1" t="n">
        <v>44968.30340277778</v>
      </c>
      <c r="C294" s="1" t="n">
        <v>45904</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23856-2025</t>
        </is>
      </c>
      <c r="B295" s="1" t="n">
        <v>45793</v>
      </c>
      <c r="C295" s="1" t="n">
        <v>45904</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52892-2021</t>
        </is>
      </c>
      <c r="B296" s="1" t="n">
        <v>44467.49048611111</v>
      </c>
      <c r="C296" s="1" t="n">
        <v>45904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45904</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1351-2025</t>
        </is>
      </c>
      <c r="B298" s="1" t="n">
        <v>45667.62246527777</v>
      </c>
      <c r="C298" s="1" t="n">
        <v>45904</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21247-2022</t>
        </is>
      </c>
      <c r="B299" s="1" t="n">
        <v>44705.38832175926</v>
      </c>
      <c r="C299" s="1" t="n">
        <v>45904</v>
      </c>
      <c r="D299" t="inlineStr">
        <is>
          <t>GOTLANDS LÄN</t>
        </is>
      </c>
      <c r="E299" t="inlineStr">
        <is>
          <t>GOTLAND</t>
        </is>
      </c>
      <c r="G299" t="n">
        <v>16.2</v>
      </c>
      <c r="H299" t="n">
        <v>0</v>
      </c>
      <c r="I299" t="n">
        <v>0</v>
      </c>
      <c r="J299" t="n">
        <v>0</v>
      </c>
      <c r="K299" t="n">
        <v>0</v>
      </c>
      <c r="L299" t="n">
        <v>0</v>
      </c>
      <c r="M299" t="n">
        <v>0</v>
      </c>
      <c r="N299" t="n">
        <v>0</v>
      </c>
      <c r="O299" t="n">
        <v>0</v>
      </c>
      <c r="P299" t="n">
        <v>0</v>
      </c>
      <c r="Q299" t="n">
        <v>0</v>
      </c>
      <c r="R299" s="2" t="inlineStr"/>
    </row>
    <row r="300" ht="15" customHeight="1">
      <c r="A300" t="inlineStr">
        <is>
          <t>A 23698-2025</t>
        </is>
      </c>
      <c r="B300" s="1" t="n">
        <v>45793</v>
      </c>
      <c r="C300" s="1" t="n">
        <v>45904</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23700-2025</t>
        </is>
      </c>
      <c r="B301" s="1" t="n">
        <v>45793</v>
      </c>
      <c r="C301" s="1" t="n">
        <v>45904</v>
      </c>
      <c r="D301" t="inlineStr">
        <is>
          <t>GOTLANDS LÄN</t>
        </is>
      </c>
      <c r="E301" t="inlineStr">
        <is>
          <t>GOTLAND</t>
        </is>
      </c>
      <c r="G301" t="n">
        <v>2.2</v>
      </c>
      <c r="H301" t="n">
        <v>0</v>
      </c>
      <c r="I301" t="n">
        <v>0</v>
      </c>
      <c r="J301" t="n">
        <v>0</v>
      </c>
      <c r="K301" t="n">
        <v>0</v>
      </c>
      <c r="L301" t="n">
        <v>0</v>
      </c>
      <c r="M301" t="n">
        <v>0</v>
      </c>
      <c r="N301" t="n">
        <v>0</v>
      </c>
      <c r="O301" t="n">
        <v>0</v>
      </c>
      <c r="P301" t="n">
        <v>0</v>
      </c>
      <c r="Q301" t="n">
        <v>0</v>
      </c>
      <c r="R301" s="2" t="inlineStr"/>
    </row>
    <row r="302" ht="15" customHeight="1">
      <c r="A302" t="inlineStr">
        <is>
          <t>A 15073-2025</t>
        </is>
      </c>
      <c r="B302" s="1" t="n">
        <v>45743</v>
      </c>
      <c r="C302" s="1" t="n">
        <v>45904</v>
      </c>
      <c r="D302" t="inlineStr">
        <is>
          <t>GOTLANDS LÄN</t>
        </is>
      </c>
      <c r="E302" t="inlineStr">
        <is>
          <t>GOTLAND</t>
        </is>
      </c>
      <c r="G302" t="n">
        <v>12.1</v>
      </c>
      <c r="H302" t="n">
        <v>0</v>
      </c>
      <c r="I302" t="n">
        <v>0</v>
      </c>
      <c r="J302" t="n">
        <v>0</v>
      </c>
      <c r="K302" t="n">
        <v>0</v>
      </c>
      <c r="L302" t="n">
        <v>0</v>
      </c>
      <c r="M302" t="n">
        <v>0</v>
      </c>
      <c r="N302" t="n">
        <v>0</v>
      </c>
      <c r="O302" t="n">
        <v>0</v>
      </c>
      <c r="P302" t="n">
        <v>0</v>
      </c>
      <c r="Q302" t="n">
        <v>0</v>
      </c>
      <c r="R302" s="2" t="inlineStr"/>
    </row>
    <row r="303" ht="15" customHeight="1">
      <c r="A303" t="inlineStr">
        <is>
          <t>A 15075-2025</t>
        </is>
      </c>
      <c r="B303" s="1" t="n">
        <v>45743</v>
      </c>
      <c r="C303" s="1" t="n">
        <v>45904</v>
      </c>
      <c r="D303" t="inlineStr">
        <is>
          <t>GOTLANDS LÄN</t>
        </is>
      </c>
      <c r="E303" t="inlineStr">
        <is>
          <t>GOTLAND</t>
        </is>
      </c>
      <c r="G303" t="n">
        <v>20.9</v>
      </c>
      <c r="H303" t="n">
        <v>0</v>
      </c>
      <c r="I303" t="n">
        <v>0</v>
      </c>
      <c r="J303" t="n">
        <v>0</v>
      </c>
      <c r="K303" t="n">
        <v>0</v>
      </c>
      <c r="L303" t="n">
        <v>0</v>
      </c>
      <c r="M303" t="n">
        <v>0</v>
      </c>
      <c r="N303" t="n">
        <v>0</v>
      </c>
      <c r="O303" t="n">
        <v>0</v>
      </c>
      <c r="P303" t="n">
        <v>0</v>
      </c>
      <c r="Q303" t="n">
        <v>0</v>
      </c>
      <c r="R303" s="2" t="inlineStr"/>
    </row>
    <row r="304" ht="15" customHeight="1">
      <c r="A304" t="inlineStr">
        <is>
          <t>A 49874-2024</t>
        </is>
      </c>
      <c r="B304" s="1" t="n">
        <v>45597.49274305555</v>
      </c>
      <c r="C304" s="1" t="n">
        <v>45904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18914-2025</t>
        </is>
      </c>
      <c r="B305" s="1" t="n">
        <v>45764.46783564815</v>
      </c>
      <c r="C305" s="1" t="n">
        <v>45904</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17780-2022</t>
        </is>
      </c>
      <c r="B306" s="1" t="n">
        <v>44682.82622685185</v>
      </c>
      <c r="C306" s="1" t="n">
        <v>45904</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63516-2023</t>
        </is>
      </c>
      <c r="B307" s="1" t="n">
        <v>45274</v>
      </c>
      <c r="C307" s="1" t="n">
        <v>45904</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53935-2024</t>
        </is>
      </c>
      <c r="B308" s="1" t="n">
        <v>45615</v>
      </c>
      <c r="C308" s="1" t="n">
        <v>45904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6749-2025</t>
        </is>
      </c>
      <c r="B309" s="1" t="n">
        <v>45700</v>
      </c>
      <c r="C309" s="1" t="n">
        <v>45904</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18938-2025</t>
        </is>
      </c>
      <c r="B310" s="1" t="n">
        <v>45764.49172453704</v>
      </c>
      <c r="C310" s="1" t="n">
        <v>45904</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45904</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69112-2021</t>
        </is>
      </c>
      <c r="B312" s="1" t="n">
        <v>44530</v>
      </c>
      <c r="C312" s="1" t="n">
        <v>45904</v>
      </c>
      <c r="D312" t="inlineStr">
        <is>
          <t>GOTLANDS LÄN</t>
        </is>
      </c>
      <c r="E312" t="inlineStr">
        <is>
          <t>GOTLAND</t>
        </is>
      </c>
      <c r="G312" t="n">
        <v>4.2</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45904</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48734-2022</t>
        </is>
      </c>
      <c r="B314" s="1" t="n">
        <v>44855</v>
      </c>
      <c r="C314" s="1" t="n">
        <v>45904</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23516-2023</t>
        </is>
      </c>
      <c r="B315" s="1" t="n">
        <v>45076.93391203704</v>
      </c>
      <c r="C315" s="1" t="n">
        <v>45904</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43231-2023</t>
        </is>
      </c>
      <c r="B316" s="1" t="n">
        <v>45183.47025462963</v>
      </c>
      <c r="C316" s="1" t="n">
        <v>45904</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5217-2023</t>
        </is>
      </c>
      <c r="B317" s="1" t="n">
        <v>44959.39582175926</v>
      </c>
      <c r="C317" s="1" t="n">
        <v>45904</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5462-2025</t>
        </is>
      </c>
      <c r="B318" s="1" t="n">
        <v>45693.29331018519</v>
      </c>
      <c r="C318" s="1" t="n">
        <v>45904</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14638-2025</t>
        </is>
      </c>
      <c r="B319" s="1" t="n">
        <v>45742</v>
      </c>
      <c r="C319" s="1" t="n">
        <v>45904</v>
      </c>
      <c r="D319" t="inlineStr">
        <is>
          <t>GOTLANDS LÄN</t>
        </is>
      </c>
      <c r="E319" t="inlineStr">
        <is>
          <t>GOTLAND</t>
        </is>
      </c>
      <c r="G319" t="n">
        <v>13.4</v>
      </c>
      <c r="H319" t="n">
        <v>0</v>
      </c>
      <c r="I319" t="n">
        <v>0</v>
      </c>
      <c r="J319" t="n">
        <v>0</v>
      </c>
      <c r="K319" t="n">
        <v>0</v>
      </c>
      <c r="L319" t="n">
        <v>0</v>
      </c>
      <c r="M319" t="n">
        <v>0</v>
      </c>
      <c r="N319" t="n">
        <v>0</v>
      </c>
      <c r="O319" t="n">
        <v>0</v>
      </c>
      <c r="P319" t="n">
        <v>0</v>
      </c>
      <c r="Q319" t="n">
        <v>0</v>
      </c>
      <c r="R319" s="2" t="inlineStr"/>
    </row>
    <row r="320" ht="15" customHeight="1">
      <c r="A320" t="inlineStr">
        <is>
          <t>A 58230-2024</t>
        </is>
      </c>
      <c r="B320" s="1" t="n">
        <v>45632.51625</v>
      </c>
      <c r="C320" s="1" t="n">
        <v>45904</v>
      </c>
      <c r="D320" t="inlineStr">
        <is>
          <t>GOTLANDS LÄN</t>
        </is>
      </c>
      <c r="E320" t="inlineStr">
        <is>
          <t>GOTLAND</t>
        </is>
      </c>
      <c r="G320" t="n">
        <v>7.3</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45904</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64555-2023</t>
        </is>
      </c>
      <c r="B322" s="1" t="n">
        <v>45281</v>
      </c>
      <c r="C322" s="1" t="n">
        <v>45904</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457-2023</t>
        </is>
      </c>
      <c r="B323" s="1" t="n">
        <v>44929.87238425926</v>
      </c>
      <c r="C323" s="1" t="n">
        <v>45904</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459-2023</t>
        </is>
      </c>
      <c r="B324" s="1" t="n">
        <v>44929.87423611111</v>
      </c>
      <c r="C324" s="1" t="n">
        <v>45904</v>
      </c>
      <c r="D324" t="inlineStr">
        <is>
          <t>GOTLANDS LÄN</t>
        </is>
      </c>
      <c r="E324" t="inlineStr">
        <is>
          <t>GOTLAND</t>
        </is>
      </c>
      <c r="G324" t="n">
        <v>4.2</v>
      </c>
      <c r="H324" t="n">
        <v>0</v>
      </c>
      <c r="I324" t="n">
        <v>0</v>
      </c>
      <c r="J324" t="n">
        <v>0</v>
      </c>
      <c r="K324" t="n">
        <v>0</v>
      </c>
      <c r="L324" t="n">
        <v>0</v>
      </c>
      <c r="M324" t="n">
        <v>0</v>
      </c>
      <c r="N324" t="n">
        <v>0</v>
      </c>
      <c r="O324" t="n">
        <v>0</v>
      </c>
      <c r="P324" t="n">
        <v>0</v>
      </c>
      <c r="Q324" t="n">
        <v>0</v>
      </c>
      <c r="R324" s="2" t="inlineStr"/>
    </row>
    <row r="325" ht="15" customHeight="1">
      <c r="A325" t="inlineStr">
        <is>
          <t>A 20165-2022</t>
        </is>
      </c>
      <c r="B325" s="1" t="n">
        <v>44698.49854166667</v>
      </c>
      <c r="C325" s="1" t="n">
        <v>45904</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31264-2021</t>
        </is>
      </c>
      <c r="B326" s="1" t="n">
        <v>44368</v>
      </c>
      <c r="C326" s="1" t="n">
        <v>45904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45904</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25678-2025</t>
        </is>
      </c>
      <c r="B328" s="1" t="n">
        <v>45803.64118055555</v>
      </c>
      <c r="C328" s="1" t="n">
        <v>45904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6796-2025</t>
        </is>
      </c>
      <c r="B329" s="1" t="n">
        <v>45700.66559027778</v>
      </c>
      <c r="C329" s="1" t="n">
        <v>45904</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876-2024</t>
        </is>
      </c>
      <c r="B330" s="1" t="n">
        <v>45301</v>
      </c>
      <c r="C330" s="1" t="n">
        <v>45904</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43223-2023</t>
        </is>
      </c>
      <c r="B331" s="1" t="n">
        <v>45183.45642361111</v>
      </c>
      <c r="C331" s="1" t="n">
        <v>45904</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61962-2024</t>
        </is>
      </c>
      <c r="B332" s="1" t="n">
        <v>45653.54340277778</v>
      </c>
      <c r="C332" s="1" t="n">
        <v>45904</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26891-2024</t>
        </is>
      </c>
      <c r="B333" s="1" t="n">
        <v>45470.65540509259</v>
      </c>
      <c r="C333" s="1" t="n">
        <v>45904</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14536-2021</t>
        </is>
      </c>
      <c r="B334" s="1" t="n">
        <v>44279.66168981481</v>
      </c>
      <c r="C334" s="1" t="n">
        <v>45904</v>
      </c>
      <c r="D334" t="inlineStr">
        <is>
          <t>GOTLANDS LÄN</t>
        </is>
      </c>
      <c r="E334" t="inlineStr">
        <is>
          <t>GOTLAND</t>
        </is>
      </c>
      <c r="G334" t="n">
        <v>8.5</v>
      </c>
      <c r="H334" t="n">
        <v>0</v>
      </c>
      <c r="I334" t="n">
        <v>0</v>
      </c>
      <c r="J334" t="n">
        <v>0</v>
      </c>
      <c r="K334" t="n">
        <v>0</v>
      </c>
      <c r="L334" t="n">
        <v>0</v>
      </c>
      <c r="M334" t="n">
        <v>0</v>
      </c>
      <c r="N334" t="n">
        <v>0</v>
      </c>
      <c r="O334" t="n">
        <v>0</v>
      </c>
      <c r="P334" t="n">
        <v>0</v>
      </c>
      <c r="Q334" t="n">
        <v>0</v>
      </c>
      <c r="R334" s="2" t="inlineStr"/>
    </row>
    <row r="335" ht="15" customHeight="1">
      <c r="A335" t="inlineStr">
        <is>
          <t>A 27930-2021</t>
        </is>
      </c>
      <c r="B335" s="1" t="n">
        <v>44354</v>
      </c>
      <c r="C335" s="1" t="n">
        <v>45904</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59469-2024</t>
        </is>
      </c>
      <c r="B336" s="1" t="n">
        <v>45638</v>
      </c>
      <c r="C336" s="1" t="n">
        <v>45904</v>
      </c>
      <c r="D336" t="inlineStr">
        <is>
          <t>GOTLANDS LÄN</t>
        </is>
      </c>
      <c r="E336" t="inlineStr">
        <is>
          <t>GOTLAND</t>
        </is>
      </c>
      <c r="G336" t="n">
        <v>0.4</v>
      </c>
      <c r="H336" t="n">
        <v>0</v>
      </c>
      <c r="I336" t="n">
        <v>0</v>
      </c>
      <c r="J336" t="n">
        <v>0</v>
      </c>
      <c r="K336" t="n">
        <v>0</v>
      </c>
      <c r="L336" t="n">
        <v>0</v>
      </c>
      <c r="M336" t="n">
        <v>0</v>
      </c>
      <c r="N336" t="n">
        <v>0</v>
      </c>
      <c r="O336" t="n">
        <v>0</v>
      </c>
      <c r="P336" t="n">
        <v>0</v>
      </c>
      <c r="Q336" t="n">
        <v>0</v>
      </c>
      <c r="R336" s="2" t="inlineStr"/>
    </row>
    <row r="337" ht="15" customHeight="1">
      <c r="A337" t="inlineStr">
        <is>
          <t>A 5923-2023</t>
        </is>
      </c>
      <c r="B337" s="1" t="n">
        <v>44963.69503472222</v>
      </c>
      <c r="C337" s="1" t="n">
        <v>45904</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25796-2025</t>
        </is>
      </c>
      <c r="B338" s="1" t="n">
        <v>45804.39543981481</v>
      </c>
      <c r="C338" s="1" t="n">
        <v>45904</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50482-2024</t>
        </is>
      </c>
      <c r="B339" s="1" t="n">
        <v>45601.48114583334</v>
      </c>
      <c r="C339" s="1" t="n">
        <v>45904</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5943-2024</t>
        </is>
      </c>
      <c r="B340" s="1" t="n">
        <v>45336</v>
      </c>
      <c r="C340" s="1" t="n">
        <v>45904</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5751-2024</t>
        </is>
      </c>
      <c r="B341" s="1" t="n">
        <v>45335.32702546296</v>
      </c>
      <c r="C341" s="1" t="n">
        <v>45904</v>
      </c>
      <c r="D341" t="inlineStr">
        <is>
          <t>GOTLANDS LÄN</t>
        </is>
      </c>
      <c r="E341" t="inlineStr">
        <is>
          <t>GOTLAND</t>
        </is>
      </c>
      <c r="G341" t="n">
        <v>4.2</v>
      </c>
      <c r="H341" t="n">
        <v>0</v>
      </c>
      <c r="I341" t="n">
        <v>0</v>
      </c>
      <c r="J341" t="n">
        <v>0</v>
      </c>
      <c r="K341" t="n">
        <v>0</v>
      </c>
      <c r="L341" t="n">
        <v>0</v>
      </c>
      <c r="M341" t="n">
        <v>0</v>
      </c>
      <c r="N341" t="n">
        <v>0</v>
      </c>
      <c r="O341" t="n">
        <v>0</v>
      </c>
      <c r="P341" t="n">
        <v>0</v>
      </c>
      <c r="Q341" t="n">
        <v>0</v>
      </c>
      <c r="R341" s="2" t="inlineStr"/>
    </row>
    <row r="342" ht="15" customHeight="1">
      <c r="A342" t="inlineStr">
        <is>
          <t>A 6696-2023</t>
        </is>
      </c>
      <c r="B342" s="1" t="n">
        <v>44966.66425925926</v>
      </c>
      <c r="C342" s="1" t="n">
        <v>45904</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38234-2023</t>
        </is>
      </c>
      <c r="B343" s="1" t="n">
        <v>45161.56663194444</v>
      </c>
      <c r="C343" s="1" t="n">
        <v>45904</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28480-2023</t>
        </is>
      </c>
      <c r="B344" s="1" t="n">
        <v>45103</v>
      </c>
      <c r="C344" s="1" t="n">
        <v>45904</v>
      </c>
      <c r="D344" t="inlineStr">
        <is>
          <t>GOTLANDS LÄN</t>
        </is>
      </c>
      <c r="E344" t="inlineStr">
        <is>
          <t>GOTLAND</t>
        </is>
      </c>
      <c r="G344" t="n">
        <v>5.7</v>
      </c>
      <c r="H344" t="n">
        <v>0</v>
      </c>
      <c r="I344" t="n">
        <v>0</v>
      </c>
      <c r="J344" t="n">
        <v>0</v>
      </c>
      <c r="K344" t="n">
        <v>0</v>
      </c>
      <c r="L344" t="n">
        <v>0</v>
      </c>
      <c r="M344" t="n">
        <v>0</v>
      </c>
      <c r="N344" t="n">
        <v>0</v>
      </c>
      <c r="O344" t="n">
        <v>0</v>
      </c>
      <c r="P344" t="n">
        <v>0</v>
      </c>
      <c r="Q344" t="n">
        <v>0</v>
      </c>
      <c r="R344" s="2" t="inlineStr"/>
    </row>
    <row r="345" ht="15" customHeight="1">
      <c r="A345" t="inlineStr">
        <is>
          <t>A 28485-2023</t>
        </is>
      </c>
      <c r="B345" s="1" t="n">
        <v>45103.43731481482</v>
      </c>
      <c r="C345" s="1" t="n">
        <v>45904</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4990-2025</t>
        </is>
      </c>
      <c r="B346" s="1" t="n">
        <v>45691</v>
      </c>
      <c r="C346" s="1" t="n">
        <v>45904</v>
      </c>
      <c r="D346" t="inlineStr">
        <is>
          <t>GOTLANDS LÄN</t>
        </is>
      </c>
      <c r="E346" t="inlineStr">
        <is>
          <t>GOTLAND</t>
        </is>
      </c>
      <c r="G346" t="n">
        <v>7.7</v>
      </c>
      <c r="H346" t="n">
        <v>0</v>
      </c>
      <c r="I346" t="n">
        <v>0</v>
      </c>
      <c r="J346" t="n">
        <v>0</v>
      </c>
      <c r="K346" t="n">
        <v>0</v>
      </c>
      <c r="L346" t="n">
        <v>0</v>
      </c>
      <c r="M346" t="n">
        <v>0</v>
      </c>
      <c r="N346" t="n">
        <v>0</v>
      </c>
      <c r="O346" t="n">
        <v>0</v>
      </c>
      <c r="P346" t="n">
        <v>0</v>
      </c>
      <c r="Q346" t="n">
        <v>0</v>
      </c>
      <c r="R346" s="2" t="inlineStr"/>
    </row>
    <row r="347" ht="15" customHeight="1">
      <c r="A347" t="inlineStr">
        <is>
          <t>A 1273-2023</t>
        </is>
      </c>
      <c r="B347" s="1" t="n">
        <v>44936</v>
      </c>
      <c r="C347" s="1" t="n">
        <v>45904</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45904</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45904</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38165-2023</t>
        </is>
      </c>
      <c r="B350" s="1" t="n">
        <v>45161</v>
      </c>
      <c r="C350" s="1" t="n">
        <v>45904</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26457-2025</t>
        </is>
      </c>
      <c r="B351" s="1" t="n">
        <v>45807.42773148148</v>
      </c>
      <c r="C351" s="1" t="n">
        <v>45904</v>
      </c>
      <c r="D351" t="inlineStr">
        <is>
          <t>GOTLANDS LÄN</t>
        </is>
      </c>
      <c r="E351" t="inlineStr">
        <is>
          <t>GOTLAND</t>
        </is>
      </c>
      <c r="G351" t="n">
        <v>5.7</v>
      </c>
      <c r="H351" t="n">
        <v>0</v>
      </c>
      <c r="I351" t="n">
        <v>0</v>
      </c>
      <c r="J351" t="n">
        <v>0</v>
      </c>
      <c r="K351" t="n">
        <v>0</v>
      </c>
      <c r="L351" t="n">
        <v>0</v>
      </c>
      <c r="M351" t="n">
        <v>0</v>
      </c>
      <c r="N351" t="n">
        <v>0</v>
      </c>
      <c r="O351" t="n">
        <v>0</v>
      </c>
      <c r="P351" t="n">
        <v>0</v>
      </c>
      <c r="Q351" t="n">
        <v>0</v>
      </c>
      <c r="R351" s="2" t="inlineStr"/>
    </row>
    <row r="352" ht="15" customHeight="1">
      <c r="A352" t="inlineStr">
        <is>
          <t>A 26467-2025</t>
        </is>
      </c>
      <c r="B352" s="1" t="n">
        <v>45807.44640046296</v>
      </c>
      <c r="C352" s="1" t="n">
        <v>45904</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15216-2025</t>
        </is>
      </c>
      <c r="B353" s="1" t="n">
        <v>45744</v>
      </c>
      <c r="C353" s="1" t="n">
        <v>45904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17724-2024</t>
        </is>
      </c>
      <c r="B354" s="1" t="n">
        <v>45418.55096064815</v>
      </c>
      <c r="C354" s="1" t="n">
        <v>45904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23978-2023</t>
        </is>
      </c>
      <c r="B355" s="1" t="n">
        <v>45078</v>
      </c>
      <c r="C355" s="1" t="n">
        <v>45904</v>
      </c>
      <c r="D355" t="inlineStr">
        <is>
          <t>GOTLANDS LÄN</t>
        </is>
      </c>
      <c r="E355" t="inlineStr">
        <is>
          <t>GOTLAND</t>
        </is>
      </c>
      <c r="F355" t="inlineStr">
        <is>
          <t>Naturvårdsverket</t>
        </is>
      </c>
      <c r="G355" t="n">
        <v>1.7</v>
      </c>
      <c r="H355" t="n">
        <v>0</v>
      </c>
      <c r="I355" t="n">
        <v>0</v>
      </c>
      <c r="J355" t="n">
        <v>0</v>
      </c>
      <c r="K355" t="n">
        <v>0</v>
      </c>
      <c r="L355" t="n">
        <v>0</v>
      </c>
      <c r="M355" t="n">
        <v>0</v>
      </c>
      <c r="N355" t="n">
        <v>0</v>
      </c>
      <c r="O355" t="n">
        <v>0</v>
      </c>
      <c r="P355" t="n">
        <v>0</v>
      </c>
      <c r="Q355" t="n">
        <v>0</v>
      </c>
      <c r="R355" s="2" t="inlineStr"/>
    </row>
    <row r="356" ht="15" customHeight="1">
      <c r="A356" t="inlineStr">
        <is>
          <t>A 49884-2023</t>
        </is>
      </c>
      <c r="B356" s="1" t="n">
        <v>45213</v>
      </c>
      <c r="C356" s="1" t="n">
        <v>45904</v>
      </c>
      <c r="D356" t="inlineStr">
        <is>
          <t>GOTLANDS LÄN</t>
        </is>
      </c>
      <c r="E356" t="inlineStr">
        <is>
          <t>GOTLAND</t>
        </is>
      </c>
      <c r="G356" t="n">
        <v>8.9</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45904</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49693-2023</t>
        </is>
      </c>
      <c r="B358" s="1" t="n">
        <v>45212.38138888889</v>
      </c>
      <c r="C358" s="1" t="n">
        <v>45904</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45212.38909722222</v>
      </c>
      <c r="C359" s="1" t="n">
        <v>45904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26660-2025</t>
        </is>
      </c>
      <c r="B360" s="1" t="n">
        <v>45810.39737268518</v>
      </c>
      <c r="C360" s="1" t="n">
        <v>45904</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34312-2024</t>
        </is>
      </c>
      <c r="B361" s="1" t="n">
        <v>45524.69703703704</v>
      </c>
      <c r="C361" s="1" t="n">
        <v>45904</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43200-2023</t>
        </is>
      </c>
      <c r="B362" s="1" t="n">
        <v>45183</v>
      </c>
      <c r="C362" s="1" t="n">
        <v>45904</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1477-2024</t>
        </is>
      </c>
      <c r="B363" s="1" t="n">
        <v>45305.37987268518</v>
      </c>
      <c r="C363" s="1" t="n">
        <v>45904</v>
      </c>
      <c r="D363" t="inlineStr">
        <is>
          <t>GOTLANDS LÄN</t>
        </is>
      </c>
      <c r="E363" t="inlineStr">
        <is>
          <t>GOTLAND</t>
        </is>
      </c>
      <c r="G363" t="n">
        <v>6.9</v>
      </c>
      <c r="H363" t="n">
        <v>0</v>
      </c>
      <c r="I363" t="n">
        <v>0</v>
      </c>
      <c r="J363" t="n">
        <v>0</v>
      </c>
      <c r="K363" t="n">
        <v>0</v>
      </c>
      <c r="L363" t="n">
        <v>0</v>
      </c>
      <c r="M363" t="n">
        <v>0</v>
      </c>
      <c r="N363" t="n">
        <v>0</v>
      </c>
      <c r="O363" t="n">
        <v>0</v>
      </c>
      <c r="P363" t="n">
        <v>0</v>
      </c>
      <c r="Q363" t="n">
        <v>0</v>
      </c>
      <c r="R363" s="2" t="inlineStr"/>
    </row>
    <row r="364" ht="15" customHeight="1">
      <c r="A364" t="inlineStr">
        <is>
          <t>A 3935-2025</t>
        </is>
      </c>
      <c r="B364" s="1" t="n">
        <v>45684.46070601852</v>
      </c>
      <c r="C364" s="1" t="n">
        <v>45904</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48503-2023</t>
        </is>
      </c>
      <c r="B365" s="1" t="n">
        <v>45207</v>
      </c>
      <c r="C365" s="1" t="n">
        <v>45904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27355-2025</t>
        </is>
      </c>
      <c r="B366" s="1" t="n">
        <v>45812</v>
      </c>
      <c r="C366" s="1" t="n">
        <v>45904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27348-2025</t>
        </is>
      </c>
      <c r="B367" s="1" t="n">
        <v>45812.62451388889</v>
      </c>
      <c r="C367" s="1" t="n">
        <v>45904</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27371-2025</t>
        </is>
      </c>
      <c r="B368" s="1" t="n">
        <v>45812</v>
      </c>
      <c r="C368" s="1" t="n">
        <v>45904</v>
      </c>
      <c r="D368" t="inlineStr">
        <is>
          <t>GOTLANDS LÄN</t>
        </is>
      </c>
      <c r="E368" t="inlineStr">
        <is>
          <t>GOTLAND</t>
        </is>
      </c>
      <c r="G368" t="n">
        <v>8</v>
      </c>
      <c r="H368" t="n">
        <v>0</v>
      </c>
      <c r="I368" t="n">
        <v>0</v>
      </c>
      <c r="J368" t="n">
        <v>0</v>
      </c>
      <c r="K368" t="n">
        <v>0</v>
      </c>
      <c r="L368" t="n">
        <v>0</v>
      </c>
      <c r="M368" t="n">
        <v>0</v>
      </c>
      <c r="N368" t="n">
        <v>0</v>
      </c>
      <c r="O368" t="n">
        <v>0</v>
      </c>
      <c r="P368" t="n">
        <v>0</v>
      </c>
      <c r="Q368" t="n">
        <v>0</v>
      </c>
      <c r="R368" s="2" t="inlineStr"/>
    </row>
    <row r="369" ht="15" customHeight="1">
      <c r="A369" t="inlineStr">
        <is>
          <t>A 24825-2024</t>
        </is>
      </c>
      <c r="B369" s="1" t="n">
        <v>45461</v>
      </c>
      <c r="C369" s="1" t="n">
        <v>45904</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45904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22031-2024</t>
        </is>
      </c>
      <c r="B371" s="1" t="n">
        <v>45443.60075231481</v>
      </c>
      <c r="C371" s="1" t="n">
        <v>45904</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17688-2024</t>
        </is>
      </c>
      <c r="B372" s="1" t="n">
        <v>45418.43575231481</v>
      </c>
      <c r="C372" s="1" t="n">
        <v>45904</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7850-2025</t>
        </is>
      </c>
      <c r="B373" s="1" t="n">
        <v>45706</v>
      </c>
      <c r="C373" s="1" t="n">
        <v>45904</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6739-2025</t>
        </is>
      </c>
      <c r="B374" s="1" t="n">
        <v>45700</v>
      </c>
      <c r="C374" s="1" t="n">
        <v>45904</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48843-2024</t>
        </is>
      </c>
      <c r="B375" s="1" t="n">
        <v>45593</v>
      </c>
      <c r="C375" s="1" t="n">
        <v>45904</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27694-2024</t>
        </is>
      </c>
      <c r="B376" s="1" t="n">
        <v>45475</v>
      </c>
      <c r="C376" s="1" t="n">
        <v>45904</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8444-2025</t>
        </is>
      </c>
      <c r="B377" s="1" t="n">
        <v>45709</v>
      </c>
      <c r="C377" s="1" t="n">
        <v>45904</v>
      </c>
      <c r="D377" t="inlineStr">
        <is>
          <t>GOTLANDS LÄN</t>
        </is>
      </c>
      <c r="E377" t="inlineStr">
        <is>
          <t>GOTLAND</t>
        </is>
      </c>
      <c r="G377" t="n">
        <v>5.2</v>
      </c>
      <c r="H377" t="n">
        <v>0</v>
      </c>
      <c r="I377" t="n">
        <v>0</v>
      </c>
      <c r="J377" t="n">
        <v>0</v>
      </c>
      <c r="K377" t="n">
        <v>0</v>
      </c>
      <c r="L377" t="n">
        <v>0</v>
      </c>
      <c r="M377" t="n">
        <v>0</v>
      </c>
      <c r="N377" t="n">
        <v>0</v>
      </c>
      <c r="O377" t="n">
        <v>0</v>
      </c>
      <c r="P377" t="n">
        <v>0</v>
      </c>
      <c r="Q377" t="n">
        <v>0</v>
      </c>
      <c r="R377" s="2" t="inlineStr"/>
    </row>
    <row r="378" ht="15" customHeight="1">
      <c r="A378" t="inlineStr">
        <is>
          <t>A 19905-2025</t>
        </is>
      </c>
      <c r="B378" s="1" t="n">
        <v>45771</v>
      </c>
      <c r="C378" s="1" t="n">
        <v>45904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39764-2022</t>
        </is>
      </c>
      <c r="B379" s="1" t="n">
        <v>44819</v>
      </c>
      <c r="C379" s="1" t="n">
        <v>45904</v>
      </c>
      <c r="D379" t="inlineStr">
        <is>
          <t>GOTLANDS LÄN</t>
        </is>
      </c>
      <c r="E379" t="inlineStr">
        <is>
          <t>GOTLAND</t>
        </is>
      </c>
      <c r="F379" t="inlineStr">
        <is>
          <t>Kyrkan</t>
        </is>
      </c>
      <c r="G379" t="n">
        <v>3.7</v>
      </c>
      <c r="H379" t="n">
        <v>0</v>
      </c>
      <c r="I379" t="n">
        <v>0</v>
      </c>
      <c r="J379" t="n">
        <v>0</v>
      </c>
      <c r="K379" t="n">
        <v>0</v>
      </c>
      <c r="L379" t="n">
        <v>0</v>
      </c>
      <c r="M379" t="n">
        <v>0</v>
      </c>
      <c r="N379" t="n">
        <v>0</v>
      </c>
      <c r="O379" t="n">
        <v>0</v>
      </c>
      <c r="P379" t="n">
        <v>0</v>
      </c>
      <c r="Q379" t="n">
        <v>0</v>
      </c>
      <c r="R379" s="2" t="inlineStr"/>
    </row>
    <row r="380" ht="15" customHeight="1">
      <c r="A380" t="inlineStr">
        <is>
          <t>A 10158-2025</t>
        </is>
      </c>
      <c r="B380" s="1" t="n">
        <v>45719</v>
      </c>
      <c r="C380" s="1" t="n">
        <v>45904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6099-2024</t>
        </is>
      </c>
      <c r="B381" s="1" t="n">
        <v>45337</v>
      </c>
      <c r="C381" s="1" t="n">
        <v>45904</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8260-2023</t>
        </is>
      </c>
      <c r="B382" s="1" t="n">
        <v>44974.61608796296</v>
      </c>
      <c r="C382" s="1" t="n">
        <v>45904</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10653-2023</t>
        </is>
      </c>
      <c r="B383" s="1" t="n">
        <v>44988.48859953704</v>
      </c>
      <c r="C383" s="1" t="n">
        <v>45904</v>
      </c>
      <c r="D383" t="inlineStr">
        <is>
          <t>GOTLANDS LÄN</t>
        </is>
      </c>
      <c r="E383" t="inlineStr">
        <is>
          <t>GOTLAND</t>
        </is>
      </c>
      <c r="F383" t="inlineStr">
        <is>
          <t>Kyrkan</t>
        </is>
      </c>
      <c r="G383" t="n">
        <v>3</v>
      </c>
      <c r="H383" t="n">
        <v>0</v>
      </c>
      <c r="I383" t="n">
        <v>0</v>
      </c>
      <c r="J383" t="n">
        <v>0</v>
      </c>
      <c r="K383" t="n">
        <v>0</v>
      </c>
      <c r="L383" t="n">
        <v>0</v>
      </c>
      <c r="M383" t="n">
        <v>0</v>
      </c>
      <c r="N383" t="n">
        <v>0</v>
      </c>
      <c r="O383" t="n">
        <v>0</v>
      </c>
      <c r="P383" t="n">
        <v>0</v>
      </c>
      <c r="Q383" t="n">
        <v>0</v>
      </c>
      <c r="R383" s="2" t="inlineStr"/>
    </row>
    <row r="384" ht="15" customHeight="1">
      <c r="A384" t="inlineStr">
        <is>
          <t>A 22287-2022</t>
        </is>
      </c>
      <c r="B384" s="1" t="n">
        <v>44712</v>
      </c>
      <c r="C384" s="1" t="n">
        <v>45904</v>
      </c>
      <c r="D384" t="inlineStr">
        <is>
          <t>GOTLANDS LÄN</t>
        </is>
      </c>
      <c r="E384" t="inlineStr">
        <is>
          <t>GOTLAND</t>
        </is>
      </c>
      <c r="G384" t="n">
        <v>6.1</v>
      </c>
      <c r="H384" t="n">
        <v>0</v>
      </c>
      <c r="I384" t="n">
        <v>0</v>
      </c>
      <c r="J384" t="n">
        <v>0</v>
      </c>
      <c r="K384" t="n">
        <v>0</v>
      </c>
      <c r="L384" t="n">
        <v>0</v>
      </c>
      <c r="M384" t="n">
        <v>0</v>
      </c>
      <c r="N384" t="n">
        <v>0</v>
      </c>
      <c r="O384" t="n">
        <v>0</v>
      </c>
      <c r="P384" t="n">
        <v>0</v>
      </c>
      <c r="Q384" t="n">
        <v>0</v>
      </c>
      <c r="R384" s="2" t="inlineStr"/>
    </row>
    <row r="385" ht="15" customHeight="1">
      <c r="A385" t="inlineStr">
        <is>
          <t>A 17343-2025</t>
        </is>
      </c>
      <c r="B385" s="1" t="n">
        <v>45756.6687037037</v>
      </c>
      <c r="C385" s="1" t="n">
        <v>45904</v>
      </c>
      <c r="D385" t="inlineStr">
        <is>
          <t>GOTLANDS LÄN</t>
        </is>
      </c>
      <c r="E385" t="inlineStr">
        <is>
          <t>GOTLAND</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29207-2025</t>
        </is>
      </c>
      <c r="B386" s="1" t="n">
        <v>45823</v>
      </c>
      <c r="C386" s="1" t="n">
        <v>45904</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45904</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29196-2025</t>
        </is>
      </c>
      <c r="B388" s="1" t="n">
        <v>45822</v>
      </c>
      <c r="C388" s="1" t="n">
        <v>45904</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35512-2023</t>
        </is>
      </c>
      <c r="B389" s="1" t="n">
        <v>45147.25623842593</v>
      </c>
      <c r="C389" s="1" t="n">
        <v>45904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11874-2024</t>
        </is>
      </c>
      <c r="B390" s="1" t="n">
        <v>45376.46956018519</v>
      </c>
      <c r="C390" s="1" t="n">
        <v>45904</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30061-2025</t>
        </is>
      </c>
      <c r="B391" s="1" t="n">
        <v>45826.61488425926</v>
      </c>
      <c r="C391" s="1" t="n">
        <v>45904</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30157-2025</t>
        </is>
      </c>
      <c r="B392" s="1" t="n">
        <v>45826</v>
      </c>
      <c r="C392" s="1" t="n">
        <v>45904</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30488-2025</t>
        </is>
      </c>
      <c r="B393" s="1" t="n">
        <v>45830</v>
      </c>
      <c r="C393" s="1" t="n">
        <v>45904</v>
      </c>
      <c r="D393" t="inlineStr">
        <is>
          <t>GOTLANDS LÄN</t>
        </is>
      </c>
      <c r="E393" t="inlineStr">
        <is>
          <t>GOTLAND</t>
        </is>
      </c>
      <c r="F393" t="inlineStr">
        <is>
          <t>Kyrkan</t>
        </is>
      </c>
      <c r="G393" t="n">
        <v>3.9</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45904</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20225-2025</t>
        </is>
      </c>
      <c r="B395" s="1" t="n">
        <v>45772.65802083333</v>
      </c>
      <c r="C395" s="1" t="n">
        <v>45904</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64660-2023</t>
        </is>
      </c>
      <c r="B396" s="1" t="n">
        <v>45281.60122685185</v>
      </c>
      <c r="C396" s="1" t="n">
        <v>45904</v>
      </c>
      <c r="D396" t="inlineStr">
        <is>
          <t>GOTLANDS LÄN</t>
        </is>
      </c>
      <c r="E396" t="inlineStr">
        <is>
          <t>GOTLAND</t>
        </is>
      </c>
      <c r="G396" t="n">
        <v>6.3</v>
      </c>
      <c r="H396" t="n">
        <v>0</v>
      </c>
      <c r="I396" t="n">
        <v>0</v>
      </c>
      <c r="J396" t="n">
        <v>0</v>
      </c>
      <c r="K396" t="n">
        <v>0</v>
      </c>
      <c r="L396" t="n">
        <v>0</v>
      </c>
      <c r="M396" t="n">
        <v>0</v>
      </c>
      <c r="N396" t="n">
        <v>0</v>
      </c>
      <c r="O396" t="n">
        <v>0</v>
      </c>
      <c r="P396" t="n">
        <v>0</v>
      </c>
      <c r="Q396" t="n">
        <v>0</v>
      </c>
      <c r="R396" s="2" t="inlineStr"/>
    </row>
    <row r="397" ht="15" customHeight="1">
      <c r="A397" t="inlineStr">
        <is>
          <t>A 1677-2023</t>
        </is>
      </c>
      <c r="B397" s="1" t="n">
        <v>44938</v>
      </c>
      <c r="C397" s="1" t="n">
        <v>45904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58160-2024</t>
        </is>
      </c>
      <c r="B398" s="1" t="n">
        <v>45632.44927083333</v>
      </c>
      <c r="C398" s="1" t="n">
        <v>45904</v>
      </c>
      <c r="D398" t="inlineStr">
        <is>
          <t>GOTLANDS LÄN</t>
        </is>
      </c>
      <c r="E398" t="inlineStr">
        <is>
          <t>GOTLAND</t>
        </is>
      </c>
      <c r="G398" t="n">
        <v>5.6</v>
      </c>
      <c r="H398" t="n">
        <v>0</v>
      </c>
      <c r="I398" t="n">
        <v>0</v>
      </c>
      <c r="J398" t="n">
        <v>0</v>
      </c>
      <c r="K398" t="n">
        <v>0</v>
      </c>
      <c r="L398" t="n">
        <v>0</v>
      </c>
      <c r="M398" t="n">
        <v>0</v>
      </c>
      <c r="N398" t="n">
        <v>0</v>
      </c>
      <c r="O398" t="n">
        <v>0</v>
      </c>
      <c r="P398" t="n">
        <v>0</v>
      </c>
      <c r="Q398" t="n">
        <v>0</v>
      </c>
      <c r="R398" s="2" t="inlineStr"/>
    </row>
    <row r="399" ht="15" customHeight="1">
      <c r="A399" t="inlineStr">
        <is>
          <t>A 64831-2023</t>
        </is>
      </c>
      <c r="B399" s="1" t="n">
        <v>45282.44924768519</v>
      </c>
      <c r="C399" s="1" t="n">
        <v>45904</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20855-2023</t>
        </is>
      </c>
      <c r="B400" s="1" t="n">
        <v>45058.82172453704</v>
      </c>
      <c r="C400" s="1" t="n">
        <v>45904</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8036-2022</t>
        </is>
      </c>
      <c r="B401" s="1" t="n">
        <v>44609.44362268518</v>
      </c>
      <c r="C401" s="1" t="n">
        <v>45904</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46375-2024</t>
        </is>
      </c>
      <c r="B402" s="1" t="n">
        <v>45582</v>
      </c>
      <c r="C402" s="1" t="n">
        <v>45904</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62915-2021</t>
        </is>
      </c>
      <c r="B403" s="1" t="n">
        <v>44504</v>
      </c>
      <c r="C403" s="1" t="n">
        <v>45904</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60709-2023</t>
        </is>
      </c>
      <c r="B404" s="1" t="n">
        <v>45260</v>
      </c>
      <c r="C404" s="1" t="n">
        <v>45904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1000-2024</t>
        </is>
      </c>
      <c r="B405" s="1" t="n">
        <v>45301.63371527778</v>
      </c>
      <c r="C405" s="1" t="n">
        <v>45904</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1010-2024</t>
        </is>
      </c>
      <c r="B406" s="1" t="n">
        <v>45301</v>
      </c>
      <c r="C406" s="1" t="n">
        <v>45904</v>
      </c>
      <c r="D406" t="inlineStr">
        <is>
          <t>GOTLANDS LÄN</t>
        </is>
      </c>
      <c r="E406" t="inlineStr">
        <is>
          <t>GOTLAND</t>
        </is>
      </c>
      <c r="G406" t="n">
        <v>2.4</v>
      </c>
      <c r="H406" t="n">
        <v>0</v>
      </c>
      <c r="I406" t="n">
        <v>0</v>
      </c>
      <c r="J406" t="n">
        <v>0</v>
      </c>
      <c r="K406" t="n">
        <v>0</v>
      </c>
      <c r="L406" t="n">
        <v>0</v>
      </c>
      <c r="M406" t="n">
        <v>0</v>
      </c>
      <c r="N406" t="n">
        <v>0</v>
      </c>
      <c r="O406" t="n">
        <v>0</v>
      </c>
      <c r="P406" t="n">
        <v>0</v>
      </c>
      <c r="Q406" t="n">
        <v>0</v>
      </c>
      <c r="R406" s="2" t="inlineStr"/>
    </row>
    <row r="407" ht="15" customHeight="1">
      <c r="A407" t="inlineStr">
        <is>
          <t>A 65249-2023</t>
        </is>
      </c>
      <c r="B407" s="1" t="n">
        <v>45290</v>
      </c>
      <c r="C407" s="1" t="n">
        <v>45904</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30135-2025</t>
        </is>
      </c>
      <c r="B408" s="1" t="n">
        <v>45826</v>
      </c>
      <c r="C408" s="1" t="n">
        <v>45904</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7638-2025</t>
        </is>
      </c>
      <c r="B409" s="1" t="n">
        <v>45705.77306712963</v>
      </c>
      <c r="C409" s="1" t="n">
        <v>45904</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30956-2024</t>
        </is>
      </c>
      <c r="B410" s="1" t="n">
        <v>45499.42527777778</v>
      </c>
      <c r="C410" s="1" t="n">
        <v>45904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4377-2023</t>
        </is>
      </c>
      <c r="B411" s="1" t="n">
        <v>44955.5502662037</v>
      </c>
      <c r="C411" s="1" t="n">
        <v>45904</v>
      </c>
      <c r="D411" t="inlineStr">
        <is>
          <t>GOTLANDS LÄN</t>
        </is>
      </c>
      <c r="E411" t="inlineStr">
        <is>
          <t>GOTLAND</t>
        </is>
      </c>
      <c r="F411" t="inlineStr">
        <is>
          <t>Kyrkan</t>
        </is>
      </c>
      <c r="G411" t="n">
        <v>0.6</v>
      </c>
      <c r="H411" t="n">
        <v>0</v>
      </c>
      <c r="I411" t="n">
        <v>0</v>
      </c>
      <c r="J411" t="n">
        <v>0</v>
      </c>
      <c r="K411" t="n">
        <v>0</v>
      </c>
      <c r="L411" t="n">
        <v>0</v>
      </c>
      <c r="M411" t="n">
        <v>0</v>
      </c>
      <c r="N411" t="n">
        <v>0</v>
      </c>
      <c r="O411" t="n">
        <v>0</v>
      </c>
      <c r="P411" t="n">
        <v>0</v>
      </c>
      <c r="Q411" t="n">
        <v>0</v>
      </c>
      <c r="R411" s="2" t="inlineStr"/>
    </row>
    <row r="412" ht="15" customHeight="1">
      <c r="A412" t="inlineStr">
        <is>
          <t>A 12596-2023</t>
        </is>
      </c>
      <c r="B412" s="1" t="n">
        <v>45000.43310185185</v>
      </c>
      <c r="C412" s="1" t="n">
        <v>45904</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16109-2025</t>
        </is>
      </c>
      <c r="B413" s="1" t="n">
        <v>45750</v>
      </c>
      <c r="C413" s="1" t="n">
        <v>45904</v>
      </c>
      <c r="D413" t="inlineStr">
        <is>
          <t>GOTLANDS LÄN</t>
        </is>
      </c>
      <c r="E413" t="inlineStr">
        <is>
          <t>GOTLAND</t>
        </is>
      </c>
      <c r="G413" t="n">
        <v>4.9</v>
      </c>
      <c r="H413" t="n">
        <v>0</v>
      </c>
      <c r="I413" t="n">
        <v>0</v>
      </c>
      <c r="J413" t="n">
        <v>0</v>
      </c>
      <c r="K413" t="n">
        <v>0</v>
      </c>
      <c r="L413" t="n">
        <v>0</v>
      </c>
      <c r="M413" t="n">
        <v>0</v>
      </c>
      <c r="N413" t="n">
        <v>0</v>
      </c>
      <c r="O413" t="n">
        <v>0</v>
      </c>
      <c r="P413" t="n">
        <v>0</v>
      </c>
      <c r="Q413" t="n">
        <v>0</v>
      </c>
      <c r="R413" s="2" t="inlineStr"/>
    </row>
    <row r="414" ht="15" customHeight="1">
      <c r="A414" t="inlineStr">
        <is>
          <t>A 8045-2022</t>
        </is>
      </c>
      <c r="B414" s="1" t="n">
        <v>44609</v>
      </c>
      <c r="C414" s="1" t="n">
        <v>45904</v>
      </c>
      <c r="D414" t="inlineStr">
        <is>
          <t>GOTLANDS LÄN</t>
        </is>
      </c>
      <c r="E414" t="inlineStr">
        <is>
          <t>GOTLAND</t>
        </is>
      </c>
      <c r="G414" t="n">
        <v>7</v>
      </c>
      <c r="H414" t="n">
        <v>0</v>
      </c>
      <c r="I414" t="n">
        <v>0</v>
      </c>
      <c r="J414" t="n">
        <v>0</v>
      </c>
      <c r="K414" t="n">
        <v>0</v>
      </c>
      <c r="L414" t="n">
        <v>0</v>
      </c>
      <c r="M414" t="n">
        <v>0</v>
      </c>
      <c r="N414" t="n">
        <v>0</v>
      </c>
      <c r="O414" t="n">
        <v>0</v>
      </c>
      <c r="P414" t="n">
        <v>0</v>
      </c>
      <c r="Q414" t="n">
        <v>0</v>
      </c>
      <c r="R414" s="2" t="inlineStr"/>
    </row>
    <row r="415" ht="15" customHeight="1">
      <c r="A415" t="inlineStr">
        <is>
          <t>A 32467-2025</t>
        </is>
      </c>
      <c r="B415" s="1" t="n">
        <v>45838.42111111111</v>
      </c>
      <c r="C415" s="1" t="n">
        <v>45904</v>
      </c>
      <c r="D415" t="inlineStr">
        <is>
          <t>GOTLANDS LÄN</t>
        </is>
      </c>
      <c r="E415" t="inlineStr">
        <is>
          <t>GOTLAND</t>
        </is>
      </c>
      <c r="G415" t="n">
        <v>4.3</v>
      </c>
      <c r="H415" t="n">
        <v>0</v>
      </c>
      <c r="I415" t="n">
        <v>0</v>
      </c>
      <c r="J415" t="n">
        <v>0</v>
      </c>
      <c r="K415" t="n">
        <v>0</v>
      </c>
      <c r="L415" t="n">
        <v>0</v>
      </c>
      <c r="M415" t="n">
        <v>0</v>
      </c>
      <c r="N415" t="n">
        <v>0</v>
      </c>
      <c r="O415" t="n">
        <v>0</v>
      </c>
      <c r="P415" t="n">
        <v>0</v>
      </c>
      <c r="Q415" t="n">
        <v>0</v>
      </c>
      <c r="R415" s="2" t="inlineStr"/>
    </row>
    <row r="416" ht="15" customHeight="1">
      <c r="A416" t="inlineStr">
        <is>
          <t>A 43901-2023</t>
        </is>
      </c>
      <c r="B416" s="1" t="n">
        <v>45187</v>
      </c>
      <c r="C416" s="1" t="n">
        <v>45904</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17532-2024</t>
        </is>
      </c>
      <c r="B417" s="1" t="n">
        <v>45415</v>
      </c>
      <c r="C417" s="1" t="n">
        <v>45904</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45692-2023</t>
        </is>
      </c>
      <c r="B418" s="1" t="n">
        <v>45195</v>
      </c>
      <c r="C418" s="1" t="n">
        <v>45904</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45904</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45904</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20660-2025</t>
        </is>
      </c>
      <c r="B421" s="1" t="n">
        <v>45776</v>
      </c>
      <c r="C421" s="1" t="n">
        <v>45904</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45904</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45904</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65901-2021</t>
        </is>
      </c>
      <c r="B424" s="1" t="n">
        <v>44516</v>
      </c>
      <c r="C424" s="1" t="n">
        <v>45904</v>
      </c>
      <c r="D424" t="inlineStr">
        <is>
          <t>GOTLANDS LÄN</t>
        </is>
      </c>
      <c r="E424" t="inlineStr">
        <is>
          <t>GOTLAND</t>
        </is>
      </c>
      <c r="G424" t="n">
        <v>4.9</v>
      </c>
      <c r="H424" t="n">
        <v>0</v>
      </c>
      <c r="I424" t="n">
        <v>0</v>
      </c>
      <c r="J424" t="n">
        <v>0</v>
      </c>
      <c r="K424" t="n">
        <v>0</v>
      </c>
      <c r="L424" t="n">
        <v>0</v>
      </c>
      <c r="M424" t="n">
        <v>0</v>
      </c>
      <c r="N424" t="n">
        <v>0</v>
      </c>
      <c r="O424" t="n">
        <v>0</v>
      </c>
      <c r="P424" t="n">
        <v>0</v>
      </c>
      <c r="Q424" t="n">
        <v>0</v>
      </c>
      <c r="R424" s="2" t="inlineStr"/>
    </row>
    <row r="425" ht="15" customHeight="1">
      <c r="A425" t="inlineStr">
        <is>
          <t>A 37222-2021</t>
        </is>
      </c>
      <c r="B425" s="1" t="n">
        <v>44396</v>
      </c>
      <c r="C425" s="1" t="n">
        <v>45904</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47762-2023</t>
        </is>
      </c>
      <c r="B426" s="1" t="n">
        <v>45203.86256944444</v>
      </c>
      <c r="C426" s="1" t="n">
        <v>45904</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33078-2025</t>
        </is>
      </c>
      <c r="B427" s="1" t="n">
        <v>45840</v>
      </c>
      <c r="C427" s="1" t="n">
        <v>45904</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40294-2022</t>
        </is>
      </c>
      <c r="B428" s="1" t="n">
        <v>44821</v>
      </c>
      <c r="C428" s="1" t="n">
        <v>45904</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27602-2023</t>
        </is>
      </c>
      <c r="B429" s="1" t="n">
        <v>45097</v>
      </c>
      <c r="C429" s="1" t="n">
        <v>45904</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33007-2025</t>
        </is>
      </c>
      <c r="B430" s="1" t="n">
        <v>45840</v>
      </c>
      <c r="C430" s="1" t="n">
        <v>45904</v>
      </c>
      <c r="D430" t="inlineStr">
        <is>
          <t>GOTLANDS LÄN</t>
        </is>
      </c>
      <c r="E430" t="inlineStr">
        <is>
          <t>GOTLAND</t>
        </is>
      </c>
      <c r="G430" t="n">
        <v>4.9</v>
      </c>
      <c r="H430" t="n">
        <v>0</v>
      </c>
      <c r="I430" t="n">
        <v>0</v>
      </c>
      <c r="J430" t="n">
        <v>0</v>
      </c>
      <c r="K430" t="n">
        <v>0</v>
      </c>
      <c r="L430" t="n">
        <v>0</v>
      </c>
      <c r="M430" t="n">
        <v>0</v>
      </c>
      <c r="N430" t="n">
        <v>0</v>
      </c>
      <c r="O430" t="n">
        <v>0</v>
      </c>
      <c r="P430" t="n">
        <v>0</v>
      </c>
      <c r="Q430" t="n">
        <v>0</v>
      </c>
      <c r="R430" s="2" t="inlineStr"/>
    </row>
    <row r="431" ht="15" customHeight="1">
      <c r="A431" t="inlineStr">
        <is>
          <t>A 33011-2025</t>
        </is>
      </c>
      <c r="B431" s="1" t="n">
        <v>45840</v>
      </c>
      <c r="C431" s="1" t="n">
        <v>45904</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58780-2024</t>
        </is>
      </c>
      <c r="B432" s="1" t="n">
        <v>45635.84113425926</v>
      </c>
      <c r="C432" s="1" t="n">
        <v>45904</v>
      </c>
      <c r="D432" t="inlineStr">
        <is>
          <t>GOTLANDS LÄN</t>
        </is>
      </c>
      <c r="E432" t="inlineStr">
        <is>
          <t>GOTLAND</t>
        </is>
      </c>
      <c r="G432" t="n">
        <v>2.6</v>
      </c>
      <c r="H432" t="n">
        <v>0</v>
      </c>
      <c r="I432" t="n">
        <v>0</v>
      </c>
      <c r="J432" t="n">
        <v>0</v>
      </c>
      <c r="K432" t="n">
        <v>0</v>
      </c>
      <c r="L432" t="n">
        <v>0</v>
      </c>
      <c r="M432" t="n">
        <v>0</v>
      </c>
      <c r="N432" t="n">
        <v>0</v>
      </c>
      <c r="O432" t="n">
        <v>0</v>
      </c>
      <c r="P432" t="n">
        <v>0</v>
      </c>
      <c r="Q432" t="n">
        <v>0</v>
      </c>
      <c r="R432" s="2" t="inlineStr"/>
    </row>
    <row r="433" ht="15" customHeight="1">
      <c r="A433" t="inlineStr">
        <is>
          <t>A 12322-2025</t>
        </is>
      </c>
      <c r="B433" s="1" t="n">
        <v>45730</v>
      </c>
      <c r="C433" s="1" t="n">
        <v>45904</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46396-2023</t>
        </is>
      </c>
      <c r="B434" s="1" t="n">
        <v>45197</v>
      </c>
      <c r="C434" s="1" t="n">
        <v>45904</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58388-2022</t>
        </is>
      </c>
      <c r="B435" s="1" t="n">
        <v>44894</v>
      </c>
      <c r="C435" s="1" t="n">
        <v>45904</v>
      </c>
      <c r="D435" t="inlineStr">
        <is>
          <t>GOTLANDS LÄN</t>
        </is>
      </c>
      <c r="E435" t="inlineStr">
        <is>
          <t>GOTLAND</t>
        </is>
      </c>
      <c r="F435" t="inlineStr">
        <is>
          <t>Övriga statliga verk och myndigheter</t>
        </is>
      </c>
      <c r="G435" t="n">
        <v>3.1</v>
      </c>
      <c r="H435" t="n">
        <v>0</v>
      </c>
      <c r="I435" t="n">
        <v>0</v>
      </c>
      <c r="J435" t="n">
        <v>0</v>
      </c>
      <c r="K435" t="n">
        <v>0</v>
      </c>
      <c r="L435" t="n">
        <v>0</v>
      </c>
      <c r="M435" t="n">
        <v>0</v>
      </c>
      <c r="N435" t="n">
        <v>0</v>
      </c>
      <c r="O435" t="n">
        <v>0</v>
      </c>
      <c r="P435" t="n">
        <v>0</v>
      </c>
      <c r="Q435" t="n">
        <v>0</v>
      </c>
      <c r="R435" s="2" t="inlineStr"/>
    </row>
    <row r="436" ht="15" customHeight="1">
      <c r="A436" t="inlineStr">
        <is>
          <t>A 46778-2020</t>
        </is>
      </c>
      <c r="B436" s="1" t="n">
        <v>44096</v>
      </c>
      <c r="C436" s="1" t="n">
        <v>45904</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45904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30282-2022</t>
        </is>
      </c>
      <c r="B438" s="1" t="n">
        <v>44760</v>
      </c>
      <c r="C438" s="1" t="n">
        <v>45904</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7835-2024</t>
        </is>
      </c>
      <c r="B439" s="1" t="n">
        <v>45349.83138888889</v>
      </c>
      <c r="C439" s="1" t="n">
        <v>45904</v>
      </c>
      <c r="D439" t="inlineStr">
        <is>
          <t>GOTLANDS LÄN</t>
        </is>
      </c>
      <c r="E439" t="inlineStr">
        <is>
          <t>GOTLAND</t>
        </is>
      </c>
      <c r="G439" t="n">
        <v>3.8</v>
      </c>
      <c r="H439" t="n">
        <v>0</v>
      </c>
      <c r="I439" t="n">
        <v>0</v>
      </c>
      <c r="J439" t="n">
        <v>0</v>
      </c>
      <c r="K439" t="n">
        <v>0</v>
      </c>
      <c r="L439" t="n">
        <v>0</v>
      </c>
      <c r="M439" t="n">
        <v>0</v>
      </c>
      <c r="N439" t="n">
        <v>0</v>
      </c>
      <c r="O439" t="n">
        <v>0</v>
      </c>
      <c r="P439" t="n">
        <v>0</v>
      </c>
      <c r="Q439" t="n">
        <v>0</v>
      </c>
      <c r="R439" s="2" t="inlineStr"/>
    </row>
    <row r="440" ht="15" customHeight="1">
      <c r="A440" t="inlineStr">
        <is>
          <t>A 38649-2025</t>
        </is>
      </c>
      <c r="B440" s="1" t="n">
        <v>45884</v>
      </c>
      <c r="C440" s="1" t="n">
        <v>45904</v>
      </c>
      <c r="D440" t="inlineStr">
        <is>
          <t>GOTLANDS LÄN</t>
        </is>
      </c>
      <c r="E440" t="inlineStr">
        <is>
          <t>GOTLAND</t>
        </is>
      </c>
      <c r="G440" t="n">
        <v>1.5</v>
      </c>
      <c r="H440" t="n">
        <v>0</v>
      </c>
      <c r="I440" t="n">
        <v>0</v>
      </c>
      <c r="J440" t="n">
        <v>0</v>
      </c>
      <c r="K440" t="n">
        <v>0</v>
      </c>
      <c r="L440" t="n">
        <v>0</v>
      </c>
      <c r="M440" t="n">
        <v>0</v>
      </c>
      <c r="N440" t="n">
        <v>0</v>
      </c>
      <c r="O440" t="n">
        <v>0</v>
      </c>
      <c r="P440" t="n">
        <v>0</v>
      </c>
      <c r="Q440" t="n">
        <v>0</v>
      </c>
      <c r="R440" s="2" t="inlineStr"/>
    </row>
    <row r="441" ht="15" customHeight="1">
      <c r="A441" t="inlineStr">
        <is>
          <t>A 10650-2022</t>
        </is>
      </c>
      <c r="B441" s="1" t="n">
        <v>44624.57945601852</v>
      </c>
      <c r="C441" s="1" t="n">
        <v>45904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39278-2025</t>
        </is>
      </c>
      <c r="B442" s="1" t="n">
        <v>45889</v>
      </c>
      <c r="C442" s="1" t="n">
        <v>45904</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45904</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44349.55087962963</v>
      </c>
      <c r="C444" s="1" t="n">
        <v>45904</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58132-2023</t>
        </is>
      </c>
      <c r="B445" s="1" t="n">
        <v>45250</v>
      </c>
      <c r="C445" s="1" t="n">
        <v>45904</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45904</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39814-2025</t>
        </is>
      </c>
      <c r="B447" s="1" t="n">
        <v>45891.52694444444</v>
      </c>
      <c r="C447" s="1" t="n">
        <v>45904</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39849-2025</t>
        </is>
      </c>
      <c r="B448" s="1" t="n">
        <v>45891.58502314815</v>
      </c>
      <c r="C448" s="1" t="n">
        <v>45904</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28285-2024</t>
        </is>
      </c>
      <c r="B449" s="1" t="n">
        <v>45477</v>
      </c>
      <c r="C449" s="1" t="n">
        <v>45904</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15413-2025</t>
        </is>
      </c>
      <c r="B450" s="1" t="n">
        <v>45747.451875</v>
      </c>
      <c r="C450" s="1" t="n">
        <v>45904</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39819-2025</t>
        </is>
      </c>
      <c r="B451" s="1" t="n">
        <v>45891.53418981482</v>
      </c>
      <c r="C451" s="1" t="n">
        <v>45904</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51963-2024</t>
        </is>
      </c>
      <c r="B452" s="1" t="n">
        <v>45607.64833333333</v>
      </c>
      <c r="C452" s="1" t="n">
        <v>45904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28425-2023</t>
        </is>
      </c>
      <c r="B453" s="1" t="n">
        <v>45102</v>
      </c>
      <c r="C453" s="1" t="n">
        <v>45904</v>
      </c>
      <c r="D453" t="inlineStr">
        <is>
          <t>GOTLANDS LÄN</t>
        </is>
      </c>
      <c r="E453" t="inlineStr">
        <is>
          <t>GOTLAND</t>
        </is>
      </c>
      <c r="G453" t="n">
        <v>0.5</v>
      </c>
      <c r="H453" t="n">
        <v>0</v>
      </c>
      <c r="I453" t="n">
        <v>0</v>
      </c>
      <c r="J453" t="n">
        <v>0</v>
      </c>
      <c r="K453" t="n">
        <v>0</v>
      </c>
      <c r="L453" t="n">
        <v>0</v>
      </c>
      <c r="M453" t="n">
        <v>0</v>
      </c>
      <c r="N453" t="n">
        <v>0</v>
      </c>
      <c r="O453" t="n">
        <v>0</v>
      </c>
      <c r="P453" t="n">
        <v>0</v>
      </c>
      <c r="Q453" t="n">
        <v>0</v>
      </c>
      <c r="R453" s="2" t="inlineStr"/>
    </row>
    <row r="454" ht="15" customHeight="1">
      <c r="A454" t="inlineStr">
        <is>
          <t>A 35096-2025</t>
        </is>
      </c>
      <c r="B454" s="1" t="n">
        <v>45852.54356481481</v>
      </c>
      <c r="C454" s="1" t="n">
        <v>45904</v>
      </c>
      <c r="D454" t="inlineStr">
        <is>
          <t>GOTLANDS LÄN</t>
        </is>
      </c>
      <c r="E454" t="inlineStr">
        <is>
          <t>GOTLAND</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35133-2025</t>
        </is>
      </c>
      <c r="B455" s="1" t="n">
        <v>45852.6363425926</v>
      </c>
      <c r="C455" s="1" t="n">
        <v>45904</v>
      </c>
      <c r="D455" t="inlineStr">
        <is>
          <t>GOTLANDS LÄN</t>
        </is>
      </c>
      <c r="E455" t="inlineStr">
        <is>
          <t>GOTLAND</t>
        </is>
      </c>
      <c r="G455" t="n">
        <v>1.9</v>
      </c>
      <c r="H455" t="n">
        <v>0</v>
      </c>
      <c r="I455" t="n">
        <v>0</v>
      </c>
      <c r="J455" t="n">
        <v>0</v>
      </c>
      <c r="K455" t="n">
        <v>0</v>
      </c>
      <c r="L455" t="n">
        <v>0</v>
      </c>
      <c r="M455" t="n">
        <v>0</v>
      </c>
      <c r="N455" t="n">
        <v>0</v>
      </c>
      <c r="O455" t="n">
        <v>0</v>
      </c>
      <c r="P455" t="n">
        <v>0</v>
      </c>
      <c r="Q455" t="n">
        <v>0</v>
      </c>
      <c r="R455" s="2" t="inlineStr"/>
    </row>
    <row r="456" ht="15" customHeight="1">
      <c r="A456" t="inlineStr">
        <is>
          <t>A 39752-2025</t>
        </is>
      </c>
      <c r="B456" s="1" t="n">
        <v>45891</v>
      </c>
      <c r="C456" s="1" t="n">
        <v>45904</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35123-2025</t>
        </is>
      </c>
      <c r="B457" s="1" t="n">
        <v>45852.614375</v>
      </c>
      <c r="C457" s="1" t="n">
        <v>45904</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35129-2025</t>
        </is>
      </c>
      <c r="B458" s="1" t="n">
        <v>45852.63224537037</v>
      </c>
      <c r="C458" s="1" t="n">
        <v>45904</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13037-2025</t>
        </is>
      </c>
      <c r="B460" s="1" t="n">
        <v>45734</v>
      </c>
      <c r="C460" s="1" t="n">
        <v>45904</v>
      </c>
      <c r="D460" t="inlineStr">
        <is>
          <t>GOTLANDS LÄN</t>
        </is>
      </c>
      <c r="E460" t="inlineStr">
        <is>
          <t>GOTLAND</t>
        </is>
      </c>
      <c r="G460" t="n">
        <v>9.5</v>
      </c>
      <c r="H460" t="n">
        <v>0</v>
      </c>
      <c r="I460" t="n">
        <v>0</v>
      </c>
      <c r="J460" t="n">
        <v>0</v>
      </c>
      <c r="K460" t="n">
        <v>0</v>
      </c>
      <c r="L460" t="n">
        <v>0</v>
      </c>
      <c r="M460" t="n">
        <v>0</v>
      </c>
      <c r="N460" t="n">
        <v>0</v>
      </c>
      <c r="O460" t="n">
        <v>0</v>
      </c>
      <c r="P460" t="n">
        <v>0</v>
      </c>
      <c r="Q460" t="n">
        <v>0</v>
      </c>
      <c r="R460" s="2" t="inlineStr"/>
    </row>
    <row r="461" ht="15" customHeight="1">
      <c r="A461" t="inlineStr">
        <is>
          <t>A 35141-2025</t>
        </is>
      </c>
      <c r="B461" s="1" t="n">
        <v>45852.65206018519</v>
      </c>
      <c r="C461" s="1" t="n">
        <v>45904</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40372-2025</t>
        </is>
      </c>
      <c r="B462" s="1" t="n">
        <v>45895.5162037037</v>
      </c>
      <c r="C462" s="1" t="n">
        <v>45904</v>
      </c>
      <c r="D462" t="inlineStr">
        <is>
          <t>GOTLANDS LÄN</t>
        </is>
      </c>
      <c r="E462" t="inlineStr">
        <is>
          <t>GOTLAND</t>
        </is>
      </c>
      <c r="G462" t="n">
        <v>3.3</v>
      </c>
      <c r="H462" t="n">
        <v>0</v>
      </c>
      <c r="I462" t="n">
        <v>0</v>
      </c>
      <c r="J462" t="n">
        <v>0</v>
      </c>
      <c r="K462" t="n">
        <v>0</v>
      </c>
      <c r="L462" t="n">
        <v>0</v>
      </c>
      <c r="M462" t="n">
        <v>0</v>
      </c>
      <c r="N462" t="n">
        <v>0</v>
      </c>
      <c r="O462" t="n">
        <v>0</v>
      </c>
      <c r="P462" t="n">
        <v>0</v>
      </c>
      <c r="Q462" t="n">
        <v>0</v>
      </c>
      <c r="R462" s="2" t="inlineStr"/>
    </row>
    <row r="463" ht="15" customHeight="1">
      <c r="A463" t="inlineStr">
        <is>
          <t>A 40373-2025</t>
        </is>
      </c>
      <c r="B463" s="1" t="n">
        <v>45895.51821759259</v>
      </c>
      <c r="C463" s="1" t="n">
        <v>45904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40103-2025</t>
        </is>
      </c>
      <c r="B464" s="1" t="n">
        <v>45894.4880324074</v>
      </c>
      <c r="C464" s="1" t="n">
        <v>45904</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39816-2025</t>
        </is>
      </c>
      <c r="B465" s="1" t="n">
        <v>45891</v>
      </c>
      <c r="C465" s="1" t="n">
        <v>45904</v>
      </c>
      <c r="D465" t="inlineStr">
        <is>
          <t>GOTLANDS LÄN</t>
        </is>
      </c>
      <c r="E465" t="inlineStr">
        <is>
          <t>GOTLAND</t>
        </is>
      </c>
      <c r="G465" t="n">
        <v>0.9</v>
      </c>
      <c r="H465" t="n">
        <v>0</v>
      </c>
      <c r="I465" t="n">
        <v>0</v>
      </c>
      <c r="J465" t="n">
        <v>0</v>
      </c>
      <c r="K465" t="n">
        <v>0</v>
      </c>
      <c r="L465" t="n">
        <v>0</v>
      </c>
      <c r="M465" t="n">
        <v>0</v>
      </c>
      <c r="N465" t="n">
        <v>0</v>
      </c>
      <c r="O465" t="n">
        <v>0</v>
      </c>
      <c r="P465" t="n">
        <v>0</v>
      </c>
      <c r="Q465" t="n">
        <v>0</v>
      </c>
      <c r="R465" s="2" t="inlineStr"/>
    </row>
    <row r="466" ht="15" customHeight="1">
      <c r="A466" t="inlineStr">
        <is>
          <t>A 35290-2025</t>
        </is>
      </c>
      <c r="B466" s="1" t="n">
        <v>45854.38502314815</v>
      </c>
      <c r="C466" s="1" t="n">
        <v>45904</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45904</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45904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55334-2024</t>
        </is>
      </c>
      <c r="B469" s="1" t="n">
        <v>45621</v>
      </c>
      <c r="C469" s="1" t="n">
        <v>45904</v>
      </c>
      <c r="D469" t="inlineStr">
        <is>
          <t>GOTLANDS LÄN</t>
        </is>
      </c>
      <c r="E469" t="inlineStr">
        <is>
          <t>GOTLAND</t>
        </is>
      </c>
      <c r="G469" t="n">
        <v>21.7</v>
      </c>
      <c r="H469" t="n">
        <v>0</v>
      </c>
      <c r="I469" t="n">
        <v>0</v>
      </c>
      <c r="J469" t="n">
        <v>0</v>
      </c>
      <c r="K469" t="n">
        <v>0</v>
      </c>
      <c r="L469" t="n">
        <v>0</v>
      </c>
      <c r="M469" t="n">
        <v>0</v>
      </c>
      <c r="N469" t="n">
        <v>0</v>
      </c>
      <c r="O469" t="n">
        <v>0</v>
      </c>
      <c r="P469" t="n">
        <v>0</v>
      </c>
      <c r="Q469" t="n">
        <v>0</v>
      </c>
      <c r="R469" s="2" t="inlineStr"/>
    </row>
    <row r="470" ht="15" customHeight="1">
      <c r="A470" t="inlineStr">
        <is>
          <t>A 30104-2025</t>
        </is>
      </c>
      <c r="B470" s="1" t="n">
        <v>45826.68806712963</v>
      </c>
      <c r="C470" s="1" t="n">
        <v>45904</v>
      </c>
      <c r="D470" t="inlineStr">
        <is>
          <t>GOTLANDS LÄN</t>
        </is>
      </c>
      <c r="E470" t="inlineStr">
        <is>
          <t>GOTLAND</t>
        </is>
      </c>
      <c r="G470" t="n">
        <v>15.4</v>
      </c>
      <c r="H470" t="n">
        <v>0</v>
      </c>
      <c r="I470" t="n">
        <v>0</v>
      </c>
      <c r="J470" t="n">
        <v>0</v>
      </c>
      <c r="K470" t="n">
        <v>0</v>
      </c>
      <c r="L470" t="n">
        <v>0</v>
      </c>
      <c r="M470" t="n">
        <v>0</v>
      </c>
      <c r="N470" t="n">
        <v>0</v>
      </c>
      <c r="O470" t="n">
        <v>0</v>
      </c>
      <c r="P470" t="n">
        <v>0</v>
      </c>
      <c r="Q470" t="n">
        <v>0</v>
      </c>
      <c r="R470" s="2" t="inlineStr"/>
    </row>
    <row r="471" ht="15" customHeight="1">
      <c r="A471" t="inlineStr">
        <is>
          <t>A 2674-2023</t>
        </is>
      </c>
      <c r="B471" s="1" t="n">
        <v>44944</v>
      </c>
      <c r="C471" s="1" t="n">
        <v>45904</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14915-2025</t>
        </is>
      </c>
      <c r="B472" s="1" t="n">
        <v>45743.53121527778</v>
      </c>
      <c r="C472" s="1" t="n">
        <v>45904</v>
      </c>
      <c r="D472" t="inlineStr">
        <is>
          <t>GOTLANDS LÄN</t>
        </is>
      </c>
      <c r="E472" t="inlineStr">
        <is>
          <t>GOTLAND</t>
        </is>
      </c>
      <c r="G472" t="n">
        <v>5.9</v>
      </c>
      <c r="H472" t="n">
        <v>0</v>
      </c>
      <c r="I472" t="n">
        <v>0</v>
      </c>
      <c r="J472" t="n">
        <v>0</v>
      </c>
      <c r="K472" t="n">
        <v>0</v>
      </c>
      <c r="L472" t="n">
        <v>0</v>
      </c>
      <c r="M472" t="n">
        <v>0</v>
      </c>
      <c r="N472" t="n">
        <v>0</v>
      </c>
      <c r="O472" t="n">
        <v>0</v>
      </c>
      <c r="P472" t="n">
        <v>0</v>
      </c>
      <c r="Q472" t="n">
        <v>0</v>
      </c>
      <c r="R472" s="2" t="inlineStr"/>
    </row>
    <row r="473" ht="15" customHeight="1">
      <c r="A473" t="inlineStr">
        <is>
          <t>A 40499-2025</t>
        </is>
      </c>
      <c r="B473" s="1" t="n">
        <v>45896.32517361111</v>
      </c>
      <c r="C473" s="1" t="n">
        <v>45904</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61100-2022</t>
        </is>
      </c>
      <c r="B474" s="1" t="n">
        <v>44915</v>
      </c>
      <c r="C474" s="1" t="n">
        <v>45904</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43785-2024</t>
        </is>
      </c>
      <c r="B475" s="1" t="n">
        <v>45570</v>
      </c>
      <c r="C475" s="1" t="n">
        <v>45904</v>
      </c>
      <c r="D475" t="inlineStr">
        <is>
          <t>GOTLANDS LÄN</t>
        </is>
      </c>
      <c r="E475" t="inlineStr">
        <is>
          <t>GOTLAND</t>
        </is>
      </c>
      <c r="G475" t="n">
        <v>12.6</v>
      </c>
      <c r="H475" t="n">
        <v>0</v>
      </c>
      <c r="I475" t="n">
        <v>0</v>
      </c>
      <c r="J475" t="n">
        <v>0</v>
      </c>
      <c r="K475" t="n">
        <v>0</v>
      </c>
      <c r="L475" t="n">
        <v>0</v>
      </c>
      <c r="M475" t="n">
        <v>0</v>
      </c>
      <c r="N475" t="n">
        <v>0</v>
      </c>
      <c r="O475" t="n">
        <v>0</v>
      </c>
      <c r="P475" t="n">
        <v>0</v>
      </c>
      <c r="Q475" t="n">
        <v>0</v>
      </c>
      <c r="R475" s="2" t="inlineStr"/>
    </row>
    <row r="476" ht="15" customHeight="1">
      <c r="A476" t="inlineStr">
        <is>
          <t>A 43790-2024</t>
        </is>
      </c>
      <c r="B476" s="1" t="n">
        <v>45571</v>
      </c>
      <c r="C476" s="1" t="n">
        <v>45904</v>
      </c>
      <c r="D476" t="inlineStr">
        <is>
          <t>GOTLANDS LÄN</t>
        </is>
      </c>
      <c r="E476" t="inlineStr">
        <is>
          <t>GOTLAND</t>
        </is>
      </c>
      <c r="G476" t="n">
        <v>3.5</v>
      </c>
      <c r="H476" t="n">
        <v>0</v>
      </c>
      <c r="I476" t="n">
        <v>0</v>
      </c>
      <c r="J476" t="n">
        <v>0</v>
      </c>
      <c r="K476" t="n">
        <v>0</v>
      </c>
      <c r="L476" t="n">
        <v>0</v>
      </c>
      <c r="M476" t="n">
        <v>0</v>
      </c>
      <c r="N476" t="n">
        <v>0</v>
      </c>
      <c r="O476" t="n">
        <v>0</v>
      </c>
      <c r="P476" t="n">
        <v>0</v>
      </c>
      <c r="Q476" t="n">
        <v>0</v>
      </c>
      <c r="R476" s="2" t="inlineStr"/>
    </row>
    <row r="477" ht="15" customHeight="1">
      <c r="A477" t="inlineStr">
        <is>
          <t>A 10746-2025</t>
        </is>
      </c>
      <c r="B477" s="1" t="n">
        <v>45722.42766203704</v>
      </c>
      <c r="C477" s="1" t="n">
        <v>45904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581-2023</t>
        </is>
      </c>
      <c r="B478" s="1" t="n">
        <v>44930</v>
      </c>
      <c r="C478" s="1" t="n">
        <v>45904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10655-2023</t>
        </is>
      </c>
      <c r="B479" s="1" t="n">
        <v>44988.49543981482</v>
      </c>
      <c r="C479" s="1" t="n">
        <v>45904</v>
      </c>
      <c r="D479" t="inlineStr">
        <is>
          <t>GOTLANDS LÄN</t>
        </is>
      </c>
      <c r="E479" t="inlineStr">
        <is>
          <t>GOTLAND</t>
        </is>
      </c>
      <c r="F479" t="inlineStr">
        <is>
          <t>Kyrkan</t>
        </is>
      </c>
      <c r="G479" t="n">
        <v>2</v>
      </c>
      <c r="H479" t="n">
        <v>0</v>
      </c>
      <c r="I479" t="n">
        <v>0</v>
      </c>
      <c r="J479" t="n">
        <v>0</v>
      </c>
      <c r="K479" t="n">
        <v>0</v>
      </c>
      <c r="L479" t="n">
        <v>0</v>
      </c>
      <c r="M479" t="n">
        <v>0</v>
      </c>
      <c r="N479" t="n">
        <v>0</v>
      </c>
      <c r="O479" t="n">
        <v>0</v>
      </c>
      <c r="P479" t="n">
        <v>0</v>
      </c>
      <c r="Q479" t="n">
        <v>0</v>
      </c>
      <c r="R479" s="2" t="inlineStr"/>
    </row>
    <row r="480" ht="15" customHeight="1">
      <c r="A480" t="inlineStr">
        <is>
          <t>A 32669-2024</t>
        </is>
      </c>
      <c r="B480" s="1" t="n">
        <v>45514</v>
      </c>
      <c r="C480" s="1" t="n">
        <v>45904</v>
      </c>
      <c r="D480" t="inlineStr">
        <is>
          <t>GOTLANDS LÄN</t>
        </is>
      </c>
      <c r="E480" t="inlineStr">
        <is>
          <t>GOTLAND</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41551-2025</t>
        </is>
      </c>
      <c r="B481" s="1" t="n">
        <v>45901.58854166666</v>
      </c>
      <c r="C481" s="1" t="n">
        <v>45904</v>
      </c>
      <c r="D481" t="inlineStr">
        <is>
          <t>GOTLANDS LÄN</t>
        </is>
      </c>
      <c r="E481" t="inlineStr">
        <is>
          <t>GOTLAND</t>
        </is>
      </c>
      <c r="G481" t="n">
        <v>5.6</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45904</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44649-2021</t>
        </is>
      </c>
      <c r="B483" s="1" t="n">
        <v>44437</v>
      </c>
      <c r="C483" s="1" t="n">
        <v>45904</v>
      </c>
      <c r="D483" t="inlineStr">
        <is>
          <t>GOTLANDS LÄN</t>
        </is>
      </c>
      <c r="E483" t="inlineStr">
        <is>
          <t>GOTLAND</t>
        </is>
      </c>
      <c r="G483" t="n">
        <v>8.1</v>
      </c>
      <c r="H483" t="n">
        <v>0</v>
      </c>
      <c r="I483" t="n">
        <v>0</v>
      </c>
      <c r="J483" t="n">
        <v>0</v>
      </c>
      <c r="K483" t="n">
        <v>0</v>
      </c>
      <c r="L483" t="n">
        <v>0</v>
      </c>
      <c r="M483" t="n">
        <v>0</v>
      </c>
      <c r="N483" t="n">
        <v>0</v>
      </c>
      <c r="O483" t="n">
        <v>0</v>
      </c>
      <c r="P483" t="n">
        <v>0</v>
      </c>
      <c r="Q483" t="n">
        <v>0</v>
      </c>
      <c r="R483" s="2" t="inlineStr"/>
    </row>
    <row r="484" ht="15" customHeight="1">
      <c r="A484" t="inlineStr">
        <is>
          <t>A 8484-2025</t>
        </is>
      </c>
      <c r="B484" s="1" t="n">
        <v>45709</v>
      </c>
      <c r="C484" s="1" t="n">
        <v>45904</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40235-2025</t>
        </is>
      </c>
      <c r="B485" s="1" t="n">
        <v>45894.74005787037</v>
      </c>
      <c r="C485" s="1" t="n">
        <v>45904</v>
      </c>
      <c r="D485" t="inlineStr">
        <is>
          <t>GOTLANDS LÄN</t>
        </is>
      </c>
      <c r="E485" t="inlineStr">
        <is>
          <t>GOTLAND</t>
        </is>
      </c>
      <c r="G485" t="n">
        <v>10.6</v>
      </c>
      <c r="H485" t="n">
        <v>0</v>
      </c>
      <c r="I485" t="n">
        <v>0</v>
      </c>
      <c r="J485" t="n">
        <v>0</v>
      </c>
      <c r="K485" t="n">
        <v>0</v>
      </c>
      <c r="L485" t="n">
        <v>0</v>
      </c>
      <c r="M485" t="n">
        <v>0</v>
      </c>
      <c r="N485" t="n">
        <v>0</v>
      </c>
      <c r="O485" t="n">
        <v>0</v>
      </c>
      <c r="P485" t="n">
        <v>0</v>
      </c>
      <c r="Q485" t="n">
        <v>0</v>
      </c>
      <c r="R485" s="2" t="inlineStr"/>
    </row>
    <row r="486" ht="15" customHeight="1">
      <c r="A486" t="inlineStr">
        <is>
          <t>A 35537-2025</t>
        </is>
      </c>
      <c r="B486" s="1" t="n">
        <v>45856</v>
      </c>
      <c r="C486" s="1" t="n">
        <v>45904</v>
      </c>
      <c r="D486" t="inlineStr">
        <is>
          <t>GOTLANDS LÄN</t>
        </is>
      </c>
      <c r="E486" t="inlineStr">
        <is>
          <t>GOTLAND</t>
        </is>
      </c>
      <c r="G486" t="n">
        <v>16.8</v>
      </c>
      <c r="H486" t="n">
        <v>0</v>
      </c>
      <c r="I486" t="n">
        <v>0</v>
      </c>
      <c r="J486" t="n">
        <v>0</v>
      </c>
      <c r="K486" t="n">
        <v>0</v>
      </c>
      <c r="L486" t="n">
        <v>0</v>
      </c>
      <c r="M486" t="n">
        <v>0</v>
      </c>
      <c r="N486" t="n">
        <v>0</v>
      </c>
      <c r="O486" t="n">
        <v>0</v>
      </c>
      <c r="P486" t="n">
        <v>0</v>
      </c>
      <c r="Q486" t="n">
        <v>0</v>
      </c>
      <c r="R486" s="2" t="inlineStr"/>
    </row>
    <row r="487" ht="15" customHeight="1">
      <c r="A487" t="inlineStr">
        <is>
          <t>A 41435-2025</t>
        </is>
      </c>
      <c r="B487" s="1" t="n">
        <v>45901.39974537037</v>
      </c>
      <c r="C487" s="1" t="n">
        <v>45904</v>
      </c>
      <c r="D487" t="inlineStr">
        <is>
          <t>GOTLANDS LÄN</t>
        </is>
      </c>
      <c r="E487" t="inlineStr">
        <is>
          <t>GOTLAND</t>
        </is>
      </c>
      <c r="G487" t="n">
        <v>4.9</v>
      </c>
      <c r="H487" t="n">
        <v>0</v>
      </c>
      <c r="I487" t="n">
        <v>0</v>
      </c>
      <c r="J487" t="n">
        <v>0</v>
      </c>
      <c r="K487" t="n">
        <v>0</v>
      </c>
      <c r="L487" t="n">
        <v>0</v>
      </c>
      <c r="M487" t="n">
        <v>0</v>
      </c>
      <c r="N487" t="n">
        <v>0</v>
      </c>
      <c r="O487" t="n">
        <v>0</v>
      </c>
      <c r="P487" t="n">
        <v>0</v>
      </c>
      <c r="Q487" t="n">
        <v>0</v>
      </c>
      <c r="R487" s="2" t="inlineStr"/>
    </row>
    <row r="488" ht="15" customHeight="1">
      <c r="A488" t="inlineStr">
        <is>
          <t>A 36319-2025</t>
        </is>
      </c>
      <c r="B488" s="1" t="n">
        <v>45868.38543981482</v>
      </c>
      <c r="C488" s="1" t="n">
        <v>45904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43229-2023</t>
        </is>
      </c>
      <c r="B489" s="1" t="n">
        <v>45183.46704861111</v>
      </c>
      <c r="C489" s="1" t="n">
        <v>45904</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3930-2025</t>
        </is>
      </c>
      <c r="B490" s="1" t="n">
        <v>45684.45427083333</v>
      </c>
      <c r="C490" s="1" t="n">
        <v>45904</v>
      </c>
      <c r="D490" t="inlineStr">
        <is>
          <t>GOTLANDS LÄN</t>
        </is>
      </c>
      <c r="E490" t="inlineStr">
        <is>
          <t>GOTLAND</t>
        </is>
      </c>
      <c r="G490" t="n">
        <v>5.2</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45904</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49962-2023</t>
        </is>
      </c>
      <c r="B492" s="1" t="n">
        <v>45215.38775462963</v>
      </c>
      <c r="C492" s="1" t="n">
        <v>45904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37591-2023</t>
        </is>
      </c>
      <c r="B493" s="1" t="n">
        <v>45159</v>
      </c>
      <c r="C493" s="1" t="n">
        <v>45904</v>
      </c>
      <c r="D493" t="inlineStr">
        <is>
          <t>GOTLANDS LÄN</t>
        </is>
      </c>
      <c r="E493" t="inlineStr">
        <is>
          <t>GOTLAND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50744-2024</t>
        </is>
      </c>
      <c r="B494" s="1" t="n">
        <v>45602.4187037037</v>
      </c>
      <c r="C494" s="1" t="n">
        <v>45904</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1713-2025</t>
        </is>
      </c>
      <c r="B495" s="1" t="n">
        <v>45671.32342592593</v>
      </c>
      <c r="C495" s="1" t="n">
        <v>45904</v>
      </c>
      <c r="D495" t="inlineStr">
        <is>
          <t>GOTLANDS LÄN</t>
        </is>
      </c>
      <c r="E495" t="inlineStr">
        <is>
          <t>GOTLAND</t>
        </is>
      </c>
      <c r="G495" t="n">
        <v>10.1</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45904</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45904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24966-2023</t>
        </is>
      </c>
      <c r="B498" s="1" t="n">
        <v>45085</v>
      </c>
      <c r="C498" s="1" t="n">
        <v>45904</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57652-2023</t>
        </is>
      </c>
      <c r="B499" s="1" t="n">
        <v>45246</v>
      </c>
      <c r="C499" s="1" t="n">
        <v>45904</v>
      </c>
      <c r="D499" t="inlineStr">
        <is>
          <t>GOTLANDS LÄN</t>
        </is>
      </c>
      <c r="E499" t="inlineStr">
        <is>
          <t>GOTLAND</t>
        </is>
      </c>
      <c r="G499" t="n">
        <v>7.2</v>
      </c>
      <c r="H499" t="n">
        <v>0</v>
      </c>
      <c r="I499" t="n">
        <v>0</v>
      </c>
      <c r="J499" t="n">
        <v>0</v>
      </c>
      <c r="K499" t="n">
        <v>0</v>
      </c>
      <c r="L499" t="n">
        <v>0</v>
      </c>
      <c r="M499" t="n">
        <v>0</v>
      </c>
      <c r="N499" t="n">
        <v>0</v>
      </c>
      <c r="O499" t="n">
        <v>0</v>
      </c>
      <c r="P499" t="n">
        <v>0</v>
      </c>
      <c r="Q499" t="n">
        <v>0</v>
      </c>
      <c r="R499" s="2" t="inlineStr"/>
    </row>
    <row r="500" ht="15" customHeight="1">
      <c r="A500" t="inlineStr">
        <is>
          <t>A 46189-2022</t>
        </is>
      </c>
      <c r="B500" s="1" t="n">
        <v>44847</v>
      </c>
      <c r="C500" s="1" t="n">
        <v>45904</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2714-2023</t>
        </is>
      </c>
      <c r="B501" s="1" t="n">
        <v>44944.54896990741</v>
      </c>
      <c r="C501" s="1" t="n">
        <v>45904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22897-2023</t>
        </is>
      </c>
      <c r="B502" s="1" t="n">
        <v>45072.55239583334</v>
      </c>
      <c r="C502" s="1" t="n">
        <v>45904</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34142-2024</t>
        </is>
      </c>
      <c r="B503" s="1" t="n">
        <v>45524.36521990741</v>
      </c>
      <c r="C503" s="1" t="n">
        <v>45904</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4568-2025</t>
        </is>
      </c>
      <c r="B504" s="1" t="n">
        <v>45687</v>
      </c>
      <c r="C504" s="1" t="n">
        <v>45904</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57522-2022</t>
        </is>
      </c>
      <c r="B505" s="1" t="n">
        <v>44896</v>
      </c>
      <c r="C505" s="1" t="n">
        <v>45904</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14797-2024</t>
        </is>
      </c>
      <c r="B506" s="1" t="n">
        <v>45397.87030092593</v>
      </c>
      <c r="C506" s="1" t="n">
        <v>45904</v>
      </c>
      <c r="D506" t="inlineStr">
        <is>
          <t>GOTLANDS LÄN</t>
        </is>
      </c>
      <c r="E506" t="inlineStr">
        <is>
          <t>GOTLAND</t>
        </is>
      </c>
      <c r="G506" t="n">
        <v>8.1</v>
      </c>
      <c r="H506" t="n">
        <v>0</v>
      </c>
      <c r="I506" t="n">
        <v>0</v>
      </c>
      <c r="J506" t="n">
        <v>0</v>
      </c>
      <c r="K506" t="n">
        <v>0</v>
      </c>
      <c r="L506" t="n">
        <v>0</v>
      </c>
      <c r="M506" t="n">
        <v>0</v>
      </c>
      <c r="N506" t="n">
        <v>0</v>
      </c>
      <c r="O506" t="n">
        <v>0</v>
      </c>
      <c r="P506" t="n">
        <v>0</v>
      </c>
      <c r="Q506" t="n">
        <v>0</v>
      </c>
      <c r="R506" s="2" t="inlineStr"/>
    </row>
    <row r="507" ht="15" customHeight="1">
      <c r="A507" t="inlineStr">
        <is>
          <t>A 1681-2023</t>
        </is>
      </c>
      <c r="B507" s="1" t="n">
        <v>44938.39715277778</v>
      </c>
      <c r="C507" s="1" t="n">
        <v>45904</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42338-2023</t>
        </is>
      </c>
      <c r="B508" s="1" t="n">
        <v>45180</v>
      </c>
      <c r="C508" s="1" t="n">
        <v>45904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18918-2025</t>
        </is>
      </c>
      <c r="B509" s="1" t="n">
        <v>45764</v>
      </c>
      <c r="C509" s="1" t="n">
        <v>45904</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11013-2024</t>
        </is>
      </c>
      <c r="B510" s="1" t="n">
        <v>45370</v>
      </c>
      <c r="C510" s="1" t="n">
        <v>45904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7837-2024</t>
        </is>
      </c>
      <c r="B511" s="1" t="n">
        <v>45349.83787037037</v>
      </c>
      <c r="C511" s="1" t="n">
        <v>45904</v>
      </c>
      <c r="D511" t="inlineStr">
        <is>
          <t>GOTLANDS LÄN</t>
        </is>
      </c>
      <c r="E511" t="inlineStr">
        <is>
          <t>GOTLAND</t>
        </is>
      </c>
      <c r="G511" t="n">
        <v>5</v>
      </c>
      <c r="H511" t="n">
        <v>0</v>
      </c>
      <c r="I511" t="n">
        <v>0</v>
      </c>
      <c r="J511" t="n">
        <v>0</v>
      </c>
      <c r="K511" t="n">
        <v>0</v>
      </c>
      <c r="L511" t="n">
        <v>0</v>
      </c>
      <c r="M511" t="n">
        <v>0</v>
      </c>
      <c r="N511" t="n">
        <v>0</v>
      </c>
      <c r="O511" t="n">
        <v>0</v>
      </c>
      <c r="P511" t="n">
        <v>0</v>
      </c>
      <c r="Q511" t="n">
        <v>0</v>
      </c>
      <c r="R511" s="2" t="inlineStr"/>
    </row>
    <row r="512" ht="15" customHeight="1">
      <c r="A512" t="inlineStr">
        <is>
          <t>A 45084-2024</t>
        </is>
      </c>
      <c r="B512" s="1" t="n">
        <v>45575</v>
      </c>
      <c r="C512" s="1" t="n">
        <v>45904</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45904</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4868-2024</t>
        </is>
      </c>
      <c r="B514" s="1" t="n">
        <v>45329</v>
      </c>
      <c r="C514" s="1" t="n">
        <v>45904</v>
      </c>
      <c r="D514" t="inlineStr">
        <is>
          <t>GOTLANDS LÄN</t>
        </is>
      </c>
      <c r="E514" t="inlineStr">
        <is>
          <t>GOTLAND</t>
        </is>
      </c>
      <c r="G514" t="n">
        <v>7.1</v>
      </c>
      <c r="H514" t="n">
        <v>0</v>
      </c>
      <c r="I514" t="n">
        <v>0</v>
      </c>
      <c r="J514" t="n">
        <v>0</v>
      </c>
      <c r="K514" t="n">
        <v>0</v>
      </c>
      <c r="L514" t="n">
        <v>0</v>
      </c>
      <c r="M514" t="n">
        <v>0</v>
      </c>
      <c r="N514" t="n">
        <v>0</v>
      </c>
      <c r="O514" t="n">
        <v>0</v>
      </c>
      <c r="P514" t="n">
        <v>0</v>
      </c>
      <c r="Q514" t="n">
        <v>0</v>
      </c>
      <c r="R514" s="2" t="inlineStr"/>
    </row>
    <row r="515" ht="15" customHeight="1">
      <c r="A515" t="inlineStr">
        <is>
          <t>A 1394-2023</t>
        </is>
      </c>
      <c r="B515" s="1" t="n">
        <v>44936.72997685185</v>
      </c>
      <c r="C515" s="1" t="n">
        <v>45904</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9613-2025</t>
        </is>
      </c>
      <c r="B516" s="1" t="n">
        <v>45715</v>
      </c>
      <c r="C516" s="1" t="n">
        <v>45904</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2676-2023</t>
        </is>
      </c>
      <c r="B517" s="1" t="n">
        <v>44944</v>
      </c>
      <c r="C517" s="1" t="n">
        <v>45904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4387-2023</t>
        </is>
      </c>
      <c r="B518" s="1" t="n">
        <v>44955.73359953704</v>
      </c>
      <c r="C518" s="1" t="n">
        <v>45904</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5386-2023</t>
        </is>
      </c>
      <c r="B519" s="1" t="n">
        <v>44959</v>
      </c>
      <c r="C519" s="1" t="n">
        <v>45904</v>
      </c>
      <c r="D519" t="inlineStr">
        <is>
          <t>GOTLANDS LÄN</t>
        </is>
      </c>
      <c r="E519" t="inlineStr">
        <is>
          <t>GOTLAND</t>
        </is>
      </c>
      <c r="G519" t="n">
        <v>5.4</v>
      </c>
      <c r="H519" t="n">
        <v>0</v>
      </c>
      <c r="I519" t="n">
        <v>0</v>
      </c>
      <c r="J519" t="n">
        <v>0</v>
      </c>
      <c r="K519" t="n">
        <v>0</v>
      </c>
      <c r="L519" t="n">
        <v>0</v>
      </c>
      <c r="M519" t="n">
        <v>0</v>
      </c>
      <c r="N519" t="n">
        <v>0</v>
      </c>
      <c r="O519" t="n">
        <v>0</v>
      </c>
      <c r="P519" t="n">
        <v>0</v>
      </c>
      <c r="Q519" t="n">
        <v>0</v>
      </c>
      <c r="R519" s="2" t="inlineStr"/>
    </row>
    <row r="520" ht="15" customHeight="1">
      <c r="A520" t="inlineStr">
        <is>
          <t>A 49411-2023</t>
        </is>
      </c>
      <c r="B520" s="1" t="n">
        <v>45205</v>
      </c>
      <c r="C520" s="1" t="n">
        <v>45904</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37728-2024</t>
        </is>
      </c>
      <c r="B521" s="1" t="n">
        <v>45541</v>
      </c>
      <c r="C521" s="1" t="n">
        <v>45904</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13627-2023</t>
        </is>
      </c>
      <c r="B522" s="1" t="n">
        <v>45006</v>
      </c>
      <c r="C522" s="1" t="n">
        <v>45904</v>
      </c>
      <c r="D522" t="inlineStr">
        <is>
          <t>GOTLANDS LÄN</t>
        </is>
      </c>
      <c r="E522" t="inlineStr">
        <is>
          <t>GOTLAND</t>
        </is>
      </c>
      <c r="G522" t="n">
        <v>10.7</v>
      </c>
      <c r="H522" t="n">
        <v>0</v>
      </c>
      <c r="I522" t="n">
        <v>0</v>
      </c>
      <c r="J522" t="n">
        <v>0</v>
      </c>
      <c r="K522" t="n">
        <v>0</v>
      </c>
      <c r="L522" t="n">
        <v>0</v>
      </c>
      <c r="M522" t="n">
        <v>0</v>
      </c>
      <c r="N522" t="n">
        <v>0</v>
      </c>
      <c r="O522" t="n">
        <v>0</v>
      </c>
      <c r="P522" t="n">
        <v>0</v>
      </c>
      <c r="Q522" t="n">
        <v>0</v>
      </c>
      <c r="R522" s="2" t="inlineStr"/>
    </row>
    <row r="523" ht="15" customHeight="1">
      <c r="A523" t="inlineStr">
        <is>
          <t>A 2241-2025</t>
        </is>
      </c>
      <c r="B523" s="1" t="n">
        <v>45673.48710648148</v>
      </c>
      <c r="C523" s="1" t="n">
        <v>45904</v>
      </c>
      <c r="D523" t="inlineStr">
        <is>
          <t>GOTLANDS LÄN</t>
        </is>
      </c>
      <c r="E523" t="inlineStr">
        <is>
          <t>GOTLAND</t>
        </is>
      </c>
      <c r="G523" t="n">
        <v>1</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45904</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16373-2025</t>
        </is>
      </c>
      <c r="B525" s="1" t="n">
        <v>45751</v>
      </c>
      <c r="C525" s="1" t="n">
        <v>45904</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11634-2024</t>
        </is>
      </c>
      <c r="B526" s="1" t="n">
        <v>45373</v>
      </c>
      <c r="C526" s="1" t="n">
        <v>45904</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5884-2025</t>
        </is>
      </c>
      <c r="B527" s="1" t="n">
        <v>45695.37482638889</v>
      </c>
      <c r="C527" s="1" t="n">
        <v>45904</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5897-2025</t>
        </is>
      </c>
      <c r="B528" s="1" t="n">
        <v>45695.39273148148</v>
      </c>
      <c r="C528" s="1" t="n">
        <v>45904</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5909-2025</t>
        </is>
      </c>
      <c r="B529" s="1" t="n">
        <v>45695.40634259259</v>
      </c>
      <c r="C529" s="1" t="n">
        <v>45904</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60086-2022</t>
        </is>
      </c>
      <c r="B530" s="1" t="n">
        <v>44909</v>
      </c>
      <c r="C530" s="1" t="n">
        <v>45904</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22704-2023</t>
        </is>
      </c>
      <c r="B531" s="1" t="n">
        <v>45071</v>
      </c>
      <c r="C531" s="1" t="n">
        <v>45904</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22275-2023</t>
        </is>
      </c>
      <c r="B532" s="1" t="n">
        <v>45070.39875</v>
      </c>
      <c r="C532" s="1" t="n">
        <v>45904</v>
      </c>
      <c r="D532" t="inlineStr">
        <is>
          <t>GOTLANDS LÄN</t>
        </is>
      </c>
      <c r="E532" t="inlineStr">
        <is>
          <t>GOTLAND</t>
        </is>
      </c>
      <c r="G532" t="n">
        <v>7.2</v>
      </c>
      <c r="H532" t="n">
        <v>0</v>
      </c>
      <c r="I532" t="n">
        <v>0</v>
      </c>
      <c r="J532" t="n">
        <v>0</v>
      </c>
      <c r="K532" t="n">
        <v>0</v>
      </c>
      <c r="L532" t="n">
        <v>0</v>
      </c>
      <c r="M532" t="n">
        <v>0</v>
      </c>
      <c r="N532" t="n">
        <v>0</v>
      </c>
      <c r="O532" t="n">
        <v>0</v>
      </c>
      <c r="P532" t="n">
        <v>0</v>
      </c>
      <c r="Q532" t="n">
        <v>0</v>
      </c>
      <c r="R532" s="2" t="inlineStr"/>
    </row>
    <row r="533" ht="15" customHeight="1">
      <c r="A533" t="inlineStr">
        <is>
          <t>A 14635-2023</t>
        </is>
      </c>
      <c r="B533" s="1" t="n">
        <v>45013.69365740741</v>
      </c>
      <c r="C533" s="1" t="n">
        <v>45904</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63763-2023</t>
        </is>
      </c>
      <c r="B534" s="1" t="n">
        <v>45278.33944444444</v>
      </c>
      <c r="C534" s="1" t="n">
        <v>45904</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7635-2025</t>
        </is>
      </c>
      <c r="B535" s="1" t="n">
        <v>45705</v>
      </c>
      <c r="C535" s="1" t="n">
        <v>45904</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7636-2025</t>
        </is>
      </c>
      <c r="B536" s="1" t="n">
        <v>45705.7687962963</v>
      </c>
      <c r="C536" s="1" t="n">
        <v>45904</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7639-2025</t>
        </is>
      </c>
      <c r="B537" s="1" t="n">
        <v>45705.77465277778</v>
      </c>
      <c r="C537" s="1" t="n">
        <v>45904</v>
      </c>
      <c r="D537" t="inlineStr">
        <is>
          <t>GOTLANDS LÄN</t>
        </is>
      </c>
      <c r="E537" t="inlineStr">
        <is>
          <t>GOTLAND</t>
        </is>
      </c>
      <c r="G537" t="n">
        <v>1</v>
      </c>
      <c r="H537" t="n">
        <v>0</v>
      </c>
      <c r="I537" t="n">
        <v>0</v>
      </c>
      <c r="J537" t="n">
        <v>0</v>
      </c>
      <c r="K537" t="n">
        <v>0</v>
      </c>
      <c r="L537" t="n">
        <v>0</v>
      </c>
      <c r="M537" t="n">
        <v>0</v>
      </c>
      <c r="N537" t="n">
        <v>0</v>
      </c>
      <c r="O537" t="n">
        <v>0</v>
      </c>
      <c r="P537" t="n">
        <v>0</v>
      </c>
      <c r="Q537" t="n">
        <v>0</v>
      </c>
      <c r="R537" s="2" t="inlineStr"/>
    </row>
    <row r="538" ht="15" customHeight="1">
      <c r="A538" t="inlineStr">
        <is>
          <t>A 61682-2024</t>
        </is>
      </c>
      <c r="B538" s="1" t="n">
        <v>45647.48824074074</v>
      </c>
      <c r="C538" s="1" t="n">
        <v>45904</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15434-2024</t>
        </is>
      </c>
      <c r="B539" s="1" t="n">
        <v>45401.38836805556</v>
      </c>
      <c r="C539" s="1" t="n">
        <v>45904</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17847-2025</t>
        </is>
      </c>
      <c r="B540" s="1" t="n">
        <v>45758</v>
      </c>
      <c r="C540" s="1" t="n">
        <v>45904</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25866-2022</t>
        </is>
      </c>
      <c r="B541" s="1" t="n">
        <v>44733</v>
      </c>
      <c r="C541" s="1" t="n">
        <v>45904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7034-2023</t>
        </is>
      </c>
      <c r="B542" s="1" t="n">
        <v>44968.32108796296</v>
      </c>
      <c r="C542" s="1" t="n">
        <v>45904</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7042-2023</t>
        </is>
      </c>
      <c r="B543" s="1" t="n">
        <v>44968</v>
      </c>
      <c r="C543" s="1" t="n">
        <v>45904</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2180-2025</t>
        </is>
      </c>
      <c r="B544" s="1" t="n">
        <v>45673</v>
      </c>
      <c r="C544" s="1" t="n">
        <v>45904</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15001-2025</t>
        </is>
      </c>
      <c r="B545" s="1" t="n">
        <v>45743</v>
      </c>
      <c r="C545" s="1" t="n">
        <v>45904</v>
      </c>
      <c r="D545" t="inlineStr">
        <is>
          <t>GOTLANDS LÄN</t>
        </is>
      </c>
      <c r="E545" t="inlineStr">
        <is>
          <t>GOTLAND</t>
        </is>
      </c>
      <c r="G545" t="n">
        <v>1.2</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45904</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61694-2023</t>
        </is>
      </c>
      <c r="B547" s="1" t="n">
        <v>45264</v>
      </c>
      <c r="C547" s="1" t="n">
        <v>45904</v>
      </c>
      <c r="D547" t="inlineStr">
        <is>
          <t>GOTLANDS LÄN</t>
        </is>
      </c>
      <c r="E547" t="inlineStr">
        <is>
          <t>GOTLAND</t>
        </is>
      </c>
      <c r="G547" t="n">
        <v>4.6</v>
      </c>
      <c r="H547" t="n">
        <v>0</v>
      </c>
      <c r="I547" t="n">
        <v>0</v>
      </c>
      <c r="J547" t="n">
        <v>0</v>
      </c>
      <c r="K547" t="n">
        <v>0</v>
      </c>
      <c r="L547" t="n">
        <v>0</v>
      </c>
      <c r="M547" t="n">
        <v>0</v>
      </c>
      <c r="N547" t="n">
        <v>0</v>
      </c>
      <c r="O547" t="n">
        <v>0</v>
      </c>
      <c r="P547" t="n">
        <v>0</v>
      </c>
      <c r="Q547" t="n">
        <v>0</v>
      </c>
      <c r="R547" s="2" t="inlineStr"/>
    </row>
    <row r="548" ht="15" customHeight="1">
      <c r="A548" t="inlineStr">
        <is>
          <t>A 9887-2025</t>
        </is>
      </c>
      <c r="B548" s="1" t="n">
        <v>45716</v>
      </c>
      <c r="C548" s="1" t="n">
        <v>45904</v>
      </c>
      <c r="D548" t="inlineStr">
        <is>
          <t>GOTLANDS LÄN</t>
        </is>
      </c>
      <c r="E548" t="inlineStr">
        <is>
          <t>GOTLAND</t>
        </is>
      </c>
      <c r="G548" t="n">
        <v>7.5</v>
      </c>
      <c r="H548" t="n">
        <v>0</v>
      </c>
      <c r="I548" t="n">
        <v>0</v>
      </c>
      <c r="J548" t="n">
        <v>0</v>
      </c>
      <c r="K548" t="n">
        <v>0</v>
      </c>
      <c r="L548" t="n">
        <v>0</v>
      </c>
      <c r="M548" t="n">
        <v>0</v>
      </c>
      <c r="N548" t="n">
        <v>0</v>
      </c>
      <c r="O548" t="n">
        <v>0</v>
      </c>
      <c r="P548" t="n">
        <v>0</v>
      </c>
      <c r="Q548" t="n">
        <v>0</v>
      </c>
      <c r="R548" s="2" t="inlineStr"/>
    </row>
    <row r="549" ht="15" customHeight="1">
      <c r="A549" t="inlineStr">
        <is>
          <t>A 12209-2024</t>
        </is>
      </c>
      <c r="B549" s="1" t="n">
        <v>45378</v>
      </c>
      <c r="C549" s="1" t="n">
        <v>45904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12210-2024</t>
        </is>
      </c>
      <c r="B550" s="1" t="n">
        <v>45378</v>
      </c>
      <c r="C550" s="1" t="n">
        <v>45904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64208-2021</t>
        </is>
      </c>
      <c r="B551" s="1" t="n">
        <v>44510</v>
      </c>
      <c r="C551" s="1" t="n">
        <v>45904</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45904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45904</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1446-2025</t>
        </is>
      </c>
      <c r="B554" s="1" t="n">
        <v>45669.86035879629</v>
      </c>
      <c r="C554" s="1" t="n">
        <v>45904</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1462-2025</t>
        </is>
      </c>
      <c r="B555" s="1" t="n">
        <v>45670.36319444444</v>
      </c>
      <c r="C555" s="1" t="n">
        <v>45904</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44897.4777662037</v>
      </c>
      <c r="C556" s="1" t="n">
        <v>45904</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45904</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31802-2024</t>
        </is>
      </c>
      <c r="B558" s="1" t="n">
        <v>45509</v>
      </c>
      <c r="C558" s="1" t="n">
        <v>45904</v>
      </c>
      <c r="D558" t="inlineStr">
        <is>
          <t>GOTLANDS LÄN</t>
        </is>
      </c>
      <c r="E558" t="inlineStr">
        <is>
          <t>GOTLAND</t>
        </is>
      </c>
      <c r="G558" t="n">
        <v>2.8</v>
      </c>
      <c r="H558" t="n">
        <v>0</v>
      </c>
      <c r="I558" t="n">
        <v>0</v>
      </c>
      <c r="J558" t="n">
        <v>0</v>
      </c>
      <c r="K558" t="n">
        <v>0</v>
      </c>
      <c r="L558" t="n">
        <v>0</v>
      </c>
      <c r="M558" t="n">
        <v>0</v>
      </c>
      <c r="N558" t="n">
        <v>0</v>
      </c>
      <c r="O558" t="n">
        <v>0</v>
      </c>
      <c r="P558" t="n">
        <v>0</v>
      </c>
      <c r="Q558" t="n">
        <v>0</v>
      </c>
      <c r="R558" s="2" t="inlineStr"/>
    </row>
    <row r="559" ht="15" customHeight="1">
      <c r="A559" t="inlineStr">
        <is>
          <t>A 1728-2025</t>
        </is>
      </c>
      <c r="B559" s="1" t="n">
        <v>45671.3565162037</v>
      </c>
      <c r="C559" s="1" t="n">
        <v>45904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20993-2023</t>
        </is>
      </c>
      <c r="B560" s="1" t="n">
        <v>45056</v>
      </c>
      <c r="C560" s="1" t="n">
        <v>45904</v>
      </c>
      <c r="D560" t="inlineStr">
        <is>
          <t>GOTLANDS LÄN</t>
        </is>
      </c>
      <c r="E560" t="inlineStr">
        <is>
          <t>GOTLAND</t>
        </is>
      </c>
      <c r="G560" t="n">
        <v>7.1</v>
      </c>
      <c r="H560" t="n">
        <v>0</v>
      </c>
      <c r="I560" t="n">
        <v>0</v>
      </c>
      <c r="J560" t="n">
        <v>0</v>
      </c>
      <c r="K560" t="n">
        <v>0</v>
      </c>
      <c r="L560" t="n">
        <v>0</v>
      </c>
      <c r="M560" t="n">
        <v>0</v>
      </c>
      <c r="N560" t="n">
        <v>0</v>
      </c>
      <c r="O560" t="n">
        <v>0</v>
      </c>
      <c r="P560" t="n">
        <v>0</v>
      </c>
      <c r="Q560" t="n">
        <v>0</v>
      </c>
      <c r="R560" s="2" t="inlineStr"/>
    </row>
    <row r="561" ht="15" customHeight="1">
      <c r="A561" t="inlineStr">
        <is>
          <t>A 15042-2025</t>
        </is>
      </c>
      <c r="B561" s="1" t="n">
        <v>45743</v>
      </c>
      <c r="C561" s="1" t="n">
        <v>45904</v>
      </c>
      <c r="D561" t="inlineStr">
        <is>
          <t>GOTLANDS LÄN</t>
        </is>
      </c>
      <c r="E561" t="inlineStr">
        <is>
          <t>GOTLAND</t>
        </is>
      </c>
      <c r="G561" t="n">
        <v>8.5</v>
      </c>
      <c r="H561" t="n">
        <v>0</v>
      </c>
      <c r="I561" t="n">
        <v>0</v>
      </c>
      <c r="J561" t="n">
        <v>0</v>
      </c>
      <c r="K561" t="n">
        <v>0</v>
      </c>
      <c r="L561" t="n">
        <v>0</v>
      </c>
      <c r="M561" t="n">
        <v>0</v>
      </c>
      <c r="N561" t="n">
        <v>0</v>
      </c>
      <c r="O561" t="n">
        <v>0</v>
      </c>
      <c r="P561" t="n">
        <v>0</v>
      </c>
      <c r="Q561" t="n">
        <v>0</v>
      </c>
      <c r="R561" s="2" t="inlineStr"/>
    </row>
    <row r="562" ht="15" customHeight="1">
      <c r="A562" t="inlineStr">
        <is>
          <t>A 5905-2024</t>
        </is>
      </c>
      <c r="B562" s="1" t="n">
        <v>45335.88993055555</v>
      </c>
      <c r="C562" s="1" t="n">
        <v>45904</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3431-2025</t>
        </is>
      </c>
      <c r="B563" s="1" t="n">
        <v>45680.42935185185</v>
      </c>
      <c r="C563" s="1" t="n">
        <v>45904</v>
      </c>
      <c r="D563" t="inlineStr">
        <is>
          <t>GOTLANDS LÄN</t>
        </is>
      </c>
      <c r="E563" t="inlineStr">
        <is>
          <t>GOTLAND</t>
        </is>
      </c>
      <c r="G563" t="n">
        <v>4.8</v>
      </c>
      <c r="H563" t="n">
        <v>0</v>
      </c>
      <c r="I563" t="n">
        <v>0</v>
      </c>
      <c r="J563" t="n">
        <v>0</v>
      </c>
      <c r="K563" t="n">
        <v>0</v>
      </c>
      <c r="L563" t="n">
        <v>0</v>
      </c>
      <c r="M563" t="n">
        <v>0</v>
      </c>
      <c r="N563" t="n">
        <v>0</v>
      </c>
      <c r="O563" t="n">
        <v>0</v>
      </c>
      <c r="P563" t="n">
        <v>0</v>
      </c>
      <c r="Q563" t="n">
        <v>0</v>
      </c>
      <c r="R563" s="2" t="inlineStr"/>
    </row>
    <row r="564" ht="15" customHeight="1">
      <c r="A564" t="inlineStr">
        <is>
          <t>A 34407-2023</t>
        </is>
      </c>
      <c r="B564" s="1" t="n">
        <v>45132</v>
      </c>
      <c r="C564" s="1" t="n">
        <v>45904</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30892-2024</t>
        </is>
      </c>
      <c r="B565" s="1" t="n">
        <v>45491</v>
      </c>
      <c r="C565" s="1" t="n">
        <v>45904</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32958-2021</t>
        </is>
      </c>
      <c r="B566" s="1" t="n">
        <v>44376</v>
      </c>
      <c r="C566" s="1" t="n">
        <v>45904</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45904</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4420-2025</t>
        </is>
      </c>
      <c r="B568" s="1" t="n">
        <v>45686.47157407407</v>
      </c>
      <c r="C568" s="1" t="n">
        <v>45904</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14427-2024</t>
        </is>
      </c>
      <c r="B569" s="1" t="n">
        <v>45394</v>
      </c>
      <c r="C569" s="1" t="n">
        <v>45904</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7858-2025</t>
        </is>
      </c>
      <c r="B570" s="1" t="n">
        <v>45706.68633101852</v>
      </c>
      <c r="C570" s="1" t="n">
        <v>45904</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46545-2024</t>
        </is>
      </c>
      <c r="B571" s="1" t="n">
        <v>45582.65831018519</v>
      </c>
      <c r="C571" s="1" t="n">
        <v>45904</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45904</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45904</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2125-2025</t>
        </is>
      </c>
      <c r="B574" s="1" t="n">
        <v>45672.64940972222</v>
      </c>
      <c r="C574" s="1" t="n">
        <v>45904</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8684-2025</t>
        </is>
      </c>
      <c r="B575" s="1" t="n">
        <v>45712.45605324074</v>
      </c>
      <c r="C575" s="1" t="n">
        <v>45904</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14141-2024</t>
        </is>
      </c>
      <c r="B576" s="1" t="n">
        <v>45392.85193287037</v>
      </c>
      <c r="C576" s="1" t="n">
        <v>45904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45904</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45904</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44998.49106481481</v>
      </c>
      <c r="C579" s="1" t="n">
        <v>45904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45904</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18742-2025</t>
        </is>
      </c>
      <c r="B581" s="1" t="n">
        <v>45763</v>
      </c>
      <c r="C581" s="1" t="n">
        <v>45904</v>
      </c>
      <c r="D581" t="inlineStr">
        <is>
          <t>GOTLANDS LÄN</t>
        </is>
      </c>
      <c r="E581" t="inlineStr">
        <is>
          <t>GOTLAND</t>
        </is>
      </c>
      <c r="G581" t="n">
        <v>3.4</v>
      </c>
      <c r="H581" t="n">
        <v>0</v>
      </c>
      <c r="I581" t="n">
        <v>0</v>
      </c>
      <c r="J581" t="n">
        <v>0</v>
      </c>
      <c r="K581" t="n">
        <v>0</v>
      </c>
      <c r="L581" t="n">
        <v>0</v>
      </c>
      <c r="M581" t="n">
        <v>0</v>
      </c>
      <c r="N581" t="n">
        <v>0</v>
      </c>
      <c r="O581" t="n">
        <v>0</v>
      </c>
      <c r="P581" t="n">
        <v>0</v>
      </c>
      <c r="Q581" t="n">
        <v>0</v>
      </c>
      <c r="R581" s="2" t="inlineStr"/>
    </row>
    <row r="582" ht="15" customHeight="1">
      <c r="A582" t="inlineStr">
        <is>
          <t>A 9947-2024</t>
        </is>
      </c>
      <c r="B582" s="1" t="n">
        <v>45363</v>
      </c>
      <c r="C582" s="1" t="n">
        <v>45904</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42007-2023</t>
        </is>
      </c>
      <c r="B583" s="1" t="n">
        <v>45177</v>
      </c>
      <c r="C583" s="1" t="n">
        <v>45904</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2292-2021</t>
        </is>
      </c>
      <c r="B584" s="1" t="n">
        <v>44212</v>
      </c>
      <c r="C584" s="1" t="n">
        <v>45904</v>
      </c>
      <c r="D584" t="inlineStr">
        <is>
          <t>GOTLANDS LÄN</t>
        </is>
      </c>
      <c r="E584" t="inlineStr">
        <is>
          <t>GOTLAND</t>
        </is>
      </c>
      <c r="G584" t="n">
        <v>3</v>
      </c>
      <c r="H584" t="n">
        <v>0</v>
      </c>
      <c r="I584" t="n">
        <v>0</v>
      </c>
      <c r="J584" t="n">
        <v>0</v>
      </c>
      <c r="K584" t="n">
        <v>0</v>
      </c>
      <c r="L584" t="n">
        <v>0</v>
      </c>
      <c r="M584" t="n">
        <v>0</v>
      </c>
      <c r="N584" t="n">
        <v>0</v>
      </c>
      <c r="O584" t="n">
        <v>0</v>
      </c>
      <c r="P584" t="n">
        <v>0</v>
      </c>
      <c r="Q584" t="n">
        <v>0</v>
      </c>
      <c r="R584" s="2" t="inlineStr"/>
    </row>
    <row r="585" ht="15" customHeight="1">
      <c r="A585" t="inlineStr">
        <is>
          <t>A 27596-2023</t>
        </is>
      </c>
      <c r="B585" s="1" t="n">
        <v>45097</v>
      </c>
      <c r="C585" s="1" t="n">
        <v>45904</v>
      </c>
      <c r="D585" t="inlineStr">
        <is>
          <t>GOTLANDS LÄN</t>
        </is>
      </c>
      <c r="E585" t="inlineStr">
        <is>
          <t>GOTLAND</t>
        </is>
      </c>
      <c r="G585" t="n">
        <v>3.6</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45904</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64969-2023</t>
        </is>
      </c>
      <c r="B587" s="1" t="n">
        <v>45284.54009259259</v>
      </c>
      <c r="C587" s="1" t="n">
        <v>45904</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45904</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44304-2021</t>
        </is>
      </c>
      <c r="B589" s="1" t="n">
        <v>44434</v>
      </c>
      <c r="C589" s="1" t="n">
        <v>45904</v>
      </c>
      <c r="D589" t="inlineStr">
        <is>
          <t>GOTLANDS LÄN</t>
        </is>
      </c>
      <c r="E589" t="inlineStr">
        <is>
          <t>GOTLAND</t>
        </is>
      </c>
      <c r="G589" t="n">
        <v>5.8</v>
      </c>
      <c r="H589" t="n">
        <v>0</v>
      </c>
      <c r="I589" t="n">
        <v>0</v>
      </c>
      <c r="J589" t="n">
        <v>0</v>
      </c>
      <c r="K589" t="n">
        <v>0</v>
      </c>
      <c r="L589" t="n">
        <v>0</v>
      </c>
      <c r="M589" t="n">
        <v>0</v>
      </c>
      <c r="N589" t="n">
        <v>0</v>
      </c>
      <c r="O589" t="n">
        <v>0</v>
      </c>
      <c r="P589" t="n">
        <v>0</v>
      </c>
      <c r="Q589" t="n">
        <v>0</v>
      </c>
      <c r="R589" s="2" t="inlineStr"/>
    </row>
    <row r="590" ht="15" customHeight="1">
      <c r="A590" t="inlineStr">
        <is>
          <t>A 15083-2025</t>
        </is>
      </c>
      <c r="B590" s="1" t="n">
        <v>45743</v>
      </c>
      <c r="C590" s="1" t="n">
        <v>45904</v>
      </c>
      <c r="D590" t="inlineStr">
        <is>
          <t>GOTLANDS LÄN</t>
        </is>
      </c>
      <c r="E590" t="inlineStr">
        <is>
          <t>GOTLAND</t>
        </is>
      </c>
      <c r="G590" t="n">
        <v>2.3</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45904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46949-2024</t>
        </is>
      </c>
      <c r="B592" s="1" t="n">
        <v>45585</v>
      </c>
      <c r="C592" s="1" t="n">
        <v>45904</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24001-2021</t>
        </is>
      </c>
      <c r="B593" s="1" t="n">
        <v>44335</v>
      </c>
      <c r="C593" s="1" t="n">
        <v>45904</v>
      </c>
      <c r="D593" t="inlineStr">
        <is>
          <t>GOTLANDS LÄN</t>
        </is>
      </c>
      <c r="E593" t="inlineStr">
        <is>
          <t>GOTLAND</t>
        </is>
      </c>
      <c r="G593" t="n">
        <v>3.4</v>
      </c>
      <c r="H593" t="n">
        <v>0</v>
      </c>
      <c r="I593" t="n">
        <v>0</v>
      </c>
      <c r="J593" t="n">
        <v>0</v>
      </c>
      <c r="K593" t="n">
        <v>0</v>
      </c>
      <c r="L593" t="n">
        <v>0</v>
      </c>
      <c r="M593" t="n">
        <v>0</v>
      </c>
      <c r="N593" t="n">
        <v>0</v>
      </c>
      <c r="O593" t="n">
        <v>0</v>
      </c>
      <c r="P593" t="n">
        <v>0</v>
      </c>
      <c r="Q593" t="n">
        <v>0</v>
      </c>
      <c r="R593" s="2" t="inlineStr"/>
    </row>
    <row r="594" ht="15" customHeight="1">
      <c r="A594" t="inlineStr">
        <is>
          <t>A 39479-2022</t>
        </is>
      </c>
      <c r="B594" s="1" t="n">
        <v>44818</v>
      </c>
      <c r="C594" s="1" t="n">
        <v>45904</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39496-2022</t>
        </is>
      </c>
      <c r="B595" s="1" t="n">
        <v>44818</v>
      </c>
      <c r="C595" s="1" t="n">
        <v>45904</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10652-2025</t>
        </is>
      </c>
      <c r="B596" s="1" t="n">
        <v>45721.68640046296</v>
      </c>
      <c r="C596" s="1" t="n">
        <v>45904</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10813-2025</t>
        </is>
      </c>
      <c r="B597" s="1" t="n">
        <v>45722.54163194444</v>
      </c>
      <c r="C597" s="1" t="n">
        <v>45904</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1066-2024</t>
        </is>
      </c>
      <c r="B598" s="1" t="n">
        <v>45302.285</v>
      </c>
      <c r="C598" s="1" t="n">
        <v>45904</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45904</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46389-2021</t>
        </is>
      </c>
      <c r="B600" s="1" t="n">
        <v>44443</v>
      </c>
      <c r="C600" s="1" t="n">
        <v>45904</v>
      </c>
      <c r="D600" t="inlineStr">
        <is>
          <t>GOTLANDS LÄN</t>
        </is>
      </c>
      <c r="E600" t="inlineStr">
        <is>
          <t>GOTLAND</t>
        </is>
      </c>
      <c r="F600" t="inlineStr">
        <is>
          <t>Kyrkan</t>
        </is>
      </c>
      <c r="G600" t="n">
        <v>2.1</v>
      </c>
      <c r="H600" t="n">
        <v>0</v>
      </c>
      <c r="I600" t="n">
        <v>0</v>
      </c>
      <c r="J600" t="n">
        <v>0</v>
      </c>
      <c r="K600" t="n">
        <v>0</v>
      </c>
      <c r="L600" t="n">
        <v>0</v>
      </c>
      <c r="M600" t="n">
        <v>0</v>
      </c>
      <c r="N600" t="n">
        <v>0</v>
      </c>
      <c r="O600" t="n">
        <v>0</v>
      </c>
      <c r="P600" t="n">
        <v>0</v>
      </c>
      <c r="Q600" t="n">
        <v>0</v>
      </c>
      <c r="R600" s="2" t="inlineStr"/>
    </row>
    <row r="601" ht="15" customHeight="1">
      <c r="A601" t="inlineStr">
        <is>
          <t>A 44949-2023</t>
        </is>
      </c>
      <c r="B601" s="1" t="n">
        <v>45190.69520833333</v>
      </c>
      <c r="C601" s="1" t="n">
        <v>45904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20307-2025</t>
        </is>
      </c>
      <c r="B602" s="1" t="n">
        <v>45774.95546296296</v>
      </c>
      <c r="C602" s="1" t="n">
        <v>45904</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17682-2024</t>
        </is>
      </c>
      <c r="B603" s="1" t="n">
        <v>45418.42966435185</v>
      </c>
      <c r="C603" s="1" t="n">
        <v>45904</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61897-2024</t>
        </is>
      </c>
      <c r="B604" s="1" t="n">
        <v>45652.75685185185</v>
      </c>
      <c r="C604" s="1" t="n">
        <v>45904</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12032-2025</t>
        </is>
      </c>
      <c r="B605" s="1" t="n">
        <v>45728.64472222222</v>
      </c>
      <c r="C605" s="1" t="n">
        <v>45904</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15595-2024</t>
        </is>
      </c>
      <c r="B606" s="1" t="n">
        <v>45401.81480324074</v>
      </c>
      <c r="C606" s="1" t="n">
        <v>45904</v>
      </c>
      <c r="D606" t="inlineStr">
        <is>
          <t>GOTLANDS LÄN</t>
        </is>
      </c>
      <c r="E606" t="inlineStr">
        <is>
          <t>GOTLAND</t>
        </is>
      </c>
      <c r="G606" t="n">
        <v>6.4</v>
      </c>
      <c r="H606" t="n">
        <v>0</v>
      </c>
      <c r="I606" t="n">
        <v>0</v>
      </c>
      <c r="J606" t="n">
        <v>0</v>
      </c>
      <c r="K606" t="n">
        <v>0</v>
      </c>
      <c r="L606" t="n">
        <v>0</v>
      </c>
      <c r="M606" t="n">
        <v>0</v>
      </c>
      <c r="N606" t="n">
        <v>0</v>
      </c>
      <c r="O606" t="n">
        <v>0</v>
      </c>
      <c r="P606" t="n">
        <v>0</v>
      </c>
      <c r="Q606" t="n">
        <v>0</v>
      </c>
      <c r="R606" s="2" t="inlineStr"/>
    </row>
    <row r="607" ht="15" customHeight="1">
      <c r="A607" t="inlineStr">
        <is>
          <t>A 30815-2023</t>
        </is>
      </c>
      <c r="B607" s="1" t="n">
        <v>45112</v>
      </c>
      <c r="C607" s="1" t="n">
        <v>45904</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46400-2023</t>
        </is>
      </c>
      <c r="B608" s="1" t="n">
        <v>45197.49290509259</v>
      </c>
      <c r="C608" s="1" t="n">
        <v>45904</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45904</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44919-2022</t>
        </is>
      </c>
      <c r="B610" s="1" t="n">
        <v>44841</v>
      </c>
      <c r="C610" s="1" t="n">
        <v>45904</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c r="A611" t="inlineStr">
        <is>
          <t>A 16501-2023</t>
        </is>
      </c>
      <c r="B611" s="1" t="n">
        <v>45029</v>
      </c>
      <c r="C611" s="1" t="n">
        <v>45904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2025-09-04T17:42:38Z</dcterms:created>
  <dcterms:modified xmlns:dcterms="http://purl.org/dc/terms/" xmlns:xsi="http://www.w3.org/2001/XMLSchema-instance" xsi:type="dcterms:W3CDTF">2025-09-04T17:42:38Z</dcterms:modified>
</cp:coreProperties>
</file>