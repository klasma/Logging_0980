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46130</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46130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46130</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46130</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46130</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46130</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46130</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46130</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46130</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46130</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46130</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46130</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46130</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46130</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46130</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34100-2024</t>
        </is>
      </c>
      <c r="B22" s="1" t="n">
        <v>45523</v>
      </c>
      <c r="C22" s="1" t="n">
        <v>46130</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46130</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46130</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46130</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46130</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46130</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46130</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61697-2023</t>
        </is>
      </c>
      <c r="B29" s="1" t="n">
        <v>45265</v>
      </c>
      <c r="C29" s="1" t="n">
        <v>46130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2222-2024</t>
        </is>
      </c>
      <c r="B30" s="1" t="n">
        <v>45309</v>
      </c>
      <c r="C30" s="1" t="n">
        <v>46130</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46130</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46130</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44204-2022</t>
        </is>
      </c>
      <c r="B33" s="1" t="n">
        <v>44839</v>
      </c>
      <c r="C33" s="1" t="n">
        <v>46130</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46130</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46130</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46130</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61664-2023</t>
        </is>
      </c>
      <c r="B37" s="1" t="n">
        <v>45265</v>
      </c>
      <c r="C37" s="1" t="n">
        <v>46130</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46130</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63872-2021</t>
        </is>
      </c>
      <c r="B39" s="1" t="n">
        <v>44509</v>
      </c>
      <c r="C39" s="1" t="n">
        <v>46130</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46130</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37037-2021</t>
        </is>
      </c>
      <c r="B41" s="1" t="n">
        <v>44393.84688657407</v>
      </c>
      <c r="C41" s="1" t="n">
        <v>46130</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46130</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46130</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46130</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46130</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22404-2024</t>
        </is>
      </c>
      <c r="B46" s="1" t="n">
        <v>45446</v>
      </c>
      <c r="C46" s="1" t="n">
        <v>46130</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1719-2025</t>
        </is>
      </c>
      <c r="B47" s="1" t="n">
        <v>45671</v>
      </c>
      <c r="C47" s="1" t="n">
        <v>46130</v>
      </c>
      <c r="D47" t="inlineStr">
        <is>
          <t>GOTLANDS LÄN</t>
        </is>
      </c>
      <c r="E47" t="inlineStr">
        <is>
          <t>GOTLAND</t>
        </is>
      </c>
      <c r="G47" t="n">
        <v>6</v>
      </c>
      <c r="H47" t="n">
        <v>3</v>
      </c>
      <c r="I47" t="n">
        <v>2</v>
      </c>
      <c r="J47" t="n">
        <v>3</v>
      </c>
      <c r="K47" t="n">
        <v>3</v>
      </c>
      <c r="L47" t="n">
        <v>1</v>
      </c>
      <c r="M47" t="n">
        <v>0</v>
      </c>
      <c r="N47" t="n">
        <v>0</v>
      </c>
      <c r="O47" t="n">
        <v>7</v>
      </c>
      <c r="P47" t="n">
        <v>4</v>
      </c>
      <c r="Q47" t="n">
        <v>10</v>
      </c>
      <c r="R47" s="2" t="inlineStr">
        <is>
          <t>Ask
Gulsträngad fagerspindling
Skogskorn
Vit taggsvamp
Backtimjan
Doftskinn
Spillkråka
Besk kastanjemusseron
Skogsknipprot
Blåsippa</t>
        </is>
      </c>
      <c r="S47">
        <f>HYPERLINK("https://klasma.github.io/Logging_0980/artfynd/A 1719-2025 artfynd.xlsx", "A 1719-2025")</f>
        <v/>
      </c>
      <c r="T47">
        <f>HYPERLINK("https://klasma.github.io/Logging_0980/kartor/A 1719-2025 karta.png", "A 1719-2025")</f>
        <v/>
      </c>
      <c r="V47">
        <f>HYPERLINK("https://klasma.github.io/Logging_0980/klagomål/A 1719-2025 FSC-klagomål.docx", "A 1719-2025")</f>
        <v/>
      </c>
      <c r="W47">
        <f>HYPERLINK("https://klasma.github.io/Logging_0980/klagomålsmail/A 1719-2025 FSC-klagomål mail.docx", "A 1719-2025")</f>
        <v/>
      </c>
      <c r="X47">
        <f>HYPERLINK("https://klasma.github.io/Logging_0980/tillsyn/A 1719-2025 tillsynsbegäran.docx", "A 1719-2025")</f>
        <v/>
      </c>
      <c r="Y47">
        <f>HYPERLINK("https://klasma.github.io/Logging_0980/tillsynsmail/A 1719-2025 tillsynsbegäran mail.docx", "A 1719-2025")</f>
        <v/>
      </c>
      <c r="Z47">
        <f>HYPERLINK("https://klasma.github.io/Logging_0980/fåglar/A 1719-2025 prioriterade fågelarter.docx", "A 1719-2025")</f>
        <v/>
      </c>
    </row>
    <row r="48" ht="15" customHeight="1">
      <c r="A48" t="inlineStr">
        <is>
          <t>A 14354-2024</t>
        </is>
      </c>
      <c r="B48" s="1" t="n">
        <v>45393</v>
      </c>
      <c r="C48" s="1" t="n">
        <v>46130</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17766-2024</t>
        </is>
      </c>
      <c r="B49" s="1" t="n">
        <v>45418</v>
      </c>
      <c r="C49" s="1" t="n">
        <v>46130</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46130</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45248-2024</t>
        </is>
      </c>
      <c r="B51" s="1" t="n">
        <v>45576</v>
      </c>
      <c r="C51" s="1" t="n">
        <v>46130</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46130</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46130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46130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46130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46130</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46130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46130</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46130</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46130</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46130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46130</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4984-2025</t>
        </is>
      </c>
      <c r="B63" s="1" t="n">
        <v>45691.29891203704</v>
      </c>
      <c r="C63" s="1" t="n">
        <v>46130</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46130</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56687-2025</t>
        </is>
      </c>
      <c r="B65" s="1" t="n">
        <v>45975.84065972222</v>
      </c>
      <c r="C65" s="1" t="n">
        <v>46130</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44944-2022</t>
        </is>
      </c>
      <c r="B66" s="1" t="n">
        <v>44841</v>
      </c>
      <c r="C66" s="1" t="n">
        <v>46130</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34142-2024</t>
        </is>
      </c>
      <c r="B67" s="1" t="n">
        <v>45524.36521990741</v>
      </c>
      <c r="C67" s="1" t="n">
        <v>46130</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25205-2021</t>
        </is>
      </c>
      <c r="B68" s="1" t="n">
        <v>44342</v>
      </c>
      <c r="C68" s="1" t="n">
        <v>46130</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446-2023</t>
        </is>
      </c>
      <c r="B69" s="1" t="n">
        <v>44929</v>
      </c>
      <c r="C69" s="1" t="n">
        <v>46130</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53584-2025</t>
        </is>
      </c>
      <c r="B70" s="1" t="n">
        <v>45960.43130787037</v>
      </c>
      <c r="C70" s="1" t="n">
        <v>46130</v>
      </c>
      <c r="D70" t="inlineStr">
        <is>
          <t>GOTLANDS LÄN</t>
        </is>
      </c>
      <c r="E70" t="inlineStr">
        <is>
          <t>GOTLAND</t>
        </is>
      </c>
      <c r="F70" t="inlineStr">
        <is>
          <t>Övriga Aktiebolag</t>
        </is>
      </c>
      <c r="G70" t="n">
        <v>18.1</v>
      </c>
      <c r="H70" t="n">
        <v>3</v>
      </c>
      <c r="I70" t="n">
        <v>0</v>
      </c>
      <c r="J70" t="n">
        <v>5</v>
      </c>
      <c r="K70" t="n">
        <v>0</v>
      </c>
      <c r="L70" t="n">
        <v>0</v>
      </c>
      <c r="M70" t="n">
        <v>0</v>
      </c>
      <c r="N70" t="n">
        <v>0</v>
      </c>
      <c r="O70" t="n">
        <v>5</v>
      </c>
      <c r="P70" t="n">
        <v>0</v>
      </c>
      <c r="Q70" t="n">
        <v>6</v>
      </c>
      <c r="R70" s="2" t="inlineStr">
        <is>
          <t>Apollofjäril
Jordtistel
Klasefibbla
Kråka
Majviva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c r="Z70">
        <f>HYPERLINK("https://klasma.github.io/Logging_0980/fåglar/A 53584-2025 prioriterade fågelarter.docx", "A 53584-2025")</f>
        <v/>
      </c>
    </row>
    <row r="71" ht="15" customHeight="1">
      <c r="A71" t="inlineStr">
        <is>
          <t>A 2085-2023</t>
        </is>
      </c>
      <c r="B71" s="1" t="n">
        <v>44939</v>
      </c>
      <c r="C71" s="1" t="n">
        <v>46130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46130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46130</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46130</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46130</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46130</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46130</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46130</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46130</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46130</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46130</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52245-2025</t>
        </is>
      </c>
      <c r="B82" s="1" t="n">
        <v>45953.47115740741</v>
      </c>
      <c r="C82" s="1" t="n">
        <v>46130</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39425-2023</t>
        </is>
      </c>
      <c r="B83" s="1" t="n">
        <v>45166</v>
      </c>
      <c r="C83" s="1" t="n">
        <v>46130</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46130</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10274-2026</t>
        </is>
      </c>
      <c r="B85" s="1" t="n">
        <v>46076.58261574074</v>
      </c>
      <c r="C85" s="1" t="n">
        <v>46130</v>
      </c>
      <c r="D85" t="inlineStr">
        <is>
          <t>GOTLANDS LÄN</t>
        </is>
      </c>
      <c r="E85" t="inlineStr">
        <is>
          <t>GOTLAND</t>
        </is>
      </c>
      <c r="G85" t="n">
        <v>9.800000000000001</v>
      </c>
      <c r="H85" t="n">
        <v>2</v>
      </c>
      <c r="I85" t="n">
        <v>2</v>
      </c>
      <c r="J85" t="n">
        <v>1</v>
      </c>
      <c r="K85" t="n">
        <v>1</v>
      </c>
      <c r="L85" t="n">
        <v>0</v>
      </c>
      <c r="M85" t="n">
        <v>0</v>
      </c>
      <c r="N85" t="n">
        <v>0</v>
      </c>
      <c r="O85" t="n">
        <v>2</v>
      </c>
      <c r="P85" t="n">
        <v>1</v>
      </c>
      <c r="Q85" t="n">
        <v>5</v>
      </c>
      <c r="R85" s="2" t="inlineStr">
        <is>
          <t>Gråfingerört
Spillkråka
Axag
Grönpyrola
Alvarstånds</t>
        </is>
      </c>
      <c r="S85">
        <f>HYPERLINK("https://klasma.github.io/Logging_0980/artfynd/A 10274-2026 artfynd.xlsx", "A 10274-2026")</f>
        <v/>
      </c>
      <c r="T85">
        <f>HYPERLINK("https://klasma.github.io/Logging_0980/kartor/A 10274-2026 karta.png", "A 10274-2026")</f>
        <v/>
      </c>
      <c r="V85">
        <f>HYPERLINK("https://klasma.github.io/Logging_0980/klagomål/A 10274-2026 FSC-klagomål.docx", "A 10274-2026")</f>
        <v/>
      </c>
      <c r="W85">
        <f>HYPERLINK("https://klasma.github.io/Logging_0980/klagomålsmail/A 10274-2026 FSC-klagomål mail.docx", "A 10274-2026")</f>
        <v/>
      </c>
      <c r="X85">
        <f>HYPERLINK("https://klasma.github.io/Logging_0980/tillsyn/A 10274-2026 tillsynsbegäran.docx", "A 10274-2026")</f>
        <v/>
      </c>
      <c r="Y85">
        <f>HYPERLINK("https://klasma.github.io/Logging_0980/tillsynsmail/A 10274-2026 tillsynsbegäran mail.docx", "A 10274-2026")</f>
        <v/>
      </c>
      <c r="Z85">
        <f>HYPERLINK("https://klasma.github.io/Logging_0980/fåglar/A 10274-2026 prioriterade fågelarter.docx", "A 10274-2026")</f>
        <v/>
      </c>
    </row>
    <row r="86" ht="15" customHeight="1">
      <c r="A86" t="inlineStr">
        <is>
          <t>A 2213-2023</t>
        </is>
      </c>
      <c r="B86" s="1" t="n">
        <v>44942</v>
      </c>
      <c r="C86" s="1" t="n">
        <v>46130</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46130</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46130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46130</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46130</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6159-2023</t>
        </is>
      </c>
      <c r="B91" s="1" t="n">
        <v>44964</v>
      </c>
      <c r="C91" s="1" t="n">
        <v>46130</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46130</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46130</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20833-2024</t>
        </is>
      </c>
      <c r="B94" s="1" t="n">
        <v>45439</v>
      </c>
      <c r="C94" s="1" t="n">
        <v>46130</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46130</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57463-2025</t>
        </is>
      </c>
      <c r="B96" s="1" t="n">
        <v>45980.54174768519</v>
      </c>
      <c r="C96" s="1" t="n">
        <v>46130</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46130</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44933-2022</t>
        </is>
      </c>
      <c r="B98" s="1" t="n">
        <v>44841</v>
      </c>
      <c r="C98" s="1" t="n">
        <v>46130</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13203-2026</t>
        </is>
      </c>
      <c r="B99" s="1" t="n">
        <v>46093</v>
      </c>
      <c r="C99" s="1" t="n">
        <v>46130</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6836-2026</t>
        </is>
      </c>
      <c r="B100" s="1" t="n">
        <v>46057.40902777778</v>
      </c>
      <c r="C100" s="1" t="n">
        <v>46130</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2485-2025</t>
        </is>
      </c>
      <c r="B101" s="1" t="n">
        <v>45673</v>
      </c>
      <c r="C101" s="1" t="n">
        <v>46130</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46130</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46130</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46130</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46130</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46130</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46130</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46130</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55334-2024</t>
        </is>
      </c>
      <c r="B109" s="1" t="n">
        <v>45621</v>
      </c>
      <c r="C109" s="1" t="n">
        <v>46130</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30490-2025</t>
        </is>
      </c>
      <c r="B110" s="1" t="n">
        <v>45830</v>
      </c>
      <c r="C110" s="1" t="n">
        <v>46130</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49709-2025</t>
        </is>
      </c>
      <c r="B111" s="1" t="n">
        <v>45939.68228009259</v>
      </c>
      <c r="C111" s="1" t="n">
        <v>46130</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20831-2024</t>
        </is>
      </c>
      <c r="B112" s="1" t="n">
        <v>45439</v>
      </c>
      <c r="C112" s="1" t="n">
        <v>46130</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43013-2022</t>
        </is>
      </c>
      <c r="B113" s="1" t="n">
        <v>44833</v>
      </c>
      <c r="C113" s="1" t="n">
        <v>46130</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46130</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46130</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17982-2023</t>
        </is>
      </c>
      <c r="B116" s="1" t="n">
        <v>45040</v>
      </c>
      <c r="C116" s="1" t="n">
        <v>46130</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46130</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46130</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46130</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46130</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73144-2021</t>
        </is>
      </c>
      <c r="B121" s="1" t="n">
        <v>44550</v>
      </c>
      <c r="C121" s="1" t="n">
        <v>46130</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46130</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46130</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46130</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46130</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21879-2025</t>
        </is>
      </c>
      <c r="B126" s="1" t="n">
        <v>45784.40533564815</v>
      </c>
      <c r="C126" s="1" t="n">
        <v>46130</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26077-2024</t>
        </is>
      </c>
      <c r="B127" s="1" t="n">
        <v>45467</v>
      </c>
      <c r="C127" s="1" t="n">
        <v>46130</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20429-2025</t>
        </is>
      </c>
      <c r="B128" s="1" t="n">
        <v>45775.47728009259</v>
      </c>
      <c r="C128" s="1" t="n">
        <v>46130</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20838-2024</t>
        </is>
      </c>
      <c r="B129" s="1" t="n">
        <v>45439</v>
      </c>
      <c r="C129" s="1" t="n">
        <v>46130</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46130</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46130</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62760-2025</t>
        </is>
      </c>
      <c r="B132" s="1" t="n">
        <v>46008</v>
      </c>
      <c r="C132" s="1" t="n">
        <v>46130</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63162-2025</t>
        </is>
      </c>
      <c r="B133" s="1" t="n">
        <v>46010.37629629629</v>
      </c>
      <c r="C133" s="1" t="n">
        <v>46130</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16997-2026</t>
        </is>
      </c>
      <c r="B134" s="1" t="n">
        <v>46114.42539351852</v>
      </c>
      <c r="C134" s="1" t="n">
        <v>46130</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43219-2023</t>
        </is>
      </c>
      <c r="B135" s="1" t="n">
        <v>45183</v>
      </c>
      <c r="C135" s="1" t="n">
        <v>46130</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46130</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46130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46130</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46130</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46130</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46130</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46130</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21466-2025</t>
        </is>
      </c>
      <c r="B143" s="1" t="n">
        <v>45782</v>
      </c>
      <c r="C143" s="1" t="n">
        <v>46130</v>
      </c>
      <c r="D143" t="inlineStr">
        <is>
          <t>GOTLANDS LÄN</t>
        </is>
      </c>
      <c r="E143" t="inlineStr">
        <is>
          <t>GOTLAND</t>
        </is>
      </c>
      <c r="F143" t="inlineStr">
        <is>
          <t>Övriga statliga verk och myndigheter</t>
        </is>
      </c>
      <c r="G143" t="n">
        <v>1.7</v>
      </c>
      <c r="H143" t="n">
        <v>1</v>
      </c>
      <c r="I143" t="n">
        <v>0</v>
      </c>
      <c r="J143" t="n">
        <v>0</v>
      </c>
      <c r="K143" t="n">
        <v>0</v>
      </c>
      <c r="L143" t="n">
        <v>0</v>
      </c>
      <c r="M143" t="n">
        <v>0</v>
      </c>
      <c r="N143" t="n">
        <v>0</v>
      </c>
      <c r="O143" t="n">
        <v>0</v>
      </c>
      <c r="P143" t="n">
        <v>0</v>
      </c>
      <c r="Q143" t="n">
        <v>1</v>
      </c>
      <c r="R143" s="2" t="inlineStr">
        <is>
          <t>Blåsippa</t>
        </is>
      </c>
      <c r="S143">
        <f>HYPERLINK("https://klasma.github.io/Logging_0980/artfynd/A 21466-2025 artfynd.xlsx", "A 21466-2025")</f>
        <v/>
      </c>
      <c r="T143">
        <f>HYPERLINK("https://klasma.github.io/Logging_0980/kartor/A 21466-2025 karta.png", "A 21466-2025")</f>
        <v/>
      </c>
      <c r="V143">
        <f>HYPERLINK("https://klasma.github.io/Logging_0980/klagomål/A 21466-2025 FSC-klagomål.docx", "A 21466-2025")</f>
        <v/>
      </c>
      <c r="W143">
        <f>HYPERLINK("https://klasma.github.io/Logging_0980/klagomålsmail/A 21466-2025 FSC-klagomål mail.docx", "A 21466-2025")</f>
        <v/>
      </c>
      <c r="X143">
        <f>HYPERLINK("https://klasma.github.io/Logging_0980/tillsyn/A 21466-2025 tillsynsbegäran.docx", "A 21466-2025")</f>
        <v/>
      </c>
      <c r="Y143">
        <f>HYPERLINK("https://klasma.github.io/Logging_0980/tillsynsmail/A 21466-2025 tillsynsbegäran mail.docx", "A 21466-2025")</f>
        <v/>
      </c>
    </row>
    <row r="144" ht="15" customHeight="1">
      <c r="A144" t="inlineStr">
        <is>
          <t>A 10440-2024</t>
        </is>
      </c>
      <c r="B144" s="1" t="n">
        <v>45366.32818287037</v>
      </c>
      <c r="C144" s="1" t="n">
        <v>46130</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44304-2021</t>
        </is>
      </c>
      <c r="B145" s="1" t="n">
        <v>44434</v>
      </c>
      <c r="C145" s="1" t="n">
        <v>46130</v>
      </c>
      <c r="D145" t="inlineStr">
        <is>
          <t>GOTLANDS LÄN</t>
        </is>
      </c>
      <c r="E145" t="inlineStr">
        <is>
          <t>GOTLAND</t>
        </is>
      </c>
      <c r="G145" t="n">
        <v>5.8</v>
      </c>
      <c r="H145" t="n">
        <v>0</v>
      </c>
      <c r="I145" t="n">
        <v>0</v>
      </c>
      <c r="J145" t="n">
        <v>1</v>
      </c>
      <c r="K145" t="n">
        <v>0</v>
      </c>
      <c r="L145" t="n">
        <v>0</v>
      </c>
      <c r="M145" t="n">
        <v>0</v>
      </c>
      <c r="N145" t="n">
        <v>0</v>
      </c>
      <c r="O145" t="n">
        <v>1</v>
      </c>
      <c r="P145" t="n">
        <v>0</v>
      </c>
      <c r="Q145" t="n">
        <v>1</v>
      </c>
      <c r="R145" s="2" t="inlineStr">
        <is>
          <t>Svinrot</t>
        </is>
      </c>
      <c r="S145">
        <f>HYPERLINK("https://klasma.github.io/Logging_0980/artfynd/A 44304-2021 artfynd.xlsx", "A 44304-2021")</f>
        <v/>
      </c>
      <c r="T145">
        <f>HYPERLINK("https://klasma.github.io/Logging_0980/kartor/A 44304-2021 karta.png", "A 44304-2021")</f>
        <v/>
      </c>
      <c r="V145">
        <f>HYPERLINK("https://klasma.github.io/Logging_0980/klagomål/A 44304-2021 FSC-klagomål.docx", "A 44304-2021")</f>
        <v/>
      </c>
      <c r="W145">
        <f>HYPERLINK("https://klasma.github.io/Logging_0980/klagomålsmail/A 44304-2021 FSC-klagomål mail.docx", "A 44304-2021")</f>
        <v/>
      </c>
      <c r="X145">
        <f>HYPERLINK("https://klasma.github.io/Logging_0980/tillsyn/A 44304-2021 tillsynsbegäran.docx", "A 44304-2021")</f>
        <v/>
      </c>
      <c r="Y145">
        <f>HYPERLINK("https://klasma.github.io/Logging_0980/tillsynsmail/A 44304-2021 tillsynsbegäran mail.docx", "A 44304-2021")</f>
        <v/>
      </c>
    </row>
    <row r="146" ht="15" customHeight="1">
      <c r="A146" t="inlineStr">
        <is>
          <t>A 39812-2025</t>
        </is>
      </c>
      <c r="B146" s="1" t="n">
        <v>45891</v>
      </c>
      <c r="C146" s="1" t="n">
        <v>46130</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25977-2024</t>
        </is>
      </c>
      <c r="B147" s="1" t="n">
        <v>45467.69356481481</v>
      </c>
      <c r="C147" s="1" t="n">
        <v>46130</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26461-2025</t>
        </is>
      </c>
      <c r="B148" s="1" t="n">
        <v>45807.43337962963</v>
      </c>
      <c r="C148" s="1" t="n">
        <v>46130</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65927-2021</t>
        </is>
      </c>
      <c r="B149" s="1" t="n">
        <v>44516</v>
      </c>
      <c r="C149" s="1" t="n">
        <v>46130</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35467-2021</t>
        </is>
      </c>
      <c r="B150" s="1" t="n">
        <v>44385</v>
      </c>
      <c r="C150" s="1" t="n">
        <v>46130</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44619-2025</t>
        </is>
      </c>
      <c r="B151" s="1" t="n">
        <v>45917</v>
      </c>
      <c r="C151" s="1" t="n">
        <v>46130</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61796-2022</t>
        </is>
      </c>
      <c r="B152" s="1" t="n">
        <v>44917</v>
      </c>
      <c r="C152" s="1" t="n">
        <v>46130</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15637-2024</t>
        </is>
      </c>
      <c r="B153" s="1" t="n">
        <v>45403.6684837963</v>
      </c>
      <c r="C153" s="1" t="n">
        <v>46130</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49726-2025</t>
        </is>
      </c>
      <c r="B154" s="1" t="n">
        <v>45939.84466435185</v>
      </c>
      <c r="C154" s="1" t="n">
        <v>46130</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34141-2024</t>
        </is>
      </c>
      <c r="B155" s="1" t="n">
        <v>45524.36229166666</v>
      </c>
      <c r="C155" s="1" t="n">
        <v>46130</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9862-2024</t>
        </is>
      </c>
      <c r="B156" s="1" t="n">
        <v>45363</v>
      </c>
      <c r="C156" s="1" t="n">
        <v>46130</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2476-2025</t>
        </is>
      </c>
      <c r="B157" s="1" t="n">
        <v>45673</v>
      </c>
      <c r="C157" s="1" t="n">
        <v>46130</v>
      </c>
      <c r="D157" t="inlineStr">
        <is>
          <t>GOTLANDS LÄN</t>
        </is>
      </c>
      <c r="E157" t="inlineStr">
        <is>
          <t>GOTLAND</t>
        </is>
      </c>
      <c r="G157" t="n">
        <v>3.1</v>
      </c>
      <c r="H157" t="n">
        <v>0</v>
      </c>
      <c r="I157" t="n">
        <v>1</v>
      </c>
      <c r="J157" t="n">
        <v>0</v>
      </c>
      <c r="K157" t="n">
        <v>0</v>
      </c>
      <c r="L157" t="n">
        <v>0</v>
      </c>
      <c r="M157" t="n">
        <v>0</v>
      </c>
      <c r="N157" t="n">
        <v>0</v>
      </c>
      <c r="O157" t="n">
        <v>0</v>
      </c>
      <c r="P157" t="n">
        <v>0</v>
      </c>
      <c r="Q157" t="n">
        <v>1</v>
      </c>
      <c r="R157" s="2" t="inlineStr">
        <is>
          <t>Kryddspindling</t>
        </is>
      </c>
      <c r="S157">
        <f>HYPERLINK("https://klasma.github.io/Logging_0980/artfynd/A 2476-2025 artfynd.xlsx", "A 2476-2025")</f>
        <v/>
      </c>
      <c r="T157">
        <f>HYPERLINK("https://klasma.github.io/Logging_0980/kartor/A 2476-2025 karta.png", "A 2476-2025")</f>
        <v/>
      </c>
      <c r="V157">
        <f>HYPERLINK("https://klasma.github.io/Logging_0980/klagomål/A 2476-2025 FSC-klagomål.docx", "A 2476-2025")</f>
        <v/>
      </c>
      <c r="W157">
        <f>HYPERLINK("https://klasma.github.io/Logging_0980/klagomålsmail/A 2476-2025 FSC-klagomål mail.docx", "A 2476-2025")</f>
        <v/>
      </c>
      <c r="X157">
        <f>HYPERLINK("https://klasma.github.io/Logging_0980/tillsyn/A 2476-2025 tillsynsbegäran.docx", "A 2476-2025")</f>
        <v/>
      </c>
      <c r="Y157">
        <f>HYPERLINK("https://klasma.github.io/Logging_0980/tillsynsmail/A 2476-2025 tillsynsbegäran mail.docx", "A 2476-2025")</f>
        <v/>
      </c>
    </row>
    <row r="158" ht="15" customHeight="1">
      <c r="A158" t="inlineStr">
        <is>
          <t>A 10995-2023</t>
        </is>
      </c>
      <c r="B158" s="1" t="n">
        <v>44986</v>
      </c>
      <c r="C158" s="1" t="n">
        <v>46130</v>
      </c>
      <c r="D158" t="inlineStr">
        <is>
          <t>GOTLANDS LÄN</t>
        </is>
      </c>
      <c r="E158" t="inlineStr">
        <is>
          <t>GOTLAND</t>
        </is>
      </c>
      <c r="G158" t="n">
        <v>2.8</v>
      </c>
      <c r="H158" t="n">
        <v>0</v>
      </c>
      <c r="I158" t="n">
        <v>0</v>
      </c>
      <c r="J158" t="n">
        <v>0</v>
      </c>
      <c r="K158" t="n">
        <v>1</v>
      </c>
      <c r="L158" t="n">
        <v>0</v>
      </c>
      <c r="M158" t="n">
        <v>0</v>
      </c>
      <c r="N158" t="n">
        <v>0</v>
      </c>
      <c r="O158" t="n">
        <v>1</v>
      </c>
      <c r="P158" t="n">
        <v>1</v>
      </c>
      <c r="Q158" t="n">
        <v>1</v>
      </c>
      <c r="R158" s="2" t="inlineStr">
        <is>
          <t>Violettfläckig spindling</t>
        </is>
      </c>
      <c r="S158">
        <f>HYPERLINK("https://klasma.github.io/Logging_0980/artfynd/A 10995-2023 artfynd.xlsx", "A 10995-2023")</f>
        <v/>
      </c>
      <c r="T158">
        <f>HYPERLINK("https://klasma.github.io/Logging_0980/kartor/A 10995-2023 karta.png", "A 10995-2023")</f>
        <v/>
      </c>
      <c r="V158">
        <f>HYPERLINK("https://klasma.github.io/Logging_0980/klagomål/A 10995-2023 FSC-klagomål.docx", "A 10995-2023")</f>
        <v/>
      </c>
      <c r="W158">
        <f>HYPERLINK("https://klasma.github.io/Logging_0980/klagomålsmail/A 10995-2023 FSC-klagomål mail.docx", "A 10995-2023")</f>
        <v/>
      </c>
      <c r="X158">
        <f>HYPERLINK("https://klasma.github.io/Logging_0980/tillsyn/A 10995-2023 tillsynsbegäran.docx", "A 10995-2023")</f>
        <v/>
      </c>
      <c r="Y158">
        <f>HYPERLINK("https://klasma.github.io/Logging_0980/tillsynsmail/A 10995-2023 tillsynsbegäran mail.docx", "A 10995-2023")</f>
        <v/>
      </c>
    </row>
    <row r="159" ht="15" customHeight="1">
      <c r="A159" t="inlineStr">
        <is>
          <t>A 12924-2025</t>
        </is>
      </c>
      <c r="B159" s="1" t="n">
        <v>45734</v>
      </c>
      <c r="C159" s="1" t="n">
        <v>46130</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62552-2022</t>
        </is>
      </c>
      <c r="B160" s="1" t="n">
        <v>44924</v>
      </c>
      <c r="C160" s="1" t="n">
        <v>46130</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44088-2022</t>
        </is>
      </c>
      <c r="B161" s="1" t="n">
        <v>44839</v>
      </c>
      <c r="C161" s="1" t="n">
        <v>46130</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44308-2021</t>
        </is>
      </c>
      <c r="B162" s="1" t="n">
        <v>44434</v>
      </c>
      <c r="C162" s="1" t="n">
        <v>46130</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447-2023</t>
        </is>
      </c>
      <c r="B163" s="1" t="n">
        <v>44929</v>
      </c>
      <c r="C163" s="1" t="n">
        <v>46130</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947-2023</t>
        </is>
      </c>
      <c r="B164" s="1" t="n">
        <v>44934</v>
      </c>
      <c r="C164" s="1" t="n">
        <v>46130</v>
      </c>
      <c r="D164" t="inlineStr">
        <is>
          <t>GOTLANDS LÄN</t>
        </is>
      </c>
      <c r="E164" t="inlineStr">
        <is>
          <t>GOTLAND</t>
        </is>
      </c>
      <c r="G164" t="n">
        <v>0.7</v>
      </c>
      <c r="H164" t="n">
        <v>1</v>
      </c>
      <c r="I164" t="n">
        <v>0</v>
      </c>
      <c r="J164" t="n">
        <v>0</v>
      </c>
      <c r="K164" t="n">
        <v>1</v>
      </c>
      <c r="L164" t="n">
        <v>0</v>
      </c>
      <c r="M164" t="n">
        <v>0</v>
      </c>
      <c r="N164" t="n">
        <v>0</v>
      </c>
      <c r="O164" t="n">
        <v>1</v>
      </c>
      <c r="P164" t="n">
        <v>1</v>
      </c>
      <c r="Q164" t="n">
        <v>1</v>
      </c>
      <c r="R164" s="2" t="inlineStr">
        <is>
          <t>Garderönn</t>
        </is>
      </c>
      <c r="S164">
        <f>HYPERLINK("https://klasma.github.io/Logging_0980/artfynd/A 947-2023 artfynd.xlsx", "A 947-2023")</f>
        <v/>
      </c>
      <c r="T164">
        <f>HYPERLINK("https://klasma.github.io/Logging_0980/kartor/A 947-2023 karta.png", "A 947-2023")</f>
        <v/>
      </c>
      <c r="V164">
        <f>HYPERLINK("https://klasma.github.io/Logging_0980/klagomål/A 947-2023 FSC-klagomål.docx", "A 947-2023")</f>
        <v/>
      </c>
      <c r="W164">
        <f>HYPERLINK("https://klasma.github.io/Logging_0980/klagomålsmail/A 947-2023 FSC-klagomål mail.docx", "A 947-2023")</f>
        <v/>
      </c>
      <c r="X164">
        <f>HYPERLINK("https://klasma.github.io/Logging_0980/tillsyn/A 947-2023 tillsynsbegäran.docx", "A 947-2023")</f>
        <v/>
      </c>
      <c r="Y164">
        <f>HYPERLINK("https://klasma.github.io/Logging_0980/tillsynsmail/A 947-2023 tillsynsbegäran mail.docx", "A 947-2023")</f>
        <v/>
      </c>
    </row>
    <row r="165" ht="15" customHeight="1">
      <c r="A165" t="inlineStr">
        <is>
          <t>A 49304-2024</t>
        </is>
      </c>
      <c r="B165" s="1" t="n">
        <v>45595.54996527778</v>
      </c>
      <c r="C165" s="1" t="n">
        <v>46130</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63576-2021</t>
        </is>
      </c>
      <c r="B166" s="1" t="n">
        <v>44508</v>
      </c>
      <c r="C166" s="1" t="n">
        <v>46130</v>
      </c>
      <c r="D166" t="inlineStr">
        <is>
          <t>GOTLANDS LÄN</t>
        </is>
      </c>
      <c r="E166" t="inlineStr">
        <is>
          <t>GOTLAND</t>
        </is>
      </c>
      <c r="F166" t="inlineStr">
        <is>
          <t>Kyrkan</t>
        </is>
      </c>
      <c r="G166" t="n">
        <v>4.1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63576-2021 artfynd.xlsx", "A 63576-2021")</f>
        <v/>
      </c>
      <c r="T166">
        <f>HYPERLINK("https://klasma.github.io/Logging_0980/kartor/A 63576-2021 karta.png", "A 63576-2021")</f>
        <v/>
      </c>
      <c r="V166">
        <f>HYPERLINK("https://klasma.github.io/Logging_0980/klagomål/A 63576-2021 FSC-klagomål.docx", "A 63576-2021")</f>
        <v/>
      </c>
      <c r="W166">
        <f>HYPERLINK("https://klasma.github.io/Logging_0980/klagomålsmail/A 63576-2021 FSC-klagomål mail.docx", "A 63576-2021")</f>
        <v/>
      </c>
      <c r="X166">
        <f>HYPERLINK("https://klasma.github.io/Logging_0980/tillsyn/A 63576-2021 tillsynsbegäran.docx", "A 63576-2021")</f>
        <v/>
      </c>
      <c r="Y166">
        <f>HYPERLINK("https://klasma.github.io/Logging_0980/tillsynsmail/A 63576-2021 tillsynsbegäran mail.docx", "A 63576-2021")</f>
        <v/>
      </c>
    </row>
    <row r="167" ht="15" customHeight="1">
      <c r="A167" t="inlineStr">
        <is>
          <t>A 64700-2021</t>
        </is>
      </c>
      <c r="B167" s="1" t="n">
        <v>44511</v>
      </c>
      <c r="C167" s="1" t="n">
        <v>46130</v>
      </c>
      <c r="D167" t="inlineStr">
        <is>
          <t>GOTLANDS LÄN</t>
        </is>
      </c>
      <c r="E167" t="inlineStr">
        <is>
          <t>GOTLAND</t>
        </is>
      </c>
      <c r="F167" t="inlineStr">
        <is>
          <t>Naturvårdsverket</t>
        </is>
      </c>
      <c r="G167" t="n">
        <v>2.4</v>
      </c>
      <c r="H167" t="n">
        <v>1</v>
      </c>
      <c r="I167" t="n">
        <v>0</v>
      </c>
      <c r="J167" t="n">
        <v>0</v>
      </c>
      <c r="K167" t="n">
        <v>1</v>
      </c>
      <c r="L167" t="n">
        <v>0</v>
      </c>
      <c r="M167" t="n">
        <v>0</v>
      </c>
      <c r="N167" t="n">
        <v>0</v>
      </c>
      <c r="O167" t="n">
        <v>1</v>
      </c>
      <c r="P167" t="n">
        <v>1</v>
      </c>
      <c r="Q167" t="n">
        <v>1</v>
      </c>
      <c r="R167" s="2" t="inlineStr">
        <is>
          <t>Kalkdån</t>
        </is>
      </c>
      <c r="S167">
        <f>HYPERLINK("https://klasma.github.io/Logging_0980/artfynd/A 64700-2021 artfynd.xlsx", "A 64700-2021")</f>
        <v/>
      </c>
      <c r="T167">
        <f>HYPERLINK("https://klasma.github.io/Logging_0980/kartor/A 64700-2021 karta.png", "A 64700-2021")</f>
        <v/>
      </c>
      <c r="V167">
        <f>HYPERLINK("https://klasma.github.io/Logging_0980/klagomål/A 64700-2021 FSC-klagomål.docx", "A 64700-2021")</f>
        <v/>
      </c>
      <c r="W167">
        <f>HYPERLINK("https://klasma.github.io/Logging_0980/klagomålsmail/A 64700-2021 FSC-klagomål mail.docx", "A 64700-2021")</f>
        <v/>
      </c>
      <c r="X167">
        <f>HYPERLINK("https://klasma.github.io/Logging_0980/tillsyn/A 64700-2021 tillsynsbegäran.docx", "A 64700-2021")</f>
        <v/>
      </c>
      <c r="Y167">
        <f>HYPERLINK("https://klasma.github.io/Logging_0980/tillsynsmail/A 64700-2021 tillsynsbegäran mail.docx", "A 64700-2021")</f>
        <v/>
      </c>
    </row>
    <row r="168" ht="15" customHeight="1">
      <c r="A168" t="inlineStr">
        <is>
          <t>A 27589-2023</t>
        </is>
      </c>
      <c r="B168" s="1" t="n">
        <v>45097</v>
      </c>
      <c r="C168" s="1" t="n">
        <v>46130</v>
      </c>
      <c r="D168" t="inlineStr">
        <is>
          <t>GOTLANDS LÄN</t>
        </is>
      </c>
      <c r="E168" t="inlineStr">
        <is>
          <t>GOTLAND</t>
        </is>
      </c>
      <c r="G168" t="n">
        <v>5.4</v>
      </c>
      <c r="H168" t="n">
        <v>0</v>
      </c>
      <c r="I168" t="n">
        <v>0</v>
      </c>
      <c r="J168" t="n">
        <v>0</v>
      </c>
      <c r="K168" t="n">
        <v>0</v>
      </c>
      <c r="L168" t="n">
        <v>0</v>
      </c>
      <c r="M168" t="n">
        <v>1</v>
      </c>
      <c r="N168" t="n">
        <v>0</v>
      </c>
      <c r="O168" t="n">
        <v>1</v>
      </c>
      <c r="P168" t="n">
        <v>1</v>
      </c>
      <c r="Q168" t="n">
        <v>1</v>
      </c>
      <c r="R168" s="2" t="inlineStr">
        <is>
          <t>Skogsalm</t>
        </is>
      </c>
      <c r="S168">
        <f>HYPERLINK("https://klasma.github.io/Logging_0980/artfynd/A 27589-2023 artfynd.xlsx", "A 27589-2023")</f>
        <v/>
      </c>
      <c r="T168">
        <f>HYPERLINK("https://klasma.github.io/Logging_0980/kartor/A 27589-2023 karta.png", "A 27589-2023")</f>
        <v/>
      </c>
      <c r="V168">
        <f>HYPERLINK("https://klasma.github.io/Logging_0980/klagomål/A 27589-2023 FSC-klagomål.docx", "A 27589-2023")</f>
        <v/>
      </c>
      <c r="W168">
        <f>HYPERLINK("https://klasma.github.io/Logging_0980/klagomålsmail/A 27589-2023 FSC-klagomål mail.docx", "A 27589-2023")</f>
        <v/>
      </c>
      <c r="X168">
        <f>HYPERLINK("https://klasma.github.io/Logging_0980/tillsyn/A 27589-2023 tillsynsbegäran.docx", "A 27589-2023")</f>
        <v/>
      </c>
      <c r="Y168">
        <f>HYPERLINK("https://klasma.github.io/Logging_0980/tillsynsmail/A 27589-2023 tillsynsbegäran mail.docx", "A 27589-2023")</f>
        <v/>
      </c>
    </row>
    <row r="169" ht="15" customHeight="1">
      <c r="A169" t="inlineStr">
        <is>
          <t>A 1477-2024</t>
        </is>
      </c>
      <c r="B169" s="1" t="n">
        <v>45305.37987268518</v>
      </c>
      <c r="C169" s="1" t="n">
        <v>46130</v>
      </c>
      <c r="D169" t="inlineStr">
        <is>
          <t>GOTLANDS LÄN</t>
        </is>
      </c>
      <c r="E169" t="inlineStr">
        <is>
          <t>GOTLAND</t>
        </is>
      </c>
      <c r="G169" t="n">
        <v>6.9</v>
      </c>
      <c r="H169" t="n">
        <v>0</v>
      </c>
      <c r="I169" t="n">
        <v>0</v>
      </c>
      <c r="J169" t="n">
        <v>1</v>
      </c>
      <c r="K169" t="n">
        <v>0</v>
      </c>
      <c r="L169" t="n">
        <v>0</v>
      </c>
      <c r="M169" t="n">
        <v>0</v>
      </c>
      <c r="N169" t="n">
        <v>0</v>
      </c>
      <c r="O169" t="n">
        <v>1</v>
      </c>
      <c r="P169" t="n">
        <v>0</v>
      </c>
      <c r="Q169" t="n">
        <v>1</v>
      </c>
      <c r="R169" s="2" t="inlineStr">
        <is>
          <t>Igelkott</t>
        </is>
      </c>
      <c r="S169">
        <f>HYPERLINK("https://klasma.github.io/Logging_0980/artfynd/A 1477-2024 artfynd.xlsx", "A 1477-2024")</f>
        <v/>
      </c>
      <c r="T169">
        <f>HYPERLINK("https://klasma.github.io/Logging_0980/kartor/A 1477-2024 karta.png", "A 1477-2024")</f>
        <v/>
      </c>
      <c r="V169">
        <f>HYPERLINK("https://klasma.github.io/Logging_0980/klagomål/A 1477-2024 FSC-klagomål.docx", "A 1477-2024")</f>
        <v/>
      </c>
      <c r="W169">
        <f>HYPERLINK("https://klasma.github.io/Logging_0980/klagomålsmail/A 1477-2024 FSC-klagomål mail.docx", "A 1477-2024")</f>
        <v/>
      </c>
      <c r="X169">
        <f>HYPERLINK("https://klasma.github.io/Logging_0980/tillsyn/A 1477-2024 tillsynsbegäran.docx", "A 1477-2024")</f>
        <v/>
      </c>
      <c r="Y169">
        <f>HYPERLINK("https://klasma.github.io/Logging_0980/tillsynsmail/A 1477-2024 tillsynsbegäran mail.docx", "A 1477-2024")</f>
        <v/>
      </c>
    </row>
    <row r="170" ht="15" customHeight="1">
      <c r="A170" t="inlineStr">
        <is>
          <t>A 35574-2024</t>
        </is>
      </c>
      <c r="B170" s="1" t="n">
        <v>45531</v>
      </c>
      <c r="C170" s="1" t="n">
        <v>46130</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7637-2025</t>
        </is>
      </c>
      <c r="B171" s="1" t="n">
        <v>45705.77181712963</v>
      </c>
      <c r="C171" s="1" t="n">
        <v>46130</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13482-2026</t>
        </is>
      </c>
      <c r="B172" s="1" t="n">
        <v>46094</v>
      </c>
      <c r="C172" s="1" t="n">
        <v>46130</v>
      </c>
      <c r="D172" t="inlineStr">
        <is>
          <t>GOTLANDS LÄN</t>
        </is>
      </c>
      <c r="E172" t="inlineStr">
        <is>
          <t>GOTLAND</t>
        </is>
      </c>
      <c r="G172" t="n">
        <v>1.7</v>
      </c>
      <c r="H172" t="n">
        <v>1</v>
      </c>
      <c r="I172" t="n">
        <v>0</v>
      </c>
      <c r="J172" t="n">
        <v>1</v>
      </c>
      <c r="K172" t="n">
        <v>0</v>
      </c>
      <c r="L172" t="n">
        <v>0</v>
      </c>
      <c r="M172" t="n">
        <v>0</v>
      </c>
      <c r="N172" t="n">
        <v>0</v>
      </c>
      <c r="O172" t="n">
        <v>1</v>
      </c>
      <c r="P172" t="n">
        <v>0</v>
      </c>
      <c r="Q172" t="n">
        <v>1</v>
      </c>
      <c r="R172" s="2" t="inlineStr">
        <is>
          <t>Spillkråka</t>
        </is>
      </c>
      <c r="S172">
        <f>HYPERLINK("https://klasma.github.io/Logging_0980/artfynd/A 13482-2026 artfynd.xlsx", "A 13482-2026")</f>
        <v/>
      </c>
      <c r="T172">
        <f>HYPERLINK("https://klasma.github.io/Logging_0980/kartor/A 13482-2026 karta.png", "A 13482-2026")</f>
        <v/>
      </c>
      <c r="V172">
        <f>HYPERLINK("https://klasma.github.io/Logging_0980/klagomål/A 13482-2026 FSC-klagomål.docx", "A 13482-2026")</f>
        <v/>
      </c>
      <c r="W172">
        <f>HYPERLINK("https://klasma.github.io/Logging_0980/klagomålsmail/A 13482-2026 FSC-klagomål mail.docx", "A 13482-2026")</f>
        <v/>
      </c>
      <c r="X172">
        <f>HYPERLINK("https://klasma.github.io/Logging_0980/tillsyn/A 13482-2026 tillsynsbegäran.docx", "A 13482-2026")</f>
        <v/>
      </c>
      <c r="Y172">
        <f>HYPERLINK("https://klasma.github.io/Logging_0980/tillsynsmail/A 13482-2026 tillsynsbegäran mail.docx", "A 13482-2026")</f>
        <v/>
      </c>
      <c r="Z172">
        <f>HYPERLINK("https://klasma.github.io/Logging_0980/fåglar/A 13482-2026 prioriterade fågelarter.docx", "A 13482-2026")</f>
        <v/>
      </c>
    </row>
    <row r="173" ht="15" customHeight="1">
      <c r="A173" t="inlineStr">
        <is>
          <t>A 6303-2024</t>
        </is>
      </c>
      <c r="B173" s="1" t="n">
        <v>45338.35376157407</v>
      </c>
      <c r="C173" s="1" t="n">
        <v>46130</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34809-2024</t>
        </is>
      </c>
      <c r="B174" s="1" t="n">
        <v>45526</v>
      </c>
      <c r="C174" s="1" t="n">
        <v>46130</v>
      </c>
      <c r="D174" t="inlineStr">
        <is>
          <t>GOTLANDS LÄN</t>
        </is>
      </c>
      <c r="E174" t="inlineStr">
        <is>
          <t>GOTLAND</t>
        </is>
      </c>
      <c r="G174" t="n">
        <v>9.9</v>
      </c>
      <c r="H174" t="n">
        <v>1</v>
      </c>
      <c r="I174" t="n">
        <v>0</v>
      </c>
      <c r="J174" t="n">
        <v>1</v>
      </c>
      <c r="K174" t="n">
        <v>0</v>
      </c>
      <c r="L174" t="n">
        <v>0</v>
      </c>
      <c r="M174" t="n">
        <v>0</v>
      </c>
      <c r="N174" t="n">
        <v>0</v>
      </c>
      <c r="O174" t="n">
        <v>1</v>
      </c>
      <c r="P174" t="n">
        <v>0</v>
      </c>
      <c r="Q174" t="n">
        <v>1</v>
      </c>
      <c r="R174" s="2" t="inlineStr">
        <is>
          <t>Brun ögontröst</t>
        </is>
      </c>
      <c r="S174">
        <f>HYPERLINK("https://klasma.github.io/Logging_0980/artfynd/A 34809-2024 artfynd.xlsx", "A 34809-2024")</f>
        <v/>
      </c>
      <c r="T174">
        <f>HYPERLINK("https://klasma.github.io/Logging_0980/kartor/A 34809-2024 karta.png", "A 34809-2024")</f>
        <v/>
      </c>
      <c r="V174">
        <f>HYPERLINK("https://klasma.github.io/Logging_0980/klagomål/A 34809-2024 FSC-klagomål.docx", "A 34809-2024")</f>
        <v/>
      </c>
      <c r="W174">
        <f>HYPERLINK("https://klasma.github.io/Logging_0980/klagomålsmail/A 34809-2024 FSC-klagomål mail.docx", "A 34809-2024")</f>
        <v/>
      </c>
      <c r="X174">
        <f>HYPERLINK("https://klasma.github.io/Logging_0980/tillsyn/A 34809-2024 tillsynsbegäran.docx", "A 34809-2024")</f>
        <v/>
      </c>
      <c r="Y174">
        <f>HYPERLINK("https://klasma.github.io/Logging_0980/tillsynsmail/A 34809-2024 tillsynsbegäran mail.docx", "A 34809-2024")</f>
        <v/>
      </c>
    </row>
    <row r="175" ht="15" customHeight="1">
      <c r="A175" t="inlineStr">
        <is>
          <t>A 63149-2025</t>
        </is>
      </c>
      <c r="B175" s="1" t="n">
        <v>46010</v>
      </c>
      <c r="C175" s="1" t="n">
        <v>46130</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Anisspindling</t>
        </is>
      </c>
      <c r="S175">
        <f>HYPERLINK("https://klasma.github.io/Logging_0980/artfynd/A 63149-2025 artfynd.xlsx", "A 63149-2025")</f>
        <v/>
      </c>
      <c r="T175">
        <f>HYPERLINK("https://klasma.github.io/Logging_0980/kartor/A 63149-2025 karta.png", "A 63149-2025")</f>
        <v/>
      </c>
      <c r="V175">
        <f>HYPERLINK("https://klasma.github.io/Logging_0980/klagomål/A 63149-2025 FSC-klagomål.docx", "A 63149-2025")</f>
        <v/>
      </c>
      <c r="W175">
        <f>HYPERLINK("https://klasma.github.io/Logging_0980/klagomålsmail/A 63149-2025 FSC-klagomål mail.docx", "A 63149-2025")</f>
        <v/>
      </c>
      <c r="X175">
        <f>HYPERLINK("https://klasma.github.io/Logging_0980/tillsyn/A 63149-2025 tillsynsbegäran.docx", "A 63149-2025")</f>
        <v/>
      </c>
      <c r="Y175">
        <f>HYPERLINK("https://klasma.github.io/Logging_0980/tillsynsmail/A 63149-2025 tillsynsbegäran mail.docx", "A 63149-2025")</f>
        <v/>
      </c>
    </row>
    <row r="176" ht="15" customHeight="1">
      <c r="A176" t="inlineStr">
        <is>
          <t>A 10013-2026</t>
        </is>
      </c>
      <c r="B176" s="1" t="n">
        <v>46073</v>
      </c>
      <c r="C176" s="1" t="n">
        <v>46130</v>
      </c>
      <c r="D176" t="inlineStr">
        <is>
          <t>GOTLANDS LÄN</t>
        </is>
      </c>
      <c r="E176" t="inlineStr">
        <is>
          <t>GOTLAND</t>
        </is>
      </c>
      <c r="G176" t="n">
        <v>10.5</v>
      </c>
      <c r="H176" t="n">
        <v>0</v>
      </c>
      <c r="I176" t="n">
        <v>0</v>
      </c>
      <c r="J176" t="n">
        <v>0</v>
      </c>
      <c r="K176" t="n">
        <v>1</v>
      </c>
      <c r="L176" t="n">
        <v>0</v>
      </c>
      <c r="M176" t="n">
        <v>0</v>
      </c>
      <c r="N176" t="n">
        <v>0</v>
      </c>
      <c r="O176" t="n">
        <v>1</v>
      </c>
      <c r="P176" t="n">
        <v>1</v>
      </c>
      <c r="Q176" t="n">
        <v>1</v>
      </c>
      <c r="R176" s="2" t="inlineStr">
        <is>
          <t>Skogskorn</t>
        </is>
      </c>
      <c r="S176">
        <f>HYPERLINK("https://klasma.github.io/Logging_0980/artfynd/A 10013-2026 artfynd.xlsx", "A 10013-2026")</f>
        <v/>
      </c>
      <c r="T176">
        <f>HYPERLINK("https://klasma.github.io/Logging_0980/kartor/A 10013-2026 karta.png", "A 10013-2026")</f>
        <v/>
      </c>
      <c r="V176">
        <f>HYPERLINK("https://klasma.github.io/Logging_0980/klagomål/A 10013-2026 FSC-klagomål.docx", "A 10013-2026")</f>
        <v/>
      </c>
      <c r="W176">
        <f>HYPERLINK("https://klasma.github.io/Logging_0980/klagomålsmail/A 10013-2026 FSC-klagomål mail.docx", "A 10013-2026")</f>
        <v/>
      </c>
      <c r="X176">
        <f>HYPERLINK("https://klasma.github.io/Logging_0980/tillsyn/A 10013-2026 tillsynsbegäran.docx", "A 10013-2026")</f>
        <v/>
      </c>
      <c r="Y176">
        <f>HYPERLINK("https://klasma.github.io/Logging_0980/tillsynsmail/A 10013-2026 tillsynsbegäran mail.docx", "A 10013-2026")</f>
        <v/>
      </c>
    </row>
    <row r="177" ht="15" customHeight="1">
      <c r="A177" t="inlineStr">
        <is>
          <t>A 17854-2026</t>
        </is>
      </c>
      <c r="B177" s="1" t="n">
        <v>46121</v>
      </c>
      <c r="C177" s="1" t="n">
        <v>46130</v>
      </c>
      <c r="D177" t="inlineStr">
        <is>
          <t>GOTLANDS LÄN</t>
        </is>
      </c>
      <c r="E177" t="inlineStr">
        <is>
          <t>GOTLAND</t>
        </is>
      </c>
      <c r="G177" t="n">
        <v>6.6</v>
      </c>
      <c r="H177" t="n">
        <v>0</v>
      </c>
      <c r="I177" t="n">
        <v>1</v>
      </c>
      <c r="J177" t="n">
        <v>0</v>
      </c>
      <c r="K177" t="n">
        <v>0</v>
      </c>
      <c r="L177" t="n">
        <v>0</v>
      </c>
      <c r="M177" t="n">
        <v>0</v>
      </c>
      <c r="N177" t="n">
        <v>0</v>
      </c>
      <c r="O177" t="n">
        <v>0</v>
      </c>
      <c r="P177" t="n">
        <v>0</v>
      </c>
      <c r="Q177" t="n">
        <v>1</v>
      </c>
      <c r="R177" s="2" t="inlineStr">
        <is>
          <t>Blå slemspindling</t>
        </is>
      </c>
      <c r="S177">
        <f>HYPERLINK("https://klasma.github.io/Logging_0980/artfynd/A 17854-2026 artfynd.xlsx", "A 17854-2026")</f>
        <v/>
      </c>
      <c r="T177">
        <f>HYPERLINK("https://klasma.github.io/Logging_0980/kartor/A 17854-2026 karta.png", "A 17854-2026")</f>
        <v/>
      </c>
      <c r="V177">
        <f>HYPERLINK("https://klasma.github.io/Logging_0980/klagomål/A 17854-2026 FSC-klagomål.docx", "A 17854-2026")</f>
        <v/>
      </c>
      <c r="W177">
        <f>HYPERLINK("https://klasma.github.io/Logging_0980/klagomålsmail/A 17854-2026 FSC-klagomål mail.docx", "A 17854-2026")</f>
        <v/>
      </c>
      <c r="X177">
        <f>HYPERLINK("https://klasma.github.io/Logging_0980/tillsyn/A 17854-2026 tillsynsbegäran.docx", "A 17854-2026")</f>
        <v/>
      </c>
      <c r="Y177">
        <f>HYPERLINK("https://klasma.github.io/Logging_0980/tillsynsmail/A 17854-2026 tillsynsbegäran mail.docx", "A 17854-2026")</f>
        <v/>
      </c>
    </row>
    <row r="178" ht="15" customHeight="1">
      <c r="A178" t="inlineStr">
        <is>
          <t>A 18036-2026</t>
        </is>
      </c>
      <c r="B178" s="1" t="n">
        <v>46125.39576388889</v>
      </c>
      <c r="C178" s="1" t="n">
        <v>46130</v>
      </c>
      <c r="D178" t="inlineStr">
        <is>
          <t>GOTLANDS LÄN</t>
        </is>
      </c>
      <c r="E178" t="inlineStr">
        <is>
          <t>GOTLAND</t>
        </is>
      </c>
      <c r="G178" t="n">
        <v>1.8</v>
      </c>
      <c r="H178" t="n">
        <v>0</v>
      </c>
      <c r="I178" t="n">
        <v>0</v>
      </c>
      <c r="J178" t="n">
        <v>1</v>
      </c>
      <c r="K178" t="n">
        <v>0</v>
      </c>
      <c r="L178" t="n">
        <v>0</v>
      </c>
      <c r="M178" t="n">
        <v>0</v>
      </c>
      <c r="N178" t="n">
        <v>0</v>
      </c>
      <c r="O178" t="n">
        <v>1</v>
      </c>
      <c r="P178" t="n">
        <v>0</v>
      </c>
      <c r="Q178" t="n">
        <v>1</v>
      </c>
      <c r="R178" s="2" t="inlineStr">
        <is>
          <t>Sommarfibbla</t>
        </is>
      </c>
      <c r="S178">
        <f>HYPERLINK("https://klasma.github.io/Logging_0980/artfynd/A 18036-2026 artfynd.xlsx", "A 18036-2026")</f>
        <v/>
      </c>
      <c r="T178">
        <f>HYPERLINK("https://klasma.github.io/Logging_0980/kartor/A 18036-2026 karta.png", "A 18036-2026")</f>
        <v/>
      </c>
      <c r="V178">
        <f>HYPERLINK("https://klasma.github.io/Logging_0980/klagomål/A 18036-2026 FSC-klagomål.docx", "A 18036-2026")</f>
        <v/>
      </c>
      <c r="W178">
        <f>HYPERLINK("https://klasma.github.io/Logging_0980/klagomålsmail/A 18036-2026 FSC-klagomål mail.docx", "A 18036-2026")</f>
        <v/>
      </c>
      <c r="X178">
        <f>HYPERLINK("https://klasma.github.io/Logging_0980/tillsyn/A 18036-2026 tillsynsbegäran.docx", "A 18036-2026")</f>
        <v/>
      </c>
      <c r="Y178">
        <f>HYPERLINK("https://klasma.github.io/Logging_0980/tillsynsmail/A 18036-2026 tillsynsbegäran mail.docx", "A 18036-2026")</f>
        <v/>
      </c>
    </row>
    <row r="179" ht="15" customHeight="1">
      <c r="A179" t="inlineStr">
        <is>
          <t>A 11708-2026</t>
        </is>
      </c>
      <c r="B179" s="1" t="n">
        <v>46084</v>
      </c>
      <c r="C179" s="1" t="n">
        <v>46130</v>
      </c>
      <c r="D179" t="inlineStr">
        <is>
          <t>GOTLANDS LÄN</t>
        </is>
      </c>
      <c r="E179" t="inlineStr">
        <is>
          <t>GOTLAND</t>
        </is>
      </c>
      <c r="G179" t="n">
        <v>8.4</v>
      </c>
      <c r="H179" t="n">
        <v>1</v>
      </c>
      <c r="I179" t="n">
        <v>0</v>
      </c>
      <c r="J179" t="n">
        <v>1</v>
      </c>
      <c r="K179" t="n">
        <v>0</v>
      </c>
      <c r="L179" t="n">
        <v>0</v>
      </c>
      <c r="M179" t="n">
        <v>0</v>
      </c>
      <c r="N179" t="n">
        <v>0</v>
      </c>
      <c r="O179" t="n">
        <v>1</v>
      </c>
      <c r="P179" t="n">
        <v>0</v>
      </c>
      <c r="Q179" t="n">
        <v>1</v>
      </c>
      <c r="R179" s="2" t="inlineStr">
        <is>
          <t>Bredarun</t>
        </is>
      </c>
      <c r="S179">
        <f>HYPERLINK("https://klasma.github.io/Logging_0980/artfynd/A 11708-2026 artfynd.xlsx", "A 11708-2026")</f>
        <v/>
      </c>
      <c r="T179">
        <f>HYPERLINK("https://klasma.github.io/Logging_0980/kartor/A 11708-2026 karta.png", "A 11708-2026")</f>
        <v/>
      </c>
      <c r="V179">
        <f>HYPERLINK("https://klasma.github.io/Logging_0980/klagomål/A 11708-2026 FSC-klagomål.docx", "A 11708-2026")</f>
        <v/>
      </c>
      <c r="W179">
        <f>HYPERLINK("https://klasma.github.io/Logging_0980/klagomålsmail/A 11708-2026 FSC-klagomål mail.docx", "A 11708-2026")</f>
        <v/>
      </c>
      <c r="X179">
        <f>HYPERLINK("https://klasma.github.io/Logging_0980/tillsyn/A 11708-2026 tillsynsbegäran.docx", "A 11708-2026")</f>
        <v/>
      </c>
      <c r="Y179">
        <f>HYPERLINK("https://klasma.github.io/Logging_0980/tillsynsmail/A 11708-2026 tillsynsbegäran mail.docx", "A 11708-2026")</f>
        <v/>
      </c>
    </row>
    <row r="180" ht="15" customHeight="1">
      <c r="A180" t="inlineStr">
        <is>
          <t>A 61561-2023</t>
        </is>
      </c>
      <c r="B180" s="1" t="n">
        <v>45265</v>
      </c>
      <c r="C180" s="1" t="n">
        <v>46130</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22782-2023</t>
        </is>
      </c>
      <c r="B181" s="1" t="n">
        <v>45072</v>
      </c>
      <c r="C181" s="1" t="n">
        <v>46130</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46130</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46130</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46130</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46130</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46130</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37591-2023</t>
        </is>
      </c>
      <c r="B187" s="1" t="n">
        <v>45159</v>
      </c>
      <c r="C187" s="1" t="n">
        <v>46130</v>
      </c>
      <c r="D187" t="inlineStr">
        <is>
          <t>GOTLANDS LÄN</t>
        </is>
      </c>
      <c r="E187" t="inlineStr">
        <is>
          <t>GOTLAND</t>
        </is>
      </c>
      <c r="G187" t="n">
        <v>8.300000000000001</v>
      </c>
      <c r="H187" t="n">
        <v>0</v>
      </c>
      <c r="I187" t="n">
        <v>0</v>
      </c>
      <c r="J187" t="n">
        <v>1</v>
      </c>
      <c r="K187" t="n">
        <v>0</v>
      </c>
      <c r="L187" t="n">
        <v>0</v>
      </c>
      <c r="M187" t="n">
        <v>0</v>
      </c>
      <c r="N187" t="n">
        <v>0</v>
      </c>
      <c r="O187" t="n">
        <v>1</v>
      </c>
      <c r="P187" t="n">
        <v>0</v>
      </c>
      <c r="Q187" t="n">
        <v>1</v>
      </c>
      <c r="R187" s="2" t="inlineStr">
        <is>
          <t>Ängsstarr</t>
        </is>
      </c>
      <c r="S187">
        <f>HYPERLINK("https://klasma.github.io/Logging_0980/artfynd/A 37591-2023 artfynd.xlsx", "A 37591-2023")</f>
        <v/>
      </c>
      <c r="T187">
        <f>HYPERLINK("https://klasma.github.io/Logging_0980/kartor/A 37591-2023 karta.png", "A 37591-2023")</f>
        <v/>
      </c>
      <c r="V187">
        <f>HYPERLINK("https://klasma.github.io/Logging_0980/klagomål/A 37591-2023 FSC-klagomål.docx", "A 37591-2023")</f>
        <v/>
      </c>
      <c r="W187">
        <f>HYPERLINK("https://klasma.github.io/Logging_0980/klagomålsmail/A 37591-2023 FSC-klagomål mail.docx", "A 37591-2023")</f>
        <v/>
      </c>
      <c r="X187">
        <f>HYPERLINK("https://klasma.github.io/Logging_0980/tillsyn/A 37591-2023 tillsynsbegäran.docx", "A 37591-2023")</f>
        <v/>
      </c>
      <c r="Y187">
        <f>HYPERLINK("https://klasma.github.io/Logging_0980/tillsynsmail/A 37591-2023 tillsynsbegäran mail.docx", "A 37591-2023")</f>
        <v/>
      </c>
    </row>
    <row r="188" ht="15" customHeight="1">
      <c r="A188" t="inlineStr">
        <is>
          <t>A 19901-2021</t>
        </is>
      </c>
      <c r="B188" s="1" t="n">
        <v>44312</v>
      </c>
      <c r="C188" s="1" t="n">
        <v>46130</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46130</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46130</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46130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46130</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46130</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46130</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46130</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46130</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19892-2021</t>
        </is>
      </c>
      <c r="B197" s="1" t="n">
        <v>44312</v>
      </c>
      <c r="C197" s="1" t="n">
        <v>46130</v>
      </c>
      <c r="D197" t="inlineStr">
        <is>
          <t>GOTLANDS LÄN</t>
        </is>
      </c>
      <c r="E197" t="inlineStr">
        <is>
          <t>GOTLAND</t>
        </is>
      </c>
      <c r="G197" t="n">
        <v>5.3</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46130</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46130</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46130</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46130</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46130</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46130</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46130</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46130</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46130</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46130</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46130</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46130</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46130</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46130</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71010-2021</t>
        </is>
      </c>
      <c r="B212" s="1" t="n">
        <v>44538.63775462963</v>
      </c>
      <c r="C212" s="1" t="n">
        <v>46130</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22495-2022</t>
        </is>
      </c>
      <c r="B213" s="1" t="n">
        <v>44713.6452199074</v>
      </c>
      <c r="C213" s="1" t="n">
        <v>46130</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46130</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46130</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46130</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46130</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23910-2021</t>
        </is>
      </c>
      <c r="B218" s="1" t="n">
        <v>44335</v>
      </c>
      <c r="C218" s="1" t="n">
        <v>46130</v>
      </c>
      <c r="D218" t="inlineStr">
        <is>
          <t>GOTLANDS LÄN</t>
        </is>
      </c>
      <c r="E218" t="inlineStr">
        <is>
          <t>GOTLAND</t>
        </is>
      </c>
      <c r="G218" t="n">
        <v>1.5</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46130</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46130</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56951-2021</t>
        </is>
      </c>
      <c r="B221" s="1" t="n">
        <v>44482.37388888889</v>
      </c>
      <c r="C221" s="1" t="n">
        <v>46130</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46130</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46130</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46130</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57219-2021</t>
        </is>
      </c>
      <c r="B225" s="1" t="n">
        <v>44483</v>
      </c>
      <c r="C225" s="1" t="n">
        <v>46130</v>
      </c>
      <c r="D225" t="inlineStr">
        <is>
          <t>GOTLANDS LÄN</t>
        </is>
      </c>
      <c r="E225" t="inlineStr">
        <is>
          <t>GOTLAND</t>
        </is>
      </c>
      <c r="F225" t="inlineStr">
        <is>
          <t>Kyrkan</t>
        </is>
      </c>
      <c r="G225" t="n">
        <v>4</v>
      </c>
      <c r="H225" t="n">
        <v>0</v>
      </c>
      <c r="I225" t="n">
        <v>0</v>
      </c>
      <c r="J225" t="n">
        <v>0</v>
      </c>
      <c r="K225" t="n">
        <v>0</v>
      </c>
      <c r="L225" t="n">
        <v>0</v>
      </c>
      <c r="M225" t="n">
        <v>0</v>
      </c>
      <c r="N225" t="n">
        <v>0</v>
      </c>
      <c r="O225" t="n">
        <v>0</v>
      </c>
      <c r="P225" t="n">
        <v>0</v>
      </c>
      <c r="Q225" t="n">
        <v>0</v>
      </c>
      <c r="R225" s="2" t="inlineStr"/>
    </row>
    <row r="226" ht="15" customHeight="1">
      <c r="A226" t="inlineStr">
        <is>
          <t>A 30282-2022</t>
        </is>
      </c>
      <c r="B226" s="1" t="n">
        <v>44760</v>
      </c>
      <c r="C226" s="1" t="n">
        <v>46130</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32330-2024</t>
        </is>
      </c>
      <c r="B227" s="1" t="n">
        <v>45512</v>
      </c>
      <c r="C227" s="1" t="n">
        <v>46130</v>
      </c>
      <c r="D227" t="inlineStr">
        <is>
          <t>GOTLANDS LÄN</t>
        </is>
      </c>
      <c r="E227" t="inlineStr">
        <is>
          <t>GOTLAND</t>
        </is>
      </c>
      <c r="G227" t="n">
        <v>2.6</v>
      </c>
      <c r="H227" t="n">
        <v>0</v>
      </c>
      <c r="I227" t="n">
        <v>0</v>
      </c>
      <c r="J227" t="n">
        <v>0</v>
      </c>
      <c r="K227" t="n">
        <v>0</v>
      </c>
      <c r="L227" t="n">
        <v>0</v>
      </c>
      <c r="M227" t="n">
        <v>0</v>
      </c>
      <c r="N227" t="n">
        <v>0</v>
      </c>
      <c r="O227" t="n">
        <v>0</v>
      </c>
      <c r="P227" t="n">
        <v>0</v>
      </c>
      <c r="Q227" t="n">
        <v>0</v>
      </c>
      <c r="R227" s="2" t="inlineStr"/>
    </row>
    <row r="228" ht="15" customHeight="1">
      <c r="A228" t="inlineStr">
        <is>
          <t>A 5751-2024</t>
        </is>
      </c>
      <c r="B228" s="1" t="n">
        <v>45335.32702546296</v>
      </c>
      <c r="C228" s="1" t="n">
        <v>46130</v>
      </c>
      <c r="D228" t="inlineStr">
        <is>
          <t>GOTLANDS LÄN</t>
        </is>
      </c>
      <c r="E228" t="inlineStr">
        <is>
          <t>GOTLAND</t>
        </is>
      </c>
      <c r="G228" t="n">
        <v>4.2</v>
      </c>
      <c r="H228" t="n">
        <v>0</v>
      </c>
      <c r="I228" t="n">
        <v>0</v>
      </c>
      <c r="J228" t="n">
        <v>0</v>
      </c>
      <c r="K228" t="n">
        <v>0</v>
      </c>
      <c r="L228" t="n">
        <v>0</v>
      </c>
      <c r="M228" t="n">
        <v>0</v>
      </c>
      <c r="N228" t="n">
        <v>0</v>
      </c>
      <c r="O228" t="n">
        <v>0</v>
      </c>
      <c r="P228" t="n">
        <v>0</v>
      </c>
      <c r="Q228" t="n">
        <v>0</v>
      </c>
      <c r="R228" s="2" t="inlineStr"/>
    </row>
    <row r="229" ht="15" customHeight="1">
      <c r="A229" t="inlineStr">
        <is>
          <t>A 9613-2025</t>
        </is>
      </c>
      <c r="B229" s="1" t="n">
        <v>45715</v>
      </c>
      <c r="C229" s="1" t="n">
        <v>46130</v>
      </c>
      <c r="D229" t="inlineStr">
        <is>
          <t>GOTLANDS LÄN</t>
        </is>
      </c>
      <c r="E229" t="inlineStr">
        <is>
          <t>GOTLAND</t>
        </is>
      </c>
      <c r="G229" t="n">
        <v>3.5</v>
      </c>
      <c r="H229" t="n">
        <v>0</v>
      </c>
      <c r="I229" t="n">
        <v>0</v>
      </c>
      <c r="J229" t="n">
        <v>0</v>
      </c>
      <c r="K229" t="n">
        <v>0</v>
      </c>
      <c r="L229" t="n">
        <v>0</v>
      </c>
      <c r="M229" t="n">
        <v>0</v>
      </c>
      <c r="N229" t="n">
        <v>0</v>
      </c>
      <c r="O229" t="n">
        <v>0</v>
      </c>
      <c r="P229" t="n">
        <v>0</v>
      </c>
      <c r="Q229" t="n">
        <v>0</v>
      </c>
      <c r="R229" s="2" t="inlineStr"/>
    </row>
    <row r="230" ht="15" customHeight="1">
      <c r="A230" t="inlineStr">
        <is>
          <t>A 15595-2024</t>
        </is>
      </c>
      <c r="B230" s="1" t="n">
        <v>45401.81480324074</v>
      </c>
      <c r="C230" s="1" t="n">
        <v>46130</v>
      </c>
      <c r="D230" t="inlineStr">
        <is>
          <t>GOTLANDS LÄN</t>
        </is>
      </c>
      <c r="E230" t="inlineStr">
        <is>
          <t>GOTLAND</t>
        </is>
      </c>
      <c r="G230" t="n">
        <v>6.4</v>
      </c>
      <c r="H230" t="n">
        <v>0</v>
      </c>
      <c r="I230" t="n">
        <v>0</v>
      </c>
      <c r="J230" t="n">
        <v>0</v>
      </c>
      <c r="K230" t="n">
        <v>0</v>
      </c>
      <c r="L230" t="n">
        <v>0</v>
      </c>
      <c r="M230" t="n">
        <v>0</v>
      </c>
      <c r="N230" t="n">
        <v>0</v>
      </c>
      <c r="O230" t="n">
        <v>0</v>
      </c>
      <c r="P230" t="n">
        <v>0</v>
      </c>
      <c r="Q230" t="n">
        <v>0</v>
      </c>
      <c r="R230" s="2" t="inlineStr"/>
    </row>
    <row r="231" ht="15" customHeight="1">
      <c r="A231" t="inlineStr">
        <is>
          <t>A 24966-2023</t>
        </is>
      </c>
      <c r="B231" s="1" t="n">
        <v>45085</v>
      </c>
      <c r="C231" s="1" t="n">
        <v>46130</v>
      </c>
      <c r="D231" t="inlineStr">
        <is>
          <t>GOTLANDS LÄN</t>
        </is>
      </c>
      <c r="E231" t="inlineStr">
        <is>
          <t>GOTLAND</t>
        </is>
      </c>
      <c r="G231" t="n">
        <v>7</v>
      </c>
      <c r="H231" t="n">
        <v>0</v>
      </c>
      <c r="I231" t="n">
        <v>0</v>
      </c>
      <c r="J231" t="n">
        <v>0</v>
      </c>
      <c r="K231" t="n">
        <v>0</v>
      </c>
      <c r="L231" t="n">
        <v>0</v>
      </c>
      <c r="M231" t="n">
        <v>0</v>
      </c>
      <c r="N231" t="n">
        <v>0</v>
      </c>
      <c r="O231" t="n">
        <v>0</v>
      </c>
      <c r="P231" t="n">
        <v>0</v>
      </c>
      <c r="Q231" t="n">
        <v>0</v>
      </c>
      <c r="R231" s="2" t="inlineStr"/>
    </row>
    <row r="232" ht="15" customHeight="1">
      <c r="A232" t="inlineStr">
        <is>
          <t>A 46189-2022</t>
        </is>
      </c>
      <c r="B232" s="1" t="n">
        <v>44847</v>
      </c>
      <c r="C232" s="1" t="n">
        <v>46130</v>
      </c>
      <c r="D232" t="inlineStr">
        <is>
          <t>GOTLANDS LÄN</t>
        </is>
      </c>
      <c r="E232" t="inlineStr">
        <is>
          <t>GOTLAND</t>
        </is>
      </c>
      <c r="G232" t="n">
        <v>0.4</v>
      </c>
      <c r="H232" t="n">
        <v>0</v>
      </c>
      <c r="I232" t="n">
        <v>0</v>
      </c>
      <c r="J232" t="n">
        <v>0</v>
      </c>
      <c r="K232" t="n">
        <v>0</v>
      </c>
      <c r="L232" t="n">
        <v>0</v>
      </c>
      <c r="M232" t="n">
        <v>0</v>
      </c>
      <c r="N232" t="n">
        <v>0</v>
      </c>
      <c r="O232" t="n">
        <v>0</v>
      </c>
      <c r="P232" t="n">
        <v>0</v>
      </c>
      <c r="Q232" t="n">
        <v>0</v>
      </c>
      <c r="R232" s="2" t="inlineStr"/>
    </row>
    <row r="233" ht="15" customHeight="1">
      <c r="A233" t="inlineStr">
        <is>
          <t>A 21389-2025</t>
        </is>
      </c>
      <c r="B233" s="1" t="n">
        <v>45782</v>
      </c>
      <c r="C233" s="1" t="n">
        <v>46130</v>
      </c>
      <c r="D233" t="inlineStr">
        <is>
          <t>GOTLANDS LÄN</t>
        </is>
      </c>
      <c r="E233" t="inlineStr">
        <is>
          <t>GOTLAND</t>
        </is>
      </c>
      <c r="G233" t="n">
        <v>4.1</v>
      </c>
      <c r="H233" t="n">
        <v>0</v>
      </c>
      <c r="I233" t="n">
        <v>0</v>
      </c>
      <c r="J233" t="n">
        <v>0</v>
      </c>
      <c r="K233" t="n">
        <v>0</v>
      </c>
      <c r="L233" t="n">
        <v>0</v>
      </c>
      <c r="M233" t="n">
        <v>0</v>
      </c>
      <c r="N233" t="n">
        <v>0</v>
      </c>
      <c r="O233" t="n">
        <v>0</v>
      </c>
      <c r="P233" t="n">
        <v>0</v>
      </c>
      <c r="Q233" t="n">
        <v>0</v>
      </c>
      <c r="R233" s="2" t="inlineStr"/>
    </row>
    <row r="234" ht="15" customHeight="1">
      <c r="A234" t="inlineStr">
        <is>
          <t>A 4868-2024</t>
        </is>
      </c>
      <c r="B234" s="1" t="n">
        <v>45329</v>
      </c>
      <c r="C234" s="1" t="n">
        <v>46130</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21651-2025</t>
        </is>
      </c>
      <c r="B235" s="1" t="n">
        <v>45783</v>
      </c>
      <c r="C235" s="1" t="n">
        <v>46130</v>
      </c>
      <c r="D235" t="inlineStr">
        <is>
          <t>GOTLANDS LÄN</t>
        </is>
      </c>
      <c r="E235" t="inlineStr">
        <is>
          <t>GOTLAND</t>
        </is>
      </c>
      <c r="G235" t="n">
        <v>4.2</v>
      </c>
      <c r="H235" t="n">
        <v>0</v>
      </c>
      <c r="I235" t="n">
        <v>0</v>
      </c>
      <c r="J235" t="n">
        <v>0</v>
      </c>
      <c r="K235" t="n">
        <v>0</v>
      </c>
      <c r="L235" t="n">
        <v>0</v>
      </c>
      <c r="M235" t="n">
        <v>0</v>
      </c>
      <c r="N235" t="n">
        <v>0</v>
      </c>
      <c r="O235" t="n">
        <v>0</v>
      </c>
      <c r="P235" t="n">
        <v>0</v>
      </c>
      <c r="Q235" t="n">
        <v>0</v>
      </c>
      <c r="R235" s="2" t="inlineStr"/>
    </row>
    <row r="236" ht="15" customHeight="1">
      <c r="A236" t="inlineStr">
        <is>
          <t>A 20356-2022</t>
        </is>
      </c>
      <c r="B236" s="1" t="n">
        <v>44699</v>
      </c>
      <c r="C236" s="1" t="n">
        <v>46130</v>
      </c>
      <c r="D236" t="inlineStr">
        <is>
          <t>GOTLANDS LÄN</t>
        </is>
      </c>
      <c r="E236" t="inlineStr">
        <is>
          <t>GOTLAND</t>
        </is>
      </c>
      <c r="F236" t="inlineStr">
        <is>
          <t>Övriga Aktiebolag</t>
        </is>
      </c>
      <c r="G236" t="n">
        <v>4.4</v>
      </c>
      <c r="H236" t="n">
        <v>0</v>
      </c>
      <c r="I236" t="n">
        <v>0</v>
      </c>
      <c r="J236" t="n">
        <v>0</v>
      </c>
      <c r="K236" t="n">
        <v>0</v>
      </c>
      <c r="L236" t="n">
        <v>0</v>
      </c>
      <c r="M236" t="n">
        <v>0</v>
      </c>
      <c r="N236" t="n">
        <v>0</v>
      </c>
      <c r="O236" t="n">
        <v>0</v>
      </c>
      <c r="P236" t="n">
        <v>0</v>
      </c>
      <c r="Q236" t="n">
        <v>0</v>
      </c>
      <c r="R236" s="2" t="inlineStr"/>
    </row>
    <row r="237" ht="15" customHeight="1">
      <c r="A237" t="inlineStr">
        <is>
          <t>A 51262-2025</t>
        </is>
      </c>
      <c r="B237" s="1" t="n">
        <v>45949.49872685185</v>
      </c>
      <c r="C237" s="1" t="n">
        <v>46130</v>
      </c>
      <c r="D237" t="inlineStr">
        <is>
          <t>GOTLANDS LÄN</t>
        </is>
      </c>
      <c r="E237" t="inlineStr">
        <is>
          <t>GOTLAND</t>
        </is>
      </c>
      <c r="G237" t="n">
        <v>1.6</v>
      </c>
      <c r="H237" t="n">
        <v>0</v>
      </c>
      <c r="I237" t="n">
        <v>0</v>
      </c>
      <c r="J237" t="n">
        <v>0</v>
      </c>
      <c r="K237" t="n">
        <v>0</v>
      </c>
      <c r="L237" t="n">
        <v>0</v>
      </c>
      <c r="M237" t="n">
        <v>0</v>
      </c>
      <c r="N237" t="n">
        <v>0</v>
      </c>
      <c r="O237" t="n">
        <v>0</v>
      </c>
      <c r="P237" t="n">
        <v>0</v>
      </c>
      <c r="Q237" t="n">
        <v>0</v>
      </c>
      <c r="R237" s="2" t="inlineStr"/>
    </row>
    <row r="238" ht="15" customHeight="1">
      <c r="A238" t="inlineStr">
        <is>
          <t>A 22031-2024</t>
        </is>
      </c>
      <c r="B238" s="1" t="n">
        <v>45443.60075231481</v>
      </c>
      <c r="C238" s="1" t="n">
        <v>46130</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49314-2024</t>
        </is>
      </c>
      <c r="B239" s="1" t="n">
        <v>45595.55893518519</v>
      </c>
      <c r="C239" s="1" t="n">
        <v>46130</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46130</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48503-2023</t>
        </is>
      </c>
      <c r="B241" s="1" t="n">
        <v>45207</v>
      </c>
      <c r="C241" s="1" t="n">
        <v>46130</v>
      </c>
      <c r="D241" t="inlineStr">
        <is>
          <t>GOTLANDS LÄN</t>
        </is>
      </c>
      <c r="E241" t="inlineStr">
        <is>
          <t>GOTLAND</t>
        </is>
      </c>
      <c r="G241" t="n">
        <v>1.6</v>
      </c>
      <c r="H241" t="n">
        <v>0</v>
      </c>
      <c r="I241" t="n">
        <v>0</v>
      </c>
      <c r="J241" t="n">
        <v>0</v>
      </c>
      <c r="K241" t="n">
        <v>0</v>
      </c>
      <c r="L241" t="n">
        <v>0</v>
      </c>
      <c r="M241" t="n">
        <v>0</v>
      </c>
      <c r="N241" t="n">
        <v>0</v>
      </c>
      <c r="O241" t="n">
        <v>0</v>
      </c>
      <c r="P241" t="n">
        <v>0</v>
      </c>
      <c r="Q241" t="n">
        <v>0</v>
      </c>
      <c r="R241" s="2" t="inlineStr"/>
    </row>
    <row r="242" ht="15" customHeight="1">
      <c r="A242" t="inlineStr">
        <is>
          <t>A 52249-2025</t>
        </is>
      </c>
      <c r="B242" s="1" t="n">
        <v>45953.48637731482</v>
      </c>
      <c r="C242" s="1" t="n">
        <v>46130</v>
      </c>
      <c r="D242" t="inlineStr">
        <is>
          <t>GOTLANDS LÄN</t>
        </is>
      </c>
      <c r="E242" t="inlineStr">
        <is>
          <t>GOTLAND</t>
        </is>
      </c>
      <c r="F242" t="inlineStr">
        <is>
          <t>Övriga Aktiebolag</t>
        </is>
      </c>
      <c r="G242" t="n">
        <v>1</v>
      </c>
      <c r="H242" t="n">
        <v>0</v>
      </c>
      <c r="I242" t="n">
        <v>0</v>
      </c>
      <c r="J242" t="n">
        <v>0</v>
      </c>
      <c r="K242" t="n">
        <v>0</v>
      </c>
      <c r="L242" t="n">
        <v>0</v>
      </c>
      <c r="M242" t="n">
        <v>0</v>
      </c>
      <c r="N242" t="n">
        <v>0</v>
      </c>
      <c r="O242" t="n">
        <v>0</v>
      </c>
      <c r="P242" t="n">
        <v>0</v>
      </c>
      <c r="Q242" t="n">
        <v>0</v>
      </c>
      <c r="R242" s="2" t="inlineStr"/>
    </row>
    <row r="243" ht="15" customHeight="1">
      <c r="A243" t="inlineStr">
        <is>
          <t>A 65901-2021</t>
        </is>
      </c>
      <c r="B243" s="1" t="n">
        <v>44516</v>
      </c>
      <c r="C243" s="1" t="n">
        <v>46130</v>
      </c>
      <c r="D243" t="inlineStr">
        <is>
          <t>GOTLANDS LÄN</t>
        </is>
      </c>
      <c r="E243" t="inlineStr">
        <is>
          <t>GOTLAND</t>
        </is>
      </c>
      <c r="G243" t="n">
        <v>4.9</v>
      </c>
      <c r="H243" t="n">
        <v>0</v>
      </c>
      <c r="I243" t="n">
        <v>0</v>
      </c>
      <c r="J243" t="n">
        <v>0</v>
      </c>
      <c r="K243" t="n">
        <v>0</v>
      </c>
      <c r="L243" t="n">
        <v>0</v>
      </c>
      <c r="M243" t="n">
        <v>0</v>
      </c>
      <c r="N243" t="n">
        <v>0</v>
      </c>
      <c r="O243" t="n">
        <v>0</v>
      </c>
      <c r="P243" t="n">
        <v>0</v>
      </c>
      <c r="Q243" t="n">
        <v>0</v>
      </c>
      <c r="R243" s="2" t="inlineStr"/>
    </row>
    <row r="244" ht="15" customHeight="1">
      <c r="A244" t="inlineStr">
        <is>
          <t>A 57356-2023</t>
        </is>
      </c>
      <c r="B244" s="1" t="n">
        <v>45240</v>
      </c>
      <c r="C244" s="1" t="n">
        <v>46130</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10656-2024</t>
        </is>
      </c>
      <c r="B245" s="1" t="n">
        <v>45368</v>
      </c>
      <c r="C245" s="1" t="n">
        <v>46130</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18993-2025</t>
        </is>
      </c>
      <c r="B246" s="1" t="n">
        <v>45764</v>
      </c>
      <c r="C246" s="1" t="n">
        <v>46130</v>
      </c>
      <c r="D246" t="inlineStr">
        <is>
          <t>GOTLANDS LÄN</t>
        </is>
      </c>
      <c r="E246" t="inlineStr">
        <is>
          <t>GOTLAND</t>
        </is>
      </c>
      <c r="G246" t="n">
        <v>3</v>
      </c>
      <c r="H246" t="n">
        <v>0</v>
      </c>
      <c r="I246" t="n">
        <v>0</v>
      </c>
      <c r="J246" t="n">
        <v>0</v>
      </c>
      <c r="K246" t="n">
        <v>0</v>
      </c>
      <c r="L246" t="n">
        <v>0</v>
      </c>
      <c r="M246" t="n">
        <v>0</v>
      </c>
      <c r="N246" t="n">
        <v>0</v>
      </c>
      <c r="O246" t="n">
        <v>0</v>
      </c>
      <c r="P246" t="n">
        <v>0</v>
      </c>
      <c r="Q246" t="n">
        <v>0</v>
      </c>
      <c r="R246" s="2" t="inlineStr"/>
    </row>
    <row r="247" ht="15" customHeight="1">
      <c r="A247" t="inlineStr">
        <is>
          <t>A 44649-2021</t>
        </is>
      </c>
      <c r="B247" s="1" t="n">
        <v>44437</v>
      </c>
      <c r="C247" s="1" t="n">
        <v>46130</v>
      </c>
      <c r="D247" t="inlineStr">
        <is>
          <t>GOTLANDS LÄN</t>
        </is>
      </c>
      <c r="E247" t="inlineStr">
        <is>
          <t>GOTLAND</t>
        </is>
      </c>
      <c r="G247" t="n">
        <v>8.1</v>
      </c>
      <c r="H247" t="n">
        <v>0</v>
      </c>
      <c r="I247" t="n">
        <v>0</v>
      </c>
      <c r="J247" t="n">
        <v>0</v>
      </c>
      <c r="K247" t="n">
        <v>0</v>
      </c>
      <c r="L247" t="n">
        <v>0</v>
      </c>
      <c r="M247" t="n">
        <v>0</v>
      </c>
      <c r="N247" t="n">
        <v>0</v>
      </c>
      <c r="O247" t="n">
        <v>0</v>
      </c>
      <c r="P247" t="n">
        <v>0</v>
      </c>
      <c r="Q247" t="n">
        <v>0</v>
      </c>
      <c r="R247" s="2" t="inlineStr"/>
    </row>
    <row r="248" ht="15" customHeight="1">
      <c r="A248" t="inlineStr">
        <is>
          <t>A 28506-2023</t>
        </is>
      </c>
      <c r="B248" s="1" t="n">
        <v>45103</v>
      </c>
      <c r="C248" s="1" t="n">
        <v>46130</v>
      </c>
      <c r="D248" t="inlineStr">
        <is>
          <t>GOTLANDS LÄN</t>
        </is>
      </c>
      <c r="E248" t="inlineStr">
        <is>
          <t>GOTLAND</t>
        </is>
      </c>
      <c r="G248" t="n">
        <v>3.2</v>
      </c>
      <c r="H248" t="n">
        <v>0</v>
      </c>
      <c r="I248" t="n">
        <v>0</v>
      </c>
      <c r="J248" t="n">
        <v>0</v>
      </c>
      <c r="K248" t="n">
        <v>0</v>
      </c>
      <c r="L248" t="n">
        <v>0</v>
      </c>
      <c r="M248" t="n">
        <v>0</v>
      </c>
      <c r="N248" t="n">
        <v>0</v>
      </c>
      <c r="O248" t="n">
        <v>0</v>
      </c>
      <c r="P248" t="n">
        <v>0</v>
      </c>
      <c r="Q248" t="n">
        <v>0</v>
      </c>
      <c r="R248" s="2" t="inlineStr"/>
    </row>
    <row r="249" ht="15" customHeight="1">
      <c r="A249" t="inlineStr">
        <is>
          <t>A 21420-2024</t>
        </is>
      </c>
      <c r="B249" s="1" t="n">
        <v>45441.38293981482</v>
      </c>
      <c r="C249" s="1" t="n">
        <v>46130</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30135-2025</t>
        </is>
      </c>
      <c r="B250" s="1" t="n">
        <v>45826</v>
      </c>
      <c r="C250" s="1" t="n">
        <v>46130</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9947-2024</t>
        </is>
      </c>
      <c r="B251" s="1" t="n">
        <v>45363</v>
      </c>
      <c r="C251" s="1" t="n">
        <v>46130</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12599-2025</t>
        </is>
      </c>
      <c r="B252" s="1" t="n">
        <v>45733.29546296296</v>
      </c>
      <c r="C252" s="1" t="n">
        <v>46130</v>
      </c>
      <c r="D252" t="inlineStr">
        <is>
          <t>GOTLANDS LÄN</t>
        </is>
      </c>
      <c r="E252" t="inlineStr">
        <is>
          <t>GOTLAND</t>
        </is>
      </c>
      <c r="G252" t="n">
        <v>4.7</v>
      </c>
      <c r="H252" t="n">
        <v>0</v>
      </c>
      <c r="I252" t="n">
        <v>0</v>
      </c>
      <c r="J252" t="n">
        <v>0</v>
      </c>
      <c r="K252" t="n">
        <v>0</v>
      </c>
      <c r="L252" t="n">
        <v>0</v>
      </c>
      <c r="M252" t="n">
        <v>0</v>
      </c>
      <c r="N252" t="n">
        <v>0</v>
      </c>
      <c r="O252" t="n">
        <v>0</v>
      </c>
      <c r="P252" t="n">
        <v>0</v>
      </c>
      <c r="Q252" t="n">
        <v>0</v>
      </c>
      <c r="R252" s="2" t="inlineStr"/>
    </row>
    <row r="253" ht="15" customHeight="1">
      <c r="A253" t="inlineStr">
        <is>
          <t>A 23188-2025</t>
        </is>
      </c>
      <c r="B253" s="1" t="n">
        <v>45791</v>
      </c>
      <c r="C253" s="1" t="n">
        <v>46130</v>
      </c>
      <c r="D253" t="inlineStr">
        <is>
          <t>GOTLANDS LÄN</t>
        </is>
      </c>
      <c r="E253" t="inlineStr">
        <is>
          <t>GOTLAND</t>
        </is>
      </c>
      <c r="G253" t="n">
        <v>6.2</v>
      </c>
      <c r="H253" t="n">
        <v>0</v>
      </c>
      <c r="I253" t="n">
        <v>0</v>
      </c>
      <c r="J253" t="n">
        <v>0</v>
      </c>
      <c r="K253" t="n">
        <v>0</v>
      </c>
      <c r="L253" t="n">
        <v>0</v>
      </c>
      <c r="M253" t="n">
        <v>0</v>
      </c>
      <c r="N253" t="n">
        <v>0</v>
      </c>
      <c r="O253" t="n">
        <v>0</v>
      </c>
      <c r="P253" t="n">
        <v>0</v>
      </c>
      <c r="Q253" t="n">
        <v>0</v>
      </c>
      <c r="R253" s="2" t="inlineStr"/>
    </row>
    <row r="254" ht="15" customHeight="1">
      <c r="A254" t="inlineStr">
        <is>
          <t>A 35141-2025</t>
        </is>
      </c>
      <c r="B254" s="1" t="n">
        <v>45852.65206018519</v>
      </c>
      <c r="C254" s="1" t="n">
        <v>46130</v>
      </c>
      <c r="D254" t="inlineStr">
        <is>
          <t>GOTLANDS LÄN</t>
        </is>
      </c>
      <c r="E254" t="inlineStr">
        <is>
          <t>GOTLAND</t>
        </is>
      </c>
      <c r="G254" t="n">
        <v>1</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46130</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17682-2024</t>
        </is>
      </c>
      <c r="B256" s="1" t="n">
        <v>45418.42966435185</v>
      </c>
      <c r="C256" s="1" t="n">
        <v>46130</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57522-2022</t>
        </is>
      </c>
      <c r="B257" s="1" t="n">
        <v>44896</v>
      </c>
      <c r="C257" s="1" t="n">
        <v>46130</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23473-2025</t>
        </is>
      </c>
      <c r="B258" s="1" t="n">
        <v>45792</v>
      </c>
      <c r="C258" s="1" t="n">
        <v>46130</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27593-2023</t>
        </is>
      </c>
      <c r="B259" s="1" t="n">
        <v>45097</v>
      </c>
      <c r="C259" s="1" t="n">
        <v>46130</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39819-2025</t>
        </is>
      </c>
      <c r="B260" s="1" t="n">
        <v>45891.53418981482</v>
      </c>
      <c r="C260" s="1" t="n">
        <v>46130</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39814-2025</t>
        </is>
      </c>
      <c r="B261" s="1" t="n">
        <v>45891.52694444444</v>
      </c>
      <c r="C261" s="1" t="n">
        <v>46130</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23856-2025</t>
        </is>
      </c>
      <c r="B262" s="1" t="n">
        <v>45793</v>
      </c>
      <c r="C262" s="1" t="n">
        <v>46130</v>
      </c>
      <c r="D262" t="inlineStr">
        <is>
          <t>GOTLANDS LÄN</t>
        </is>
      </c>
      <c r="E262" t="inlineStr">
        <is>
          <t>GOTLAND</t>
        </is>
      </c>
      <c r="G262" t="n">
        <v>4.4</v>
      </c>
      <c r="H262" t="n">
        <v>0</v>
      </c>
      <c r="I262" t="n">
        <v>0</v>
      </c>
      <c r="J262" t="n">
        <v>0</v>
      </c>
      <c r="K262" t="n">
        <v>0</v>
      </c>
      <c r="L262" t="n">
        <v>0</v>
      </c>
      <c r="M262" t="n">
        <v>0</v>
      </c>
      <c r="N262" t="n">
        <v>0</v>
      </c>
      <c r="O262" t="n">
        <v>0</v>
      </c>
      <c r="P262" t="n">
        <v>0</v>
      </c>
      <c r="Q262" t="n">
        <v>0</v>
      </c>
      <c r="R262" s="2" t="inlineStr"/>
    </row>
    <row r="263" ht="15" customHeight="1">
      <c r="A263" t="inlineStr">
        <is>
          <t>A 39849-2025</t>
        </is>
      </c>
      <c r="B263" s="1" t="n">
        <v>45891.58502314815</v>
      </c>
      <c r="C263" s="1" t="n">
        <v>46130</v>
      </c>
      <c r="D263" t="inlineStr">
        <is>
          <t>GOTLANDS LÄN</t>
        </is>
      </c>
      <c r="E263" t="inlineStr">
        <is>
          <t>GOTLAND</t>
        </is>
      </c>
      <c r="G263" t="n">
        <v>6.1</v>
      </c>
      <c r="H263" t="n">
        <v>0</v>
      </c>
      <c r="I263" t="n">
        <v>0</v>
      </c>
      <c r="J263" t="n">
        <v>0</v>
      </c>
      <c r="K263" t="n">
        <v>0</v>
      </c>
      <c r="L263" t="n">
        <v>0</v>
      </c>
      <c r="M263" t="n">
        <v>0</v>
      </c>
      <c r="N263" t="n">
        <v>0</v>
      </c>
      <c r="O263" t="n">
        <v>0</v>
      </c>
      <c r="P263" t="n">
        <v>0</v>
      </c>
      <c r="Q263" t="n">
        <v>0</v>
      </c>
      <c r="R263" s="2" t="inlineStr"/>
    </row>
    <row r="264" ht="15" customHeight="1">
      <c r="A264" t="inlineStr">
        <is>
          <t>A 39752-2025</t>
        </is>
      </c>
      <c r="B264" s="1" t="n">
        <v>45891</v>
      </c>
      <c r="C264" s="1" t="n">
        <v>46130</v>
      </c>
      <c r="D264" t="inlineStr">
        <is>
          <t>GOTLANDS LÄN</t>
        </is>
      </c>
      <c r="E264" t="inlineStr">
        <is>
          <t>GOTLAND</t>
        </is>
      </c>
      <c r="G264" t="n">
        <v>5.3</v>
      </c>
      <c r="H264" t="n">
        <v>0</v>
      </c>
      <c r="I264" t="n">
        <v>0</v>
      </c>
      <c r="J264" t="n">
        <v>0</v>
      </c>
      <c r="K264" t="n">
        <v>0</v>
      </c>
      <c r="L264" t="n">
        <v>0</v>
      </c>
      <c r="M264" t="n">
        <v>0</v>
      </c>
      <c r="N264" t="n">
        <v>0</v>
      </c>
      <c r="O264" t="n">
        <v>0</v>
      </c>
      <c r="P264" t="n">
        <v>0</v>
      </c>
      <c r="Q264" t="n">
        <v>0</v>
      </c>
      <c r="R264" s="2" t="inlineStr"/>
    </row>
    <row r="265" ht="15" customHeight="1">
      <c r="A265" t="inlineStr">
        <is>
          <t>A 15073-2025</t>
        </is>
      </c>
      <c r="B265" s="1" t="n">
        <v>45743</v>
      </c>
      <c r="C265" s="1" t="n">
        <v>46130</v>
      </c>
      <c r="D265" t="inlineStr">
        <is>
          <t>GOTLANDS LÄN</t>
        </is>
      </c>
      <c r="E265" t="inlineStr">
        <is>
          <t>GOTLAND</t>
        </is>
      </c>
      <c r="G265" t="n">
        <v>12.1</v>
      </c>
      <c r="H265" t="n">
        <v>0</v>
      </c>
      <c r="I265" t="n">
        <v>0</v>
      </c>
      <c r="J265" t="n">
        <v>0</v>
      </c>
      <c r="K265" t="n">
        <v>0</v>
      </c>
      <c r="L265" t="n">
        <v>0</v>
      </c>
      <c r="M265" t="n">
        <v>0</v>
      </c>
      <c r="N265" t="n">
        <v>0</v>
      </c>
      <c r="O265" t="n">
        <v>0</v>
      </c>
      <c r="P265" t="n">
        <v>0</v>
      </c>
      <c r="Q265" t="n">
        <v>0</v>
      </c>
      <c r="R265" s="2" t="inlineStr"/>
    </row>
    <row r="266" ht="15" customHeight="1">
      <c r="A266" t="inlineStr">
        <is>
          <t>A 63516-2023</t>
        </is>
      </c>
      <c r="B266" s="1" t="n">
        <v>45274</v>
      </c>
      <c r="C266" s="1" t="n">
        <v>46130</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39816-2025</t>
        </is>
      </c>
      <c r="B267" s="1" t="n">
        <v>45891</v>
      </c>
      <c r="C267" s="1" t="n">
        <v>46130</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40103-2025</t>
        </is>
      </c>
      <c r="B268" s="1" t="n">
        <v>45894.4880324074</v>
      </c>
      <c r="C268" s="1" t="n">
        <v>46130</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40373-2025</t>
        </is>
      </c>
      <c r="B269" s="1" t="n">
        <v>45895.51821759259</v>
      </c>
      <c r="C269" s="1" t="n">
        <v>46130</v>
      </c>
      <c r="D269" t="inlineStr">
        <is>
          <t>GOTLANDS LÄN</t>
        </is>
      </c>
      <c r="E269" t="inlineStr">
        <is>
          <t>GOTLAND</t>
        </is>
      </c>
      <c r="G269" t="n">
        <v>0.6</v>
      </c>
      <c r="H269" t="n">
        <v>0</v>
      </c>
      <c r="I269" t="n">
        <v>0</v>
      </c>
      <c r="J269" t="n">
        <v>0</v>
      </c>
      <c r="K269" t="n">
        <v>0</v>
      </c>
      <c r="L269" t="n">
        <v>0</v>
      </c>
      <c r="M269" t="n">
        <v>0</v>
      </c>
      <c r="N269" t="n">
        <v>0</v>
      </c>
      <c r="O269" t="n">
        <v>0</v>
      </c>
      <c r="P269" t="n">
        <v>0</v>
      </c>
      <c r="Q269" t="n">
        <v>0</v>
      </c>
      <c r="R269" s="2" t="inlineStr"/>
    </row>
    <row r="270" ht="15" customHeight="1">
      <c r="A270" t="inlineStr">
        <is>
          <t>A 40499-2025</t>
        </is>
      </c>
      <c r="B270" s="1" t="n">
        <v>45896.32517361111</v>
      </c>
      <c r="C270" s="1" t="n">
        <v>46130</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46130</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6749-2025</t>
        </is>
      </c>
      <c r="B272" s="1" t="n">
        <v>45700</v>
      </c>
      <c r="C272" s="1" t="n">
        <v>46130</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24001-2021</t>
        </is>
      </c>
      <c r="B273" s="1" t="n">
        <v>44335</v>
      </c>
      <c r="C273" s="1" t="n">
        <v>46130</v>
      </c>
      <c r="D273" t="inlineStr">
        <is>
          <t>GOTLANDS LÄN</t>
        </is>
      </c>
      <c r="E273" t="inlineStr">
        <is>
          <t>GOTLAND</t>
        </is>
      </c>
      <c r="G273" t="n">
        <v>3.4</v>
      </c>
      <c r="H273" t="n">
        <v>0</v>
      </c>
      <c r="I273" t="n">
        <v>0</v>
      </c>
      <c r="J273" t="n">
        <v>0</v>
      </c>
      <c r="K273" t="n">
        <v>0</v>
      </c>
      <c r="L273" t="n">
        <v>0</v>
      </c>
      <c r="M273" t="n">
        <v>0</v>
      </c>
      <c r="N273" t="n">
        <v>0</v>
      </c>
      <c r="O273" t="n">
        <v>0</v>
      </c>
      <c r="P273" t="n">
        <v>0</v>
      </c>
      <c r="Q273" t="n">
        <v>0</v>
      </c>
      <c r="R273" s="2" t="inlineStr"/>
    </row>
    <row r="274" ht="15" customHeight="1">
      <c r="A274" t="inlineStr">
        <is>
          <t>A 23698-2025</t>
        </is>
      </c>
      <c r="B274" s="1" t="n">
        <v>45793</v>
      </c>
      <c r="C274" s="1" t="n">
        <v>46130</v>
      </c>
      <c r="D274" t="inlineStr">
        <is>
          <t>GOTLANDS LÄN</t>
        </is>
      </c>
      <c r="E274" t="inlineStr">
        <is>
          <t>GOTLAND</t>
        </is>
      </c>
      <c r="G274" t="n">
        <v>0.8</v>
      </c>
      <c r="H274" t="n">
        <v>0</v>
      </c>
      <c r="I274" t="n">
        <v>0</v>
      </c>
      <c r="J274" t="n">
        <v>0</v>
      </c>
      <c r="K274" t="n">
        <v>0</v>
      </c>
      <c r="L274" t="n">
        <v>0</v>
      </c>
      <c r="M274" t="n">
        <v>0</v>
      </c>
      <c r="N274" t="n">
        <v>0</v>
      </c>
      <c r="O274" t="n">
        <v>0</v>
      </c>
      <c r="P274" t="n">
        <v>0</v>
      </c>
      <c r="Q274" t="n">
        <v>0</v>
      </c>
      <c r="R274" s="2" t="inlineStr"/>
    </row>
    <row r="275" ht="15" customHeight="1">
      <c r="A275" t="inlineStr">
        <is>
          <t>A 39278-2025</t>
        </is>
      </c>
      <c r="B275" s="1" t="n">
        <v>45889</v>
      </c>
      <c r="C275" s="1" t="n">
        <v>46130</v>
      </c>
      <c r="D275" t="inlineStr">
        <is>
          <t>GOTLANDS LÄN</t>
        </is>
      </c>
      <c r="E275" t="inlineStr">
        <is>
          <t>GOTLAND</t>
        </is>
      </c>
      <c r="G275" t="n">
        <v>3.7</v>
      </c>
      <c r="H275" t="n">
        <v>0</v>
      </c>
      <c r="I275" t="n">
        <v>0</v>
      </c>
      <c r="J275" t="n">
        <v>0</v>
      </c>
      <c r="K275" t="n">
        <v>0</v>
      </c>
      <c r="L275" t="n">
        <v>0</v>
      </c>
      <c r="M275" t="n">
        <v>0</v>
      </c>
      <c r="N275" t="n">
        <v>0</v>
      </c>
      <c r="O275" t="n">
        <v>0</v>
      </c>
      <c r="P275" t="n">
        <v>0</v>
      </c>
      <c r="Q275" t="n">
        <v>0</v>
      </c>
      <c r="R275" s="2" t="inlineStr"/>
    </row>
    <row r="276" ht="15" customHeight="1">
      <c r="A276" t="inlineStr">
        <is>
          <t>A 30365-2024</t>
        </is>
      </c>
      <c r="B276" s="1" t="n">
        <v>45491.3716087963</v>
      </c>
      <c r="C276" s="1" t="n">
        <v>46130</v>
      </c>
      <c r="D276" t="inlineStr">
        <is>
          <t>GOTLANDS LÄN</t>
        </is>
      </c>
      <c r="E276" t="inlineStr">
        <is>
          <t>GOTLAND</t>
        </is>
      </c>
      <c r="G276" t="n">
        <v>0.5</v>
      </c>
      <c r="H276" t="n">
        <v>0</v>
      </c>
      <c r="I276" t="n">
        <v>0</v>
      </c>
      <c r="J276" t="n">
        <v>0</v>
      </c>
      <c r="K276" t="n">
        <v>0</v>
      </c>
      <c r="L276" t="n">
        <v>0</v>
      </c>
      <c r="M276" t="n">
        <v>0</v>
      </c>
      <c r="N276" t="n">
        <v>0</v>
      </c>
      <c r="O276" t="n">
        <v>0</v>
      </c>
      <c r="P276" t="n">
        <v>0</v>
      </c>
      <c r="Q276" t="n">
        <v>0</v>
      </c>
      <c r="R276" s="2" t="inlineStr"/>
    </row>
    <row r="277" ht="15" customHeight="1">
      <c r="A277" t="inlineStr">
        <is>
          <t>A 1681-2023</t>
        </is>
      </c>
      <c r="B277" s="1" t="n">
        <v>44938.39715277778</v>
      </c>
      <c r="C277" s="1" t="n">
        <v>46130</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52637-2025</t>
        </is>
      </c>
      <c r="B278" s="1" t="n">
        <v>45954.75099537037</v>
      </c>
      <c r="C278" s="1" t="n">
        <v>46130</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41435-2025</t>
        </is>
      </c>
      <c r="B279" s="1" t="n">
        <v>45901.39974537037</v>
      </c>
      <c r="C279" s="1" t="n">
        <v>46130</v>
      </c>
      <c r="D279" t="inlineStr">
        <is>
          <t>GOTLANDS LÄN</t>
        </is>
      </c>
      <c r="E279" t="inlineStr">
        <is>
          <t>GOTLAND</t>
        </is>
      </c>
      <c r="G279" t="n">
        <v>4.9</v>
      </c>
      <c r="H279" t="n">
        <v>0</v>
      </c>
      <c r="I279" t="n">
        <v>0</v>
      </c>
      <c r="J279" t="n">
        <v>0</v>
      </c>
      <c r="K279" t="n">
        <v>0</v>
      </c>
      <c r="L279" t="n">
        <v>0</v>
      </c>
      <c r="M279" t="n">
        <v>0</v>
      </c>
      <c r="N279" t="n">
        <v>0</v>
      </c>
      <c r="O279" t="n">
        <v>0</v>
      </c>
      <c r="P279" t="n">
        <v>0</v>
      </c>
      <c r="Q279" t="n">
        <v>0</v>
      </c>
      <c r="R279" s="2" t="inlineStr"/>
    </row>
    <row r="280" ht="15" customHeight="1">
      <c r="A280" t="inlineStr">
        <is>
          <t>A 6099-2024</t>
        </is>
      </c>
      <c r="B280" s="1" t="n">
        <v>45337</v>
      </c>
      <c r="C280" s="1" t="n">
        <v>46130</v>
      </c>
      <c r="D280" t="inlineStr">
        <is>
          <t>GOTLANDS LÄN</t>
        </is>
      </c>
      <c r="E280" t="inlineStr">
        <is>
          <t>GOTLAND</t>
        </is>
      </c>
      <c r="G280" t="n">
        <v>12.6</v>
      </c>
      <c r="H280" t="n">
        <v>0</v>
      </c>
      <c r="I280" t="n">
        <v>0</v>
      </c>
      <c r="J280" t="n">
        <v>0</v>
      </c>
      <c r="K280" t="n">
        <v>0</v>
      </c>
      <c r="L280" t="n">
        <v>0</v>
      </c>
      <c r="M280" t="n">
        <v>0</v>
      </c>
      <c r="N280" t="n">
        <v>0</v>
      </c>
      <c r="O280" t="n">
        <v>0</v>
      </c>
      <c r="P280" t="n">
        <v>0</v>
      </c>
      <c r="Q280" t="n">
        <v>0</v>
      </c>
      <c r="R280" s="2" t="inlineStr"/>
    </row>
    <row r="281" ht="15" customHeight="1">
      <c r="A281" t="inlineStr">
        <is>
          <t>A 1273-2023</t>
        </is>
      </c>
      <c r="B281" s="1" t="n">
        <v>44936</v>
      </c>
      <c r="C281" s="1" t="n">
        <v>46130</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5462-2025</t>
        </is>
      </c>
      <c r="B282" s="1" t="n">
        <v>45693.29331018519</v>
      </c>
      <c r="C282" s="1" t="n">
        <v>46130</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41551-2025</t>
        </is>
      </c>
      <c r="B283" s="1" t="n">
        <v>45901.58854166666</v>
      </c>
      <c r="C283" s="1" t="n">
        <v>46130</v>
      </c>
      <c r="D283" t="inlineStr">
        <is>
          <t>GOTLANDS LÄN</t>
        </is>
      </c>
      <c r="E283" t="inlineStr">
        <is>
          <t>GOTLAND</t>
        </is>
      </c>
      <c r="G283" t="n">
        <v>5.6</v>
      </c>
      <c r="H283" t="n">
        <v>0</v>
      </c>
      <c r="I283" t="n">
        <v>0</v>
      </c>
      <c r="J283" t="n">
        <v>0</v>
      </c>
      <c r="K283" t="n">
        <v>0</v>
      </c>
      <c r="L283" t="n">
        <v>0</v>
      </c>
      <c r="M283" t="n">
        <v>0</v>
      </c>
      <c r="N283" t="n">
        <v>0</v>
      </c>
      <c r="O283" t="n">
        <v>0</v>
      </c>
      <c r="P283" t="n">
        <v>0</v>
      </c>
      <c r="Q283" t="n">
        <v>0</v>
      </c>
      <c r="R283" s="2" t="inlineStr"/>
    </row>
    <row r="284" ht="15" customHeight="1">
      <c r="A284" t="inlineStr">
        <is>
          <t>A 58780-2024</t>
        </is>
      </c>
      <c r="B284" s="1" t="n">
        <v>45635.84113425926</v>
      </c>
      <c r="C284" s="1" t="n">
        <v>46130</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45692-2023</t>
        </is>
      </c>
      <c r="B285" s="1" t="n">
        <v>45195</v>
      </c>
      <c r="C285" s="1" t="n">
        <v>46130</v>
      </c>
      <c r="D285" t="inlineStr">
        <is>
          <t>GOTLANDS LÄN</t>
        </is>
      </c>
      <c r="E285" t="inlineStr">
        <is>
          <t>GOTLAND</t>
        </is>
      </c>
      <c r="G285" t="n">
        <v>5.3</v>
      </c>
      <c r="H285" t="n">
        <v>0</v>
      </c>
      <c r="I285" t="n">
        <v>0</v>
      </c>
      <c r="J285" t="n">
        <v>0</v>
      </c>
      <c r="K285" t="n">
        <v>0</v>
      </c>
      <c r="L285" t="n">
        <v>0</v>
      </c>
      <c r="M285" t="n">
        <v>0</v>
      </c>
      <c r="N285" t="n">
        <v>0</v>
      </c>
      <c r="O285" t="n">
        <v>0</v>
      </c>
      <c r="P285" t="n">
        <v>0</v>
      </c>
      <c r="Q285" t="n">
        <v>0</v>
      </c>
      <c r="R285" s="2" t="inlineStr"/>
    </row>
    <row r="286" ht="15" customHeight="1">
      <c r="A286" t="inlineStr">
        <is>
          <t>A 33876-2024</t>
        </is>
      </c>
      <c r="B286" s="1" t="n">
        <v>45521.87988425926</v>
      </c>
      <c r="C286" s="1" t="n">
        <v>46130</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25796-2025</t>
        </is>
      </c>
      <c r="B287" s="1" t="n">
        <v>45804.39543981481</v>
      </c>
      <c r="C287" s="1" t="n">
        <v>46130</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28285-2024</t>
        </is>
      </c>
      <c r="B288" s="1" t="n">
        <v>45477</v>
      </c>
      <c r="C288" s="1" t="n">
        <v>46130</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61100-2022</t>
        </is>
      </c>
      <c r="B289" s="1" t="n">
        <v>44915</v>
      </c>
      <c r="C289" s="1" t="n">
        <v>46130</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61682-2024</t>
        </is>
      </c>
      <c r="B290" s="1" t="n">
        <v>45647.48824074074</v>
      </c>
      <c r="C290" s="1" t="n">
        <v>46130</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42608-2025</t>
        </is>
      </c>
      <c r="B291" s="1" t="n">
        <v>45905</v>
      </c>
      <c r="C291" s="1" t="n">
        <v>46130</v>
      </c>
      <c r="D291" t="inlineStr">
        <is>
          <t>GOTLANDS LÄN</t>
        </is>
      </c>
      <c r="E291" t="inlineStr">
        <is>
          <t>GOTLAND</t>
        </is>
      </c>
      <c r="G291" t="n">
        <v>1.3</v>
      </c>
      <c r="H291" t="n">
        <v>0</v>
      </c>
      <c r="I291" t="n">
        <v>0</v>
      </c>
      <c r="J291" t="n">
        <v>0</v>
      </c>
      <c r="K291" t="n">
        <v>0</v>
      </c>
      <c r="L291" t="n">
        <v>0</v>
      </c>
      <c r="M291" t="n">
        <v>0</v>
      </c>
      <c r="N291" t="n">
        <v>0</v>
      </c>
      <c r="O291" t="n">
        <v>0</v>
      </c>
      <c r="P291" t="n">
        <v>0</v>
      </c>
      <c r="Q291" t="n">
        <v>0</v>
      </c>
      <c r="R291" s="2" t="inlineStr"/>
    </row>
    <row r="292" ht="15" customHeight="1">
      <c r="A292" t="inlineStr">
        <is>
          <t>A 16373-2025</t>
        </is>
      </c>
      <c r="B292" s="1" t="n">
        <v>45751</v>
      </c>
      <c r="C292" s="1" t="n">
        <v>46130</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26457-2025</t>
        </is>
      </c>
      <c r="B293" s="1" t="n">
        <v>45807.42773148148</v>
      </c>
      <c r="C293" s="1" t="n">
        <v>46130</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26467-2025</t>
        </is>
      </c>
      <c r="B294" s="1" t="n">
        <v>45807.44640046296</v>
      </c>
      <c r="C294" s="1" t="n">
        <v>46130</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26465-2025</t>
        </is>
      </c>
      <c r="B295" s="1" t="n">
        <v>45807.44377314814</v>
      </c>
      <c r="C295" s="1" t="n">
        <v>46130</v>
      </c>
      <c r="D295" t="inlineStr">
        <is>
          <t>GOTLANDS LÄN</t>
        </is>
      </c>
      <c r="E295" t="inlineStr">
        <is>
          <t>GOTLAND</t>
        </is>
      </c>
      <c r="G295" t="n">
        <v>4.5</v>
      </c>
      <c r="H295" t="n">
        <v>0</v>
      </c>
      <c r="I295" t="n">
        <v>0</v>
      </c>
      <c r="J295" t="n">
        <v>0</v>
      </c>
      <c r="K295" t="n">
        <v>0</v>
      </c>
      <c r="L295" t="n">
        <v>0</v>
      </c>
      <c r="M295" t="n">
        <v>0</v>
      </c>
      <c r="N295" t="n">
        <v>0</v>
      </c>
      <c r="O295" t="n">
        <v>0</v>
      </c>
      <c r="P295" t="n">
        <v>0</v>
      </c>
      <c r="Q295" t="n">
        <v>0</v>
      </c>
      <c r="R295" s="2" t="inlineStr"/>
    </row>
    <row r="296" ht="15" customHeight="1">
      <c r="A296" t="inlineStr">
        <is>
          <t>A 26660-2025</t>
        </is>
      </c>
      <c r="B296" s="1" t="n">
        <v>45810.39737268518</v>
      </c>
      <c r="C296" s="1" t="n">
        <v>46130</v>
      </c>
      <c r="D296" t="inlineStr">
        <is>
          <t>GOTLANDS LÄN</t>
        </is>
      </c>
      <c r="E296" t="inlineStr">
        <is>
          <t>GOTLAND</t>
        </is>
      </c>
      <c r="G296" t="n">
        <v>1.8</v>
      </c>
      <c r="H296" t="n">
        <v>0</v>
      </c>
      <c r="I296" t="n">
        <v>0</v>
      </c>
      <c r="J296" t="n">
        <v>0</v>
      </c>
      <c r="K296" t="n">
        <v>0</v>
      </c>
      <c r="L296" t="n">
        <v>0</v>
      </c>
      <c r="M296" t="n">
        <v>0</v>
      </c>
      <c r="N296" t="n">
        <v>0</v>
      </c>
      <c r="O296" t="n">
        <v>0</v>
      </c>
      <c r="P296" t="n">
        <v>0</v>
      </c>
      <c r="Q296" t="n">
        <v>0</v>
      </c>
      <c r="R296" s="2" t="inlineStr"/>
    </row>
    <row r="297" ht="15" customHeight="1">
      <c r="A297" t="inlineStr">
        <is>
          <t>A 58388-2022</t>
        </is>
      </c>
      <c r="B297" s="1" t="n">
        <v>44894</v>
      </c>
      <c r="C297" s="1" t="n">
        <v>46130</v>
      </c>
      <c r="D297" t="inlineStr">
        <is>
          <t>GOTLANDS LÄN</t>
        </is>
      </c>
      <c r="E297" t="inlineStr">
        <is>
          <t>GOTLAND</t>
        </is>
      </c>
      <c r="F297" t="inlineStr">
        <is>
          <t>Övriga statliga verk och myndigheter</t>
        </is>
      </c>
      <c r="G297" t="n">
        <v>3.1</v>
      </c>
      <c r="H297" t="n">
        <v>0</v>
      </c>
      <c r="I297" t="n">
        <v>0</v>
      </c>
      <c r="J297" t="n">
        <v>0</v>
      </c>
      <c r="K297" t="n">
        <v>0</v>
      </c>
      <c r="L297" t="n">
        <v>0</v>
      </c>
      <c r="M297" t="n">
        <v>0</v>
      </c>
      <c r="N297" t="n">
        <v>0</v>
      </c>
      <c r="O297" t="n">
        <v>0</v>
      </c>
      <c r="P297" t="n">
        <v>0</v>
      </c>
      <c r="Q297" t="n">
        <v>0</v>
      </c>
      <c r="R297" s="2" t="inlineStr"/>
    </row>
    <row r="298" ht="15" customHeight="1">
      <c r="A298" t="inlineStr">
        <is>
          <t>A 10158-2025</t>
        </is>
      </c>
      <c r="B298" s="1" t="n">
        <v>45719</v>
      </c>
      <c r="C298" s="1" t="n">
        <v>46130</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53569-2025</t>
        </is>
      </c>
      <c r="B299" s="1" t="n">
        <v>45960.41155092593</v>
      </c>
      <c r="C299" s="1" t="n">
        <v>46130</v>
      </c>
      <c r="D299" t="inlineStr">
        <is>
          <t>GOTLANDS LÄN</t>
        </is>
      </c>
      <c r="E299" t="inlineStr">
        <is>
          <t>GOTLAND</t>
        </is>
      </c>
      <c r="F299" t="inlineStr">
        <is>
          <t>Övriga Aktiebolag</t>
        </is>
      </c>
      <c r="G299" t="n">
        <v>11.3</v>
      </c>
      <c r="H299" t="n">
        <v>0</v>
      </c>
      <c r="I299" t="n">
        <v>0</v>
      </c>
      <c r="J299" t="n">
        <v>0</v>
      </c>
      <c r="K299" t="n">
        <v>0</v>
      </c>
      <c r="L299" t="n">
        <v>0</v>
      </c>
      <c r="M299" t="n">
        <v>0</v>
      </c>
      <c r="N299" t="n">
        <v>0</v>
      </c>
      <c r="O299" t="n">
        <v>0</v>
      </c>
      <c r="P299" t="n">
        <v>0</v>
      </c>
      <c r="Q299" t="n">
        <v>0</v>
      </c>
      <c r="R299" s="2" t="inlineStr"/>
    </row>
    <row r="300" ht="15" customHeight="1">
      <c r="A300" t="inlineStr">
        <is>
          <t>A 53577-2025</t>
        </is>
      </c>
      <c r="B300" s="1" t="n">
        <v>45960.42224537037</v>
      </c>
      <c r="C300" s="1" t="n">
        <v>46130</v>
      </c>
      <c r="D300" t="inlineStr">
        <is>
          <t>GOTLANDS LÄN</t>
        </is>
      </c>
      <c r="E300" t="inlineStr">
        <is>
          <t>GOTLAND</t>
        </is>
      </c>
      <c r="F300" t="inlineStr">
        <is>
          <t>Övriga Aktiebolag</t>
        </is>
      </c>
      <c r="G300" t="n">
        <v>3.3</v>
      </c>
      <c r="H300" t="n">
        <v>0</v>
      </c>
      <c r="I300" t="n">
        <v>0</v>
      </c>
      <c r="J300" t="n">
        <v>0</v>
      </c>
      <c r="K300" t="n">
        <v>0</v>
      </c>
      <c r="L300" t="n">
        <v>0</v>
      </c>
      <c r="M300" t="n">
        <v>0</v>
      </c>
      <c r="N300" t="n">
        <v>0</v>
      </c>
      <c r="O300" t="n">
        <v>0</v>
      </c>
      <c r="P300" t="n">
        <v>0</v>
      </c>
      <c r="Q300" t="n">
        <v>0</v>
      </c>
      <c r="R300" s="2" t="inlineStr"/>
    </row>
    <row r="301" ht="15" customHeight="1">
      <c r="A301" t="inlineStr">
        <is>
          <t>A 21792-2024</t>
        </is>
      </c>
      <c r="B301" s="1" t="n">
        <v>45442.64326388889</v>
      </c>
      <c r="C301" s="1" t="n">
        <v>46130</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43911-2025</t>
        </is>
      </c>
      <c r="B302" s="1" t="n">
        <v>45914.3881712963</v>
      </c>
      <c r="C302" s="1" t="n">
        <v>46130</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44410-2025</t>
        </is>
      </c>
      <c r="B303" s="1" t="n">
        <v>45916.53699074074</v>
      </c>
      <c r="C303" s="1" t="n">
        <v>46130</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43951-2025</t>
        </is>
      </c>
      <c r="B304" s="1" t="n">
        <v>45915.38119212963</v>
      </c>
      <c r="C304" s="1" t="n">
        <v>46130</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44405-2025</t>
        </is>
      </c>
      <c r="B305" s="1" t="n">
        <v>45916.52405092592</v>
      </c>
      <c r="C305" s="1" t="n">
        <v>46130</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27371-2025</t>
        </is>
      </c>
      <c r="B306" s="1" t="n">
        <v>45812</v>
      </c>
      <c r="C306" s="1" t="n">
        <v>46130</v>
      </c>
      <c r="D306" t="inlineStr">
        <is>
          <t>GOTLANDS LÄN</t>
        </is>
      </c>
      <c r="E306" t="inlineStr">
        <is>
          <t>GOTLAND</t>
        </is>
      </c>
      <c r="G306" t="n">
        <v>8</v>
      </c>
      <c r="H306" t="n">
        <v>0</v>
      </c>
      <c r="I306" t="n">
        <v>0</v>
      </c>
      <c r="J306" t="n">
        <v>0</v>
      </c>
      <c r="K306" t="n">
        <v>0</v>
      </c>
      <c r="L306" t="n">
        <v>0</v>
      </c>
      <c r="M306" t="n">
        <v>0</v>
      </c>
      <c r="N306" t="n">
        <v>0</v>
      </c>
      <c r="O306" t="n">
        <v>0</v>
      </c>
      <c r="P306" t="n">
        <v>0</v>
      </c>
      <c r="Q306" t="n">
        <v>0</v>
      </c>
      <c r="R306" s="2" t="inlineStr"/>
    </row>
    <row r="307" ht="15" customHeight="1">
      <c r="A307" t="inlineStr">
        <is>
          <t>A 27355-2025</t>
        </is>
      </c>
      <c r="B307" s="1" t="n">
        <v>45812</v>
      </c>
      <c r="C307" s="1" t="n">
        <v>46130</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6739-2025</t>
        </is>
      </c>
      <c r="B308" s="1" t="n">
        <v>45700</v>
      </c>
      <c r="C308" s="1" t="n">
        <v>46130</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7850-2025</t>
        </is>
      </c>
      <c r="B309" s="1" t="n">
        <v>45706</v>
      </c>
      <c r="C309" s="1" t="n">
        <v>46130</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17688-2024</t>
        </is>
      </c>
      <c r="B310" s="1" t="n">
        <v>45418.43575231481</v>
      </c>
      <c r="C310" s="1" t="n">
        <v>46130</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7837-2024</t>
        </is>
      </c>
      <c r="B311" s="1" t="n">
        <v>45349.83787037037</v>
      </c>
      <c r="C311" s="1" t="n">
        <v>46130</v>
      </c>
      <c r="D311" t="inlineStr">
        <is>
          <t>GOTLANDS LÄN</t>
        </is>
      </c>
      <c r="E311" t="inlineStr">
        <is>
          <t>GOTLAND</t>
        </is>
      </c>
      <c r="G311" t="n">
        <v>5</v>
      </c>
      <c r="H311" t="n">
        <v>0</v>
      </c>
      <c r="I311" t="n">
        <v>0</v>
      </c>
      <c r="J311" t="n">
        <v>0</v>
      </c>
      <c r="K311" t="n">
        <v>0</v>
      </c>
      <c r="L311" t="n">
        <v>0</v>
      </c>
      <c r="M311" t="n">
        <v>0</v>
      </c>
      <c r="N311" t="n">
        <v>0</v>
      </c>
      <c r="O311" t="n">
        <v>0</v>
      </c>
      <c r="P311" t="n">
        <v>0</v>
      </c>
      <c r="Q311" t="n">
        <v>0</v>
      </c>
      <c r="R311" s="2" t="inlineStr"/>
    </row>
    <row r="312" ht="15" customHeight="1">
      <c r="A312" t="inlineStr">
        <is>
          <t>A 8444-2025</t>
        </is>
      </c>
      <c r="B312" s="1" t="n">
        <v>45709</v>
      </c>
      <c r="C312" s="1" t="n">
        <v>46130</v>
      </c>
      <c r="D312" t="inlineStr">
        <is>
          <t>GOTLANDS LÄN</t>
        </is>
      </c>
      <c r="E312" t="inlineStr">
        <is>
          <t>GOTLAND</t>
        </is>
      </c>
      <c r="G312" t="n">
        <v>5.2</v>
      </c>
      <c r="H312" t="n">
        <v>0</v>
      </c>
      <c r="I312" t="n">
        <v>0</v>
      </c>
      <c r="J312" t="n">
        <v>0</v>
      </c>
      <c r="K312" t="n">
        <v>0</v>
      </c>
      <c r="L312" t="n">
        <v>0</v>
      </c>
      <c r="M312" t="n">
        <v>0</v>
      </c>
      <c r="N312" t="n">
        <v>0</v>
      </c>
      <c r="O312" t="n">
        <v>0</v>
      </c>
      <c r="P312" t="n">
        <v>0</v>
      </c>
      <c r="Q312" t="n">
        <v>0</v>
      </c>
      <c r="R312" s="2" t="inlineStr"/>
    </row>
    <row r="313" ht="15" customHeight="1">
      <c r="A313" t="inlineStr">
        <is>
          <t>A 4568-2025</t>
        </is>
      </c>
      <c r="B313" s="1" t="n">
        <v>45687</v>
      </c>
      <c r="C313" s="1" t="n">
        <v>46130</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35512-2023</t>
        </is>
      </c>
      <c r="B314" s="1" t="n">
        <v>45147.25623842593</v>
      </c>
      <c r="C314" s="1" t="n">
        <v>46130</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5905-2024</t>
        </is>
      </c>
      <c r="B315" s="1" t="n">
        <v>45335.88993055555</v>
      </c>
      <c r="C315" s="1" t="n">
        <v>46130</v>
      </c>
      <c r="D315" t="inlineStr">
        <is>
          <t>GOTLANDS LÄN</t>
        </is>
      </c>
      <c r="E315" t="inlineStr">
        <is>
          <t>GOTLAND</t>
        </is>
      </c>
      <c r="G315" t="n">
        <v>3</v>
      </c>
      <c r="H315" t="n">
        <v>0</v>
      </c>
      <c r="I315" t="n">
        <v>0</v>
      </c>
      <c r="J315" t="n">
        <v>0</v>
      </c>
      <c r="K315" t="n">
        <v>0</v>
      </c>
      <c r="L315" t="n">
        <v>0</v>
      </c>
      <c r="M315" t="n">
        <v>0</v>
      </c>
      <c r="N315" t="n">
        <v>0</v>
      </c>
      <c r="O315" t="n">
        <v>0</v>
      </c>
      <c r="P315" t="n">
        <v>0</v>
      </c>
      <c r="Q315" t="n">
        <v>0</v>
      </c>
      <c r="R315" s="2" t="inlineStr"/>
    </row>
    <row r="316" ht="15" customHeight="1">
      <c r="A316" t="inlineStr">
        <is>
          <t>A 26391-2025</t>
        </is>
      </c>
      <c r="B316" s="1" t="n">
        <v>45806</v>
      </c>
      <c r="C316" s="1" t="n">
        <v>46130</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19905-2025</t>
        </is>
      </c>
      <c r="B317" s="1" t="n">
        <v>45771</v>
      </c>
      <c r="C317" s="1" t="n">
        <v>46130</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46130</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1291-2023</t>
        </is>
      </c>
      <c r="B319" s="1" t="n">
        <v>44936.47561342592</v>
      </c>
      <c r="C319" s="1" t="n">
        <v>46130</v>
      </c>
      <c r="D319" t="inlineStr">
        <is>
          <t>GOTLANDS LÄN</t>
        </is>
      </c>
      <c r="E319" t="inlineStr">
        <is>
          <t>GOTLAND</t>
        </is>
      </c>
      <c r="G319" t="n">
        <v>7.4</v>
      </c>
      <c r="H319" t="n">
        <v>0</v>
      </c>
      <c r="I319" t="n">
        <v>0</v>
      </c>
      <c r="J319" t="n">
        <v>0</v>
      </c>
      <c r="K319" t="n">
        <v>0</v>
      </c>
      <c r="L319" t="n">
        <v>0</v>
      </c>
      <c r="M319" t="n">
        <v>0</v>
      </c>
      <c r="N319" t="n">
        <v>0</v>
      </c>
      <c r="O319" t="n">
        <v>0</v>
      </c>
      <c r="P319" t="n">
        <v>0</v>
      </c>
      <c r="Q319" t="n">
        <v>0</v>
      </c>
      <c r="R319" s="2" t="inlineStr"/>
    </row>
    <row r="320" ht="15" customHeight="1">
      <c r="A320" t="inlineStr">
        <is>
          <t>A 29207-2025</t>
        </is>
      </c>
      <c r="B320" s="1" t="n">
        <v>45823</v>
      </c>
      <c r="C320" s="1" t="n">
        <v>46130</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46836-2025</t>
        </is>
      </c>
      <c r="B321" s="1" t="n">
        <v>45928.31511574074</v>
      </c>
      <c r="C321" s="1" t="n">
        <v>46130</v>
      </c>
      <c r="D321" t="inlineStr">
        <is>
          <t>GOTLANDS LÄN</t>
        </is>
      </c>
      <c r="E321" t="inlineStr">
        <is>
          <t>GOTLAND</t>
        </is>
      </c>
      <c r="G321" t="n">
        <v>2.8</v>
      </c>
      <c r="H321" t="n">
        <v>0</v>
      </c>
      <c r="I321" t="n">
        <v>0</v>
      </c>
      <c r="J321" t="n">
        <v>0</v>
      </c>
      <c r="K321" t="n">
        <v>0</v>
      </c>
      <c r="L321" t="n">
        <v>0</v>
      </c>
      <c r="M321" t="n">
        <v>0</v>
      </c>
      <c r="N321" t="n">
        <v>0</v>
      </c>
      <c r="O321" t="n">
        <v>0</v>
      </c>
      <c r="P321" t="n">
        <v>0</v>
      </c>
      <c r="Q321" t="n">
        <v>0</v>
      </c>
      <c r="R321" s="2" t="inlineStr"/>
    </row>
    <row r="322" ht="15" customHeight="1">
      <c r="A322" t="inlineStr">
        <is>
          <t>A 57652-2023</t>
        </is>
      </c>
      <c r="B322" s="1" t="n">
        <v>45246</v>
      </c>
      <c r="C322" s="1" t="n">
        <v>46130</v>
      </c>
      <c r="D322" t="inlineStr">
        <is>
          <t>GOTLANDS LÄN</t>
        </is>
      </c>
      <c r="E322" t="inlineStr">
        <is>
          <t>GOTLAND</t>
        </is>
      </c>
      <c r="G322" t="n">
        <v>7.2</v>
      </c>
      <c r="H322" t="n">
        <v>0</v>
      </c>
      <c r="I322" t="n">
        <v>0</v>
      </c>
      <c r="J322" t="n">
        <v>0</v>
      </c>
      <c r="K322" t="n">
        <v>0</v>
      </c>
      <c r="L322" t="n">
        <v>0</v>
      </c>
      <c r="M322" t="n">
        <v>0</v>
      </c>
      <c r="N322" t="n">
        <v>0</v>
      </c>
      <c r="O322" t="n">
        <v>0</v>
      </c>
      <c r="P322" t="n">
        <v>0</v>
      </c>
      <c r="Q322" t="n">
        <v>0</v>
      </c>
      <c r="R322" s="2" t="inlineStr"/>
    </row>
    <row r="323" ht="15" customHeight="1">
      <c r="A323" t="inlineStr">
        <is>
          <t>A 49315-2024</t>
        </is>
      </c>
      <c r="B323" s="1" t="n">
        <v>45595</v>
      </c>
      <c r="C323" s="1" t="n">
        <v>46130</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30061-2025</t>
        </is>
      </c>
      <c r="B324" s="1" t="n">
        <v>45826.61488425926</v>
      </c>
      <c r="C324" s="1" t="n">
        <v>46130</v>
      </c>
      <c r="D324" t="inlineStr">
        <is>
          <t>GOTLANDS LÄN</t>
        </is>
      </c>
      <c r="E324" t="inlineStr">
        <is>
          <t>GOTLAND</t>
        </is>
      </c>
      <c r="G324" t="n">
        <v>4.1</v>
      </c>
      <c r="H324" t="n">
        <v>0</v>
      </c>
      <c r="I324" t="n">
        <v>0</v>
      </c>
      <c r="J324" t="n">
        <v>0</v>
      </c>
      <c r="K324" t="n">
        <v>0</v>
      </c>
      <c r="L324" t="n">
        <v>0</v>
      </c>
      <c r="M324" t="n">
        <v>0</v>
      </c>
      <c r="N324" t="n">
        <v>0</v>
      </c>
      <c r="O324" t="n">
        <v>0</v>
      </c>
      <c r="P324" t="n">
        <v>0</v>
      </c>
      <c r="Q324" t="n">
        <v>0</v>
      </c>
      <c r="R324" s="2" t="inlineStr"/>
    </row>
    <row r="325" ht="15" customHeight="1">
      <c r="A325" t="inlineStr">
        <is>
          <t>A 45106-2024</t>
        </is>
      </c>
      <c r="B325" s="1" t="n">
        <v>45575</v>
      </c>
      <c r="C325" s="1" t="n">
        <v>46130</v>
      </c>
      <c r="D325" t="inlineStr">
        <is>
          <t>GOTLANDS LÄN</t>
        </is>
      </c>
      <c r="E325" t="inlineStr">
        <is>
          <t>GOTLAND</t>
        </is>
      </c>
      <c r="G325" t="n">
        <v>10</v>
      </c>
      <c r="H325" t="n">
        <v>0</v>
      </c>
      <c r="I325" t="n">
        <v>0</v>
      </c>
      <c r="J325" t="n">
        <v>0</v>
      </c>
      <c r="K325" t="n">
        <v>0</v>
      </c>
      <c r="L325" t="n">
        <v>0</v>
      </c>
      <c r="M325" t="n">
        <v>0</v>
      </c>
      <c r="N325" t="n">
        <v>0</v>
      </c>
      <c r="O325" t="n">
        <v>0</v>
      </c>
      <c r="P325" t="n">
        <v>0</v>
      </c>
      <c r="Q325" t="n">
        <v>0</v>
      </c>
      <c r="R325" s="2" t="inlineStr"/>
    </row>
    <row r="326" ht="15" customHeight="1">
      <c r="A326" t="inlineStr">
        <is>
          <t>A 45112-2024</t>
        </is>
      </c>
      <c r="B326" s="1" t="n">
        <v>45575</v>
      </c>
      <c r="C326" s="1" t="n">
        <v>46130</v>
      </c>
      <c r="D326" t="inlineStr">
        <is>
          <t>GOTLANDS LÄN</t>
        </is>
      </c>
      <c r="E326" t="inlineStr">
        <is>
          <t>GOTLAND</t>
        </is>
      </c>
      <c r="G326" t="n">
        <v>5.1</v>
      </c>
      <c r="H326" t="n">
        <v>0</v>
      </c>
      <c r="I326" t="n">
        <v>0</v>
      </c>
      <c r="J326" t="n">
        <v>0</v>
      </c>
      <c r="K326" t="n">
        <v>0</v>
      </c>
      <c r="L326" t="n">
        <v>0</v>
      </c>
      <c r="M326" t="n">
        <v>0</v>
      </c>
      <c r="N326" t="n">
        <v>0</v>
      </c>
      <c r="O326" t="n">
        <v>0</v>
      </c>
      <c r="P326" t="n">
        <v>0</v>
      </c>
      <c r="Q326" t="n">
        <v>0</v>
      </c>
      <c r="R326" s="2" t="inlineStr"/>
    </row>
    <row r="327" ht="15" customHeight="1">
      <c r="A327" t="inlineStr">
        <is>
          <t>A 2676-2023</t>
        </is>
      </c>
      <c r="B327" s="1" t="n">
        <v>44944</v>
      </c>
      <c r="C327" s="1" t="n">
        <v>46130</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58160-2024</t>
        </is>
      </c>
      <c r="B328" s="1" t="n">
        <v>45632.44927083333</v>
      </c>
      <c r="C328" s="1" t="n">
        <v>46130</v>
      </c>
      <c r="D328" t="inlineStr">
        <is>
          <t>GOTLANDS LÄN</t>
        </is>
      </c>
      <c r="E328" t="inlineStr">
        <is>
          <t>GOTLAND</t>
        </is>
      </c>
      <c r="G328" t="n">
        <v>5.6</v>
      </c>
      <c r="H328" t="n">
        <v>0</v>
      </c>
      <c r="I328" t="n">
        <v>0</v>
      </c>
      <c r="J328" t="n">
        <v>0</v>
      </c>
      <c r="K328" t="n">
        <v>0</v>
      </c>
      <c r="L328" t="n">
        <v>0</v>
      </c>
      <c r="M328" t="n">
        <v>0</v>
      </c>
      <c r="N328" t="n">
        <v>0</v>
      </c>
      <c r="O328" t="n">
        <v>0</v>
      </c>
      <c r="P328" t="n">
        <v>0</v>
      </c>
      <c r="Q328" t="n">
        <v>0</v>
      </c>
      <c r="R328" s="2" t="inlineStr"/>
    </row>
    <row r="329" ht="15" customHeight="1">
      <c r="A329" t="inlineStr">
        <is>
          <t>A 3150-2025</t>
        </is>
      </c>
      <c r="B329" s="1" t="n">
        <v>45679.28974537037</v>
      </c>
      <c r="C329" s="1" t="n">
        <v>46130</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8484-2025</t>
        </is>
      </c>
      <c r="B330" s="1" t="n">
        <v>45709</v>
      </c>
      <c r="C330" s="1" t="n">
        <v>46130</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47637-2025</t>
        </is>
      </c>
      <c r="B331" s="1" t="n">
        <v>45931.49753472222</v>
      </c>
      <c r="C331" s="1" t="n">
        <v>46130</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7635-2025</t>
        </is>
      </c>
      <c r="B332" s="1" t="n">
        <v>45705</v>
      </c>
      <c r="C332" s="1" t="n">
        <v>46130</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7636-2025</t>
        </is>
      </c>
      <c r="B333" s="1" t="n">
        <v>45705.7687962963</v>
      </c>
      <c r="C333" s="1" t="n">
        <v>46130</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7639-2025</t>
        </is>
      </c>
      <c r="B334" s="1" t="n">
        <v>45705.77465277778</v>
      </c>
      <c r="C334" s="1" t="n">
        <v>46130</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20356-2022</t>
        </is>
      </c>
      <c r="B335" s="1" t="n">
        <v>44699</v>
      </c>
      <c r="C335" s="1" t="n">
        <v>46130</v>
      </c>
      <c r="D335" t="inlineStr">
        <is>
          <t>GOTLANDS LÄN</t>
        </is>
      </c>
      <c r="E335" t="inlineStr">
        <is>
          <t>GOTLAND</t>
        </is>
      </c>
      <c r="F335" t="inlineStr">
        <is>
          <t>Övriga Aktiebolag</t>
        </is>
      </c>
      <c r="G335" t="n">
        <v>4.4</v>
      </c>
      <c r="H335" t="n">
        <v>0</v>
      </c>
      <c r="I335" t="n">
        <v>0</v>
      </c>
      <c r="J335" t="n">
        <v>0</v>
      </c>
      <c r="K335" t="n">
        <v>0</v>
      </c>
      <c r="L335" t="n">
        <v>0</v>
      </c>
      <c r="M335" t="n">
        <v>0</v>
      </c>
      <c r="N335" t="n">
        <v>0</v>
      </c>
      <c r="O335" t="n">
        <v>0</v>
      </c>
      <c r="P335" t="n">
        <v>0</v>
      </c>
      <c r="Q335" t="n">
        <v>0</v>
      </c>
      <c r="R335" s="2" t="inlineStr"/>
    </row>
    <row r="336" ht="15" customHeight="1">
      <c r="A336" t="inlineStr">
        <is>
          <t>A 48734-2022</t>
        </is>
      </c>
      <c r="B336" s="1" t="n">
        <v>44855</v>
      </c>
      <c r="C336" s="1" t="n">
        <v>46130</v>
      </c>
      <c r="D336" t="inlineStr">
        <is>
          <t>GOTLANDS LÄN</t>
        </is>
      </c>
      <c r="E336" t="inlineStr">
        <is>
          <t>GOTLAND</t>
        </is>
      </c>
      <c r="G336" t="n">
        <v>1.6</v>
      </c>
      <c r="H336" t="n">
        <v>0</v>
      </c>
      <c r="I336" t="n">
        <v>0</v>
      </c>
      <c r="J336" t="n">
        <v>0</v>
      </c>
      <c r="K336" t="n">
        <v>0</v>
      </c>
      <c r="L336" t="n">
        <v>0</v>
      </c>
      <c r="M336" t="n">
        <v>0</v>
      </c>
      <c r="N336" t="n">
        <v>0</v>
      </c>
      <c r="O336" t="n">
        <v>0</v>
      </c>
      <c r="P336" t="n">
        <v>0</v>
      </c>
      <c r="Q336" t="n">
        <v>0</v>
      </c>
      <c r="R336" s="2" t="inlineStr"/>
    </row>
    <row r="337" ht="15" customHeight="1">
      <c r="A337" t="inlineStr">
        <is>
          <t>A 14141-2024</t>
        </is>
      </c>
      <c r="B337" s="1" t="n">
        <v>45392.85193287037</v>
      </c>
      <c r="C337" s="1" t="n">
        <v>46130</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29809-2022</t>
        </is>
      </c>
      <c r="B338" s="1" t="n">
        <v>44755.8713425926</v>
      </c>
      <c r="C338" s="1" t="n">
        <v>46130</v>
      </c>
      <c r="D338" t="inlineStr">
        <is>
          <t>GOTLANDS LÄN</t>
        </is>
      </c>
      <c r="E338" t="inlineStr">
        <is>
          <t>GOTLAND</t>
        </is>
      </c>
      <c r="G338" t="n">
        <v>11.5</v>
      </c>
      <c r="H338" t="n">
        <v>0</v>
      </c>
      <c r="I338" t="n">
        <v>0</v>
      </c>
      <c r="J338" t="n">
        <v>0</v>
      </c>
      <c r="K338" t="n">
        <v>0</v>
      </c>
      <c r="L338" t="n">
        <v>0</v>
      </c>
      <c r="M338" t="n">
        <v>0</v>
      </c>
      <c r="N338" t="n">
        <v>0</v>
      </c>
      <c r="O338" t="n">
        <v>0</v>
      </c>
      <c r="P338" t="n">
        <v>0</v>
      </c>
      <c r="Q338" t="n">
        <v>0</v>
      </c>
      <c r="R338" s="2" t="inlineStr"/>
    </row>
    <row r="339" ht="15" customHeight="1">
      <c r="A339" t="inlineStr">
        <is>
          <t>A 32378-2025</t>
        </is>
      </c>
      <c r="B339" s="1" t="n">
        <v>45837</v>
      </c>
      <c r="C339" s="1" t="n">
        <v>46130</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35550-2025</t>
        </is>
      </c>
      <c r="B340" s="1" t="n">
        <v>45856.49324074074</v>
      </c>
      <c r="C340" s="1" t="n">
        <v>46130</v>
      </c>
      <c r="D340" t="inlineStr">
        <is>
          <t>GOTLANDS LÄN</t>
        </is>
      </c>
      <c r="E340" t="inlineStr">
        <is>
          <t>GOTLAND</t>
        </is>
      </c>
      <c r="G340" t="n">
        <v>3.2</v>
      </c>
      <c r="H340" t="n">
        <v>0</v>
      </c>
      <c r="I340" t="n">
        <v>0</v>
      </c>
      <c r="J340" t="n">
        <v>0</v>
      </c>
      <c r="K340" t="n">
        <v>0</v>
      </c>
      <c r="L340" t="n">
        <v>0</v>
      </c>
      <c r="M340" t="n">
        <v>0</v>
      </c>
      <c r="N340" t="n">
        <v>0</v>
      </c>
      <c r="O340" t="n">
        <v>0</v>
      </c>
      <c r="P340" t="n">
        <v>0</v>
      </c>
      <c r="Q340" t="n">
        <v>0</v>
      </c>
      <c r="R340" s="2" t="inlineStr"/>
    </row>
    <row r="341" ht="15" customHeight="1">
      <c r="A341" t="inlineStr">
        <is>
          <t>A 57685-2022</t>
        </is>
      </c>
      <c r="B341" s="1" t="n">
        <v>44897.4777662037</v>
      </c>
      <c r="C341" s="1" t="n">
        <v>46130</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47578-2025</t>
        </is>
      </c>
      <c r="B342" s="1" t="n">
        <v>45931</v>
      </c>
      <c r="C342" s="1" t="n">
        <v>46130</v>
      </c>
      <c r="D342" t="inlineStr">
        <is>
          <t>GOTLANDS LÄN</t>
        </is>
      </c>
      <c r="E342" t="inlineStr">
        <is>
          <t>GOTLAND</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30815-2023</t>
        </is>
      </c>
      <c r="B343" s="1" t="n">
        <v>45112</v>
      </c>
      <c r="C343" s="1" t="n">
        <v>46130</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32379-2025</t>
        </is>
      </c>
      <c r="B344" s="1" t="n">
        <v>45837</v>
      </c>
      <c r="C344" s="1" t="n">
        <v>46130</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49724-2025</t>
        </is>
      </c>
      <c r="B345" s="1" t="n">
        <v>45939.83730324074</v>
      </c>
      <c r="C345" s="1" t="n">
        <v>46130</v>
      </c>
      <c r="D345" t="inlineStr">
        <is>
          <t>GOTLANDS LÄN</t>
        </is>
      </c>
      <c r="E345" t="inlineStr">
        <is>
          <t>GOTLAND</t>
        </is>
      </c>
      <c r="F345" t="inlineStr">
        <is>
          <t>Kyrkan</t>
        </is>
      </c>
      <c r="G345" t="n">
        <v>3.1</v>
      </c>
      <c r="H345" t="n">
        <v>0</v>
      </c>
      <c r="I345" t="n">
        <v>0</v>
      </c>
      <c r="J345" t="n">
        <v>0</v>
      </c>
      <c r="K345" t="n">
        <v>0</v>
      </c>
      <c r="L345" t="n">
        <v>0</v>
      </c>
      <c r="M345" t="n">
        <v>0</v>
      </c>
      <c r="N345" t="n">
        <v>0</v>
      </c>
      <c r="O345" t="n">
        <v>0</v>
      </c>
      <c r="P345" t="n">
        <v>0</v>
      </c>
      <c r="Q345" t="n">
        <v>0</v>
      </c>
      <c r="R345" s="2" t="inlineStr"/>
    </row>
    <row r="346" ht="15" customHeight="1">
      <c r="A346" t="inlineStr">
        <is>
          <t>A 49730-2025</t>
        </is>
      </c>
      <c r="B346" s="1" t="n">
        <v>45939.87613425926</v>
      </c>
      <c r="C346" s="1" t="n">
        <v>46130</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49690-2025</t>
        </is>
      </c>
      <c r="B347" s="1" t="n">
        <v>45939.66730324074</v>
      </c>
      <c r="C347" s="1" t="n">
        <v>46130</v>
      </c>
      <c r="D347" t="inlineStr">
        <is>
          <t>GOTLANDS LÄN</t>
        </is>
      </c>
      <c r="E347" t="inlineStr">
        <is>
          <t>GOTLAND</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32467-2025</t>
        </is>
      </c>
      <c r="B348" s="1" t="n">
        <v>45838.42111111111</v>
      </c>
      <c r="C348" s="1" t="n">
        <v>46130</v>
      </c>
      <c r="D348" t="inlineStr">
        <is>
          <t>GOTLANDS LÄN</t>
        </is>
      </c>
      <c r="E348" t="inlineStr">
        <is>
          <t>GOTLAND</t>
        </is>
      </c>
      <c r="G348" t="n">
        <v>4.3</v>
      </c>
      <c r="H348" t="n">
        <v>0</v>
      </c>
      <c r="I348" t="n">
        <v>0</v>
      </c>
      <c r="J348" t="n">
        <v>0</v>
      </c>
      <c r="K348" t="n">
        <v>0</v>
      </c>
      <c r="L348" t="n">
        <v>0</v>
      </c>
      <c r="M348" t="n">
        <v>0</v>
      </c>
      <c r="N348" t="n">
        <v>0</v>
      </c>
      <c r="O348" t="n">
        <v>0</v>
      </c>
      <c r="P348" t="n">
        <v>0</v>
      </c>
      <c r="Q348" t="n">
        <v>0</v>
      </c>
      <c r="R348" s="2" t="inlineStr"/>
    </row>
    <row r="349" ht="15" customHeight="1">
      <c r="A349" t="inlineStr">
        <is>
          <t>A 33011-2025</t>
        </is>
      </c>
      <c r="B349" s="1" t="n">
        <v>45840</v>
      </c>
      <c r="C349" s="1" t="n">
        <v>46130</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7034-2023</t>
        </is>
      </c>
      <c r="B350" s="1" t="n">
        <v>44968.32108796296</v>
      </c>
      <c r="C350" s="1" t="n">
        <v>46130</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7042-2023</t>
        </is>
      </c>
      <c r="B351" s="1" t="n">
        <v>44968</v>
      </c>
      <c r="C351" s="1" t="n">
        <v>46130</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23516-2023</t>
        </is>
      </c>
      <c r="B352" s="1" t="n">
        <v>45076.93391203704</v>
      </c>
      <c r="C352" s="1" t="n">
        <v>46130</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16109-2025</t>
        </is>
      </c>
      <c r="B353" s="1" t="n">
        <v>45750</v>
      </c>
      <c r="C353" s="1" t="n">
        <v>46130</v>
      </c>
      <c r="D353" t="inlineStr">
        <is>
          <t>GOTLANDS LÄN</t>
        </is>
      </c>
      <c r="E353" t="inlineStr">
        <is>
          <t>GOTLAND</t>
        </is>
      </c>
      <c r="G353" t="n">
        <v>4.9</v>
      </c>
      <c r="H353" t="n">
        <v>0</v>
      </c>
      <c r="I353" t="n">
        <v>0</v>
      </c>
      <c r="J353" t="n">
        <v>0</v>
      </c>
      <c r="K353" t="n">
        <v>0</v>
      </c>
      <c r="L353" t="n">
        <v>0</v>
      </c>
      <c r="M353" t="n">
        <v>0</v>
      </c>
      <c r="N353" t="n">
        <v>0</v>
      </c>
      <c r="O353" t="n">
        <v>0</v>
      </c>
      <c r="P353" t="n">
        <v>0</v>
      </c>
      <c r="Q353" t="n">
        <v>0</v>
      </c>
      <c r="R353" s="2" t="inlineStr"/>
    </row>
    <row r="354" ht="15" customHeight="1">
      <c r="A354" t="inlineStr">
        <is>
          <t>A 64660-2023</t>
        </is>
      </c>
      <c r="B354" s="1" t="n">
        <v>45281.60122685185</v>
      </c>
      <c r="C354" s="1" t="n">
        <v>46130</v>
      </c>
      <c r="D354" t="inlineStr">
        <is>
          <t>GOTLANDS LÄN</t>
        </is>
      </c>
      <c r="E354" t="inlineStr">
        <is>
          <t>GOTLAND</t>
        </is>
      </c>
      <c r="G354" t="n">
        <v>6.3</v>
      </c>
      <c r="H354" t="n">
        <v>0</v>
      </c>
      <c r="I354" t="n">
        <v>0</v>
      </c>
      <c r="J354" t="n">
        <v>0</v>
      </c>
      <c r="K354" t="n">
        <v>0</v>
      </c>
      <c r="L354" t="n">
        <v>0</v>
      </c>
      <c r="M354" t="n">
        <v>0</v>
      </c>
      <c r="N354" t="n">
        <v>0</v>
      </c>
      <c r="O354" t="n">
        <v>0</v>
      </c>
      <c r="P354" t="n">
        <v>0</v>
      </c>
      <c r="Q354" t="n">
        <v>0</v>
      </c>
      <c r="R354" s="2" t="inlineStr"/>
    </row>
    <row r="355" ht="15" customHeight="1">
      <c r="A355" t="inlineStr">
        <is>
          <t>A 50421-2025</t>
        </is>
      </c>
      <c r="B355" s="1" t="n">
        <v>45944.66049768519</v>
      </c>
      <c r="C355" s="1" t="n">
        <v>46130</v>
      </c>
      <c r="D355" t="inlineStr">
        <is>
          <t>GOTLANDS LÄN</t>
        </is>
      </c>
      <c r="E355" t="inlineStr">
        <is>
          <t>GOTLAND</t>
        </is>
      </c>
      <c r="G355" t="n">
        <v>3.9</v>
      </c>
      <c r="H355" t="n">
        <v>0</v>
      </c>
      <c r="I355" t="n">
        <v>0</v>
      </c>
      <c r="J355" t="n">
        <v>0</v>
      </c>
      <c r="K355" t="n">
        <v>0</v>
      </c>
      <c r="L355" t="n">
        <v>0</v>
      </c>
      <c r="M355" t="n">
        <v>0</v>
      </c>
      <c r="N355" t="n">
        <v>0</v>
      </c>
      <c r="O355" t="n">
        <v>0</v>
      </c>
      <c r="P355" t="n">
        <v>0</v>
      </c>
      <c r="Q355" t="n">
        <v>0</v>
      </c>
      <c r="R355" s="2" t="inlineStr"/>
    </row>
    <row r="356" ht="15" customHeight="1">
      <c r="A356" t="inlineStr">
        <is>
          <t>A 63763-2023</t>
        </is>
      </c>
      <c r="B356" s="1" t="n">
        <v>45278.33944444444</v>
      </c>
      <c r="C356" s="1" t="n">
        <v>46130</v>
      </c>
      <c r="D356" t="inlineStr">
        <is>
          <t>GOTLANDS LÄN</t>
        </is>
      </c>
      <c r="E356" t="inlineStr">
        <is>
          <t>GOTLAND</t>
        </is>
      </c>
      <c r="G356" t="n">
        <v>0.5</v>
      </c>
      <c r="H356" t="n">
        <v>0</v>
      </c>
      <c r="I356" t="n">
        <v>0</v>
      </c>
      <c r="J356" t="n">
        <v>0</v>
      </c>
      <c r="K356" t="n">
        <v>0</v>
      </c>
      <c r="L356" t="n">
        <v>0</v>
      </c>
      <c r="M356" t="n">
        <v>0</v>
      </c>
      <c r="N356" t="n">
        <v>0</v>
      </c>
      <c r="O356" t="n">
        <v>0</v>
      </c>
      <c r="P356" t="n">
        <v>0</v>
      </c>
      <c r="Q356" t="n">
        <v>0</v>
      </c>
      <c r="R356" s="2" t="inlineStr"/>
    </row>
    <row r="357" ht="15" customHeight="1">
      <c r="A357" t="inlineStr">
        <is>
          <t>A 50431-2025</t>
        </is>
      </c>
      <c r="B357" s="1" t="n">
        <v>45944.68453703704</v>
      </c>
      <c r="C357" s="1" t="n">
        <v>46130</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46130</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63229-2021</t>
        </is>
      </c>
      <c r="B359" s="1" t="n">
        <v>44508.34518518519</v>
      </c>
      <c r="C359" s="1" t="n">
        <v>46130</v>
      </c>
      <c r="D359" t="inlineStr">
        <is>
          <t>GOTLANDS LÄN</t>
        </is>
      </c>
      <c r="E359" t="inlineStr">
        <is>
          <t>GOTLAND</t>
        </is>
      </c>
      <c r="F359" t="inlineStr">
        <is>
          <t>Kyrkan</t>
        </is>
      </c>
      <c r="G359" t="n">
        <v>3.8</v>
      </c>
      <c r="H359" t="n">
        <v>0</v>
      </c>
      <c r="I359" t="n">
        <v>0</v>
      </c>
      <c r="J359" t="n">
        <v>0</v>
      </c>
      <c r="K359" t="n">
        <v>0</v>
      </c>
      <c r="L359" t="n">
        <v>0</v>
      </c>
      <c r="M359" t="n">
        <v>0</v>
      </c>
      <c r="N359" t="n">
        <v>0</v>
      </c>
      <c r="O359" t="n">
        <v>0</v>
      </c>
      <c r="P359" t="n">
        <v>0</v>
      </c>
      <c r="Q359" t="n">
        <v>0</v>
      </c>
      <c r="R359" s="2" t="inlineStr"/>
    </row>
    <row r="360" ht="15" customHeight="1">
      <c r="A360" t="inlineStr">
        <is>
          <t>A 46375-2024</t>
        </is>
      </c>
      <c r="B360" s="1" t="n">
        <v>45582</v>
      </c>
      <c r="C360" s="1" t="n">
        <v>46130</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50928-2025</t>
        </is>
      </c>
      <c r="B361" s="1" t="n">
        <v>45946.67896990741</v>
      </c>
      <c r="C361" s="1" t="n">
        <v>46130</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1734-2025</t>
        </is>
      </c>
      <c r="B362" s="1" t="n">
        <v>45671.3840625</v>
      </c>
      <c r="C362" s="1" t="n">
        <v>46130</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20993-2023</t>
        </is>
      </c>
      <c r="B363" s="1" t="n">
        <v>45056</v>
      </c>
      <c r="C363" s="1" t="n">
        <v>46130</v>
      </c>
      <c r="D363" t="inlineStr">
        <is>
          <t>GOTLANDS LÄN</t>
        </is>
      </c>
      <c r="E363" t="inlineStr">
        <is>
          <t>GOTLAND</t>
        </is>
      </c>
      <c r="G363" t="n">
        <v>7.1</v>
      </c>
      <c r="H363" t="n">
        <v>0</v>
      </c>
      <c r="I363" t="n">
        <v>0</v>
      </c>
      <c r="J363" t="n">
        <v>0</v>
      </c>
      <c r="K363" t="n">
        <v>0</v>
      </c>
      <c r="L363" t="n">
        <v>0</v>
      </c>
      <c r="M363" t="n">
        <v>0</v>
      </c>
      <c r="N363" t="n">
        <v>0</v>
      </c>
      <c r="O363" t="n">
        <v>0</v>
      </c>
      <c r="P363" t="n">
        <v>0</v>
      </c>
      <c r="Q363" t="n">
        <v>0</v>
      </c>
      <c r="R363" s="2" t="inlineStr"/>
    </row>
    <row r="364" ht="15" customHeight="1">
      <c r="A364" t="inlineStr">
        <is>
          <t>A 56799-2025</t>
        </is>
      </c>
      <c r="B364" s="1" t="n">
        <v>45978.43392361111</v>
      </c>
      <c r="C364" s="1" t="n">
        <v>46130</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15413-2025</t>
        </is>
      </c>
      <c r="B365" s="1" t="n">
        <v>45747.451875</v>
      </c>
      <c r="C365" s="1" t="n">
        <v>46130</v>
      </c>
      <c r="D365" t="inlineStr">
        <is>
          <t>GOTLANDS LÄN</t>
        </is>
      </c>
      <c r="E365" t="inlineStr">
        <is>
          <t>GOTLAND</t>
        </is>
      </c>
      <c r="G365" t="n">
        <v>0.6</v>
      </c>
      <c r="H365" t="n">
        <v>0</v>
      </c>
      <c r="I365" t="n">
        <v>0</v>
      </c>
      <c r="J365" t="n">
        <v>0</v>
      </c>
      <c r="K365" t="n">
        <v>0</v>
      </c>
      <c r="L365" t="n">
        <v>0</v>
      </c>
      <c r="M365" t="n">
        <v>0</v>
      </c>
      <c r="N365" t="n">
        <v>0</v>
      </c>
      <c r="O365" t="n">
        <v>0</v>
      </c>
      <c r="P365" t="n">
        <v>0</v>
      </c>
      <c r="Q365" t="n">
        <v>0</v>
      </c>
      <c r="R365" s="2" t="inlineStr"/>
    </row>
    <row r="366" ht="15" customHeight="1">
      <c r="A366" t="inlineStr">
        <is>
          <t>A 35123-2025</t>
        </is>
      </c>
      <c r="B366" s="1" t="n">
        <v>45852.614375</v>
      </c>
      <c r="C366" s="1" t="n">
        <v>46130</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35096-2025</t>
        </is>
      </c>
      <c r="B367" s="1" t="n">
        <v>45852.54356481481</v>
      </c>
      <c r="C367" s="1" t="n">
        <v>46130</v>
      </c>
      <c r="D367" t="inlineStr">
        <is>
          <t>GOTLANDS LÄN</t>
        </is>
      </c>
      <c r="E367" t="inlineStr">
        <is>
          <t>GOTLAND</t>
        </is>
      </c>
      <c r="F367" t="inlineStr">
        <is>
          <t>Kyrkan</t>
        </is>
      </c>
      <c r="G367" t="n">
        <v>1</v>
      </c>
      <c r="H367" t="n">
        <v>0</v>
      </c>
      <c r="I367" t="n">
        <v>0</v>
      </c>
      <c r="J367" t="n">
        <v>0</v>
      </c>
      <c r="K367" t="n">
        <v>0</v>
      </c>
      <c r="L367" t="n">
        <v>0</v>
      </c>
      <c r="M367" t="n">
        <v>0</v>
      </c>
      <c r="N367" t="n">
        <v>0</v>
      </c>
      <c r="O367" t="n">
        <v>0</v>
      </c>
      <c r="P367" t="n">
        <v>0</v>
      </c>
      <c r="Q367" t="n">
        <v>0</v>
      </c>
      <c r="R367" s="2" t="inlineStr"/>
    </row>
    <row r="368" ht="15" customHeight="1">
      <c r="A368" t="inlineStr">
        <is>
          <t>A 56688-2025</t>
        </is>
      </c>
      <c r="B368" s="1" t="n">
        <v>45975.84331018518</v>
      </c>
      <c r="C368" s="1" t="n">
        <v>46130</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12596-2023</t>
        </is>
      </c>
      <c r="B369" s="1" t="n">
        <v>45000.43310185185</v>
      </c>
      <c r="C369" s="1" t="n">
        <v>46130</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2125-2025</t>
        </is>
      </c>
      <c r="B370" s="1" t="n">
        <v>45672.64940972222</v>
      </c>
      <c r="C370" s="1" t="n">
        <v>46130</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30104-2025</t>
        </is>
      </c>
      <c r="B371" s="1" t="n">
        <v>45826.68806712963</v>
      </c>
      <c r="C371" s="1" t="n">
        <v>46130</v>
      </c>
      <c r="D371" t="inlineStr">
        <is>
          <t>GOTLANDS LÄN</t>
        </is>
      </c>
      <c r="E371" t="inlineStr">
        <is>
          <t>GOTLAND</t>
        </is>
      </c>
      <c r="G371" t="n">
        <v>15.4</v>
      </c>
      <c r="H371" t="n">
        <v>0</v>
      </c>
      <c r="I371" t="n">
        <v>0</v>
      </c>
      <c r="J371" t="n">
        <v>0</v>
      </c>
      <c r="K371" t="n">
        <v>0</v>
      </c>
      <c r="L371" t="n">
        <v>0</v>
      </c>
      <c r="M371" t="n">
        <v>0</v>
      </c>
      <c r="N371" t="n">
        <v>0</v>
      </c>
      <c r="O371" t="n">
        <v>0</v>
      </c>
      <c r="P371" t="n">
        <v>0</v>
      </c>
      <c r="Q371" t="n">
        <v>0</v>
      </c>
      <c r="R371" s="2" t="inlineStr"/>
    </row>
    <row r="372" ht="15" customHeight="1">
      <c r="A372" t="inlineStr">
        <is>
          <t>A 35290-2025</t>
        </is>
      </c>
      <c r="B372" s="1" t="n">
        <v>45854.38502314815</v>
      </c>
      <c r="C372" s="1" t="n">
        <v>46130</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12155-2023</t>
        </is>
      </c>
      <c r="B373" s="1" t="n">
        <v>44998.49106481481</v>
      </c>
      <c r="C373" s="1" t="n">
        <v>46130</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32669-2024</t>
        </is>
      </c>
      <c r="B374" s="1" t="n">
        <v>45514</v>
      </c>
      <c r="C374" s="1" t="n">
        <v>46130</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457-2023</t>
        </is>
      </c>
      <c r="B375" s="1" t="n">
        <v>44929.87238425926</v>
      </c>
      <c r="C375" s="1" t="n">
        <v>46130</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459-2023</t>
        </is>
      </c>
      <c r="B376" s="1" t="n">
        <v>44929.87423611111</v>
      </c>
      <c r="C376" s="1" t="n">
        <v>46130</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46130</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38234-2023</t>
        </is>
      </c>
      <c r="B378" s="1" t="n">
        <v>45161.56663194444</v>
      </c>
      <c r="C378" s="1" t="n">
        <v>46130</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50744-2024</t>
        </is>
      </c>
      <c r="B379" s="1" t="n">
        <v>45602.4187037037</v>
      </c>
      <c r="C379" s="1" t="n">
        <v>46130</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53934-2024</t>
        </is>
      </c>
      <c r="B380" s="1" t="n">
        <v>45615</v>
      </c>
      <c r="C380" s="1" t="n">
        <v>46130</v>
      </c>
      <c r="D380" t="inlineStr">
        <is>
          <t>GOTLANDS LÄN</t>
        </is>
      </c>
      <c r="E380" t="inlineStr">
        <is>
          <t>GOTLAND</t>
        </is>
      </c>
      <c r="G380" t="n">
        <v>5</v>
      </c>
      <c r="H380" t="n">
        <v>0</v>
      </c>
      <c r="I380" t="n">
        <v>0</v>
      </c>
      <c r="J380" t="n">
        <v>0</v>
      </c>
      <c r="K380" t="n">
        <v>0</v>
      </c>
      <c r="L380" t="n">
        <v>0</v>
      </c>
      <c r="M380" t="n">
        <v>0</v>
      </c>
      <c r="N380" t="n">
        <v>0</v>
      </c>
      <c r="O380" t="n">
        <v>0</v>
      </c>
      <c r="P380" t="n">
        <v>0</v>
      </c>
      <c r="Q380" t="n">
        <v>0</v>
      </c>
      <c r="R380" s="2" t="inlineStr"/>
    </row>
    <row r="381" ht="15" customHeight="1">
      <c r="A381" t="inlineStr">
        <is>
          <t>A 15216-2025</t>
        </is>
      </c>
      <c r="B381" s="1" t="n">
        <v>45744</v>
      </c>
      <c r="C381" s="1" t="n">
        <v>46130</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43790-2024</t>
        </is>
      </c>
      <c r="B382" s="1" t="n">
        <v>45571</v>
      </c>
      <c r="C382" s="1" t="n">
        <v>46130</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15001-2025</t>
        </is>
      </c>
      <c r="B383" s="1" t="n">
        <v>45743</v>
      </c>
      <c r="C383" s="1" t="n">
        <v>46130</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30488-2025</t>
        </is>
      </c>
      <c r="B384" s="1" t="n">
        <v>45830</v>
      </c>
      <c r="C384" s="1" t="n">
        <v>46130</v>
      </c>
      <c r="D384" t="inlineStr">
        <is>
          <t>GOTLANDS LÄN</t>
        </is>
      </c>
      <c r="E384" t="inlineStr">
        <is>
          <t>GOTLAND</t>
        </is>
      </c>
      <c r="F384" t="inlineStr">
        <is>
          <t>Kyrkan</t>
        </is>
      </c>
      <c r="G384" t="n">
        <v>3.9</v>
      </c>
      <c r="H384" t="n">
        <v>0</v>
      </c>
      <c r="I384" t="n">
        <v>0</v>
      </c>
      <c r="J384" t="n">
        <v>0</v>
      </c>
      <c r="K384" t="n">
        <v>0</v>
      </c>
      <c r="L384" t="n">
        <v>0</v>
      </c>
      <c r="M384" t="n">
        <v>0</v>
      </c>
      <c r="N384" t="n">
        <v>0</v>
      </c>
      <c r="O384" t="n">
        <v>0</v>
      </c>
      <c r="P384" t="n">
        <v>0</v>
      </c>
      <c r="Q384" t="n">
        <v>0</v>
      </c>
      <c r="R384" s="2" t="inlineStr"/>
    </row>
    <row r="385" ht="15" customHeight="1">
      <c r="A385" t="inlineStr">
        <is>
          <t>A 17847-2025</t>
        </is>
      </c>
      <c r="B385" s="1" t="n">
        <v>45758</v>
      </c>
      <c r="C385" s="1" t="n">
        <v>46130</v>
      </c>
      <c r="D385" t="inlineStr">
        <is>
          <t>GOTLANDS LÄN</t>
        </is>
      </c>
      <c r="E385" t="inlineStr">
        <is>
          <t>GOTLAND</t>
        </is>
      </c>
      <c r="G385" t="n">
        <v>1.9</v>
      </c>
      <c r="H385" t="n">
        <v>0</v>
      </c>
      <c r="I385" t="n">
        <v>0</v>
      </c>
      <c r="J385" t="n">
        <v>0</v>
      </c>
      <c r="K385" t="n">
        <v>0</v>
      </c>
      <c r="L385" t="n">
        <v>0</v>
      </c>
      <c r="M385" t="n">
        <v>0</v>
      </c>
      <c r="N385" t="n">
        <v>0</v>
      </c>
      <c r="O385" t="n">
        <v>0</v>
      </c>
      <c r="P385" t="n">
        <v>0</v>
      </c>
      <c r="Q385" t="n">
        <v>0</v>
      </c>
      <c r="R385" s="2" t="inlineStr"/>
    </row>
    <row r="386" ht="15" customHeight="1">
      <c r="A386" t="inlineStr">
        <is>
          <t>A 18742-2025</t>
        </is>
      </c>
      <c r="B386" s="1" t="n">
        <v>45763</v>
      </c>
      <c r="C386" s="1" t="n">
        <v>46130</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35129-2025</t>
        </is>
      </c>
      <c r="B387" s="1" t="n">
        <v>45852.63224537037</v>
      </c>
      <c r="C387" s="1" t="n">
        <v>46130</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1446-2025</t>
        </is>
      </c>
      <c r="B388" s="1" t="n">
        <v>45669.86035879629</v>
      </c>
      <c r="C388" s="1" t="n">
        <v>46130</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31264-2021</t>
        </is>
      </c>
      <c r="B389" s="1" t="n">
        <v>44368</v>
      </c>
      <c r="C389" s="1" t="n">
        <v>46130</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43901-2023</t>
        </is>
      </c>
      <c r="B390" s="1" t="n">
        <v>45187</v>
      </c>
      <c r="C390" s="1" t="n">
        <v>46130</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10746-2025</t>
        </is>
      </c>
      <c r="B391" s="1" t="n">
        <v>45722.42766203704</v>
      </c>
      <c r="C391" s="1" t="n">
        <v>46130</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16501-2023</t>
        </is>
      </c>
      <c r="B392" s="1" t="n">
        <v>45029</v>
      </c>
      <c r="C392" s="1" t="n">
        <v>46130</v>
      </c>
      <c r="D392" t="inlineStr">
        <is>
          <t>GOTLANDS LÄN</t>
        </is>
      </c>
      <c r="E392" t="inlineStr">
        <is>
          <t>GOTLAND</t>
        </is>
      </c>
      <c r="G392" t="n">
        <v>3.1</v>
      </c>
      <c r="H392" t="n">
        <v>0</v>
      </c>
      <c r="I392" t="n">
        <v>0</v>
      </c>
      <c r="J392" t="n">
        <v>0</v>
      </c>
      <c r="K392" t="n">
        <v>0</v>
      </c>
      <c r="L392" t="n">
        <v>0</v>
      </c>
      <c r="M392" t="n">
        <v>0</v>
      </c>
      <c r="N392" t="n">
        <v>0</v>
      </c>
      <c r="O392" t="n">
        <v>0</v>
      </c>
      <c r="P392" t="n">
        <v>0</v>
      </c>
      <c r="Q392" t="n">
        <v>0</v>
      </c>
      <c r="R392" s="2" t="inlineStr"/>
    </row>
    <row r="393" ht="15" customHeight="1">
      <c r="A393" t="inlineStr">
        <is>
          <t>A 27930-2021</t>
        </is>
      </c>
      <c r="B393" s="1" t="n">
        <v>44354</v>
      </c>
      <c r="C393" s="1" t="n">
        <v>46130</v>
      </c>
      <c r="D393" t="inlineStr">
        <is>
          <t>GOTLANDS LÄN</t>
        </is>
      </c>
      <c r="E393" t="inlineStr">
        <is>
          <t>GOTLAND</t>
        </is>
      </c>
      <c r="G393" t="n">
        <v>2.5</v>
      </c>
      <c r="H393" t="n">
        <v>0</v>
      </c>
      <c r="I393" t="n">
        <v>0</v>
      </c>
      <c r="J393" t="n">
        <v>0</v>
      </c>
      <c r="K393" t="n">
        <v>0</v>
      </c>
      <c r="L393" t="n">
        <v>0</v>
      </c>
      <c r="M393" t="n">
        <v>0</v>
      </c>
      <c r="N393" t="n">
        <v>0</v>
      </c>
      <c r="O393" t="n">
        <v>0</v>
      </c>
      <c r="P393" t="n">
        <v>0</v>
      </c>
      <c r="Q393" t="n">
        <v>0</v>
      </c>
      <c r="R393" s="2" t="inlineStr"/>
    </row>
    <row r="394" ht="15" customHeight="1">
      <c r="A394" t="inlineStr">
        <is>
          <t>A 61962-2024</t>
        </is>
      </c>
      <c r="B394" s="1" t="n">
        <v>45653.54340277778</v>
      </c>
      <c r="C394" s="1" t="n">
        <v>46130</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6108-2025</t>
        </is>
      </c>
      <c r="B395" s="1" t="n">
        <v>45698.29880787037</v>
      </c>
      <c r="C395" s="1" t="n">
        <v>46130</v>
      </c>
      <c r="D395" t="inlineStr">
        <is>
          <t>GOTLANDS LÄN</t>
        </is>
      </c>
      <c r="E395" t="inlineStr">
        <is>
          <t>GOTLAND</t>
        </is>
      </c>
      <c r="G395" t="n">
        <v>2.8</v>
      </c>
      <c r="H395" t="n">
        <v>0</v>
      </c>
      <c r="I395" t="n">
        <v>0</v>
      </c>
      <c r="J395" t="n">
        <v>0</v>
      </c>
      <c r="K395" t="n">
        <v>0</v>
      </c>
      <c r="L395" t="n">
        <v>0</v>
      </c>
      <c r="M395" t="n">
        <v>0</v>
      </c>
      <c r="N395" t="n">
        <v>0</v>
      </c>
      <c r="O395" t="n">
        <v>0</v>
      </c>
      <c r="P395" t="n">
        <v>0</v>
      </c>
      <c r="Q395" t="n">
        <v>0</v>
      </c>
      <c r="R395" s="2" t="inlineStr"/>
    </row>
    <row r="396" ht="15" customHeight="1">
      <c r="A396" t="inlineStr">
        <is>
          <t>A 21142-2025</t>
        </is>
      </c>
      <c r="B396" s="1" t="n">
        <v>45779</v>
      </c>
      <c r="C396" s="1" t="n">
        <v>46130</v>
      </c>
      <c r="D396" t="inlineStr">
        <is>
          <t>GOTLANDS LÄN</t>
        </is>
      </c>
      <c r="E396" t="inlineStr">
        <is>
          <t>GOTLAND</t>
        </is>
      </c>
      <c r="G396" t="n">
        <v>1.3</v>
      </c>
      <c r="H396" t="n">
        <v>0</v>
      </c>
      <c r="I396" t="n">
        <v>0</v>
      </c>
      <c r="J396" t="n">
        <v>0</v>
      </c>
      <c r="K396" t="n">
        <v>0</v>
      </c>
      <c r="L396" t="n">
        <v>0</v>
      </c>
      <c r="M396" t="n">
        <v>0</v>
      </c>
      <c r="N396" t="n">
        <v>0</v>
      </c>
      <c r="O396" t="n">
        <v>0</v>
      </c>
      <c r="P396" t="n">
        <v>0</v>
      </c>
      <c r="Q396" t="n">
        <v>0</v>
      </c>
      <c r="R396" s="2" t="inlineStr"/>
    </row>
    <row r="397" ht="15" customHeight="1">
      <c r="A397" t="inlineStr">
        <is>
          <t>A 10492-2023</t>
        </is>
      </c>
      <c r="B397" s="1" t="n">
        <v>44987</v>
      </c>
      <c r="C397" s="1" t="n">
        <v>46130</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17343-2025</t>
        </is>
      </c>
      <c r="B398" s="1" t="n">
        <v>45756.6687037037</v>
      </c>
      <c r="C398" s="1" t="n">
        <v>46130</v>
      </c>
      <c r="D398" t="inlineStr">
        <is>
          <t>GOTLANDS LÄN</t>
        </is>
      </c>
      <c r="E398" t="inlineStr">
        <is>
          <t>GOTLAND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18938-2025</t>
        </is>
      </c>
      <c r="B399" s="1" t="n">
        <v>45764.49172453704</v>
      </c>
      <c r="C399" s="1" t="n">
        <v>46130</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5909-2025</t>
        </is>
      </c>
      <c r="B400" s="1" t="n">
        <v>45695.40634259259</v>
      </c>
      <c r="C400" s="1" t="n">
        <v>46130</v>
      </c>
      <c r="D400" t="inlineStr">
        <is>
          <t>GOTLANDS LÄN</t>
        </is>
      </c>
      <c r="E400" t="inlineStr">
        <is>
          <t>GOTLAND</t>
        </is>
      </c>
      <c r="G400" t="n">
        <v>2.9</v>
      </c>
      <c r="H400" t="n">
        <v>0</v>
      </c>
      <c r="I400" t="n">
        <v>0</v>
      </c>
      <c r="J400" t="n">
        <v>0</v>
      </c>
      <c r="K400" t="n">
        <v>0</v>
      </c>
      <c r="L400" t="n">
        <v>0</v>
      </c>
      <c r="M400" t="n">
        <v>0</v>
      </c>
      <c r="N400" t="n">
        <v>0</v>
      </c>
      <c r="O400" t="n">
        <v>0</v>
      </c>
      <c r="P400" t="n">
        <v>0</v>
      </c>
      <c r="Q400" t="n">
        <v>0</v>
      </c>
      <c r="R400" s="2" t="inlineStr"/>
    </row>
    <row r="401" ht="15" customHeight="1">
      <c r="A401" t="inlineStr">
        <is>
          <t>A 30489-2025</t>
        </is>
      </c>
      <c r="B401" s="1" t="n">
        <v>45830</v>
      </c>
      <c r="C401" s="1" t="n">
        <v>46130</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20307-2025</t>
        </is>
      </c>
      <c r="B402" s="1" t="n">
        <v>45774.95546296296</v>
      </c>
      <c r="C402" s="1" t="n">
        <v>46130</v>
      </c>
      <c r="D402" t="inlineStr">
        <is>
          <t>GOTLANDS LÄN</t>
        </is>
      </c>
      <c r="E402" t="inlineStr">
        <is>
          <t>GOTLAND</t>
        </is>
      </c>
      <c r="G402" t="n">
        <v>6.8</v>
      </c>
      <c r="H402" t="n">
        <v>0</v>
      </c>
      <c r="I402" t="n">
        <v>0</v>
      </c>
      <c r="J402" t="n">
        <v>0</v>
      </c>
      <c r="K402" t="n">
        <v>0</v>
      </c>
      <c r="L402" t="n">
        <v>0</v>
      </c>
      <c r="M402" t="n">
        <v>0</v>
      </c>
      <c r="N402" t="n">
        <v>0</v>
      </c>
      <c r="O402" t="n">
        <v>0</v>
      </c>
      <c r="P402" t="n">
        <v>0</v>
      </c>
      <c r="Q402" t="n">
        <v>0</v>
      </c>
      <c r="R402" s="2" t="inlineStr"/>
    </row>
    <row r="403" ht="15" customHeight="1">
      <c r="A403" t="inlineStr">
        <is>
          <t>A 59197-2025</t>
        </is>
      </c>
      <c r="B403" s="1" t="n">
        <v>45988.59846064815</v>
      </c>
      <c r="C403" s="1" t="n">
        <v>46130</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10653-2023</t>
        </is>
      </c>
      <c r="B404" s="1" t="n">
        <v>44988.48859953704</v>
      </c>
      <c r="C404" s="1" t="n">
        <v>46130</v>
      </c>
      <c r="D404" t="inlineStr">
        <is>
          <t>GOTLANDS LÄN</t>
        </is>
      </c>
      <c r="E404" t="inlineStr">
        <is>
          <t>GOTLAND</t>
        </is>
      </c>
      <c r="F404" t="inlineStr">
        <is>
          <t>Kyrkan</t>
        </is>
      </c>
      <c r="G404" t="n">
        <v>3</v>
      </c>
      <c r="H404" t="n">
        <v>0</v>
      </c>
      <c r="I404" t="n">
        <v>0</v>
      </c>
      <c r="J404" t="n">
        <v>0</v>
      </c>
      <c r="K404" t="n">
        <v>0</v>
      </c>
      <c r="L404" t="n">
        <v>0</v>
      </c>
      <c r="M404" t="n">
        <v>0</v>
      </c>
      <c r="N404" t="n">
        <v>0</v>
      </c>
      <c r="O404" t="n">
        <v>0</v>
      </c>
      <c r="P404" t="n">
        <v>0</v>
      </c>
      <c r="Q404" t="n">
        <v>0</v>
      </c>
      <c r="R404" s="2" t="inlineStr"/>
    </row>
    <row r="405" ht="15" customHeight="1">
      <c r="A405" t="inlineStr">
        <is>
          <t>A 4990-2025</t>
        </is>
      </c>
      <c r="B405" s="1" t="n">
        <v>45691</v>
      </c>
      <c r="C405" s="1" t="n">
        <v>46130</v>
      </c>
      <c r="D405" t="inlineStr">
        <is>
          <t>GOTLANDS LÄN</t>
        </is>
      </c>
      <c r="E405" t="inlineStr">
        <is>
          <t>GOTLAND</t>
        </is>
      </c>
      <c r="G405" t="n">
        <v>7.7</v>
      </c>
      <c r="H405" t="n">
        <v>0</v>
      </c>
      <c r="I405" t="n">
        <v>0</v>
      </c>
      <c r="J405" t="n">
        <v>0</v>
      </c>
      <c r="K405" t="n">
        <v>0</v>
      </c>
      <c r="L405" t="n">
        <v>0</v>
      </c>
      <c r="M405" t="n">
        <v>0</v>
      </c>
      <c r="N405" t="n">
        <v>0</v>
      </c>
      <c r="O405" t="n">
        <v>0</v>
      </c>
      <c r="P405" t="n">
        <v>0</v>
      </c>
      <c r="Q405" t="n">
        <v>0</v>
      </c>
      <c r="R405" s="2" t="inlineStr"/>
    </row>
    <row r="406" ht="15" customHeight="1">
      <c r="A406" t="inlineStr">
        <is>
          <t>A 36319-2025</t>
        </is>
      </c>
      <c r="B406" s="1" t="n">
        <v>45868</v>
      </c>
      <c r="C406" s="1" t="n">
        <v>46130</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43081-2022</t>
        </is>
      </c>
      <c r="B407" s="1" t="n">
        <v>44833</v>
      </c>
      <c r="C407" s="1" t="n">
        <v>46130</v>
      </c>
      <c r="D407" t="inlineStr">
        <is>
          <t>GOTLANDS LÄN</t>
        </is>
      </c>
      <c r="E407" t="inlineStr">
        <is>
          <t>GOTLAND</t>
        </is>
      </c>
      <c r="G407" t="n">
        <v>6.8</v>
      </c>
      <c r="H407" t="n">
        <v>0</v>
      </c>
      <c r="I407" t="n">
        <v>0</v>
      </c>
      <c r="J407" t="n">
        <v>0</v>
      </c>
      <c r="K407" t="n">
        <v>0</v>
      </c>
      <c r="L407" t="n">
        <v>0</v>
      </c>
      <c r="M407" t="n">
        <v>0</v>
      </c>
      <c r="N407" t="n">
        <v>0</v>
      </c>
      <c r="O407" t="n">
        <v>0</v>
      </c>
      <c r="P407" t="n">
        <v>0</v>
      </c>
      <c r="Q407" t="n">
        <v>0</v>
      </c>
      <c r="R407" s="2" t="inlineStr"/>
    </row>
    <row r="408" ht="15" customHeight="1">
      <c r="A408" t="inlineStr">
        <is>
          <t>A 32958-2021</t>
        </is>
      </c>
      <c r="B408" s="1" t="n">
        <v>44376</v>
      </c>
      <c r="C408" s="1" t="n">
        <v>46130</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5884-2025</t>
        </is>
      </c>
      <c r="B409" s="1" t="n">
        <v>45695.37482638889</v>
      </c>
      <c r="C409" s="1" t="n">
        <v>46130</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5897-2025</t>
        </is>
      </c>
      <c r="B410" s="1" t="n">
        <v>45695.39273148148</v>
      </c>
      <c r="C410" s="1" t="n">
        <v>46130</v>
      </c>
      <c r="D410" t="inlineStr">
        <is>
          <t>GOTLANDS LÄN</t>
        </is>
      </c>
      <c r="E410" t="inlineStr">
        <is>
          <t>GOTLAND</t>
        </is>
      </c>
      <c r="G410" t="n">
        <v>3.7</v>
      </c>
      <c r="H410" t="n">
        <v>0</v>
      </c>
      <c r="I410" t="n">
        <v>0</v>
      </c>
      <c r="J410" t="n">
        <v>0</v>
      </c>
      <c r="K410" t="n">
        <v>0</v>
      </c>
      <c r="L410" t="n">
        <v>0</v>
      </c>
      <c r="M410" t="n">
        <v>0</v>
      </c>
      <c r="N410" t="n">
        <v>0</v>
      </c>
      <c r="O410" t="n">
        <v>0</v>
      </c>
      <c r="P410" t="n">
        <v>0</v>
      </c>
      <c r="Q410" t="n">
        <v>0</v>
      </c>
      <c r="R410" s="2" t="inlineStr"/>
    </row>
    <row r="411" ht="15" customHeight="1">
      <c r="A411" t="inlineStr">
        <is>
          <t>A 49693-2023</t>
        </is>
      </c>
      <c r="B411" s="1" t="n">
        <v>45212.38138888889</v>
      </c>
      <c r="C411" s="1" t="n">
        <v>46130</v>
      </c>
      <c r="D411" t="inlineStr">
        <is>
          <t>GOTLANDS LÄN</t>
        </is>
      </c>
      <c r="E411" t="inlineStr">
        <is>
          <t>GOTLAND</t>
        </is>
      </c>
      <c r="G411" t="n">
        <v>2.4</v>
      </c>
      <c r="H411" t="n">
        <v>0</v>
      </c>
      <c r="I411" t="n">
        <v>0</v>
      </c>
      <c r="J411" t="n">
        <v>0</v>
      </c>
      <c r="K411" t="n">
        <v>0</v>
      </c>
      <c r="L411" t="n">
        <v>0</v>
      </c>
      <c r="M411" t="n">
        <v>0</v>
      </c>
      <c r="N411" t="n">
        <v>0</v>
      </c>
      <c r="O411" t="n">
        <v>0</v>
      </c>
      <c r="P411" t="n">
        <v>0</v>
      </c>
      <c r="Q411" t="n">
        <v>0</v>
      </c>
      <c r="R411" s="2" t="inlineStr"/>
    </row>
    <row r="412" ht="15" customHeight="1">
      <c r="A412" t="inlineStr">
        <is>
          <t>A 49697-2023</t>
        </is>
      </c>
      <c r="B412" s="1" t="n">
        <v>45212.38909722222</v>
      </c>
      <c r="C412" s="1" t="n">
        <v>46130</v>
      </c>
      <c r="D412" t="inlineStr">
        <is>
          <t>GOTLANDS LÄN</t>
        </is>
      </c>
      <c r="E412" t="inlineStr">
        <is>
          <t>GOTLAND</t>
        </is>
      </c>
      <c r="G412" t="n">
        <v>4.4</v>
      </c>
      <c r="H412" t="n">
        <v>0</v>
      </c>
      <c r="I412" t="n">
        <v>0</v>
      </c>
      <c r="J412" t="n">
        <v>0</v>
      </c>
      <c r="K412" t="n">
        <v>0</v>
      </c>
      <c r="L412" t="n">
        <v>0</v>
      </c>
      <c r="M412" t="n">
        <v>0</v>
      </c>
      <c r="N412" t="n">
        <v>0</v>
      </c>
      <c r="O412" t="n">
        <v>0</v>
      </c>
      <c r="P412" t="n">
        <v>0</v>
      </c>
      <c r="Q412" t="n">
        <v>0</v>
      </c>
      <c r="R412" s="2" t="inlineStr"/>
    </row>
    <row r="413" ht="15" customHeight="1">
      <c r="A413" t="inlineStr">
        <is>
          <t>A 17901-2023</t>
        </is>
      </c>
      <c r="B413" s="1" t="n">
        <v>45039</v>
      </c>
      <c r="C413" s="1" t="n">
        <v>46130</v>
      </c>
      <c r="D413" t="inlineStr">
        <is>
          <t>GOTLANDS LÄN</t>
        </is>
      </c>
      <c r="E413" t="inlineStr">
        <is>
          <t>GOTLAND</t>
        </is>
      </c>
      <c r="F413" t="inlineStr">
        <is>
          <t>Kyrkan</t>
        </is>
      </c>
      <c r="G413" t="n">
        <v>0.6</v>
      </c>
      <c r="H413" t="n">
        <v>0</v>
      </c>
      <c r="I413" t="n">
        <v>0</v>
      </c>
      <c r="J413" t="n">
        <v>0</v>
      </c>
      <c r="K413" t="n">
        <v>0</v>
      </c>
      <c r="L413" t="n">
        <v>0</v>
      </c>
      <c r="M413" t="n">
        <v>0</v>
      </c>
      <c r="N413" t="n">
        <v>0</v>
      </c>
      <c r="O413" t="n">
        <v>0</v>
      </c>
      <c r="P413" t="n">
        <v>0</v>
      </c>
      <c r="Q413" t="n">
        <v>0</v>
      </c>
      <c r="R413" s="2" t="inlineStr"/>
    </row>
    <row r="414" ht="15" customHeight="1">
      <c r="A414" t="inlineStr">
        <is>
          <t>A 52892-2021</t>
        </is>
      </c>
      <c r="B414" s="1" t="n">
        <v>44467.49048611111</v>
      </c>
      <c r="C414" s="1" t="n">
        <v>46130</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46396-2023</t>
        </is>
      </c>
      <c r="B415" s="1" t="n">
        <v>45197</v>
      </c>
      <c r="C415" s="1" t="n">
        <v>46130</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17724-2024</t>
        </is>
      </c>
      <c r="B416" s="1" t="n">
        <v>45418.55096064815</v>
      </c>
      <c r="C416" s="1" t="n">
        <v>46130</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34312-2024</t>
        </is>
      </c>
      <c r="B417" s="1" t="n">
        <v>45524.69703703704</v>
      </c>
      <c r="C417" s="1" t="n">
        <v>46130</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62066-2025</t>
        </is>
      </c>
      <c r="B418" s="1" t="n">
        <v>46006.34738425926</v>
      </c>
      <c r="C418" s="1" t="n">
        <v>46130</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62103-2025</t>
        </is>
      </c>
      <c r="B419" s="1" t="n">
        <v>46006</v>
      </c>
      <c r="C419" s="1" t="n">
        <v>46130</v>
      </c>
      <c r="D419" t="inlineStr">
        <is>
          <t>GOTLANDS LÄN</t>
        </is>
      </c>
      <c r="E419" t="inlineStr">
        <is>
          <t>GOTLAND</t>
        </is>
      </c>
      <c r="F419" t="inlineStr">
        <is>
          <t>Övriga Aktiebolag</t>
        </is>
      </c>
      <c r="G419" t="n">
        <v>1.7</v>
      </c>
      <c r="H419" t="n">
        <v>0</v>
      </c>
      <c r="I419" t="n">
        <v>0</v>
      </c>
      <c r="J419" t="n">
        <v>0</v>
      </c>
      <c r="K419" t="n">
        <v>0</v>
      </c>
      <c r="L419" t="n">
        <v>0</v>
      </c>
      <c r="M419" t="n">
        <v>0</v>
      </c>
      <c r="N419" t="n">
        <v>0</v>
      </c>
      <c r="O419" t="n">
        <v>0</v>
      </c>
      <c r="P419" t="n">
        <v>0</v>
      </c>
      <c r="Q419" t="n">
        <v>0</v>
      </c>
      <c r="R419" s="2" t="inlineStr"/>
    </row>
    <row r="420" ht="15" customHeight="1">
      <c r="A420" t="inlineStr">
        <is>
          <t>A 69112-2021</t>
        </is>
      </c>
      <c r="B420" s="1" t="n">
        <v>44530</v>
      </c>
      <c r="C420" s="1" t="n">
        <v>46130</v>
      </c>
      <c r="D420" t="inlineStr">
        <is>
          <t>GOTLANDS LÄN</t>
        </is>
      </c>
      <c r="E420" t="inlineStr">
        <is>
          <t>GOTLAND</t>
        </is>
      </c>
      <c r="G420" t="n">
        <v>4.2</v>
      </c>
      <c r="H420" t="n">
        <v>0</v>
      </c>
      <c r="I420" t="n">
        <v>0</v>
      </c>
      <c r="J420" t="n">
        <v>0</v>
      </c>
      <c r="K420" t="n">
        <v>0</v>
      </c>
      <c r="L420" t="n">
        <v>0</v>
      </c>
      <c r="M420" t="n">
        <v>0</v>
      </c>
      <c r="N420" t="n">
        <v>0</v>
      </c>
      <c r="O420" t="n">
        <v>0</v>
      </c>
      <c r="P420" t="n">
        <v>0</v>
      </c>
      <c r="Q420" t="n">
        <v>0</v>
      </c>
      <c r="R420" s="2" t="inlineStr"/>
    </row>
    <row r="421" ht="15" customHeight="1">
      <c r="A421" t="inlineStr">
        <is>
          <t>A 7638-2025</t>
        </is>
      </c>
      <c r="B421" s="1" t="n">
        <v>45705.77306712963</v>
      </c>
      <c r="C421" s="1" t="n">
        <v>46130</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50482-2024</t>
        </is>
      </c>
      <c r="B422" s="1" t="n">
        <v>45601.48114583334</v>
      </c>
      <c r="C422" s="1" t="n">
        <v>46130</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1394-2023</t>
        </is>
      </c>
      <c r="B423" s="1" t="n">
        <v>44936.72997685185</v>
      </c>
      <c r="C423" s="1" t="n">
        <v>46130</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58230-2024</t>
        </is>
      </c>
      <c r="B424" s="1" t="n">
        <v>45632.51625</v>
      </c>
      <c r="C424" s="1" t="n">
        <v>46130</v>
      </c>
      <c r="D424" t="inlineStr">
        <is>
          <t>GOTLANDS LÄN</t>
        </is>
      </c>
      <c r="E424" t="inlineStr">
        <is>
          <t>GOTLAND</t>
        </is>
      </c>
      <c r="G424" t="n">
        <v>7.3</v>
      </c>
      <c r="H424" t="n">
        <v>0</v>
      </c>
      <c r="I424" t="n">
        <v>0</v>
      </c>
      <c r="J424" t="n">
        <v>0</v>
      </c>
      <c r="K424" t="n">
        <v>0</v>
      </c>
      <c r="L424" t="n">
        <v>0</v>
      </c>
      <c r="M424" t="n">
        <v>0</v>
      </c>
      <c r="N424" t="n">
        <v>0</v>
      </c>
      <c r="O424" t="n">
        <v>0</v>
      </c>
      <c r="P424" t="n">
        <v>0</v>
      </c>
      <c r="Q424" t="n">
        <v>0</v>
      </c>
      <c r="R424" s="2" t="inlineStr"/>
    </row>
    <row r="425" ht="15" customHeight="1">
      <c r="A425" t="inlineStr">
        <is>
          <t>A 1462-2025</t>
        </is>
      </c>
      <c r="B425" s="1" t="n">
        <v>45670.36319444444</v>
      </c>
      <c r="C425" s="1" t="n">
        <v>46130</v>
      </c>
      <c r="D425" t="inlineStr">
        <is>
          <t>GOTLANDS LÄN</t>
        </is>
      </c>
      <c r="E425" t="inlineStr">
        <is>
          <t>GOTLAND</t>
        </is>
      </c>
      <c r="G425" t="n">
        <v>2.8</v>
      </c>
      <c r="H425" t="n">
        <v>0</v>
      </c>
      <c r="I425" t="n">
        <v>0</v>
      </c>
      <c r="J425" t="n">
        <v>0</v>
      </c>
      <c r="K425" t="n">
        <v>0</v>
      </c>
      <c r="L425" t="n">
        <v>0</v>
      </c>
      <c r="M425" t="n">
        <v>0</v>
      </c>
      <c r="N425" t="n">
        <v>0</v>
      </c>
      <c r="O425" t="n">
        <v>0</v>
      </c>
      <c r="P425" t="n">
        <v>0</v>
      </c>
      <c r="Q425" t="n">
        <v>0</v>
      </c>
      <c r="R425" s="2" t="inlineStr"/>
    </row>
    <row r="426" ht="15" customHeight="1">
      <c r="A426" t="inlineStr">
        <is>
          <t>A 63002-2025</t>
        </is>
      </c>
      <c r="B426" s="1" t="n">
        <v>46009.56564814815</v>
      </c>
      <c r="C426" s="1" t="n">
        <v>46130</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25129-2023</t>
        </is>
      </c>
      <c r="B427" s="1" t="n">
        <v>45086.44261574074</v>
      </c>
      <c r="C427" s="1" t="n">
        <v>46130</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24192-2023</t>
        </is>
      </c>
      <c r="B428" s="1" t="n">
        <v>45079</v>
      </c>
      <c r="C428" s="1" t="n">
        <v>46130</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5386-2023</t>
        </is>
      </c>
      <c r="B429" s="1" t="n">
        <v>44959</v>
      </c>
      <c r="C429" s="1" t="n">
        <v>46130</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38649-2025</t>
        </is>
      </c>
      <c r="B430" s="1" t="n">
        <v>45884</v>
      </c>
      <c r="C430" s="1" t="n">
        <v>46130</v>
      </c>
      <c r="D430" t="inlineStr">
        <is>
          <t>GOTLANDS LÄN</t>
        </is>
      </c>
      <c r="E430" t="inlineStr">
        <is>
          <t>GOTLAND</t>
        </is>
      </c>
      <c r="G430" t="n">
        <v>1.5</v>
      </c>
      <c r="H430" t="n">
        <v>0</v>
      </c>
      <c r="I430" t="n">
        <v>0</v>
      </c>
      <c r="J430" t="n">
        <v>0</v>
      </c>
      <c r="K430" t="n">
        <v>0</v>
      </c>
      <c r="L430" t="n">
        <v>0</v>
      </c>
      <c r="M430" t="n">
        <v>0</v>
      </c>
      <c r="N430" t="n">
        <v>0</v>
      </c>
      <c r="O430" t="n">
        <v>0</v>
      </c>
      <c r="P430" t="n">
        <v>0</v>
      </c>
      <c r="Q430" t="n">
        <v>0</v>
      </c>
      <c r="R430" s="2" t="inlineStr"/>
    </row>
    <row r="431" ht="15" customHeight="1">
      <c r="A431" t="inlineStr">
        <is>
          <t>A 7026-2023</t>
        </is>
      </c>
      <c r="B431" s="1" t="n">
        <v>44968.30340277778</v>
      </c>
      <c r="C431" s="1" t="n">
        <v>46130</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20855-2023</t>
        </is>
      </c>
      <c r="B432" s="1" t="n">
        <v>45058.82172453704</v>
      </c>
      <c r="C432" s="1" t="n">
        <v>46130</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61078-2025</t>
        </is>
      </c>
      <c r="B433" s="1" t="n">
        <v>46000</v>
      </c>
      <c r="C433" s="1" t="n">
        <v>46130</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1000-2024</t>
        </is>
      </c>
      <c r="B434" s="1" t="n">
        <v>45301.63371527778</v>
      </c>
      <c r="C434" s="1" t="n">
        <v>46130</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1010-2024</t>
        </is>
      </c>
      <c r="B435" s="1" t="n">
        <v>45301</v>
      </c>
      <c r="C435" s="1" t="n">
        <v>46130</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36-2026</t>
        </is>
      </c>
      <c r="B436" s="1" t="n">
        <v>46024.38886574074</v>
      </c>
      <c r="C436" s="1" t="n">
        <v>46130</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62674-2025</t>
        </is>
      </c>
      <c r="B437" s="1" t="n">
        <v>46008</v>
      </c>
      <c r="C437" s="1" t="n">
        <v>46130</v>
      </c>
      <c r="D437" t="inlineStr">
        <is>
          <t>GOTLANDS LÄN</t>
        </is>
      </c>
      <c r="E437" t="inlineStr">
        <is>
          <t>GOTLAND</t>
        </is>
      </c>
      <c r="G437" t="n">
        <v>5</v>
      </c>
      <c r="H437" t="n">
        <v>0</v>
      </c>
      <c r="I437" t="n">
        <v>0</v>
      </c>
      <c r="J437" t="n">
        <v>0</v>
      </c>
      <c r="K437" t="n">
        <v>0</v>
      </c>
      <c r="L437" t="n">
        <v>0</v>
      </c>
      <c r="M437" t="n">
        <v>0</v>
      </c>
      <c r="N437" t="n">
        <v>0</v>
      </c>
      <c r="O437" t="n">
        <v>0</v>
      </c>
      <c r="P437" t="n">
        <v>0</v>
      </c>
      <c r="Q437" t="n">
        <v>0</v>
      </c>
      <c r="R437" s="2" t="inlineStr"/>
    </row>
    <row r="438" ht="15" customHeight="1">
      <c r="A438" t="inlineStr">
        <is>
          <t>A 47762-2023</t>
        </is>
      </c>
      <c r="B438" s="1" t="n">
        <v>45203.86256944444</v>
      </c>
      <c r="C438" s="1" t="n">
        <v>46130</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46545-2024</t>
        </is>
      </c>
      <c r="B439" s="1" t="n">
        <v>45582.65831018519</v>
      </c>
      <c r="C439" s="1" t="n">
        <v>46130</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60086-2022</t>
        </is>
      </c>
      <c r="B440" s="1" t="n">
        <v>44909</v>
      </c>
      <c r="C440" s="1" t="n">
        <v>46130</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28480-2023</t>
        </is>
      </c>
      <c r="B441" s="1" t="n">
        <v>45103</v>
      </c>
      <c r="C441" s="1" t="n">
        <v>46130</v>
      </c>
      <c r="D441" t="inlineStr">
        <is>
          <t>GOTLANDS LÄN</t>
        </is>
      </c>
      <c r="E441" t="inlineStr">
        <is>
          <t>GOTLAND</t>
        </is>
      </c>
      <c r="G441" t="n">
        <v>5.7</v>
      </c>
      <c r="H441" t="n">
        <v>0</v>
      </c>
      <c r="I441" t="n">
        <v>0</v>
      </c>
      <c r="J441" t="n">
        <v>0</v>
      </c>
      <c r="K441" t="n">
        <v>0</v>
      </c>
      <c r="L441" t="n">
        <v>0</v>
      </c>
      <c r="M441" t="n">
        <v>0</v>
      </c>
      <c r="N441" t="n">
        <v>0</v>
      </c>
      <c r="O441" t="n">
        <v>0</v>
      </c>
      <c r="P441" t="n">
        <v>0</v>
      </c>
      <c r="Q441" t="n">
        <v>0</v>
      </c>
      <c r="R441" s="2" t="inlineStr"/>
    </row>
    <row r="442" ht="15" customHeight="1">
      <c r="A442" t="inlineStr">
        <is>
          <t>A 28485-2023</t>
        </is>
      </c>
      <c r="B442" s="1" t="n">
        <v>45103.43731481482</v>
      </c>
      <c r="C442" s="1" t="n">
        <v>46130</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62915-2021</t>
        </is>
      </c>
      <c r="B443" s="1" t="n">
        <v>44504</v>
      </c>
      <c r="C443" s="1" t="n">
        <v>46130</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44949-2023</t>
        </is>
      </c>
      <c r="B444" s="1" t="n">
        <v>45190.69520833333</v>
      </c>
      <c r="C444" s="1" t="n">
        <v>46130</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1355-2026</t>
        </is>
      </c>
      <c r="B445" s="1" t="n">
        <v>46031.59909722222</v>
      </c>
      <c r="C445" s="1" t="n">
        <v>46130</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37222-2021</t>
        </is>
      </c>
      <c r="B446" s="1" t="n">
        <v>44396</v>
      </c>
      <c r="C446" s="1" t="n">
        <v>46130</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1898-2026</t>
        </is>
      </c>
      <c r="B447" s="1" t="n">
        <v>46035.52024305556</v>
      </c>
      <c r="C447" s="1" t="n">
        <v>46130</v>
      </c>
      <c r="D447" t="inlineStr">
        <is>
          <t>GOTLANDS LÄN</t>
        </is>
      </c>
      <c r="E447" t="inlineStr">
        <is>
          <t>GOTLAND</t>
        </is>
      </c>
      <c r="G447" t="n">
        <v>3.7</v>
      </c>
      <c r="H447" t="n">
        <v>0</v>
      </c>
      <c r="I447" t="n">
        <v>0</v>
      </c>
      <c r="J447" t="n">
        <v>0</v>
      </c>
      <c r="K447" t="n">
        <v>0</v>
      </c>
      <c r="L447" t="n">
        <v>0</v>
      </c>
      <c r="M447" t="n">
        <v>0</v>
      </c>
      <c r="N447" t="n">
        <v>0</v>
      </c>
      <c r="O447" t="n">
        <v>0</v>
      </c>
      <c r="P447" t="n">
        <v>0</v>
      </c>
      <c r="Q447" t="n">
        <v>0</v>
      </c>
      <c r="R447" s="2" t="inlineStr"/>
    </row>
    <row r="448" ht="15" customHeight="1">
      <c r="A448" t="inlineStr">
        <is>
          <t>A 3964-2024</t>
        </is>
      </c>
      <c r="B448" s="1" t="n">
        <v>45322</v>
      </c>
      <c r="C448" s="1" t="n">
        <v>46130</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45084-2024</t>
        </is>
      </c>
      <c r="B449" s="1" t="n">
        <v>45575</v>
      </c>
      <c r="C449" s="1" t="n">
        <v>46130</v>
      </c>
      <c r="D449" t="inlineStr">
        <is>
          <t>GOTLANDS LÄN</t>
        </is>
      </c>
      <c r="E449" t="inlineStr">
        <is>
          <t>GOTLAND</t>
        </is>
      </c>
      <c r="G449" t="n">
        <v>6.8</v>
      </c>
      <c r="H449" t="n">
        <v>0</v>
      </c>
      <c r="I449" t="n">
        <v>0</v>
      </c>
      <c r="J449" t="n">
        <v>0</v>
      </c>
      <c r="K449" t="n">
        <v>0</v>
      </c>
      <c r="L449" t="n">
        <v>0</v>
      </c>
      <c r="M449" t="n">
        <v>0</v>
      </c>
      <c r="N449" t="n">
        <v>0</v>
      </c>
      <c r="O449" t="n">
        <v>0</v>
      </c>
      <c r="P449" t="n">
        <v>0</v>
      </c>
      <c r="Q449" t="n">
        <v>0</v>
      </c>
      <c r="R449" s="2" t="inlineStr"/>
    </row>
    <row r="450" ht="15" customHeight="1">
      <c r="A450" t="inlineStr">
        <is>
          <t>A 2415-2026</t>
        </is>
      </c>
      <c r="B450" s="1" t="n">
        <v>46036.76203703704</v>
      </c>
      <c r="C450" s="1" t="n">
        <v>46130</v>
      </c>
      <c r="D450" t="inlineStr">
        <is>
          <t>GOTLANDS LÄN</t>
        </is>
      </c>
      <c r="E450" t="inlineStr">
        <is>
          <t>GOTLAND</t>
        </is>
      </c>
      <c r="G450" t="n">
        <v>6.9</v>
      </c>
      <c r="H450" t="n">
        <v>0</v>
      </c>
      <c r="I450" t="n">
        <v>0</v>
      </c>
      <c r="J450" t="n">
        <v>0</v>
      </c>
      <c r="K450" t="n">
        <v>0</v>
      </c>
      <c r="L450" t="n">
        <v>0</v>
      </c>
      <c r="M450" t="n">
        <v>0</v>
      </c>
      <c r="N450" t="n">
        <v>0</v>
      </c>
      <c r="O450" t="n">
        <v>0</v>
      </c>
      <c r="P450" t="n">
        <v>0</v>
      </c>
      <c r="Q450" t="n">
        <v>0</v>
      </c>
      <c r="R450" s="2" t="inlineStr"/>
    </row>
    <row r="451" ht="15" customHeight="1">
      <c r="A451" t="inlineStr">
        <is>
          <t>A 5217-2023</t>
        </is>
      </c>
      <c r="B451" s="1" t="n">
        <v>44959.39582175926</v>
      </c>
      <c r="C451" s="1" t="n">
        <v>46130</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3253-2026</t>
        </is>
      </c>
      <c r="B452" s="1" t="n">
        <v>46041.58902777778</v>
      </c>
      <c r="C452" s="1" t="n">
        <v>46130</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1677-2023</t>
        </is>
      </c>
      <c r="B453" s="1" t="n">
        <v>44938</v>
      </c>
      <c r="C453" s="1" t="n">
        <v>46130</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45244-2024</t>
        </is>
      </c>
      <c r="B454" s="1" t="n">
        <v>45576</v>
      </c>
      <c r="C454" s="1" t="n">
        <v>46130</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8260-2023</t>
        </is>
      </c>
      <c r="B455" s="1" t="n">
        <v>44974.61608796296</v>
      </c>
      <c r="C455" s="1" t="n">
        <v>46130</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4646-2026</t>
        </is>
      </c>
      <c r="B456" s="1" t="n">
        <v>46048.40357638889</v>
      </c>
      <c r="C456" s="1" t="n">
        <v>46130</v>
      </c>
      <c r="D456" t="inlineStr">
        <is>
          <t>GOTLANDS LÄN</t>
        </is>
      </c>
      <c r="E456" t="inlineStr">
        <is>
          <t>GOTLAND</t>
        </is>
      </c>
      <c r="G456" t="n">
        <v>2.7</v>
      </c>
      <c r="H456" t="n">
        <v>0</v>
      </c>
      <c r="I456" t="n">
        <v>0</v>
      </c>
      <c r="J456" t="n">
        <v>0</v>
      </c>
      <c r="K456" t="n">
        <v>0</v>
      </c>
      <c r="L456" t="n">
        <v>0</v>
      </c>
      <c r="M456" t="n">
        <v>0</v>
      </c>
      <c r="N456" t="n">
        <v>0</v>
      </c>
      <c r="O456" t="n">
        <v>0</v>
      </c>
      <c r="P456" t="n">
        <v>0</v>
      </c>
      <c r="Q456" t="n">
        <v>0</v>
      </c>
      <c r="R456" s="2" t="inlineStr"/>
    </row>
    <row r="457" ht="15" customHeight="1">
      <c r="A457" t="inlineStr">
        <is>
          <t>A 64969-2023</t>
        </is>
      </c>
      <c r="B457" s="1" t="n">
        <v>45284.54009259259</v>
      </c>
      <c r="C457" s="1" t="n">
        <v>46130</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4662-2026</t>
        </is>
      </c>
      <c r="B458" s="1" t="n">
        <v>46048.40949074074</v>
      </c>
      <c r="C458" s="1" t="n">
        <v>46130</v>
      </c>
      <c r="D458" t="inlineStr">
        <is>
          <t>GOTLANDS LÄN</t>
        </is>
      </c>
      <c r="E458" t="inlineStr">
        <is>
          <t>GOTLAND</t>
        </is>
      </c>
      <c r="G458" t="n">
        <v>7.6</v>
      </c>
      <c r="H458" t="n">
        <v>0</v>
      </c>
      <c r="I458" t="n">
        <v>0</v>
      </c>
      <c r="J458" t="n">
        <v>0</v>
      </c>
      <c r="K458" t="n">
        <v>0</v>
      </c>
      <c r="L458" t="n">
        <v>0</v>
      </c>
      <c r="M458" t="n">
        <v>0</v>
      </c>
      <c r="N458" t="n">
        <v>0</v>
      </c>
      <c r="O458" t="n">
        <v>0</v>
      </c>
      <c r="P458" t="n">
        <v>0</v>
      </c>
      <c r="Q458" t="n">
        <v>0</v>
      </c>
      <c r="R458" s="2" t="inlineStr"/>
    </row>
    <row r="459" ht="15" customHeight="1">
      <c r="A459" t="inlineStr">
        <is>
          <t>A 48843-2024</t>
        </is>
      </c>
      <c r="B459" s="1" t="n">
        <v>45593</v>
      </c>
      <c r="C459" s="1" t="n">
        <v>46130</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17541-2024</t>
        </is>
      </c>
      <c r="B460" s="1" t="n">
        <v>45415</v>
      </c>
      <c r="C460" s="1" t="n">
        <v>46130</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4639-2026</t>
        </is>
      </c>
      <c r="B461" s="1" t="n">
        <v>46048.39880787037</v>
      </c>
      <c r="C461" s="1" t="n">
        <v>46130</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1839-2026</t>
        </is>
      </c>
      <c r="B462" s="1" t="n">
        <v>46035.3942824074</v>
      </c>
      <c r="C462" s="1" t="n">
        <v>46130</v>
      </c>
      <c r="D462" t="inlineStr">
        <is>
          <t>GOTLANDS LÄN</t>
        </is>
      </c>
      <c r="E462" t="inlineStr">
        <is>
          <t>GOTLAND</t>
        </is>
      </c>
      <c r="G462" t="n">
        <v>3.5</v>
      </c>
      <c r="H462" t="n">
        <v>0</v>
      </c>
      <c r="I462" t="n">
        <v>0</v>
      </c>
      <c r="J462" t="n">
        <v>0</v>
      </c>
      <c r="K462" t="n">
        <v>0</v>
      </c>
      <c r="L462" t="n">
        <v>0</v>
      </c>
      <c r="M462" t="n">
        <v>0</v>
      </c>
      <c r="N462" t="n">
        <v>0</v>
      </c>
      <c r="O462" t="n">
        <v>0</v>
      </c>
      <c r="P462" t="n">
        <v>0</v>
      </c>
      <c r="Q462" t="n">
        <v>0</v>
      </c>
      <c r="R462" s="2" t="inlineStr"/>
    </row>
    <row r="463" ht="15" customHeight="1">
      <c r="A463" t="inlineStr">
        <is>
          <t>A 4634-2026</t>
        </is>
      </c>
      <c r="B463" s="1" t="n">
        <v>46048.39304398148</v>
      </c>
      <c r="C463" s="1" t="n">
        <v>46130</v>
      </c>
      <c r="D463" t="inlineStr">
        <is>
          <t>GOTLANDS LÄN</t>
        </is>
      </c>
      <c r="E463" t="inlineStr">
        <is>
          <t>GOTLAND</t>
        </is>
      </c>
      <c r="G463" t="n">
        <v>7.8</v>
      </c>
      <c r="H463" t="n">
        <v>0</v>
      </c>
      <c r="I463" t="n">
        <v>0</v>
      </c>
      <c r="J463" t="n">
        <v>0</v>
      </c>
      <c r="K463" t="n">
        <v>0</v>
      </c>
      <c r="L463" t="n">
        <v>0</v>
      </c>
      <c r="M463" t="n">
        <v>0</v>
      </c>
      <c r="N463" t="n">
        <v>0</v>
      </c>
      <c r="O463" t="n">
        <v>0</v>
      </c>
      <c r="P463" t="n">
        <v>0</v>
      </c>
      <c r="Q463" t="n">
        <v>0</v>
      </c>
      <c r="R463" s="2" t="inlineStr"/>
    </row>
    <row r="464" ht="15" customHeight="1">
      <c r="A464" t="inlineStr">
        <is>
          <t>A 2241-2025</t>
        </is>
      </c>
      <c r="B464" s="1" t="n">
        <v>45673.48710648148</v>
      </c>
      <c r="C464" s="1" t="n">
        <v>46130</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4670-2026</t>
        </is>
      </c>
      <c r="B465" s="1" t="n">
        <v>46048.41733796296</v>
      </c>
      <c r="C465" s="1" t="n">
        <v>46130</v>
      </c>
      <c r="D465" t="inlineStr">
        <is>
          <t>GOTLANDS LÄN</t>
        </is>
      </c>
      <c r="E465" t="inlineStr">
        <is>
          <t>GOTLAND</t>
        </is>
      </c>
      <c r="G465" t="n">
        <v>1.7</v>
      </c>
      <c r="H465" t="n">
        <v>0</v>
      </c>
      <c r="I465" t="n">
        <v>0</v>
      </c>
      <c r="J465" t="n">
        <v>0</v>
      </c>
      <c r="K465" t="n">
        <v>0</v>
      </c>
      <c r="L465" t="n">
        <v>0</v>
      </c>
      <c r="M465" t="n">
        <v>0</v>
      </c>
      <c r="N465" t="n">
        <v>0</v>
      </c>
      <c r="O465" t="n">
        <v>0</v>
      </c>
      <c r="P465" t="n">
        <v>0</v>
      </c>
      <c r="Q465" t="n">
        <v>0</v>
      </c>
      <c r="R465" s="2" t="inlineStr"/>
    </row>
    <row r="466" ht="15" customHeight="1">
      <c r="A466" t="inlineStr">
        <is>
          <t>A 15434-2024</t>
        </is>
      </c>
      <c r="B466" s="1" t="n">
        <v>45401.38836805556</v>
      </c>
      <c r="C466" s="1" t="n">
        <v>46130</v>
      </c>
      <c r="D466" t="inlineStr">
        <is>
          <t>GOTLANDS LÄN</t>
        </is>
      </c>
      <c r="E466" t="inlineStr">
        <is>
          <t>GOTLAND</t>
        </is>
      </c>
      <c r="G466" t="n">
        <v>2.5</v>
      </c>
      <c r="H466" t="n">
        <v>0</v>
      </c>
      <c r="I466" t="n">
        <v>0</v>
      </c>
      <c r="J466" t="n">
        <v>0</v>
      </c>
      <c r="K466" t="n">
        <v>0</v>
      </c>
      <c r="L466" t="n">
        <v>0</v>
      </c>
      <c r="M466" t="n">
        <v>0</v>
      </c>
      <c r="N466" t="n">
        <v>0</v>
      </c>
      <c r="O466" t="n">
        <v>0</v>
      </c>
      <c r="P466" t="n">
        <v>0</v>
      </c>
      <c r="Q466" t="n">
        <v>0</v>
      </c>
      <c r="R466" s="2" t="inlineStr"/>
    </row>
    <row r="467" ht="15" customHeight="1">
      <c r="A467" t="inlineStr">
        <is>
          <t>A 1854-2026</t>
        </is>
      </c>
      <c r="B467" s="1" t="n">
        <v>46035.4171875</v>
      </c>
      <c r="C467" s="1" t="n">
        <v>46130</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5943-2024</t>
        </is>
      </c>
      <c r="B468" s="1" t="n">
        <v>45336</v>
      </c>
      <c r="C468" s="1" t="n">
        <v>46130</v>
      </c>
      <c r="D468" t="inlineStr">
        <is>
          <t>GOTLANDS LÄN</t>
        </is>
      </c>
      <c r="E468" t="inlineStr">
        <is>
          <t>GOTLAND</t>
        </is>
      </c>
      <c r="G468" t="n">
        <v>4.3</v>
      </c>
      <c r="H468" t="n">
        <v>0</v>
      </c>
      <c r="I468" t="n">
        <v>0</v>
      </c>
      <c r="J468" t="n">
        <v>0</v>
      </c>
      <c r="K468" t="n">
        <v>0</v>
      </c>
      <c r="L468" t="n">
        <v>0</v>
      </c>
      <c r="M468" t="n">
        <v>0</v>
      </c>
      <c r="N468" t="n">
        <v>0</v>
      </c>
      <c r="O468" t="n">
        <v>0</v>
      </c>
      <c r="P468" t="n">
        <v>0</v>
      </c>
      <c r="Q468" t="n">
        <v>0</v>
      </c>
      <c r="R468" s="2" t="inlineStr"/>
    </row>
    <row r="469" ht="15" customHeight="1">
      <c r="A469" t="inlineStr">
        <is>
          <t>A 54073-2022</t>
        </is>
      </c>
      <c r="B469" s="1" t="n">
        <v>44881.50380787037</v>
      </c>
      <c r="C469" s="1" t="n">
        <v>46130</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16361-2024</t>
        </is>
      </c>
      <c r="B470" s="1" t="n">
        <v>45407</v>
      </c>
      <c r="C470" s="1" t="n">
        <v>46130</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13486-2026</t>
        </is>
      </c>
      <c r="B471" s="1" t="n">
        <v>46094</v>
      </c>
      <c r="C471" s="1" t="n">
        <v>46130</v>
      </c>
      <c r="D471" t="inlineStr">
        <is>
          <t>GOTLANDS LÄN</t>
        </is>
      </c>
      <c r="E471" t="inlineStr">
        <is>
          <t>GOTLAND</t>
        </is>
      </c>
      <c r="G471" t="n">
        <v>1.6</v>
      </c>
      <c r="H471" t="n">
        <v>0</v>
      </c>
      <c r="I471" t="n">
        <v>0</v>
      </c>
      <c r="J471" t="n">
        <v>0</v>
      </c>
      <c r="K471" t="n">
        <v>0</v>
      </c>
      <c r="L471" t="n">
        <v>0</v>
      </c>
      <c r="M471" t="n">
        <v>0</v>
      </c>
      <c r="N471" t="n">
        <v>0</v>
      </c>
      <c r="O471" t="n">
        <v>0</v>
      </c>
      <c r="P471" t="n">
        <v>0</v>
      </c>
      <c r="Q471" t="n">
        <v>0</v>
      </c>
      <c r="R471" s="2" t="inlineStr"/>
    </row>
    <row r="472" ht="15" customHeight="1">
      <c r="A472" t="inlineStr">
        <is>
          <t>A 41038-2023</t>
        </is>
      </c>
      <c r="B472" s="1" t="n">
        <v>45173.60959490741</v>
      </c>
      <c r="C472" s="1" t="n">
        <v>46130</v>
      </c>
      <c r="D472" t="inlineStr">
        <is>
          <t>GOTLANDS LÄN</t>
        </is>
      </c>
      <c r="E472" t="inlineStr">
        <is>
          <t>GOTLAND</t>
        </is>
      </c>
      <c r="G472" t="n">
        <v>2.7</v>
      </c>
      <c r="H472" t="n">
        <v>0</v>
      </c>
      <c r="I472" t="n">
        <v>0</v>
      </c>
      <c r="J472" t="n">
        <v>0</v>
      </c>
      <c r="K472" t="n">
        <v>0</v>
      </c>
      <c r="L472" t="n">
        <v>0</v>
      </c>
      <c r="M472" t="n">
        <v>0</v>
      </c>
      <c r="N472" t="n">
        <v>0</v>
      </c>
      <c r="O472" t="n">
        <v>0</v>
      </c>
      <c r="P472" t="n">
        <v>0</v>
      </c>
      <c r="Q472" t="n">
        <v>0</v>
      </c>
      <c r="R472" s="2" t="inlineStr"/>
    </row>
    <row r="473" ht="15" customHeight="1">
      <c r="A473" t="inlineStr">
        <is>
          <t>A 6218-2026</t>
        </is>
      </c>
      <c r="B473" s="1" t="n">
        <v>46055.42859953704</v>
      </c>
      <c r="C473" s="1" t="n">
        <v>46130</v>
      </c>
      <c r="D473" t="inlineStr">
        <is>
          <t>GOTLANDS LÄN</t>
        </is>
      </c>
      <c r="E473" t="inlineStr">
        <is>
          <t>GOTLAND</t>
        </is>
      </c>
      <c r="G473" t="n">
        <v>4.3</v>
      </c>
      <c r="H473" t="n">
        <v>0</v>
      </c>
      <c r="I473" t="n">
        <v>0</v>
      </c>
      <c r="J473" t="n">
        <v>0</v>
      </c>
      <c r="K473" t="n">
        <v>0</v>
      </c>
      <c r="L473" t="n">
        <v>0</v>
      </c>
      <c r="M473" t="n">
        <v>0</v>
      </c>
      <c r="N473" t="n">
        <v>0</v>
      </c>
      <c r="O473" t="n">
        <v>0</v>
      </c>
      <c r="P473" t="n">
        <v>0</v>
      </c>
      <c r="Q473" t="n">
        <v>0</v>
      </c>
      <c r="R473" s="2" t="inlineStr"/>
    </row>
    <row r="474" ht="15" customHeight="1">
      <c r="A474" t="inlineStr">
        <is>
          <t>A 14427-2024</t>
        </is>
      </c>
      <c r="B474" s="1" t="n">
        <v>45394</v>
      </c>
      <c r="C474" s="1" t="n">
        <v>46130</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6207-2026</t>
        </is>
      </c>
      <c r="B475" s="1" t="n">
        <v>46055.42083333333</v>
      </c>
      <c r="C475" s="1" t="n">
        <v>46130</v>
      </c>
      <c r="D475" t="inlineStr">
        <is>
          <t>GOTLANDS LÄN</t>
        </is>
      </c>
      <c r="E475" t="inlineStr">
        <is>
          <t>GOTLAND</t>
        </is>
      </c>
      <c r="G475" t="n">
        <v>7.6</v>
      </c>
      <c r="H475" t="n">
        <v>0</v>
      </c>
      <c r="I475" t="n">
        <v>0</v>
      </c>
      <c r="J475" t="n">
        <v>0</v>
      </c>
      <c r="K475" t="n">
        <v>0</v>
      </c>
      <c r="L475" t="n">
        <v>0</v>
      </c>
      <c r="M475" t="n">
        <v>0</v>
      </c>
      <c r="N475" t="n">
        <v>0</v>
      </c>
      <c r="O475" t="n">
        <v>0</v>
      </c>
      <c r="P475" t="n">
        <v>0</v>
      </c>
      <c r="Q475" t="n">
        <v>0</v>
      </c>
      <c r="R475" s="2" t="inlineStr"/>
    </row>
    <row r="476" ht="15" customHeight="1">
      <c r="A476" t="inlineStr">
        <is>
          <t>A 31802-2024</t>
        </is>
      </c>
      <c r="B476" s="1" t="n">
        <v>45509</v>
      </c>
      <c r="C476" s="1" t="n">
        <v>46130</v>
      </c>
      <c r="D476" t="inlineStr">
        <is>
          <t>GOTLANDS LÄN</t>
        </is>
      </c>
      <c r="E476" t="inlineStr">
        <is>
          <t>GOTLAND</t>
        </is>
      </c>
      <c r="G476" t="n">
        <v>2.8</v>
      </c>
      <c r="H476" t="n">
        <v>0</v>
      </c>
      <c r="I476" t="n">
        <v>0</v>
      </c>
      <c r="J476" t="n">
        <v>0</v>
      </c>
      <c r="K476" t="n">
        <v>0</v>
      </c>
      <c r="L476" t="n">
        <v>0</v>
      </c>
      <c r="M476" t="n">
        <v>0</v>
      </c>
      <c r="N476" t="n">
        <v>0</v>
      </c>
      <c r="O476" t="n">
        <v>0</v>
      </c>
      <c r="P476" t="n">
        <v>0</v>
      </c>
      <c r="Q476" t="n">
        <v>0</v>
      </c>
      <c r="R476" s="2" t="inlineStr"/>
    </row>
    <row r="477" ht="15" customHeight="1">
      <c r="A477" t="inlineStr">
        <is>
          <t>A 6959-2026</t>
        </is>
      </c>
      <c r="B477" s="1" t="n">
        <v>46057.580625</v>
      </c>
      <c r="C477" s="1" t="n">
        <v>46130</v>
      </c>
      <c r="D477" t="inlineStr">
        <is>
          <t>GOTLANDS LÄN</t>
        </is>
      </c>
      <c r="E477" t="inlineStr">
        <is>
          <t>GOTLAND</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44609.44362268518</v>
      </c>
      <c r="C478" s="1" t="n">
        <v>46130</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12846-2025</t>
        </is>
      </c>
      <c r="B479" s="1" t="n">
        <v>45733.65049768519</v>
      </c>
      <c r="C479" s="1" t="n">
        <v>46130</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6960-2026</t>
        </is>
      </c>
      <c r="B480" s="1" t="n">
        <v>46057.58105324074</v>
      </c>
      <c r="C480" s="1" t="n">
        <v>46130</v>
      </c>
      <c r="D480" t="inlineStr">
        <is>
          <t>GOTLANDS LÄN</t>
        </is>
      </c>
      <c r="E480" t="inlineStr">
        <is>
          <t>GOTLAND</t>
        </is>
      </c>
      <c r="F480" t="inlineStr">
        <is>
          <t>Kyrkan</t>
        </is>
      </c>
      <c r="G480" t="n">
        <v>2.4</v>
      </c>
      <c r="H480" t="n">
        <v>0</v>
      </c>
      <c r="I480" t="n">
        <v>0</v>
      </c>
      <c r="J480" t="n">
        <v>0</v>
      </c>
      <c r="K480" t="n">
        <v>0</v>
      </c>
      <c r="L480" t="n">
        <v>0</v>
      </c>
      <c r="M480" t="n">
        <v>0</v>
      </c>
      <c r="N480" t="n">
        <v>0</v>
      </c>
      <c r="O480" t="n">
        <v>0</v>
      </c>
      <c r="P480" t="n">
        <v>0</v>
      </c>
      <c r="Q480" t="n">
        <v>0</v>
      </c>
      <c r="R480" s="2" t="inlineStr"/>
    </row>
    <row r="481" ht="15" customHeight="1">
      <c r="A481" t="inlineStr">
        <is>
          <t>A 46949-2024</t>
        </is>
      </c>
      <c r="B481" s="1" t="n">
        <v>45585</v>
      </c>
      <c r="C481" s="1" t="n">
        <v>46130</v>
      </c>
      <c r="D481" t="inlineStr">
        <is>
          <t>GOTLANDS LÄN</t>
        </is>
      </c>
      <c r="E481" t="inlineStr">
        <is>
          <t>GOTLAND</t>
        </is>
      </c>
      <c r="G481" t="n">
        <v>0.6</v>
      </c>
      <c r="H481" t="n">
        <v>0</v>
      </c>
      <c r="I481" t="n">
        <v>0</v>
      </c>
      <c r="J481" t="n">
        <v>0</v>
      </c>
      <c r="K481" t="n">
        <v>0</v>
      </c>
      <c r="L481" t="n">
        <v>0</v>
      </c>
      <c r="M481" t="n">
        <v>0</v>
      </c>
      <c r="N481" t="n">
        <v>0</v>
      </c>
      <c r="O481" t="n">
        <v>0</v>
      </c>
      <c r="P481" t="n">
        <v>0</v>
      </c>
      <c r="Q481" t="n">
        <v>0</v>
      </c>
      <c r="R481" s="2" t="inlineStr"/>
    </row>
    <row r="482" ht="15" customHeight="1">
      <c r="A482" t="inlineStr">
        <is>
          <t>A 10650-2022</t>
        </is>
      </c>
      <c r="B482" s="1" t="n">
        <v>44624.57945601852</v>
      </c>
      <c r="C482" s="1" t="n">
        <v>46130</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14840-2026</t>
        </is>
      </c>
      <c r="B483" s="1" t="n">
        <v>46104.39498842593</v>
      </c>
      <c r="C483" s="1" t="n">
        <v>46130</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7625-2026</t>
        </is>
      </c>
      <c r="B484" s="1" t="n">
        <v>46062.35135416667</v>
      </c>
      <c r="C484" s="1" t="n">
        <v>46130</v>
      </c>
      <c r="D484" t="inlineStr">
        <is>
          <t>GOTLANDS LÄN</t>
        </is>
      </c>
      <c r="E484" t="inlineStr">
        <is>
          <t>GOTLAND</t>
        </is>
      </c>
      <c r="G484" t="n">
        <v>2.1</v>
      </c>
      <c r="H484" t="n">
        <v>0</v>
      </c>
      <c r="I484" t="n">
        <v>0</v>
      </c>
      <c r="J484" t="n">
        <v>0</v>
      </c>
      <c r="K484" t="n">
        <v>0</v>
      </c>
      <c r="L484" t="n">
        <v>0</v>
      </c>
      <c r="M484" t="n">
        <v>0</v>
      </c>
      <c r="N484" t="n">
        <v>0</v>
      </c>
      <c r="O484" t="n">
        <v>0</v>
      </c>
      <c r="P484" t="n">
        <v>0</v>
      </c>
      <c r="Q484" t="n">
        <v>0</v>
      </c>
      <c r="R484" s="2" t="inlineStr"/>
    </row>
    <row r="485" ht="15" customHeight="1">
      <c r="A485" t="inlineStr">
        <is>
          <t>A 7627-2026</t>
        </is>
      </c>
      <c r="B485" s="1" t="n">
        <v>46062.35465277778</v>
      </c>
      <c r="C485" s="1" t="n">
        <v>46130</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62836-2025</t>
        </is>
      </c>
      <c r="B486" s="1" t="n">
        <v>46008</v>
      </c>
      <c r="C486" s="1" t="n">
        <v>46130</v>
      </c>
      <c r="D486" t="inlineStr">
        <is>
          <t>GOTLANDS LÄN</t>
        </is>
      </c>
      <c r="E486" t="inlineStr">
        <is>
          <t>GOTLAND</t>
        </is>
      </c>
      <c r="G486" t="n">
        <v>6.5</v>
      </c>
      <c r="H486" t="n">
        <v>0</v>
      </c>
      <c r="I486" t="n">
        <v>0</v>
      </c>
      <c r="J486" t="n">
        <v>0</v>
      </c>
      <c r="K486" t="n">
        <v>0</v>
      </c>
      <c r="L486" t="n">
        <v>0</v>
      </c>
      <c r="M486" t="n">
        <v>0</v>
      </c>
      <c r="N486" t="n">
        <v>0</v>
      </c>
      <c r="O486" t="n">
        <v>0</v>
      </c>
      <c r="P486" t="n">
        <v>0</v>
      </c>
      <c r="Q486" t="n">
        <v>0</v>
      </c>
      <c r="R486" s="2" t="inlineStr"/>
    </row>
    <row r="487" ht="15" customHeight="1">
      <c r="A487" t="inlineStr">
        <is>
          <t>A 63105-2025</t>
        </is>
      </c>
      <c r="B487" s="1" t="n">
        <v>46009</v>
      </c>
      <c r="C487" s="1" t="n">
        <v>46130</v>
      </c>
      <c r="D487" t="inlineStr">
        <is>
          <t>GOTLANDS LÄN</t>
        </is>
      </c>
      <c r="E487" t="inlineStr">
        <is>
          <t>GOTLAND</t>
        </is>
      </c>
      <c r="G487" t="n">
        <v>2.6</v>
      </c>
      <c r="H487" t="n">
        <v>0</v>
      </c>
      <c r="I487" t="n">
        <v>0</v>
      </c>
      <c r="J487" t="n">
        <v>0</v>
      </c>
      <c r="K487" t="n">
        <v>0</v>
      </c>
      <c r="L487" t="n">
        <v>0</v>
      </c>
      <c r="M487" t="n">
        <v>0</v>
      </c>
      <c r="N487" t="n">
        <v>0</v>
      </c>
      <c r="O487" t="n">
        <v>0</v>
      </c>
      <c r="P487" t="n">
        <v>0</v>
      </c>
      <c r="Q487" t="n">
        <v>0</v>
      </c>
      <c r="R487" s="2" t="inlineStr"/>
    </row>
    <row r="488" ht="15" customHeight="1">
      <c r="A488" t="inlineStr">
        <is>
          <t>A 11634-2024</t>
        </is>
      </c>
      <c r="B488" s="1" t="n">
        <v>45373</v>
      </c>
      <c r="C488" s="1" t="n">
        <v>46130</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1351-2025</t>
        </is>
      </c>
      <c r="B489" s="1" t="n">
        <v>45667.62246527777</v>
      </c>
      <c r="C489" s="1" t="n">
        <v>46130</v>
      </c>
      <c r="D489" t="inlineStr">
        <is>
          <t>GOTLANDS LÄN</t>
        </is>
      </c>
      <c r="E489" t="inlineStr">
        <is>
          <t>GOTLAND</t>
        </is>
      </c>
      <c r="G489" t="n">
        <v>1.3</v>
      </c>
      <c r="H489" t="n">
        <v>0</v>
      </c>
      <c r="I489" t="n">
        <v>0</v>
      </c>
      <c r="J489" t="n">
        <v>0</v>
      </c>
      <c r="K489" t="n">
        <v>0</v>
      </c>
      <c r="L489" t="n">
        <v>0</v>
      </c>
      <c r="M489" t="n">
        <v>0</v>
      </c>
      <c r="N489" t="n">
        <v>0</v>
      </c>
      <c r="O489" t="n">
        <v>0</v>
      </c>
      <c r="P489" t="n">
        <v>0</v>
      </c>
      <c r="Q489" t="n">
        <v>0</v>
      </c>
      <c r="R489" s="2" t="inlineStr"/>
    </row>
    <row r="490" ht="15" customHeight="1">
      <c r="A490" t="inlineStr">
        <is>
          <t>A 39496-2022</t>
        </is>
      </c>
      <c r="B490" s="1" t="n">
        <v>44818</v>
      </c>
      <c r="C490" s="1" t="n">
        <v>46130</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5863-2026</t>
        </is>
      </c>
      <c r="B491" s="1" t="n">
        <v>46052.36697916667</v>
      </c>
      <c r="C491" s="1" t="n">
        <v>46130</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49874-2024</t>
        </is>
      </c>
      <c r="B492" s="1" t="n">
        <v>45597.49274305555</v>
      </c>
      <c r="C492" s="1" t="n">
        <v>46130</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2135-2026</t>
        </is>
      </c>
      <c r="B493" s="1" t="n">
        <v>46036</v>
      </c>
      <c r="C493" s="1" t="n">
        <v>46130</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42201-2023</t>
        </is>
      </c>
      <c r="B494" s="1" t="n">
        <v>45179</v>
      </c>
      <c r="C494" s="1" t="n">
        <v>46130</v>
      </c>
      <c r="D494" t="inlineStr">
        <is>
          <t>GOTLANDS LÄN</t>
        </is>
      </c>
      <c r="E494" t="inlineStr">
        <is>
          <t>GOTLAND</t>
        </is>
      </c>
      <c r="G494" t="n">
        <v>11.9</v>
      </c>
      <c r="H494" t="n">
        <v>0</v>
      </c>
      <c r="I494" t="n">
        <v>0</v>
      </c>
      <c r="J494" t="n">
        <v>0</v>
      </c>
      <c r="K494" t="n">
        <v>0</v>
      </c>
      <c r="L494" t="n">
        <v>0</v>
      </c>
      <c r="M494" t="n">
        <v>0</v>
      </c>
      <c r="N494" t="n">
        <v>0</v>
      </c>
      <c r="O494" t="n">
        <v>0</v>
      </c>
      <c r="P494" t="n">
        <v>0</v>
      </c>
      <c r="Q494" t="n">
        <v>0</v>
      </c>
      <c r="R494" s="2" t="inlineStr"/>
    </row>
    <row r="495" ht="15" customHeight="1">
      <c r="A495" t="inlineStr">
        <is>
          <t>A 2134-2026</t>
        </is>
      </c>
      <c r="B495" s="1" t="n">
        <v>46036</v>
      </c>
      <c r="C495" s="1" t="n">
        <v>46130</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46130</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46130</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21164-2024</t>
        </is>
      </c>
      <c r="B498" s="1" t="n">
        <v>45440</v>
      </c>
      <c r="C498" s="1" t="n">
        <v>46130</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46130</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63000-2025</t>
        </is>
      </c>
      <c r="B500" s="1" t="n">
        <v>46009</v>
      </c>
      <c r="C500" s="1" t="n">
        <v>46130</v>
      </c>
      <c r="D500" t="inlineStr">
        <is>
          <t>GOTLANDS LÄN</t>
        </is>
      </c>
      <c r="E500" t="inlineStr">
        <is>
          <t>GOTLAND</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22897-2023</t>
        </is>
      </c>
      <c r="B501" s="1" t="n">
        <v>45072.55239583334</v>
      </c>
      <c r="C501" s="1" t="n">
        <v>46130</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61897-2024</t>
        </is>
      </c>
      <c r="B502" s="1" t="n">
        <v>45652.75685185185</v>
      </c>
      <c r="C502" s="1" t="n">
        <v>46130</v>
      </c>
      <c r="D502" t="inlineStr">
        <is>
          <t>GOTLANDS LÄN</t>
        </is>
      </c>
      <c r="E502" t="inlineStr">
        <is>
          <t>GOTLAND</t>
        </is>
      </c>
      <c r="G502" t="n">
        <v>6.4</v>
      </c>
      <c r="H502" t="n">
        <v>0</v>
      </c>
      <c r="I502" t="n">
        <v>0</v>
      </c>
      <c r="J502" t="n">
        <v>0</v>
      </c>
      <c r="K502" t="n">
        <v>0</v>
      </c>
      <c r="L502" t="n">
        <v>0</v>
      </c>
      <c r="M502" t="n">
        <v>0</v>
      </c>
      <c r="N502" t="n">
        <v>0</v>
      </c>
      <c r="O502" t="n">
        <v>0</v>
      </c>
      <c r="P502" t="n">
        <v>0</v>
      </c>
      <c r="Q502" t="n">
        <v>0</v>
      </c>
      <c r="R502" s="2" t="inlineStr"/>
    </row>
    <row r="503" ht="15" customHeight="1">
      <c r="A503" t="inlineStr">
        <is>
          <t>A 53561-2025</t>
        </is>
      </c>
      <c r="B503" s="1" t="n">
        <v>45960.4059375</v>
      </c>
      <c r="C503" s="1" t="n">
        <v>46130</v>
      </c>
      <c r="D503" t="inlineStr">
        <is>
          <t>GOTLANDS LÄN</t>
        </is>
      </c>
      <c r="E503" t="inlineStr">
        <is>
          <t>GOTLAND</t>
        </is>
      </c>
      <c r="F503" t="inlineStr">
        <is>
          <t>Övriga Aktiebolag</t>
        </is>
      </c>
      <c r="G503" t="n">
        <v>2.4</v>
      </c>
      <c r="H503" t="n">
        <v>0</v>
      </c>
      <c r="I503" t="n">
        <v>0</v>
      </c>
      <c r="J503" t="n">
        <v>0</v>
      </c>
      <c r="K503" t="n">
        <v>0</v>
      </c>
      <c r="L503" t="n">
        <v>0</v>
      </c>
      <c r="M503" t="n">
        <v>0</v>
      </c>
      <c r="N503" t="n">
        <v>0</v>
      </c>
      <c r="O503" t="n">
        <v>0</v>
      </c>
      <c r="P503" t="n">
        <v>0</v>
      </c>
      <c r="Q503" t="n">
        <v>0</v>
      </c>
      <c r="R503" s="2" t="inlineStr"/>
    </row>
    <row r="504" ht="15" customHeight="1">
      <c r="A504" t="inlineStr">
        <is>
          <t>A 49962-2023</t>
        </is>
      </c>
      <c r="B504" s="1" t="n">
        <v>45215.38775462963</v>
      </c>
      <c r="C504" s="1" t="n">
        <v>46130</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62751-2025</t>
        </is>
      </c>
      <c r="B505" s="1" t="n">
        <v>46008</v>
      </c>
      <c r="C505" s="1" t="n">
        <v>46130</v>
      </c>
      <c r="D505" t="inlineStr">
        <is>
          <t>GOTLANDS LÄN</t>
        </is>
      </c>
      <c r="E505" t="inlineStr">
        <is>
          <t>GOTLAND</t>
        </is>
      </c>
      <c r="F505" t="inlineStr">
        <is>
          <t>Övriga Aktiebolag</t>
        </is>
      </c>
      <c r="G505" t="n">
        <v>7.8</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46130</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53587-2025</t>
        </is>
      </c>
      <c r="B507" s="1" t="n">
        <v>45960.43681712963</v>
      </c>
      <c r="C507" s="1" t="n">
        <v>46130</v>
      </c>
      <c r="D507" t="inlineStr">
        <is>
          <t>GOTLANDS LÄN</t>
        </is>
      </c>
      <c r="E507" t="inlineStr">
        <is>
          <t>GOTLAND</t>
        </is>
      </c>
      <c r="F507" t="inlineStr">
        <is>
          <t>Övriga Aktiebolag</t>
        </is>
      </c>
      <c r="G507" t="n">
        <v>1.7</v>
      </c>
      <c r="H507" t="n">
        <v>0</v>
      </c>
      <c r="I507" t="n">
        <v>0</v>
      </c>
      <c r="J507" t="n">
        <v>0</v>
      </c>
      <c r="K507" t="n">
        <v>0</v>
      </c>
      <c r="L507" t="n">
        <v>0</v>
      </c>
      <c r="M507" t="n">
        <v>0</v>
      </c>
      <c r="N507" t="n">
        <v>0</v>
      </c>
      <c r="O507" t="n">
        <v>0</v>
      </c>
      <c r="P507" t="n">
        <v>0</v>
      </c>
      <c r="Q507" t="n">
        <v>0</v>
      </c>
      <c r="R507" s="2" t="inlineStr"/>
    </row>
    <row r="508" ht="15" customHeight="1">
      <c r="A508" t="inlineStr">
        <is>
          <t>A 20165-2022</t>
        </is>
      </c>
      <c r="B508" s="1" t="n">
        <v>44698.49854166667</v>
      </c>
      <c r="C508" s="1" t="n">
        <v>46130</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40294-2022</t>
        </is>
      </c>
      <c r="B509" s="1" t="n">
        <v>44821</v>
      </c>
      <c r="C509" s="1" t="n">
        <v>46130</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9504-2026</t>
        </is>
      </c>
      <c r="B510" s="1" t="n">
        <v>46071.57730324074</v>
      </c>
      <c r="C510" s="1" t="n">
        <v>46130</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9518-2026</t>
        </is>
      </c>
      <c r="B511" s="1" t="n">
        <v>46071.59653935185</v>
      </c>
      <c r="C511" s="1" t="n">
        <v>46130</v>
      </c>
      <c r="D511" t="inlineStr">
        <is>
          <t>GOTLANDS LÄN</t>
        </is>
      </c>
      <c r="E511" t="inlineStr">
        <is>
          <t>GOTLAND</t>
        </is>
      </c>
      <c r="G511" t="n">
        <v>6.2</v>
      </c>
      <c r="H511" t="n">
        <v>0</v>
      </c>
      <c r="I511" t="n">
        <v>0</v>
      </c>
      <c r="J511" t="n">
        <v>0</v>
      </c>
      <c r="K511" t="n">
        <v>0</v>
      </c>
      <c r="L511" t="n">
        <v>0</v>
      </c>
      <c r="M511" t="n">
        <v>0</v>
      </c>
      <c r="N511" t="n">
        <v>0</v>
      </c>
      <c r="O511" t="n">
        <v>0</v>
      </c>
      <c r="P511" t="n">
        <v>0</v>
      </c>
      <c r="Q511" t="n">
        <v>0</v>
      </c>
      <c r="R511" s="2" t="inlineStr"/>
    </row>
    <row r="512" ht="15" customHeight="1">
      <c r="A512" t="inlineStr">
        <is>
          <t>A 9519-2026</t>
        </is>
      </c>
      <c r="B512" s="1" t="n">
        <v>46071.59820601852</v>
      </c>
      <c r="C512" s="1" t="n">
        <v>46130</v>
      </c>
      <c r="D512" t="inlineStr">
        <is>
          <t>GOTLANDS LÄN</t>
        </is>
      </c>
      <c r="E512" t="inlineStr">
        <is>
          <t>GOTLAND</t>
        </is>
      </c>
      <c r="G512" t="n">
        <v>4</v>
      </c>
      <c r="H512" t="n">
        <v>0</v>
      </c>
      <c r="I512" t="n">
        <v>0</v>
      </c>
      <c r="J512" t="n">
        <v>0</v>
      </c>
      <c r="K512" t="n">
        <v>0</v>
      </c>
      <c r="L512" t="n">
        <v>0</v>
      </c>
      <c r="M512" t="n">
        <v>0</v>
      </c>
      <c r="N512" t="n">
        <v>0</v>
      </c>
      <c r="O512" t="n">
        <v>0</v>
      </c>
      <c r="P512" t="n">
        <v>0</v>
      </c>
      <c r="Q512" t="n">
        <v>0</v>
      </c>
      <c r="R512" s="2" t="inlineStr"/>
    </row>
    <row r="513" ht="15" customHeight="1">
      <c r="A513" t="inlineStr">
        <is>
          <t>A 12032-2025</t>
        </is>
      </c>
      <c r="B513" s="1" t="n">
        <v>45728.64472222222</v>
      </c>
      <c r="C513" s="1" t="n">
        <v>46130</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38787-2023</t>
        </is>
      </c>
      <c r="B514" s="1" t="n">
        <v>45163</v>
      </c>
      <c r="C514" s="1" t="n">
        <v>46130</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9540-2026</t>
        </is>
      </c>
      <c r="B515" s="1" t="n">
        <v>46071.61961805556</v>
      </c>
      <c r="C515" s="1" t="n">
        <v>46130</v>
      </c>
      <c r="D515" t="inlineStr">
        <is>
          <t>GOTLANDS LÄN</t>
        </is>
      </c>
      <c r="E515" t="inlineStr">
        <is>
          <t>GOTLAND</t>
        </is>
      </c>
      <c r="G515" t="n">
        <v>2.8</v>
      </c>
      <c r="H515" t="n">
        <v>0</v>
      </c>
      <c r="I515" t="n">
        <v>0</v>
      </c>
      <c r="J515" t="n">
        <v>0</v>
      </c>
      <c r="K515" t="n">
        <v>0</v>
      </c>
      <c r="L515" t="n">
        <v>0</v>
      </c>
      <c r="M515" t="n">
        <v>0</v>
      </c>
      <c r="N515" t="n">
        <v>0</v>
      </c>
      <c r="O515" t="n">
        <v>0</v>
      </c>
      <c r="P515" t="n">
        <v>0</v>
      </c>
      <c r="Q515" t="n">
        <v>0</v>
      </c>
      <c r="R515" s="2" t="inlineStr"/>
    </row>
    <row r="516" ht="15" customHeight="1">
      <c r="A516" t="inlineStr">
        <is>
          <t>A 9521-2026</t>
        </is>
      </c>
      <c r="B516" s="1" t="n">
        <v>46071.59969907408</v>
      </c>
      <c r="C516" s="1" t="n">
        <v>46130</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9524-2026</t>
        </is>
      </c>
      <c r="B517" s="1" t="n">
        <v>46071.60108796296</v>
      </c>
      <c r="C517" s="1" t="n">
        <v>46130</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9543-2026</t>
        </is>
      </c>
      <c r="B518" s="1" t="n">
        <v>46071.62486111111</v>
      </c>
      <c r="C518" s="1" t="n">
        <v>46130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16993-2026</t>
        </is>
      </c>
      <c r="B519" s="1" t="n">
        <v>46114.41918981481</v>
      </c>
      <c r="C519" s="1" t="n">
        <v>46130</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17000-2026</t>
        </is>
      </c>
      <c r="B520" s="1" t="n">
        <v>46114.42690972222</v>
      </c>
      <c r="C520" s="1" t="n">
        <v>46130</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43231-2023</t>
        </is>
      </c>
      <c r="B521" s="1" t="n">
        <v>45183.47025462963</v>
      </c>
      <c r="C521" s="1" t="n">
        <v>46130</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17532-2024</t>
        </is>
      </c>
      <c r="B522" s="1" t="n">
        <v>45415</v>
      </c>
      <c r="C522" s="1" t="n">
        <v>46130</v>
      </c>
      <c r="D522" t="inlineStr">
        <is>
          <t>GOTLANDS LÄN</t>
        </is>
      </c>
      <c r="E522" t="inlineStr">
        <is>
          <t>GOTLAND</t>
        </is>
      </c>
      <c r="G522" t="n">
        <v>4.3</v>
      </c>
      <c r="H522" t="n">
        <v>0</v>
      </c>
      <c r="I522" t="n">
        <v>0</v>
      </c>
      <c r="J522" t="n">
        <v>0</v>
      </c>
      <c r="K522" t="n">
        <v>0</v>
      </c>
      <c r="L522" t="n">
        <v>0</v>
      </c>
      <c r="M522" t="n">
        <v>0</v>
      </c>
      <c r="N522" t="n">
        <v>0</v>
      </c>
      <c r="O522" t="n">
        <v>0</v>
      </c>
      <c r="P522" t="n">
        <v>0</v>
      </c>
      <c r="Q522" t="n">
        <v>0</v>
      </c>
      <c r="R522" s="2" t="inlineStr"/>
    </row>
    <row r="523" ht="15" customHeight="1">
      <c r="A523" t="inlineStr">
        <is>
          <t>A 3935-2025</t>
        </is>
      </c>
      <c r="B523" s="1" t="n">
        <v>45684.46070601852</v>
      </c>
      <c r="C523" s="1" t="n">
        <v>46130</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63152-2025</t>
        </is>
      </c>
      <c r="B524" s="1" t="n">
        <v>46010</v>
      </c>
      <c r="C524" s="1" t="n">
        <v>46130</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10486-2026</t>
        </is>
      </c>
      <c r="B525" s="1" t="n">
        <v>46077.51425925926</v>
      </c>
      <c r="C525" s="1" t="n">
        <v>46130</v>
      </c>
      <c r="D525" t="inlineStr">
        <is>
          <t>GOTLANDS LÄN</t>
        </is>
      </c>
      <c r="E525" t="inlineStr">
        <is>
          <t>GOTLAND</t>
        </is>
      </c>
      <c r="G525" t="n">
        <v>3.5</v>
      </c>
      <c r="H525" t="n">
        <v>0</v>
      </c>
      <c r="I525" t="n">
        <v>0</v>
      </c>
      <c r="J525" t="n">
        <v>0</v>
      </c>
      <c r="K525" t="n">
        <v>0</v>
      </c>
      <c r="L525" t="n">
        <v>0</v>
      </c>
      <c r="M525" t="n">
        <v>0</v>
      </c>
      <c r="N525" t="n">
        <v>0</v>
      </c>
      <c r="O525" t="n">
        <v>0</v>
      </c>
      <c r="P525" t="n">
        <v>0</v>
      </c>
      <c r="Q525" t="n">
        <v>0</v>
      </c>
      <c r="R525" s="2" t="inlineStr"/>
    </row>
    <row r="526" ht="15" customHeight="1">
      <c r="A526" t="inlineStr">
        <is>
          <t>A 9901-2026</t>
        </is>
      </c>
      <c r="B526" s="1" t="n">
        <v>46073.40391203704</v>
      </c>
      <c r="C526" s="1" t="n">
        <v>46130</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17328-2026</t>
        </is>
      </c>
      <c r="B527" s="1" t="n">
        <v>46119.61216435185</v>
      </c>
      <c r="C527" s="1" t="n">
        <v>46130</v>
      </c>
      <c r="D527" t="inlineStr">
        <is>
          <t>GOTLANDS LÄN</t>
        </is>
      </c>
      <c r="E527" t="inlineStr">
        <is>
          <t>GOTLAND</t>
        </is>
      </c>
      <c r="F527" t="inlineStr">
        <is>
          <t>Kyrkan</t>
        </is>
      </c>
      <c r="G527" t="n">
        <v>4</v>
      </c>
      <c r="H527" t="n">
        <v>0</v>
      </c>
      <c r="I527" t="n">
        <v>0</v>
      </c>
      <c r="J527" t="n">
        <v>0</v>
      </c>
      <c r="K527" t="n">
        <v>0</v>
      </c>
      <c r="L527" t="n">
        <v>0</v>
      </c>
      <c r="M527" t="n">
        <v>0</v>
      </c>
      <c r="N527" t="n">
        <v>0</v>
      </c>
      <c r="O527" t="n">
        <v>0</v>
      </c>
      <c r="P527" t="n">
        <v>0</v>
      </c>
      <c r="Q527" t="n">
        <v>0</v>
      </c>
      <c r="R527" s="2" t="inlineStr"/>
    </row>
    <row r="528" ht="15" customHeight="1">
      <c r="A528" t="inlineStr">
        <is>
          <t>A 10284-2026</t>
        </is>
      </c>
      <c r="B528" s="1" t="n">
        <v>46076</v>
      </c>
      <c r="C528" s="1" t="n">
        <v>46130</v>
      </c>
      <c r="D528" t="inlineStr">
        <is>
          <t>GOTLANDS LÄN</t>
        </is>
      </c>
      <c r="E528" t="inlineStr">
        <is>
          <t>GOTLAND</t>
        </is>
      </c>
      <c r="G528" t="n">
        <v>5.2</v>
      </c>
      <c r="H528" t="n">
        <v>0</v>
      </c>
      <c r="I528" t="n">
        <v>0</v>
      </c>
      <c r="J528" t="n">
        <v>0</v>
      </c>
      <c r="K528" t="n">
        <v>0</v>
      </c>
      <c r="L528" t="n">
        <v>0</v>
      </c>
      <c r="M528" t="n">
        <v>0</v>
      </c>
      <c r="N528" t="n">
        <v>0</v>
      </c>
      <c r="O528" t="n">
        <v>0</v>
      </c>
      <c r="P528" t="n">
        <v>0</v>
      </c>
      <c r="Q528" t="n">
        <v>0</v>
      </c>
      <c r="R528" s="2" t="inlineStr"/>
    </row>
    <row r="529" ht="15" customHeight="1">
      <c r="A529" t="inlineStr">
        <is>
          <t>A 20225-2025</t>
        </is>
      </c>
      <c r="B529" s="1" t="n">
        <v>45772.65802083333</v>
      </c>
      <c r="C529" s="1" t="n">
        <v>46130</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883-2025</t>
        </is>
      </c>
      <c r="B530" s="1" t="n">
        <v>45665</v>
      </c>
      <c r="C530" s="1" t="n">
        <v>46130</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60384-2025</t>
        </is>
      </c>
      <c r="B531" s="1" t="n">
        <v>45995</v>
      </c>
      <c r="C531" s="1" t="n">
        <v>46130</v>
      </c>
      <c r="D531" t="inlineStr">
        <is>
          <t>GOTLANDS LÄN</t>
        </is>
      </c>
      <c r="E531" t="inlineStr">
        <is>
          <t>GOTLAND</t>
        </is>
      </c>
      <c r="G531" t="n">
        <v>2.5</v>
      </c>
      <c r="H531" t="n">
        <v>0</v>
      </c>
      <c r="I531" t="n">
        <v>0</v>
      </c>
      <c r="J531" t="n">
        <v>0</v>
      </c>
      <c r="K531" t="n">
        <v>0</v>
      </c>
      <c r="L531" t="n">
        <v>0</v>
      </c>
      <c r="M531" t="n">
        <v>0</v>
      </c>
      <c r="N531" t="n">
        <v>0</v>
      </c>
      <c r="O531" t="n">
        <v>0</v>
      </c>
      <c r="P531" t="n">
        <v>0</v>
      </c>
      <c r="Q531" t="n">
        <v>0</v>
      </c>
      <c r="R531" s="2" t="inlineStr"/>
    </row>
    <row r="532" ht="15" customHeight="1">
      <c r="A532" t="inlineStr">
        <is>
          <t>A 1066-2024</t>
        </is>
      </c>
      <c r="B532" s="1" t="n">
        <v>45302.285</v>
      </c>
      <c r="C532" s="1" t="n">
        <v>46130</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17144-2025</t>
        </is>
      </c>
      <c r="B533" s="1" t="n">
        <v>45755.9499537037</v>
      </c>
      <c r="C533" s="1" t="n">
        <v>46130</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56009-2024</t>
        </is>
      </c>
      <c r="B534" s="1" t="n">
        <v>45623.80864583333</v>
      </c>
      <c r="C534" s="1" t="n">
        <v>46130</v>
      </c>
      <c r="D534" t="inlineStr">
        <is>
          <t>GOTLANDS LÄN</t>
        </is>
      </c>
      <c r="E534" t="inlineStr">
        <is>
          <t>GOTLAND</t>
        </is>
      </c>
      <c r="G534" t="n">
        <v>2.8</v>
      </c>
      <c r="H534" t="n">
        <v>0</v>
      </c>
      <c r="I534" t="n">
        <v>0</v>
      </c>
      <c r="J534" t="n">
        <v>0</v>
      </c>
      <c r="K534" t="n">
        <v>0</v>
      </c>
      <c r="L534" t="n">
        <v>0</v>
      </c>
      <c r="M534" t="n">
        <v>0</v>
      </c>
      <c r="N534" t="n">
        <v>0</v>
      </c>
      <c r="O534" t="n">
        <v>0</v>
      </c>
      <c r="P534" t="n">
        <v>0</v>
      </c>
      <c r="Q534" t="n">
        <v>0</v>
      </c>
      <c r="R534" s="2" t="inlineStr"/>
    </row>
    <row r="535" ht="15" customHeight="1">
      <c r="A535" t="inlineStr">
        <is>
          <t>A 42338-2023</t>
        </is>
      </c>
      <c r="B535" s="1" t="n">
        <v>45180</v>
      </c>
      <c r="C535" s="1" t="n">
        <v>46130</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17935-2026</t>
        </is>
      </c>
      <c r="B536" s="1" t="n">
        <v>46122</v>
      </c>
      <c r="C536" s="1" t="n">
        <v>46130</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11424-2026</t>
        </is>
      </c>
      <c r="B537" s="1" t="n">
        <v>46083.48068287037</v>
      </c>
      <c r="C537" s="1" t="n">
        <v>46130</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11414-2026</t>
        </is>
      </c>
      <c r="B538" s="1" t="n">
        <v>46083.46336805556</v>
      </c>
      <c r="C538" s="1" t="n">
        <v>46130</v>
      </c>
      <c r="D538" t="inlineStr">
        <is>
          <t>GOTLANDS LÄN</t>
        </is>
      </c>
      <c r="E538" t="inlineStr">
        <is>
          <t>GOTLAND</t>
        </is>
      </c>
      <c r="G538" t="n">
        <v>4.9</v>
      </c>
      <c r="H538" t="n">
        <v>0</v>
      </c>
      <c r="I538" t="n">
        <v>0</v>
      </c>
      <c r="J538" t="n">
        <v>0</v>
      </c>
      <c r="K538" t="n">
        <v>0</v>
      </c>
      <c r="L538" t="n">
        <v>0</v>
      </c>
      <c r="M538" t="n">
        <v>0</v>
      </c>
      <c r="N538" t="n">
        <v>0</v>
      </c>
      <c r="O538" t="n">
        <v>0</v>
      </c>
      <c r="P538" t="n">
        <v>0</v>
      </c>
      <c r="Q538" t="n">
        <v>0</v>
      </c>
      <c r="R538" s="2" t="inlineStr"/>
    </row>
    <row r="539" ht="15" customHeight="1">
      <c r="A539" t="inlineStr">
        <is>
          <t>A 17943-2026</t>
        </is>
      </c>
      <c r="B539" s="1" t="n">
        <v>46122</v>
      </c>
      <c r="C539" s="1" t="n">
        <v>46130</v>
      </c>
      <c r="D539" t="inlineStr">
        <is>
          <t>GOTLANDS LÄN</t>
        </is>
      </c>
      <c r="E539" t="inlineStr">
        <is>
          <t>GOTLAND</t>
        </is>
      </c>
      <c r="G539" t="n">
        <v>2.8</v>
      </c>
      <c r="H539" t="n">
        <v>0</v>
      </c>
      <c r="I539" t="n">
        <v>0</v>
      </c>
      <c r="J539" t="n">
        <v>0</v>
      </c>
      <c r="K539" t="n">
        <v>0</v>
      </c>
      <c r="L539" t="n">
        <v>0</v>
      </c>
      <c r="M539" t="n">
        <v>0</v>
      </c>
      <c r="N539" t="n">
        <v>0</v>
      </c>
      <c r="O539" t="n">
        <v>0</v>
      </c>
      <c r="P539" t="n">
        <v>0</v>
      </c>
      <c r="Q539" t="n">
        <v>0</v>
      </c>
      <c r="R539" s="2" t="inlineStr"/>
    </row>
    <row r="540" ht="15" customHeight="1">
      <c r="A540" t="inlineStr">
        <is>
          <t>A 54584-2025</t>
        </is>
      </c>
      <c r="B540" s="1" t="n">
        <v>45965.71788194445</v>
      </c>
      <c r="C540" s="1" t="n">
        <v>46130</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3067-2026</t>
        </is>
      </c>
      <c r="B541" s="1" t="n">
        <v>46040.59025462963</v>
      </c>
      <c r="C541" s="1" t="n">
        <v>46130</v>
      </c>
      <c r="D541" t="inlineStr">
        <is>
          <t>GOTLANDS LÄN</t>
        </is>
      </c>
      <c r="E541" t="inlineStr">
        <is>
          <t>GOTLAND</t>
        </is>
      </c>
      <c r="G541" t="n">
        <v>7.8</v>
      </c>
      <c r="H541" t="n">
        <v>0</v>
      </c>
      <c r="I541" t="n">
        <v>0</v>
      </c>
      <c r="J541" t="n">
        <v>0</v>
      </c>
      <c r="K541" t="n">
        <v>0</v>
      </c>
      <c r="L541" t="n">
        <v>0</v>
      </c>
      <c r="M541" t="n">
        <v>0</v>
      </c>
      <c r="N541" t="n">
        <v>0</v>
      </c>
      <c r="O541" t="n">
        <v>0</v>
      </c>
      <c r="P541" t="n">
        <v>0</v>
      </c>
      <c r="Q541" t="n">
        <v>0</v>
      </c>
      <c r="R541" s="2" t="inlineStr"/>
    </row>
    <row r="542" ht="15" customHeight="1">
      <c r="A542" t="inlineStr">
        <is>
          <t>A 581-2023</t>
        </is>
      </c>
      <c r="B542" s="1" t="n">
        <v>44930</v>
      </c>
      <c r="C542" s="1" t="n">
        <v>46130</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61386-2023</t>
        </is>
      </c>
      <c r="B543" s="1" t="n">
        <v>45264</v>
      </c>
      <c r="C543" s="1" t="n">
        <v>46130</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873-2024</t>
        </is>
      </c>
      <c r="B544" s="1" t="n">
        <v>45301</v>
      </c>
      <c r="C544" s="1" t="n">
        <v>46130</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49411-2023</t>
        </is>
      </c>
      <c r="B545" s="1" t="n">
        <v>45205</v>
      </c>
      <c r="C545" s="1" t="n">
        <v>46130</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22275-2023</t>
        </is>
      </c>
      <c r="B546" s="1" t="n">
        <v>45070.39875</v>
      </c>
      <c r="C546" s="1" t="n">
        <v>46130</v>
      </c>
      <c r="D546" t="inlineStr">
        <is>
          <t>GOTLANDS LÄN</t>
        </is>
      </c>
      <c r="E546" t="inlineStr">
        <is>
          <t>GOTLAND</t>
        </is>
      </c>
      <c r="G546" t="n">
        <v>7.2</v>
      </c>
      <c r="H546" t="n">
        <v>0</v>
      </c>
      <c r="I546" t="n">
        <v>0</v>
      </c>
      <c r="J546" t="n">
        <v>0</v>
      </c>
      <c r="K546" t="n">
        <v>0</v>
      </c>
      <c r="L546" t="n">
        <v>0</v>
      </c>
      <c r="M546" t="n">
        <v>0</v>
      </c>
      <c r="N546" t="n">
        <v>0</v>
      </c>
      <c r="O546" t="n">
        <v>0</v>
      </c>
      <c r="P546" t="n">
        <v>0</v>
      </c>
      <c r="Q546" t="n">
        <v>0</v>
      </c>
      <c r="R546" s="2" t="inlineStr"/>
    </row>
    <row r="547" ht="15" customHeight="1">
      <c r="A547" t="inlineStr">
        <is>
          <t>A 12322-2025</t>
        </is>
      </c>
      <c r="B547" s="1" t="n">
        <v>45730</v>
      </c>
      <c r="C547" s="1" t="n">
        <v>46130</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11982-2026</t>
        </is>
      </c>
      <c r="B548" s="1" t="n">
        <v>46085.6434375</v>
      </c>
      <c r="C548" s="1" t="n">
        <v>46130</v>
      </c>
      <c r="D548" t="inlineStr">
        <is>
          <t>GOTLANDS LÄN</t>
        </is>
      </c>
      <c r="E548" t="inlineStr">
        <is>
          <t>GOTLAND</t>
        </is>
      </c>
      <c r="G548" t="n">
        <v>2.2</v>
      </c>
      <c r="H548" t="n">
        <v>0</v>
      </c>
      <c r="I548" t="n">
        <v>0</v>
      </c>
      <c r="J548" t="n">
        <v>0</v>
      </c>
      <c r="K548" t="n">
        <v>0</v>
      </c>
      <c r="L548" t="n">
        <v>0</v>
      </c>
      <c r="M548" t="n">
        <v>0</v>
      </c>
      <c r="N548" t="n">
        <v>0</v>
      </c>
      <c r="O548" t="n">
        <v>0</v>
      </c>
      <c r="P548" t="n">
        <v>0</v>
      </c>
      <c r="Q548" t="n">
        <v>0</v>
      </c>
      <c r="R548" s="2" t="inlineStr"/>
    </row>
    <row r="549" ht="15" customHeight="1">
      <c r="A549" t="inlineStr">
        <is>
          <t>A 14797-2024</t>
        </is>
      </c>
      <c r="B549" s="1" t="n">
        <v>45397.87030092593</v>
      </c>
      <c r="C549" s="1" t="n">
        <v>46130</v>
      </c>
      <c r="D549" t="inlineStr">
        <is>
          <t>GOTLANDS LÄN</t>
        </is>
      </c>
      <c r="E549" t="inlineStr">
        <is>
          <t>GOTLAND</t>
        </is>
      </c>
      <c r="G549" t="n">
        <v>8.1</v>
      </c>
      <c r="H549" t="n">
        <v>0</v>
      </c>
      <c r="I549" t="n">
        <v>0</v>
      </c>
      <c r="J549" t="n">
        <v>0</v>
      </c>
      <c r="K549" t="n">
        <v>0</v>
      </c>
      <c r="L549" t="n">
        <v>0</v>
      </c>
      <c r="M549" t="n">
        <v>0</v>
      </c>
      <c r="N549" t="n">
        <v>0</v>
      </c>
      <c r="O549" t="n">
        <v>0</v>
      </c>
      <c r="P549" t="n">
        <v>0</v>
      </c>
      <c r="Q549" t="n">
        <v>0</v>
      </c>
      <c r="R549" s="2" t="inlineStr"/>
    </row>
    <row r="550" ht="15" customHeight="1">
      <c r="A550" t="inlineStr">
        <is>
          <t>A 999-2024</t>
        </is>
      </c>
      <c r="B550" s="1" t="n">
        <v>45301</v>
      </c>
      <c r="C550" s="1" t="n">
        <v>46130</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61596-2023</t>
        </is>
      </c>
      <c r="B551" s="1" t="n">
        <v>45265</v>
      </c>
      <c r="C551" s="1" t="n">
        <v>46130</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14638-2025</t>
        </is>
      </c>
      <c r="B552" s="1" t="n">
        <v>45742</v>
      </c>
      <c r="C552" s="1" t="n">
        <v>46130</v>
      </c>
      <c r="D552" t="inlineStr">
        <is>
          <t>GOTLANDS LÄN</t>
        </is>
      </c>
      <c r="E552" t="inlineStr">
        <is>
          <t>GOTLAND</t>
        </is>
      </c>
      <c r="G552" t="n">
        <v>13.4</v>
      </c>
      <c r="H552" t="n">
        <v>0</v>
      </c>
      <c r="I552" t="n">
        <v>0</v>
      </c>
      <c r="J552" t="n">
        <v>0</v>
      </c>
      <c r="K552" t="n">
        <v>0</v>
      </c>
      <c r="L552" t="n">
        <v>0</v>
      </c>
      <c r="M552" t="n">
        <v>0</v>
      </c>
      <c r="N552" t="n">
        <v>0</v>
      </c>
      <c r="O552" t="n">
        <v>0</v>
      </c>
      <c r="P552" t="n">
        <v>0</v>
      </c>
      <c r="Q552" t="n">
        <v>0</v>
      </c>
      <c r="R552" s="2" t="inlineStr"/>
    </row>
    <row r="553" ht="15" customHeight="1">
      <c r="A553" t="inlineStr">
        <is>
          <t>A 60675-2021</t>
        </is>
      </c>
      <c r="B553" s="1" t="n">
        <v>44496.64855324074</v>
      </c>
      <c r="C553" s="1" t="n">
        <v>46130</v>
      </c>
      <c r="D553" t="inlineStr">
        <is>
          <t>GOTLANDS LÄN</t>
        </is>
      </c>
      <c r="E553" t="inlineStr">
        <is>
          <t>GOTLAND</t>
        </is>
      </c>
      <c r="G553" t="n">
        <v>4.6</v>
      </c>
      <c r="H553" t="n">
        <v>0</v>
      </c>
      <c r="I553" t="n">
        <v>0</v>
      </c>
      <c r="J553" t="n">
        <v>0</v>
      </c>
      <c r="K553" t="n">
        <v>0</v>
      </c>
      <c r="L553" t="n">
        <v>0</v>
      </c>
      <c r="M553" t="n">
        <v>0</v>
      </c>
      <c r="N553" t="n">
        <v>0</v>
      </c>
      <c r="O553" t="n">
        <v>0</v>
      </c>
      <c r="P553" t="n">
        <v>0</v>
      </c>
      <c r="Q553" t="n">
        <v>0</v>
      </c>
      <c r="R553" s="2" t="inlineStr"/>
    </row>
    <row r="554" ht="15" customHeight="1">
      <c r="A554" t="inlineStr">
        <is>
          <t>A 18804-2026</t>
        </is>
      </c>
      <c r="B554" s="1" t="n">
        <v>46128.62366898148</v>
      </c>
      <c r="C554" s="1" t="n">
        <v>46130</v>
      </c>
      <c r="D554" t="inlineStr">
        <is>
          <t>GOTLANDS LÄN</t>
        </is>
      </c>
      <c r="E554" t="inlineStr">
        <is>
          <t>GOTLAND</t>
        </is>
      </c>
      <c r="F554" t="inlineStr">
        <is>
          <t>Kyrkan</t>
        </is>
      </c>
      <c r="G554" t="n">
        <v>2.6</v>
      </c>
      <c r="H554" t="n">
        <v>0</v>
      </c>
      <c r="I554" t="n">
        <v>0</v>
      </c>
      <c r="J554" t="n">
        <v>0</v>
      </c>
      <c r="K554" t="n">
        <v>0</v>
      </c>
      <c r="L554" t="n">
        <v>0</v>
      </c>
      <c r="M554" t="n">
        <v>0</v>
      </c>
      <c r="N554" t="n">
        <v>0</v>
      </c>
      <c r="O554" t="n">
        <v>0</v>
      </c>
      <c r="P554" t="n">
        <v>0</v>
      </c>
      <c r="Q554" t="n">
        <v>0</v>
      </c>
      <c r="R554" s="2" t="inlineStr"/>
    </row>
    <row r="555" ht="15" customHeight="1">
      <c r="A555" t="inlineStr">
        <is>
          <t>A 37728-2024</t>
        </is>
      </c>
      <c r="B555" s="1" t="n">
        <v>45541</v>
      </c>
      <c r="C555" s="1" t="n">
        <v>46130</v>
      </c>
      <c r="D555" t="inlineStr">
        <is>
          <t>GOTLANDS LÄN</t>
        </is>
      </c>
      <c r="E555" t="inlineStr">
        <is>
          <t>GOTLAND</t>
        </is>
      </c>
      <c r="G555" t="n">
        <v>0.4</v>
      </c>
      <c r="H555" t="n">
        <v>0</v>
      </c>
      <c r="I555" t="n">
        <v>0</v>
      </c>
      <c r="J555" t="n">
        <v>0</v>
      </c>
      <c r="K555" t="n">
        <v>0</v>
      </c>
      <c r="L555" t="n">
        <v>0</v>
      </c>
      <c r="M555" t="n">
        <v>0</v>
      </c>
      <c r="N555" t="n">
        <v>0</v>
      </c>
      <c r="O555" t="n">
        <v>0</v>
      </c>
      <c r="P555" t="n">
        <v>0</v>
      </c>
      <c r="Q555" t="n">
        <v>0</v>
      </c>
      <c r="R555" s="2" t="inlineStr"/>
    </row>
    <row r="556" ht="15" customHeight="1">
      <c r="A556" t="inlineStr">
        <is>
          <t>A 12135-2026</t>
        </is>
      </c>
      <c r="B556" s="1" t="n">
        <v>46086</v>
      </c>
      <c r="C556" s="1" t="n">
        <v>46130</v>
      </c>
      <c r="D556" t="inlineStr">
        <is>
          <t>GOTLANDS LÄN</t>
        </is>
      </c>
      <c r="E556" t="inlineStr">
        <is>
          <t>GOTLAND</t>
        </is>
      </c>
      <c r="G556" t="n">
        <v>3</v>
      </c>
      <c r="H556" t="n">
        <v>0</v>
      </c>
      <c r="I556" t="n">
        <v>0</v>
      </c>
      <c r="J556" t="n">
        <v>0</v>
      </c>
      <c r="K556" t="n">
        <v>0</v>
      </c>
      <c r="L556" t="n">
        <v>0</v>
      </c>
      <c r="M556" t="n">
        <v>0</v>
      </c>
      <c r="N556" t="n">
        <v>0</v>
      </c>
      <c r="O556" t="n">
        <v>0</v>
      </c>
      <c r="P556" t="n">
        <v>0</v>
      </c>
      <c r="Q556" t="n">
        <v>0</v>
      </c>
      <c r="R556" s="2" t="inlineStr"/>
    </row>
    <row r="557" ht="15" customHeight="1">
      <c r="A557" t="inlineStr">
        <is>
          <t>A 22287-2022</t>
        </is>
      </c>
      <c r="B557" s="1" t="n">
        <v>44712</v>
      </c>
      <c r="C557" s="1" t="n">
        <v>46130</v>
      </c>
      <c r="D557" t="inlineStr">
        <is>
          <t>GOTLANDS LÄN</t>
        </is>
      </c>
      <c r="E557" t="inlineStr">
        <is>
          <t>GOTLAND</t>
        </is>
      </c>
      <c r="G557" t="n">
        <v>6.1</v>
      </c>
      <c r="H557" t="n">
        <v>0</v>
      </c>
      <c r="I557" t="n">
        <v>0</v>
      </c>
      <c r="J557" t="n">
        <v>0</v>
      </c>
      <c r="K557" t="n">
        <v>0</v>
      </c>
      <c r="L557" t="n">
        <v>0</v>
      </c>
      <c r="M557" t="n">
        <v>0</v>
      </c>
      <c r="N557" t="n">
        <v>0</v>
      </c>
      <c r="O557" t="n">
        <v>0</v>
      </c>
      <c r="P557" t="n">
        <v>0</v>
      </c>
      <c r="Q557" t="n">
        <v>0</v>
      </c>
      <c r="R557" s="2" t="inlineStr"/>
    </row>
    <row r="558" ht="15" customHeight="1">
      <c r="A558" t="inlineStr">
        <is>
          <t>A 54074-2022</t>
        </is>
      </c>
      <c r="B558" s="1" t="n">
        <v>44881</v>
      </c>
      <c r="C558" s="1" t="n">
        <v>46130</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65249-2023</t>
        </is>
      </c>
      <c r="B559" s="1" t="n">
        <v>45290</v>
      </c>
      <c r="C559" s="1" t="n">
        <v>46130</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13910-2025</t>
        </is>
      </c>
      <c r="B560" s="1" t="n">
        <v>45737</v>
      </c>
      <c r="C560" s="1" t="n">
        <v>46130</v>
      </c>
      <c r="D560" t="inlineStr">
        <is>
          <t>GOTLANDS LÄN</t>
        </is>
      </c>
      <c r="E560" t="inlineStr">
        <is>
          <t>GOTLAND</t>
        </is>
      </c>
      <c r="F560" t="inlineStr">
        <is>
          <t>Kommuner</t>
        </is>
      </c>
      <c r="G560" t="n">
        <v>3.2</v>
      </c>
      <c r="H560" t="n">
        <v>0</v>
      </c>
      <c r="I560" t="n">
        <v>0</v>
      </c>
      <c r="J560" t="n">
        <v>0</v>
      </c>
      <c r="K560" t="n">
        <v>0</v>
      </c>
      <c r="L560" t="n">
        <v>0</v>
      </c>
      <c r="M560" t="n">
        <v>0</v>
      </c>
      <c r="N560" t="n">
        <v>0</v>
      </c>
      <c r="O560" t="n">
        <v>0</v>
      </c>
      <c r="P560" t="n">
        <v>0</v>
      </c>
      <c r="Q560" t="n">
        <v>0</v>
      </c>
      <c r="R560" s="2" t="inlineStr"/>
    </row>
    <row r="561" ht="15" customHeight="1">
      <c r="A561" t="inlineStr">
        <is>
          <t>A 17780-2022</t>
        </is>
      </c>
      <c r="B561" s="1" t="n">
        <v>44682.82622685185</v>
      </c>
      <c r="C561" s="1" t="n">
        <v>46130</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46130</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11874-2024</t>
        </is>
      </c>
      <c r="B563" s="1" t="n">
        <v>45376.46956018519</v>
      </c>
      <c r="C563" s="1" t="n">
        <v>46130</v>
      </c>
      <c r="D563" t="inlineStr">
        <is>
          <t>GOTLANDS LÄN</t>
        </is>
      </c>
      <c r="E563" t="inlineStr">
        <is>
          <t>GOTLAND</t>
        </is>
      </c>
      <c r="G563" t="n">
        <v>0.8</v>
      </c>
      <c r="H563" t="n">
        <v>0</v>
      </c>
      <c r="I563" t="n">
        <v>0</v>
      </c>
      <c r="J563" t="n">
        <v>0</v>
      </c>
      <c r="K563" t="n">
        <v>0</v>
      </c>
      <c r="L563" t="n">
        <v>0</v>
      </c>
      <c r="M563" t="n">
        <v>0</v>
      </c>
      <c r="N563" t="n">
        <v>0</v>
      </c>
      <c r="O563" t="n">
        <v>0</v>
      </c>
      <c r="P563" t="n">
        <v>0</v>
      </c>
      <c r="Q563" t="n">
        <v>0</v>
      </c>
      <c r="R563" s="2" t="inlineStr"/>
    </row>
    <row r="564" ht="15" customHeight="1">
      <c r="A564" t="inlineStr">
        <is>
          <t>A 42041-2024</t>
        </is>
      </c>
      <c r="B564" s="1" t="n">
        <v>45561</v>
      </c>
      <c r="C564" s="1" t="n">
        <v>46130</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61694-2023</t>
        </is>
      </c>
      <c r="B565" s="1" t="n">
        <v>45264</v>
      </c>
      <c r="C565" s="1" t="n">
        <v>46130</v>
      </c>
      <c r="D565" t="inlineStr">
        <is>
          <t>GOTLANDS LÄN</t>
        </is>
      </c>
      <c r="E565" t="inlineStr">
        <is>
          <t>GOTLAND</t>
        </is>
      </c>
      <c r="G565" t="n">
        <v>4.6</v>
      </c>
      <c r="H565" t="n">
        <v>0</v>
      </c>
      <c r="I565" t="n">
        <v>0</v>
      </c>
      <c r="J565" t="n">
        <v>0</v>
      </c>
      <c r="K565" t="n">
        <v>0</v>
      </c>
      <c r="L565" t="n">
        <v>0</v>
      </c>
      <c r="M565" t="n">
        <v>0</v>
      </c>
      <c r="N565" t="n">
        <v>0</v>
      </c>
      <c r="O565" t="n">
        <v>0</v>
      </c>
      <c r="P565" t="n">
        <v>0</v>
      </c>
      <c r="Q565" t="n">
        <v>0</v>
      </c>
      <c r="R565" s="2" t="inlineStr"/>
    </row>
    <row r="566" ht="15" customHeight="1">
      <c r="A566" t="inlineStr">
        <is>
          <t>A 64555-2023</t>
        </is>
      </c>
      <c r="B566" s="1" t="n">
        <v>45281</v>
      </c>
      <c r="C566" s="1" t="n">
        <v>46130</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64831-2023</t>
        </is>
      </c>
      <c r="B567" s="1" t="n">
        <v>45282.44924768519</v>
      </c>
      <c r="C567" s="1" t="n">
        <v>46130</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46130</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27602-2023</t>
        </is>
      </c>
      <c r="B569" s="1" t="n">
        <v>45097</v>
      </c>
      <c r="C569" s="1" t="n">
        <v>46130</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4377-2023</t>
        </is>
      </c>
      <c r="B570" s="1" t="n">
        <v>44955.5502662037</v>
      </c>
      <c r="C570" s="1" t="n">
        <v>46130</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4387-2023</t>
        </is>
      </c>
      <c r="B571" s="1" t="n">
        <v>44955.73359953704</v>
      </c>
      <c r="C571" s="1" t="n">
        <v>46130</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39479-2022</t>
        </is>
      </c>
      <c r="B572" s="1" t="n">
        <v>44818</v>
      </c>
      <c r="C572" s="1" t="n">
        <v>46130</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51963-2024</t>
        </is>
      </c>
      <c r="B573" s="1" t="n">
        <v>45607.64833333333</v>
      </c>
      <c r="C573" s="1" t="n">
        <v>46130</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811-2023</t>
        </is>
      </c>
      <c r="B574" s="1" t="n">
        <v>44931</v>
      </c>
      <c r="C574" s="1" t="n">
        <v>46130</v>
      </c>
      <c r="D574" t="inlineStr">
        <is>
          <t>GOTLANDS LÄN</t>
        </is>
      </c>
      <c r="E574" t="inlineStr">
        <is>
          <t>GOTLAND</t>
        </is>
      </c>
      <c r="G574" t="n">
        <v>0.6</v>
      </c>
      <c r="H574" t="n">
        <v>0</v>
      </c>
      <c r="I574" t="n">
        <v>0</v>
      </c>
      <c r="J574" t="n">
        <v>0</v>
      </c>
      <c r="K574" t="n">
        <v>0</v>
      </c>
      <c r="L574" t="n">
        <v>0</v>
      </c>
      <c r="M574" t="n">
        <v>0</v>
      </c>
      <c r="N574" t="n">
        <v>0</v>
      </c>
      <c r="O574" t="n">
        <v>0</v>
      </c>
      <c r="P574" t="n">
        <v>0</v>
      </c>
      <c r="Q574" t="n">
        <v>0</v>
      </c>
      <c r="R574" s="2" t="inlineStr"/>
    </row>
    <row r="575" ht="15" customHeight="1">
      <c r="A575" t="inlineStr">
        <is>
          <t>A 46389-2021</t>
        </is>
      </c>
      <c r="B575" s="1" t="n">
        <v>44443</v>
      </c>
      <c r="C575" s="1" t="n">
        <v>46130</v>
      </c>
      <c r="D575" t="inlineStr">
        <is>
          <t>GOTLANDS LÄN</t>
        </is>
      </c>
      <c r="E575" t="inlineStr">
        <is>
          <t>GOTLAND</t>
        </is>
      </c>
      <c r="F575" t="inlineStr">
        <is>
          <t>Kyrkan</t>
        </is>
      </c>
      <c r="G575" t="n">
        <v>2.1</v>
      </c>
      <c r="H575" t="n">
        <v>0</v>
      </c>
      <c r="I575" t="n">
        <v>0</v>
      </c>
      <c r="J575" t="n">
        <v>0</v>
      </c>
      <c r="K575" t="n">
        <v>0</v>
      </c>
      <c r="L575" t="n">
        <v>0</v>
      </c>
      <c r="M575" t="n">
        <v>0</v>
      </c>
      <c r="N575" t="n">
        <v>0</v>
      </c>
      <c r="O575" t="n">
        <v>0</v>
      </c>
      <c r="P575" t="n">
        <v>0</v>
      </c>
      <c r="Q575" t="n">
        <v>0</v>
      </c>
      <c r="R575" s="2" t="inlineStr"/>
    </row>
    <row r="576" ht="15" customHeight="1">
      <c r="A576" t="inlineStr">
        <is>
          <t>A 26810-2021</t>
        </is>
      </c>
      <c r="B576" s="1" t="n">
        <v>44349.55087962963</v>
      </c>
      <c r="C576" s="1" t="n">
        <v>46130</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5923-2023</t>
        </is>
      </c>
      <c r="B577" s="1" t="n">
        <v>44963.69503472222</v>
      </c>
      <c r="C577" s="1" t="n">
        <v>46130</v>
      </c>
      <c r="D577" t="inlineStr">
        <is>
          <t>GOTLANDS LÄN</t>
        </is>
      </c>
      <c r="E577" t="inlineStr">
        <is>
          <t>GOTLAND</t>
        </is>
      </c>
      <c r="G577" t="n">
        <v>2.6</v>
      </c>
      <c r="H577" t="n">
        <v>0</v>
      </c>
      <c r="I577" t="n">
        <v>0</v>
      </c>
      <c r="J577" t="n">
        <v>0</v>
      </c>
      <c r="K577" t="n">
        <v>0</v>
      </c>
      <c r="L577" t="n">
        <v>0</v>
      </c>
      <c r="M577" t="n">
        <v>0</v>
      </c>
      <c r="N577" t="n">
        <v>0</v>
      </c>
      <c r="O577" t="n">
        <v>0</v>
      </c>
      <c r="P577" t="n">
        <v>0</v>
      </c>
      <c r="Q577" t="n">
        <v>0</v>
      </c>
      <c r="R577" s="2" t="inlineStr"/>
    </row>
    <row r="578" ht="15" customHeight="1">
      <c r="A578" t="inlineStr">
        <is>
          <t>A 33853-2024</t>
        </is>
      </c>
      <c r="B578" s="1" t="n">
        <v>45520.64298611111</v>
      </c>
      <c r="C578" s="1" t="n">
        <v>46130</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18918-2025</t>
        </is>
      </c>
      <c r="B579" s="1" t="n">
        <v>45764</v>
      </c>
      <c r="C579" s="1" t="n">
        <v>46130</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46130</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10655-2023</t>
        </is>
      </c>
      <c r="B581" s="1" t="n">
        <v>44988.49543981482</v>
      </c>
      <c r="C581" s="1" t="n">
        <v>46130</v>
      </c>
      <c r="D581" t="inlineStr">
        <is>
          <t>GOTLANDS LÄN</t>
        </is>
      </c>
      <c r="E581" t="inlineStr">
        <is>
          <t>GOTLAND</t>
        </is>
      </c>
      <c r="F581" t="inlineStr">
        <is>
          <t>Kyrkan</t>
        </is>
      </c>
      <c r="G581" t="n">
        <v>2</v>
      </c>
      <c r="H581" t="n">
        <v>0</v>
      </c>
      <c r="I581" t="n">
        <v>0</v>
      </c>
      <c r="J581" t="n">
        <v>0</v>
      </c>
      <c r="K581" t="n">
        <v>0</v>
      </c>
      <c r="L581" t="n">
        <v>0</v>
      </c>
      <c r="M581" t="n">
        <v>0</v>
      </c>
      <c r="N581" t="n">
        <v>0</v>
      </c>
      <c r="O581" t="n">
        <v>0</v>
      </c>
      <c r="P581" t="n">
        <v>0</v>
      </c>
      <c r="Q581" t="n">
        <v>0</v>
      </c>
      <c r="R581" s="2" t="inlineStr"/>
    </row>
    <row r="582" ht="15" customHeight="1">
      <c r="A582" t="inlineStr">
        <is>
          <t>A 2719-2023</t>
        </is>
      </c>
      <c r="B582" s="1" t="n">
        <v>44944.55361111111</v>
      </c>
      <c r="C582" s="1" t="n">
        <v>46130</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26891-2024</t>
        </is>
      </c>
      <c r="B583" s="1" t="n">
        <v>45470.65540509259</v>
      </c>
      <c r="C583" s="1" t="n">
        <v>46130</v>
      </c>
      <c r="D583" t="inlineStr">
        <is>
          <t>GOTLANDS LÄN</t>
        </is>
      </c>
      <c r="E583" t="inlineStr">
        <is>
          <t>GOTLAND</t>
        </is>
      </c>
      <c r="G583" t="n">
        <v>0.8</v>
      </c>
      <c r="H583" t="n">
        <v>0</v>
      </c>
      <c r="I583" t="n">
        <v>0</v>
      </c>
      <c r="J583" t="n">
        <v>0</v>
      </c>
      <c r="K583" t="n">
        <v>0</v>
      </c>
      <c r="L583" t="n">
        <v>0</v>
      </c>
      <c r="M583" t="n">
        <v>0</v>
      </c>
      <c r="N583" t="n">
        <v>0</v>
      </c>
      <c r="O583" t="n">
        <v>0</v>
      </c>
      <c r="P583" t="n">
        <v>0</v>
      </c>
      <c r="Q583" t="n">
        <v>0</v>
      </c>
      <c r="R583" s="2" t="inlineStr"/>
    </row>
    <row r="584" ht="15" customHeight="1">
      <c r="A584" t="inlineStr">
        <is>
          <t>A 42007-2023</t>
        </is>
      </c>
      <c r="B584" s="1" t="n">
        <v>45177</v>
      </c>
      <c r="C584" s="1" t="n">
        <v>46130</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9887-2025</t>
        </is>
      </c>
      <c r="B585" s="1" t="n">
        <v>45716</v>
      </c>
      <c r="C585" s="1" t="n">
        <v>46130</v>
      </c>
      <c r="D585" t="inlineStr">
        <is>
          <t>GOTLANDS LÄN</t>
        </is>
      </c>
      <c r="E585" t="inlineStr">
        <is>
          <t>GOTLAND</t>
        </is>
      </c>
      <c r="G585" t="n">
        <v>7.5</v>
      </c>
      <c r="H585" t="n">
        <v>0</v>
      </c>
      <c r="I585" t="n">
        <v>0</v>
      </c>
      <c r="J585" t="n">
        <v>0</v>
      </c>
      <c r="K585" t="n">
        <v>0</v>
      </c>
      <c r="L585" t="n">
        <v>0</v>
      </c>
      <c r="M585" t="n">
        <v>0</v>
      </c>
      <c r="N585" t="n">
        <v>0</v>
      </c>
      <c r="O585" t="n">
        <v>0</v>
      </c>
      <c r="P585" t="n">
        <v>0</v>
      </c>
      <c r="Q585" t="n">
        <v>0</v>
      </c>
      <c r="R585" s="2" t="inlineStr"/>
    </row>
    <row r="586" ht="15" customHeight="1">
      <c r="A586" t="inlineStr">
        <is>
          <t>A 38165-2023</t>
        </is>
      </c>
      <c r="B586" s="1" t="n">
        <v>45161</v>
      </c>
      <c r="C586" s="1" t="n">
        <v>46130</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46130</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24825-2024</t>
        </is>
      </c>
      <c r="B588" s="1" t="n">
        <v>45461</v>
      </c>
      <c r="C588" s="1" t="n">
        <v>46130</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6696-2023</t>
        </is>
      </c>
      <c r="B589" s="1" t="n">
        <v>44966.66425925926</v>
      </c>
      <c r="C589" s="1" t="n">
        <v>46130</v>
      </c>
      <c r="D589" t="inlineStr">
        <is>
          <t>GOTLANDS LÄN</t>
        </is>
      </c>
      <c r="E589" t="inlineStr">
        <is>
          <t>GOTLAND</t>
        </is>
      </c>
      <c r="G589" t="n">
        <v>1.5</v>
      </c>
      <c r="H589" t="n">
        <v>0</v>
      </c>
      <c r="I589" t="n">
        <v>0</v>
      </c>
      <c r="J589" t="n">
        <v>0</v>
      </c>
      <c r="K589" t="n">
        <v>0</v>
      </c>
      <c r="L589" t="n">
        <v>0</v>
      </c>
      <c r="M589" t="n">
        <v>0</v>
      </c>
      <c r="N589" t="n">
        <v>0</v>
      </c>
      <c r="O589" t="n">
        <v>0</v>
      </c>
      <c r="P589" t="n">
        <v>0</v>
      </c>
      <c r="Q589" t="n">
        <v>0</v>
      </c>
      <c r="R589" s="2" t="inlineStr"/>
    </row>
    <row r="590" ht="15" customHeight="1">
      <c r="A590" t="inlineStr">
        <is>
          <t>A 21247-2022</t>
        </is>
      </c>
      <c r="B590" s="1" t="n">
        <v>44705.38832175926</v>
      </c>
      <c r="C590" s="1" t="n">
        <v>46130</v>
      </c>
      <c r="D590" t="inlineStr">
        <is>
          <t>GOTLANDS LÄN</t>
        </is>
      </c>
      <c r="E590" t="inlineStr">
        <is>
          <t>GOTLAND</t>
        </is>
      </c>
      <c r="G590" t="n">
        <v>16.2</v>
      </c>
      <c r="H590" t="n">
        <v>0</v>
      </c>
      <c r="I590" t="n">
        <v>0</v>
      </c>
      <c r="J590" t="n">
        <v>0</v>
      </c>
      <c r="K590" t="n">
        <v>0</v>
      </c>
      <c r="L590" t="n">
        <v>0</v>
      </c>
      <c r="M590" t="n">
        <v>0</v>
      </c>
      <c r="N590" t="n">
        <v>0</v>
      </c>
      <c r="O590" t="n">
        <v>0</v>
      </c>
      <c r="P590" t="n">
        <v>0</v>
      </c>
      <c r="Q590" t="n">
        <v>0</v>
      </c>
      <c r="R590" s="2" t="inlineStr"/>
    </row>
    <row r="591" ht="15" customHeight="1">
      <c r="A591" t="inlineStr">
        <is>
          <t>A 456-2023</t>
        </is>
      </c>
      <c r="B591" s="1" t="n">
        <v>44929.87122685185</v>
      </c>
      <c r="C591" s="1" t="n">
        <v>46130</v>
      </c>
      <c r="D591" t="inlineStr">
        <is>
          <t>GOTLANDS LÄN</t>
        </is>
      </c>
      <c r="E591" t="inlineStr">
        <is>
          <t>GOTLAND</t>
        </is>
      </c>
      <c r="G591" t="n">
        <v>3.2</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44944.54896990741</v>
      </c>
      <c r="C592" s="1" t="n">
        <v>46130</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4421-2024</t>
        </is>
      </c>
      <c r="B593" s="1" t="n">
        <v>45327.45173611111</v>
      </c>
      <c r="C593" s="1" t="n">
        <v>46130</v>
      </c>
      <c r="D593" t="inlineStr">
        <is>
          <t>GOTLANDS LÄN</t>
        </is>
      </c>
      <c r="E593" t="inlineStr">
        <is>
          <t>GOTLAND</t>
        </is>
      </c>
      <c r="G593" t="n">
        <v>5.1</v>
      </c>
      <c r="H593" t="n">
        <v>0</v>
      </c>
      <c r="I593" t="n">
        <v>0</v>
      </c>
      <c r="J593" t="n">
        <v>0</v>
      </c>
      <c r="K593" t="n">
        <v>0</v>
      </c>
      <c r="L593" t="n">
        <v>0</v>
      </c>
      <c r="M593" t="n">
        <v>0</v>
      </c>
      <c r="N593" t="n">
        <v>0</v>
      </c>
      <c r="O593" t="n">
        <v>0</v>
      </c>
      <c r="P593" t="n">
        <v>0</v>
      </c>
      <c r="Q593" t="n">
        <v>0</v>
      </c>
      <c r="R593" s="2" t="inlineStr"/>
    </row>
    <row r="594" ht="15" customHeight="1">
      <c r="A594" t="inlineStr">
        <is>
          <t>A 51782-2023</t>
        </is>
      </c>
      <c r="B594" s="1" t="n">
        <v>45222.80952546297</v>
      </c>
      <c r="C594" s="1" t="n">
        <v>46130</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54268-2022</t>
        </is>
      </c>
      <c r="B595" s="1" t="n">
        <v>44882</v>
      </c>
      <c r="C595" s="1" t="n">
        <v>46130</v>
      </c>
      <c r="D595" t="inlineStr">
        <is>
          <t>GOTLANDS LÄN</t>
        </is>
      </c>
      <c r="E595" t="inlineStr">
        <is>
          <t>GOTLAND</t>
        </is>
      </c>
      <c r="G595" t="n">
        <v>2.7</v>
      </c>
      <c r="H595" t="n">
        <v>0</v>
      </c>
      <c r="I595" t="n">
        <v>0</v>
      </c>
      <c r="J595" t="n">
        <v>0</v>
      </c>
      <c r="K595" t="n">
        <v>0</v>
      </c>
      <c r="L595" t="n">
        <v>0</v>
      </c>
      <c r="M595" t="n">
        <v>0</v>
      </c>
      <c r="N595" t="n">
        <v>0</v>
      </c>
      <c r="O595" t="n">
        <v>0</v>
      </c>
      <c r="P595" t="n">
        <v>0</v>
      </c>
      <c r="Q595" t="n">
        <v>0</v>
      </c>
      <c r="R595" s="2" t="inlineStr"/>
    </row>
    <row r="596" ht="15" customHeight="1">
      <c r="A596" t="inlineStr">
        <is>
          <t>A 57534-2022</t>
        </is>
      </c>
      <c r="B596" s="1" t="n">
        <v>44896</v>
      </c>
      <c r="C596" s="1" t="n">
        <v>46130</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25866-2022</t>
        </is>
      </c>
      <c r="B597" s="1" t="n">
        <v>44733</v>
      </c>
      <c r="C597" s="1" t="n">
        <v>46130</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43229-2023</t>
        </is>
      </c>
      <c r="B598" s="1" t="n">
        <v>45183.46704861111</v>
      </c>
      <c r="C598" s="1" t="n">
        <v>46130</v>
      </c>
      <c r="D598" t="inlineStr">
        <is>
          <t>GOTLANDS LÄN</t>
        </is>
      </c>
      <c r="E598" t="inlineStr">
        <is>
          <t>GOTLAND</t>
        </is>
      </c>
      <c r="G598" t="n">
        <v>7.1</v>
      </c>
      <c r="H598" t="n">
        <v>0</v>
      </c>
      <c r="I598" t="n">
        <v>0</v>
      </c>
      <c r="J598" t="n">
        <v>0</v>
      </c>
      <c r="K598" t="n">
        <v>0</v>
      </c>
      <c r="L598" t="n">
        <v>0</v>
      </c>
      <c r="M598" t="n">
        <v>0</v>
      </c>
      <c r="N598" t="n">
        <v>0</v>
      </c>
      <c r="O598" t="n">
        <v>0</v>
      </c>
      <c r="P598" t="n">
        <v>0</v>
      </c>
      <c r="Q598" t="n">
        <v>0</v>
      </c>
      <c r="R598" s="2" t="inlineStr"/>
    </row>
    <row r="599" ht="15" customHeight="1">
      <c r="A599" t="inlineStr">
        <is>
          <t>A 1175-2025</t>
        </is>
      </c>
      <c r="B599" s="1" t="n">
        <v>45667.34449074074</v>
      </c>
      <c r="C599" s="1" t="n">
        <v>46130</v>
      </c>
      <c r="D599" t="inlineStr">
        <is>
          <t>GOTLANDS LÄN</t>
        </is>
      </c>
      <c r="E599" t="inlineStr">
        <is>
          <t>GOTLAND</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27095-2022</t>
        </is>
      </c>
      <c r="B600" s="1" t="n">
        <v>44741</v>
      </c>
      <c r="C600" s="1" t="n">
        <v>46130</v>
      </c>
      <c r="D600" t="inlineStr">
        <is>
          <t>GOTLANDS LÄN</t>
        </is>
      </c>
      <c r="E600" t="inlineStr">
        <is>
          <t>GOTLAND</t>
        </is>
      </c>
      <c r="F600" t="inlineStr">
        <is>
          <t>Övriga Aktiebolag</t>
        </is>
      </c>
      <c r="G600" t="n">
        <v>2.9</v>
      </c>
      <c r="H600" t="n">
        <v>0</v>
      </c>
      <c r="I600" t="n">
        <v>0</v>
      </c>
      <c r="J600" t="n">
        <v>0</v>
      </c>
      <c r="K600" t="n">
        <v>0</v>
      </c>
      <c r="L600" t="n">
        <v>0</v>
      </c>
      <c r="M600" t="n">
        <v>0</v>
      </c>
      <c r="N600" t="n">
        <v>0</v>
      </c>
      <c r="O600" t="n">
        <v>0</v>
      </c>
      <c r="P600" t="n">
        <v>0</v>
      </c>
      <c r="Q600" t="n">
        <v>0</v>
      </c>
      <c r="R600" s="2" t="inlineStr"/>
    </row>
    <row r="601" ht="15" customHeight="1">
      <c r="A601" t="inlineStr">
        <is>
          <t>A 22899-2023</t>
        </is>
      </c>
      <c r="B601" s="1" t="n">
        <v>45072</v>
      </c>
      <c r="C601" s="1" t="n">
        <v>46130</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23978-2023</t>
        </is>
      </c>
      <c r="B602" s="1" t="n">
        <v>45078</v>
      </c>
      <c r="C602" s="1" t="n">
        <v>46130</v>
      </c>
      <c r="D602" t="inlineStr">
        <is>
          <t>GOTLANDS LÄN</t>
        </is>
      </c>
      <c r="E602" t="inlineStr">
        <is>
          <t>GOTLAND</t>
        </is>
      </c>
      <c r="F602" t="inlineStr">
        <is>
          <t>Naturvårdsverket</t>
        </is>
      </c>
      <c r="G602" t="n">
        <v>1.7</v>
      </c>
      <c r="H602" t="n">
        <v>0</v>
      </c>
      <c r="I602" t="n">
        <v>0</v>
      </c>
      <c r="J602" t="n">
        <v>0</v>
      </c>
      <c r="K602" t="n">
        <v>0</v>
      </c>
      <c r="L602" t="n">
        <v>0</v>
      </c>
      <c r="M602" t="n">
        <v>0</v>
      </c>
      <c r="N602" t="n">
        <v>0</v>
      </c>
      <c r="O602" t="n">
        <v>0</v>
      </c>
      <c r="P602" t="n">
        <v>0</v>
      </c>
      <c r="Q602" t="n">
        <v>0</v>
      </c>
      <c r="R602" s="2" t="inlineStr"/>
    </row>
    <row r="603" ht="15" customHeight="1">
      <c r="A603" t="inlineStr">
        <is>
          <t>A 34407-2023</t>
        </is>
      </c>
      <c r="B603" s="1" t="n">
        <v>45132</v>
      </c>
      <c r="C603" s="1" t="n">
        <v>46130</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11013-2024</t>
        </is>
      </c>
      <c r="B604" s="1" t="n">
        <v>45370</v>
      </c>
      <c r="C604" s="1" t="n">
        <v>46130</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27694-2024</t>
        </is>
      </c>
      <c r="B605" s="1" t="n">
        <v>45475</v>
      </c>
      <c r="C605" s="1" t="n">
        <v>46130</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15083-2025</t>
        </is>
      </c>
      <c r="B606" s="1" t="n">
        <v>45743</v>
      </c>
      <c r="C606" s="1" t="n">
        <v>46130</v>
      </c>
      <c r="D606" t="inlineStr">
        <is>
          <t>GOTLANDS LÄN</t>
        </is>
      </c>
      <c r="E606" t="inlineStr">
        <is>
          <t>GOTLAND</t>
        </is>
      </c>
      <c r="G606" t="n">
        <v>2.3</v>
      </c>
      <c r="H606" t="n">
        <v>0</v>
      </c>
      <c r="I606" t="n">
        <v>0</v>
      </c>
      <c r="J606" t="n">
        <v>0</v>
      </c>
      <c r="K606" t="n">
        <v>0</v>
      </c>
      <c r="L606" t="n">
        <v>0</v>
      </c>
      <c r="M606" t="n">
        <v>0</v>
      </c>
      <c r="N606" t="n">
        <v>0</v>
      </c>
      <c r="O606" t="n">
        <v>0</v>
      </c>
      <c r="P606" t="n">
        <v>0</v>
      </c>
      <c r="Q606" t="n">
        <v>0</v>
      </c>
      <c r="R606" s="2" t="inlineStr"/>
    </row>
    <row r="607" ht="15" customHeight="1">
      <c r="A607" t="inlineStr">
        <is>
          <t>A 13037-2025</t>
        </is>
      </c>
      <c r="B607" s="1" t="n">
        <v>45734</v>
      </c>
      <c r="C607" s="1" t="n">
        <v>46130</v>
      </c>
      <c r="D607" t="inlineStr">
        <is>
          <t>GOTLANDS LÄN</t>
        </is>
      </c>
      <c r="E607" t="inlineStr">
        <is>
          <t>GOTLAND</t>
        </is>
      </c>
      <c r="G607" t="n">
        <v>9.5</v>
      </c>
      <c r="H607" t="n">
        <v>0</v>
      </c>
      <c r="I607" t="n">
        <v>0</v>
      </c>
      <c r="J607" t="n">
        <v>0</v>
      </c>
      <c r="K607" t="n">
        <v>0</v>
      </c>
      <c r="L607" t="n">
        <v>0</v>
      </c>
      <c r="M607" t="n">
        <v>0</v>
      </c>
      <c r="N607" t="n">
        <v>0</v>
      </c>
      <c r="O607" t="n">
        <v>0</v>
      </c>
      <c r="P607" t="n">
        <v>0</v>
      </c>
      <c r="Q607" t="n">
        <v>0</v>
      </c>
      <c r="R607" s="2" t="inlineStr"/>
    </row>
    <row r="608" ht="15" customHeight="1">
      <c r="A608" t="inlineStr">
        <is>
          <t>A 458-2023</t>
        </is>
      </c>
      <c r="B608" s="1" t="n">
        <v>44929</v>
      </c>
      <c r="C608" s="1" t="n">
        <v>46130</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44228-2022</t>
        </is>
      </c>
      <c r="B609" s="1" t="n">
        <v>44839.51599537037</v>
      </c>
      <c r="C609" s="1" t="n">
        <v>46130</v>
      </c>
      <c r="D609" t="inlineStr">
        <is>
          <t>GOTLANDS LÄN</t>
        </is>
      </c>
      <c r="E609" t="inlineStr">
        <is>
          <t>GOTLAND</t>
        </is>
      </c>
      <c r="G609" t="n">
        <v>2.1</v>
      </c>
      <c r="H609" t="n">
        <v>0</v>
      </c>
      <c r="I609" t="n">
        <v>0</v>
      </c>
      <c r="J609" t="n">
        <v>0</v>
      </c>
      <c r="K609" t="n">
        <v>0</v>
      </c>
      <c r="L609" t="n">
        <v>0</v>
      </c>
      <c r="M609" t="n">
        <v>0</v>
      </c>
      <c r="N609" t="n">
        <v>0</v>
      </c>
      <c r="O609" t="n">
        <v>0</v>
      </c>
      <c r="P609" t="n">
        <v>0</v>
      </c>
      <c r="Q609" t="n">
        <v>0</v>
      </c>
      <c r="R609" s="2" t="inlineStr"/>
    </row>
    <row r="610" ht="15" customHeight="1">
      <c r="A610" t="inlineStr">
        <is>
          <t>A 58132-2023</t>
        </is>
      </c>
      <c r="B610" s="1" t="n">
        <v>45250</v>
      </c>
      <c r="C610" s="1" t="n">
        <v>46130</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49884-2023</t>
        </is>
      </c>
      <c r="B611" s="1" t="n">
        <v>45213</v>
      </c>
      <c r="C611" s="1" t="n">
        <v>46130</v>
      </c>
      <c r="D611" t="inlineStr">
        <is>
          <t>GOTLANDS LÄN</t>
        </is>
      </c>
      <c r="E611" t="inlineStr">
        <is>
          <t>GOTLAND</t>
        </is>
      </c>
      <c r="G611" t="n">
        <v>8.9</v>
      </c>
      <c r="H611" t="n">
        <v>0</v>
      </c>
      <c r="I611" t="n">
        <v>0</v>
      </c>
      <c r="J611" t="n">
        <v>0</v>
      </c>
      <c r="K611" t="n">
        <v>0</v>
      </c>
      <c r="L611" t="n">
        <v>0</v>
      </c>
      <c r="M611" t="n">
        <v>0</v>
      </c>
      <c r="N611" t="n">
        <v>0</v>
      </c>
      <c r="O611" t="n">
        <v>0</v>
      </c>
      <c r="P611" t="n">
        <v>0</v>
      </c>
      <c r="Q611" t="n">
        <v>0</v>
      </c>
      <c r="R611" s="2" t="inlineStr"/>
    </row>
    <row r="612" ht="15" customHeight="1">
      <c r="A612" t="inlineStr">
        <is>
          <t>A 876-2024</t>
        </is>
      </c>
      <c r="B612" s="1" t="n">
        <v>45301</v>
      </c>
      <c r="C612" s="1" t="n">
        <v>46130</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22704-2023</t>
        </is>
      </c>
      <c r="B613" s="1" t="n">
        <v>45071</v>
      </c>
      <c r="C613" s="1" t="n">
        <v>46130</v>
      </c>
      <c r="D613" t="inlineStr">
        <is>
          <t>GOTLANDS LÄN</t>
        </is>
      </c>
      <c r="E613" t="inlineStr">
        <is>
          <t>GOTLAND</t>
        </is>
      </c>
      <c r="G613" t="n">
        <v>1.9</v>
      </c>
      <c r="H613" t="n">
        <v>0</v>
      </c>
      <c r="I613" t="n">
        <v>0</v>
      </c>
      <c r="J613" t="n">
        <v>0</v>
      </c>
      <c r="K613" t="n">
        <v>0</v>
      </c>
      <c r="L613" t="n">
        <v>0</v>
      </c>
      <c r="M613" t="n">
        <v>0</v>
      </c>
      <c r="N613" t="n">
        <v>0</v>
      </c>
      <c r="O613" t="n">
        <v>0</v>
      </c>
      <c r="P613" t="n">
        <v>0</v>
      </c>
      <c r="Q613" t="n">
        <v>0</v>
      </c>
      <c r="R613" s="2" t="inlineStr"/>
    </row>
    <row r="614" ht="15" customHeight="1">
      <c r="A614" t="inlineStr">
        <is>
          <t>A 28425-2023</t>
        </is>
      </c>
      <c r="B614" s="1" t="n">
        <v>45102</v>
      </c>
      <c r="C614" s="1" t="n">
        <v>46130</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58476-2022</t>
        </is>
      </c>
      <c r="B615" s="1" t="n">
        <v>44902</v>
      </c>
      <c r="C615" s="1" t="n">
        <v>46130</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43200-2023</t>
        </is>
      </c>
      <c r="B616" s="1" t="n">
        <v>45183</v>
      </c>
      <c r="C616" s="1" t="n">
        <v>46130</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43223-2023</t>
        </is>
      </c>
      <c r="B617" s="1" t="n">
        <v>45183.45642361111</v>
      </c>
      <c r="C617" s="1" t="n">
        <v>46130</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12327-2025</t>
        </is>
      </c>
      <c r="B618" s="1" t="n">
        <v>45730</v>
      </c>
      <c r="C618" s="1" t="n">
        <v>46130</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3431-2025</t>
        </is>
      </c>
      <c r="B619" s="1" t="n">
        <v>45680.42935185185</v>
      </c>
      <c r="C619" s="1" t="n">
        <v>46130</v>
      </c>
      <c r="D619" t="inlineStr">
        <is>
          <t>GOTLANDS LÄN</t>
        </is>
      </c>
      <c r="E619" t="inlineStr">
        <is>
          <t>GOTLAND</t>
        </is>
      </c>
      <c r="G619" t="n">
        <v>4.8</v>
      </c>
      <c r="H619" t="n">
        <v>0</v>
      </c>
      <c r="I619" t="n">
        <v>0</v>
      </c>
      <c r="J619" t="n">
        <v>0</v>
      </c>
      <c r="K619" t="n">
        <v>0</v>
      </c>
      <c r="L619" t="n">
        <v>0</v>
      </c>
      <c r="M619" t="n">
        <v>0</v>
      </c>
      <c r="N619" t="n">
        <v>0</v>
      </c>
      <c r="O619" t="n">
        <v>0</v>
      </c>
      <c r="P619" t="n">
        <v>0</v>
      </c>
      <c r="Q619" t="n">
        <v>0</v>
      </c>
      <c r="R619" s="2" t="inlineStr"/>
    </row>
    <row r="620" ht="15" customHeight="1">
      <c r="A620" t="inlineStr">
        <is>
          <t>A 12209-2024</t>
        </is>
      </c>
      <c r="B620" s="1" t="n">
        <v>45378</v>
      </c>
      <c r="C620" s="1" t="n">
        <v>46130</v>
      </c>
      <c r="D620" t="inlineStr">
        <is>
          <t>GOTLANDS LÄN</t>
        </is>
      </c>
      <c r="E620" t="inlineStr">
        <is>
          <t>GOTLAND</t>
        </is>
      </c>
      <c r="G620" t="n">
        <v>5.3</v>
      </c>
      <c r="H620" t="n">
        <v>0</v>
      </c>
      <c r="I620" t="n">
        <v>0</v>
      </c>
      <c r="J620" t="n">
        <v>0</v>
      </c>
      <c r="K620" t="n">
        <v>0</v>
      </c>
      <c r="L620" t="n">
        <v>0</v>
      </c>
      <c r="M620" t="n">
        <v>0</v>
      </c>
      <c r="N620" t="n">
        <v>0</v>
      </c>
      <c r="O620" t="n">
        <v>0</v>
      </c>
      <c r="P620" t="n">
        <v>0</v>
      </c>
      <c r="Q620" t="n">
        <v>0</v>
      </c>
      <c r="R620" s="2" t="inlineStr"/>
    </row>
    <row r="621" ht="15" customHeight="1">
      <c r="A621" t="inlineStr">
        <is>
          <t>A 12210-2024</t>
        </is>
      </c>
      <c r="B621" s="1" t="n">
        <v>45378</v>
      </c>
      <c r="C621" s="1" t="n">
        <v>46130</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1364-2025</t>
        </is>
      </c>
      <c r="B622" s="1" t="n">
        <v>45667.63929398148</v>
      </c>
      <c r="C622" s="1" t="n">
        <v>46130</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15042-2025</t>
        </is>
      </c>
      <c r="B623" s="1" t="n">
        <v>45743</v>
      </c>
      <c r="C623" s="1" t="n">
        <v>46130</v>
      </c>
      <c r="D623" t="inlineStr">
        <is>
          <t>GOTLANDS LÄN</t>
        </is>
      </c>
      <c r="E623" t="inlineStr">
        <is>
          <t>GOTLAND</t>
        </is>
      </c>
      <c r="G623" t="n">
        <v>8.5</v>
      </c>
      <c r="H623" t="n">
        <v>0</v>
      </c>
      <c r="I623" t="n">
        <v>0</v>
      </c>
      <c r="J623" t="n">
        <v>0</v>
      </c>
      <c r="K623" t="n">
        <v>0</v>
      </c>
      <c r="L623" t="n">
        <v>0</v>
      </c>
      <c r="M623" t="n">
        <v>0</v>
      </c>
      <c r="N623" t="n">
        <v>0</v>
      </c>
      <c r="O623" t="n">
        <v>0</v>
      </c>
      <c r="P623" t="n">
        <v>0</v>
      </c>
      <c r="Q623" t="n">
        <v>0</v>
      </c>
      <c r="R623" s="2" t="inlineStr"/>
    </row>
    <row r="624" ht="15" customHeight="1">
      <c r="A624" t="inlineStr">
        <is>
          <t>A 2180-2025</t>
        </is>
      </c>
      <c r="B624" s="1" t="n">
        <v>45673</v>
      </c>
      <c r="C624" s="1" t="n">
        <v>46130</v>
      </c>
      <c r="D624" t="inlineStr">
        <is>
          <t>GOTLANDS LÄN</t>
        </is>
      </c>
      <c r="E624" t="inlineStr">
        <is>
          <t>GOTLAND</t>
        </is>
      </c>
      <c r="G624" t="n">
        <v>0.7</v>
      </c>
      <c r="H624" t="n">
        <v>0</v>
      </c>
      <c r="I624" t="n">
        <v>0</v>
      </c>
      <c r="J624" t="n">
        <v>0</v>
      </c>
      <c r="K624" t="n">
        <v>0</v>
      </c>
      <c r="L624" t="n">
        <v>0</v>
      </c>
      <c r="M624" t="n">
        <v>0</v>
      </c>
      <c r="N624" t="n">
        <v>0</v>
      </c>
      <c r="O624" t="n">
        <v>0</v>
      </c>
      <c r="P624" t="n">
        <v>0</v>
      </c>
      <c r="Q624" t="n">
        <v>0</v>
      </c>
      <c r="R624" s="2" t="inlineStr"/>
    </row>
    <row r="625" ht="15" customHeight="1">
      <c r="A625" t="inlineStr">
        <is>
          <t>A 15436-2025</t>
        </is>
      </c>
      <c r="B625" s="1" t="n">
        <v>45747.47462962963</v>
      </c>
      <c r="C625" s="1" t="n">
        <v>46130</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49257-2024</t>
        </is>
      </c>
      <c r="B626" s="1" t="n">
        <v>45595.47627314815</v>
      </c>
      <c r="C626" s="1" t="n">
        <v>46130</v>
      </c>
      <c r="D626" t="inlineStr">
        <is>
          <t>GOTLANDS LÄN</t>
        </is>
      </c>
      <c r="E626" t="inlineStr">
        <is>
          <t>GOTLAND</t>
        </is>
      </c>
      <c r="G626" t="n">
        <v>6.3</v>
      </c>
      <c r="H626" t="n">
        <v>0</v>
      </c>
      <c r="I626" t="n">
        <v>0</v>
      </c>
      <c r="J626" t="n">
        <v>0</v>
      </c>
      <c r="K626" t="n">
        <v>0</v>
      </c>
      <c r="L626" t="n">
        <v>0</v>
      </c>
      <c r="M626" t="n">
        <v>0</v>
      </c>
      <c r="N626" t="n">
        <v>0</v>
      </c>
      <c r="O626" t="n">
        <v>0</v>
      </c>
      <c r="P626" t="n">
        <v>0</v>
      </c>
      <c r="Q626" t="n">
        <v>0</v>
      </c>
      <c r="R626" s="2" t="inlineStr"/>
    </row>
    <row r="627" ht="15" customHeight="1">
      <c r="A627" t="inlineStr">
        <is>
          <t>A 37202-2024</t>
        </is>
      </c>
      <c r="B627" s="1" t="n">
        <v>45539.67310185185</v>
      </c>
      <c r="C627" s="1" t="n">
        <v>46130</v>
      </c>
      <c r="D627" t="inlineStr">
        <is>
          <t>GOTLANDS LÄN</t>
        </is>
      </c>
      <c r="E627" t="inlineStr">
        <is>
          <t>GOTLAND</t>
        </is>
      </c>
      <c r="G627" t="n">
        <v>0.3</v>
      </c>
      <c r="H627" t="n">
        <v>0</v>
      </c>
      <c r="I627" t="n">
        <v>0</v>
      </c>
      <c r="J627" t="n">
        <v>0</v>
      </c>
      <c r="K627" t="n">
        <v>0</v>
      </c>
      <c r="L627" t="n">
        <v>0</v>
      </c>
      <c r="M627" t="n">
        <v>0</v>
      </c>
      <c r="N627" t="n">
        <v>0</v>
      </c>
      <c r="O627" t="n">
        <v>0</v>
      </c>
      <c r="P627" t="n">
        <v>0</v>
      </c>
      <c r="Q627" t="n">
        <v>0</v>
      </c>
      <c r="R627" s="2" t="inlineStr"/>
    </row>
    <row r="628" ht="15" customHeight="1">
      <c r="A628" t="inlineStr">
        <is>
          <t>A 56115-2023</t>
        </is>
      </c>
      <c r="B628" s="1" t="n">
        <v>45236</v>
      </c>
      <c r="C628" s="1" t="n">
        <v>46130</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2774-2024</t>
        </is>
      </c>
      <c r="B629" s="1" t="n">
        <v>45314.62375</v>
      </c>
      <c r="C629" s="1" t="n">
        <v>46130</v>
      </c>
      <c r="D629" t="inlineStr">
        <is>
          <t>GOTLANDS LÄN</t>
        </is>
      </c>
      <c r="E629" t="inlineStr">
        <is>
          <t>GOTLAND</t>
        </is>
      </c>
      <c r="G629" t="n">
        <v>1</v>
      </c>
      <c r="H629" t="n">
        <v>0</v>
      </c>
      <c r="I629" t="n">
        <v>0</v>
      </c>
      <c r="J629" t="n">
        <v>0</v>
      </c>
      <c r="K629" t="n">
        <v>0</v>
      </c>
      <c r="L629" t="n">
        <v>0</v>
      </c>
      <c r="M629" t="n">
        <v>0</v>
      </c>
      <c r="N629" t="n">
        <v>0</v>
      </c>
      <c r="O629" t="n">
        <v>0</v>
      </c>
      <c r="P629" t="n">
        <v>0</v>
      </c>
      <c r="Q629" t="n">
        <v>0</v>
      </c>
      <c r="R629" s="2" t="inlineStr"/>
    </row>
    <row r="630" ht="15" customHeight="1">
      <c r="A630" t="inlineStr">
        <is>
          <t>A 60709-2023</t>
        </is>
      </c>
      <c r="B630" s="1" t="n">
        <v>45260</v>
      </c>
      <c r="C630" s="1" t="n">
        <v>46130</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64208-2021</t>
        </is>
      </c>
      <c r="B631" s="1" t="n">
        <v>44510</v>
      </c>
      <c r="C631" s="1" t="n">
        <v>46130</v>
      </c>
      <c r="D631" t="inlineStr">
        <is>
          <t>GOTLANDS LÄN</t>
        </is>
      </c>
      <c r="E631" t="inlineStr">
        <is>
          <t>GOTLAND</t>
        </is>
      </c>
      <c r="G631" t="n">
        <v>4.7</v>
      </c>
      <c r="H631" t="n">
        <v>0</v>
      </c>
      <c r="I631" t="n">
        <v>0</v>
      </c>
      <c r="J631" t="n">
        <v>0</v>
      </c>
      <c r="K631" t="n">
        <v>0</v>
      </c>
      <c r="L631" t="n">
        <v>0</v>
      </c>
      <c r="M631" t="n">
        <v>0</v>
      </c>
      <c r="N631" t="n">
        <v>0</v>
      </c>
      <c r="O631" t="n">
        <v>0</v>
      </c>
      <c r="P631" t="n">
        <v>0</v>
      </c>
      <c r="Q631" t="n">
        <v>0</v>
      </c>
      <c r="R631" s="2" t="inlineStr"/>
    </row>
    <row r="632" ht="15" customHeight="1">
      <c r="A632" t="inlineStr">
        <is>
          <t>A 39764-2022</t>
        </is>
      </c>
      <c r="B632" s="1" t="n">
        <v>44819</v>
      </c>
      <c r="C632" s="1" t="n">
        <v>46130</v>
      </c>
      <c r="D632" t="inlineStr">
        <is>
          <t>GOTLANDS LÄN</t>
        </is>
      </c>
      <c r="E632" t="inlineStr">
        <is>
          <t>GOTLAND</t>
        </is>
      </c>
      <c r="F632" t="inlineStr">
        <is>
          <t>Kyrkan</t>
        </is>
      </c>
      <c r="G632" t="n">
        <v>3.7</v>
      </c>
      <c r="H632" t="n">
        <v>0</v>
      </c>
      <c r="I632" t="n">
        <v>0</v>
      </c>
      <c r="J632" t="n">
        <v>0</v>
      </c>
      <c r="K632" t="n">
        <v>0</v>
      </c>
      <c r="L632" t="n">
        <v>0</v>
      </c>
      <c r="M632" t="n">
        <v>0</v>
      </c>
      <c r="N632" t="n">
        <v>0</v>
      </c>
      <c r="O632" t="n">
        <v>0</v>
      </c>
      <c r="P632" t="n">
        <v>0</v>
      </c>
      <c r="Q632" t="n">
        <v>0</v>
      </c>
      <c r="R632" s="2" t="inlineStr"/>
    </row>
    <row r="633" ht="15" customHeight="1">
      <c r="A633" t="inlineStr">
        <is>
          <t>A 58211-2024</t>
        </is>
      </c>
      <c r="B633" s="1" t="n">
        <v>45632.49292824074</v>
      </c>
      <c r="C633" s="1" t="n">
        <v>46130</v>
      </c>
      <c r="D633" t="inlineStr">
        <is>
          <t>GOTLANDS LÄN</t>
        </is>
      </c>
      <c r="E633" t="inlineStr">
        <is>
          <t>GOTLAND</t>
        </is>
      </c>
      <c r="G633" t="n">
        <v>5.4</v>
      </c>
      <c r="H633" t="n">
        <v>0</v>
      </c>
      <c r="I633" t="n">
        <v>0</v>
      </c>
      <c r="J633" t="n">
        <v>0</v>
      </c>
      <c r="K633" t="n">
        <v>0</v>
      </c>
      <c r="L633" t="n">
        <v>0</v>
      </c>
      <c r="M633" t="n">
        <v>0</v>
      </c>
      <c r="N633" t="n">
        <v>0</v>
      </c>
      <c r="O633" t="n">
        <v>0</v>
      </c>
      <c r="P633" t="n">
        <v>0</v>
      </c>
      <c r="Q633" t="n">
        <v>0</v>
      </c>
      <c r="R633" s="2" t="inlineStr"/>
    </row>
    <row r="634" ht="15" customHeight="1">
      <c r="A634" t="inlineStr">
        <is>
          <t>A 30956-2024</t>
        </is>
      </c>
      <c r="B634" s="1" t="n">
        <v>45499.42527777778</v>
      </c>
      <c r="C634" s="1" t="n">
        <v>46130</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30892-2024</t>
        </is>
      </c>
      <c r="B635" s="1" t="n">
        <v>45491</v>
      </c>
      <c r="C635" s="1" t="n">
        <v>46130</v>
      </c>
      <c r="D635" t="inlineStr">
        <is>
          <t>GOTLANDS LÄN</t>
        </is>
      </c>
      <c r="E635" t="inlineStr">
        <is>
          <t>GOTLAND</t>
        </is>
      </c>
      <c r="G635" t="n">
        <v>6.1</v>
      </c>
      <c r="H635" t="n">
        <v>0</v>
      </c>
      <c r="I635" t="n">
        <v>0</v>
      </c>
      <c r="J635" t="n">
        <v>0</v>
      </c>
      <c r="K635" t="n">
        <v>0</v>
      </c>
      <c r="L635" t="n">
        <v>0</v>
      </c>
      <c r="M635" t="n">
        <v>0</v>
      </c>
      <c r="N635" t="n">
        <v>0</v>
      </c>
      <c r="O635" t="n">
        <v>0</v>
      </c>
      <c r="P635" t="n">
        <v>0</v>
      </c>
      <c r="Q635" t="n">
        <v>0</v>
      </c>
      <c r="R635" s="2" t="inlineStr"/>
    </row>
    <row r="636" ht="15" customHeight="1">
      <c r="A636" t="inlineStr">
        <is>
          <t>A 14635-2023</t>
        </is>
      </c>
      <c r="B636" s="1" t="n">
        <v>45013.69365740741</v>
      </c>
      <c r="C636" s="1" t="n">
        <v>46130</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59469-2024</t>
        </is>
      </c>
      <c r="B637" s="1" t="n">
        <v>45638</v>
      </c>
      <c r="C637" s="1" t="n">
        <v>46130</v>
      </c>
      <c r="D637" t="inlineStr">
        <is>
          <t>GOTLANDS LÄN</t>
        </is>
      </c>
      <c r="E637" t="inlineStr">
        <is>
          <t>GOTLAND</t>
        </is>
      </c>
      <c r="G637" t="n">
        <v>0.4</v>
      </c>
      <c r="H637" t="n">
        <v>0</v>
      </c>
      <c r="I637" t="n">
        <v>0</v>
      </c>
      <c r="J637" t="n">
        <v>0</v>
      </c>
      <c r="K637" t="n">
        <v>0</v>
      </c>
      <c r="L637" t="n">
        <v>0</v>
      </c>
      <c r="M637" t="n">
        <v>0</v>
      </c>
      <c r="N637" t="n">
        <v>0</v>
      </c>
      <c r="O637" t="n">
        <v>0</v>
      </c>
      <c r="P637" t="n">
        <v>0</v>
      </c>
      <c r="Q637" t="n">
        <v>0</v>
      </c>
      <c r="R637" s="2" t="inlineStr"/>
    </row>
    <row r="638" ht="15" customHeight="1">
      <c r="A638" t="inlineStr">
        <is>
          <t>A 7858-2025</t>
        </is>
      </c>
      <c r="B638" s="1" t="n">
        <v>45706.68633101852</v>
      </c>
      <c r="C638" s="1" t="n">
        <v>46130</v>
      </c>
      <c r="D638" t="inlineStr">
        <is>
          <t>GOTLANDS LÄN</t>
        </is>
      </c>
      <c r="E638" t="inlineStr">
        <is>
          <t>GOTLAND</t>
        </is>
      </c>
      <c r="G638" t="n">
        <v>3</v>
      </c>
      <c r="H638" t="n">
        <v>0</v>
      </c>
      <c r="I638" t="n">
        <v>0</v>
      </c>
      <c r="J638" t="n">
        <v>0</v>
      </c>
      <c r="K638" t="n">
        <v>0</v>
      </c>
      <c r="L638" t="n">
        <v>0</v>
      </c>
      <c r="M638" t="n">
        <v>0</v>
      </c>
      <c r="N638" t="n">
        <v>0</v>
      </c>
      <c r="O638" t="n">
        <v>0</v>
      </c>
      <c r="P638" t="n">
        <v>0</v>
      </c>
      <c r="Q638" t="n">
        <v>0</v>
      </c>
      <c r="R638" s="2" t="inlineStr"/>
    </row>
    <row r="639" ht="15" customHeight="1">
      <c r="A639" t="inlineStr">
        <is>
          <t>A 53935-2024</t>
        </is>
      </c>
      <c r="B639" s="1" t="n">
        <v>45615</v>
      </c>
      <c r="C639" s="1" t="n">
        <v>46130</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18223-2025</t>
        </is>
      </c>
      <c r="B640" s="1" t="n">
        <v>45761</v>
      </c>
      <c r="C640" s="1" t="n">
        <v>46130</v>
      </c>
      <c r="D640" t="inlineStr">
        <is>
          <t>GOTLANDS LÄN</t>
        </is>
      </c>
      <c r="E640" t="inlineStr">
        <is>
          <t>GOTLAND</t>
        </is>
      </c>
      <c r="G640" t="n">
        <v>0.7</v>
      </c>
      <c r="H640" t="n">
        <v>0</v>
      </c>
      <c r="I640" t="n">
        <v>0</v>
      </c>
      <c r="J640" t="n">
        <v>0</v>
      </c>
      <c r="K640" t="n">
        <v>0</v>
      </c>
      <c r="L640" t="n">
        <v>0</v>
      </c>
      <c r="M640" t="n">
        <v>0</v>
      </c>
      <c r="N640" t="n">
        <v>0</v>
      </c>
      <c r="O640" t="n">
        <v>0</v>
      </c>
      <c r="P640" t="n">
        <v>0</v>
      </c>
      <c r="Q640" t="n">
        <v>0</v>
      </c>
      <c r="R640" s="2" t="inlineStr"/>
    </row>
    <row r="641" ht="15" customHeight="1">
      <c r="A641" t="inlineStr">
        <is>
          <t>A 4420-2025</t>
        </is>
      </c>
      <c r="B641" s="1" t="n">
        <v>45686.47157407407</v>
      </c>
      <c r="C641" s="1" t="n">
        <v>46130</v>
      </c>
      <c r="D641" t="inlineStr">
        <is>
          <t>GOTLANDS LÄN</t>
        </is>
      </c>
      <c r="E641" t="inlineStr">
        <is>
          <t>GOTLAND</t>
        </is>
      </c>
      <c r="G641" t="n">
        <v>1.6</v>
      </c>
      <c r="H641" t="n">
        <v>0</v>
      </c>
      <c r="I641" t="n">
        <v>0</v>
      </c>
      <c r="J641" t="n">
        <v>0</v>
      </c>
      <c r="K641" t="n">
        <v>0</v>
      </c>
      <c r="L641" t="n">
        <v>0</v>
      </c>
      <c r="M641" t="n">
        <v>0</v>
      </c>
      <c r="N641" t="n">
        <v>0</v>
      </c>
      <c r="O641" t="n">
        <v>0</v>
      </c>
      <c r="P641" t="n">
        <v>0</v>
      </c>
      <c r="Q641" t="n">
        <v>0</v>
      </c>
      <c r="R641" s="2" t="inlineStr"/>
    </row>
    <row r="642" ht="15" customHeight="1">
      <c r="A642" t="inlineStr">
        <is>
          <t>A 5891-2025</t>
        </is>
      </c>
      <c r="B642" s="1" t="n">
        <v>45695.38327546296</v>
      </c>
      <c r="C642" s="1" t="n">
        <v>46130</v>
      </c>
      <c r="D642" t="inlineStr">
        <is>
          <t>GOTLANDS LÄN</t>
        </is>
      </c>
      <c r="E642" t="inlineStr">
        <is>
          <t>GOTLAND</t>
        </is>
      </c>
      <c r="G642" t="n">
        <v>0.8</v>
      </c>
      <c r="H642" t="n">
        <v>0</v>
      </c>
      <c r="I642" t="n">
        <v>0</v>
      </c>
      <c r="J642" t="n">
        <v>0</v>
      </c>
      <c r="K642" t="n">
        <v>0</v>
      </c>
      <c r="L642" t="n">
        <v>0</v>
      </c>
      <c r="M642" t="n">
        <v>0</v>
      </c>
      <c r="N642" t="n">
        <v>0</v>
      </c>
      <c r="O642" t="n">
        <v>0</v>
      </c>
      <c r="P642" t="n">
        <v>0</v>
      </c>
      <c r="Q642" t="n">
        <v>0</v>
      </c>
      <c r="R642" s="2" t="inlineStr"/>
    </row>
    <row r="643" ht="15" customHeight="1">
      <c r="A643" t="inlineStr">
        <is>
          <t>A 7835-2024</t>
        </is>
      </c>
      <c r="B643" s="1" t="n">
        <v>45349.83138888889</v>
      </c>
      <c r="C643" s="1" t="n">
        <v>46130</v>
      </c>
      <c r="D643" t="inlineStr">
        <is>
          <t>GOTLANDS LÄN</t>
        </is>
      </c>
      <c r="E643" t="inlineStr">
        <is>
          <t>GOTLAND</t>
        </is>
      </c>
      <c r="G643" t="n">
        <v>3.8</v>
      </c>
      <c r="H643" t="n">
        <v>0</v>
      </c>
      <c r="I643" t="n">
        <v>0</v>
      </c>
      <c r="J643" t="n">
        <v>0</v>
      </c>
      <c r="K643" t="n">
        <v>0</v>
      </c>
      <c r="L643" t="n">
        <v>0</v>
      </c>
      <c r="M643" t="n">
        <v>0</v>
      </c>
      <c r="N643" t="n">
        <v>0</v>
      </c>
      <c r="O643" t="n">
        <v>0</v>
      </c>
      <c r="P643" t="n">
        <v>0</v>
      </c>
      <c r="Q643" t="n">
        <v>0</v>
      </c>
      <c r="R643" s="2" t="inlineStr"/>
    </row>
    <row r="644" ht="15" customHeight="1">
      <c r="A644" t="inlineStr">
        <is>
          <t>A 20794-2025</t>
        </is>
      </c>
      <c r="B644" s="1" t="n">
        <v>45776</v>
      </c>
      <c r="C644" s="1" t="n">
        <v>46130</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c r="A645" t="inlineStr">
        <is>
          <t>A 20805-2025</t>
        </is>
      </c>
      <c r="B645" s="1" t="n">
        <v>45776</v>
      </c>
      <c r="C645" s="1" t="n">
        <v>46130</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2026-04-18T10:26:49Z</dcterms:created>
  <dcterms:modified xmlns:dcterms="http://purl.org/dc/terms/" xmlns:xsi="http://www.w3.org/2001/XMLSchema-instance" xsi:type="dcterms:W3CDTF">2026-04-18T10:26:50Z</dcterms:modified>
</cp:coreProperties>
</file>