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46090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46090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46090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46090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46090</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46090</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46090</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46090</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46090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30236-2025</t>
        </is>
      </c>
      <c r="B11" s="1" t="n">
        <v>45827</v>
      </c>
      <c r="C11" s="1" t="n">
        <v>46090</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46090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46090</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42607-2025</t>
        </is>
      </c>
      <c r="B14" s="1" t="n">
        <v>45905</v>
      </c>
      <c r="C14" s="1" t="n">
        <v>46090</v>
      </c>
      <c r="D14" t="inlineStr">
        <is>
          <t>GOTLANDS LÄN</t>
        </is>
      </c>
      <c r="E14" t="inlineStr">
        <is>
          <t>GOTLAND</t>
        </is>
      </c>
      <c r="G14" t="n">
        <v>15.8</v>
      </c>
      <c r="H14" t="n">
        <v>3</v>
      </c>
      <c r="I14" t="n">
        <v>10</v>
      </c>
      <c r="J14" t="n">
        <v>6</v>
      </c>
      <c r="K14" t="n">
        <v>11</v>
      </c>
      <c r="L14" t="n">
        <v>0</v>
      </c>
      <c r="M14" t="n">
        <v>0</v>
      </c>
      <c r="N14" t="n">
        <v>0</v>
      </c>
      <c r="O14" t="n">
        <v>17</v>
      </c>
      <c r="P14" t="n">
        <v>11</v>
      </c>
      <c r="Q14" t="n">
        <v>28</v>
      </c>
      <c r="R14"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46090</v>
      </c>
      <c r="D15" t="inlineStr">
        <is>
          <t>GOTLANDS LÄN</t>
        </is>
      </c>
      <c r="E15" t="inlineStr">
        <is>
          <t>GOTLAND</t>
        </is>
      </c>
      <c r="G15" t="n">
        <v>10.4</v>
      </c>
      <c r="H15" t="n">
        <v>3</v>
      </c>
      <c r="I15" t="n">
        <v>12</v>
      </c>
      <c r="J15" t="n">
        <v>3</v>
      </c>
      <c r="K15" t="n">
        <v>9</v>
      </c>
      <c r="L15" t="n">
        <v>1</v>
      </c>
      <c r="M15" t="n">
        <v>0</v>
      </c>
      <c r="N15" t="n">
        <v>0</v>
      </c>
      <c r="O15" t="n">
        <v>14</v>
      </c>
      <c r="P15" t="n">
        <v>10</v>
      </c>
      <c r="Q15" t="n">
        <v>27</v>
      </c>
      <c r="R15"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445-2023</t>
        </is>
      </c>
      <c r="B16" s="1" t="n">
        <v>44929</v>
      </c>
      <c r="C16" s="1" t="n">
        <v>46090</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922-2023</t>
        </is>
      </c>
      <c r="B17" s="1" t="n">
        <v>44932</v>
      </c>
      <c r="C17" s="1" t="n">
        <v>46090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46090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46090</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46090</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46090</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46090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46090</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46090</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Vanliga ängsnycklar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46090</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Fläcknycklar
Vanliga ängsnycklar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46090</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46090</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46090</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46090</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46090</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46090</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46090</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46090</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46090</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44928-2022</t>
        </is>
      </c>
      <c r="B35" s="1" t="n">
        <v>44841</v>
      </c>
      <c r="C35" s="1" t="n">
        <v>46090</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46090</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46090</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3324-2023</t>
        </is>
      </c>
      <c r="B38" s="1" t="n">
        <v>44949</v>
      </c>
      <c r="C38" s="1" t="n">
        <v>46090</v>
      </c>
      <c r="D38" t="inlineStr">
        <is>
          <t>GOTLANDS LÄN</t>
        </is>
      </c>
      <c r="E38" t="inlineStr">
        <is>
          <t>GOTLAND</t>
        </is>
      </c>
      <c r="G38" t="n">
        <v>6.2</v>
      </c>
      <c r="H38" t="n">
        <v>0</v>
      </c>
      <c r="I38" t="n">
        <v>4</v>
      </c>
      <c r="J38" t="n">
        <v>2</v>
      </c>
      <c r="K38" t="n">
        <v>6</v>
      </c>
      <c r="L38" t="n">
        <v>0</v>
      </c>
      <c r="M38" t="n">
        <v>0</v>
      </c>
      <c r="N38" t="n">
        <v>0</v>
      </c>
      <c r="O38" t="n">
        <v>8</v>
      </c>
      <c r="P38" t="n">
        <v>6</v>
      </c>
      <c r="Q38" t="n">
        <v>12</v>
      </c>
      <c r="R38" s="2" t="inlineStr">
        <is>
          <t>Blåfotad fagerspindling
Duvspindling
Granrotspindling
Gulsträngad fagerspindling
Svartgrön spindling
Tvillingspindling
Odörspindling
Äggspindling
Anisspindling
Blå slemspindling
Olivspindling
Rödgul trumpetsvamp</t>
        </is>
      </c>
      <c r="S38">
        <f>HYPERLINK("https://klasma.github.io/Logging_0980/artfynd/A 3324-2023 artfynd.xlsx", "A 3324-2023")</f>
        <v/>
      </c>
      <c r="T38">
        <f>HYPERLINK("https://klasma.github.io/Logging_0980/kartor/A 3324-2023 karta.png", "A 3324-2023")</f>
        <v/>
      </c>
      <c r="V38">
        <f>HYPERLINK("https://klasma.github.io/Logging_0980/klagomål/A 3324-2023 FSC-klagomål.docx", "A 3324-2023")</f>
        <v/>
      </c>
      <c r="W38">
        <f>HYPERLINK("https://klasma.github.io/Logging_0980/klagomålsmail/A 3324-2023 FSC-klagomål mail.docx", "A 3324-2023")</f>
        <v/>
      </c>
      <c r="X38">
        <f>HYPERLINK("https://klasma.github.io/Logging_0980/tillsyn/A 3324-2023 tillsynsbegäran.docx", "A 3324-2023")</f>
        <v/>
      </c>
      <c r="Y38">
        <f>HYPERLINK("https://klasma.github.io/Logging_0980/tillsynsmail/A 3324-2023 tillsynsbegäran mail.docx", "A 3324-2023")</f>
        <v/>
      </c>
    </row>
    <row r="39" ht="15" customHeight="1">
      <c r="A39" t="inlineStr">
        <is>
          <t>A 15850-2025</t>
        </is>
      </c>
      <c r="B39" s="1" t="n">
        <v>45748</v>
      </c>
      <c r="C39" s="1" t="n">
        <v>46090</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63872-2021</t>
        </is>
      </c>
      <c r="B40" s="1" t="n">
        <v>44509</v>
      </c>
      <c r="C40" s="1" t="n">
        <v>46090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46090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37037-2021</t>
        </is>
      </c>
      <c r="B42" s="1" t="n">
        <v>44393.84688657407</v>
      </c>
      <c r="C42" s="1" t="n">
        <v>46090</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11176-2024</t>
        </is>
      </c>
      <c r="B43" s="1" t="n">
        <v>45371</v>
      </c>
      <c r="C43" s="1" t="n">
        <v>46090</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6052-2024</t>
        </is>
      </c>
      <c r="B44" s="1" t="n">
        <v>45336</v>
      </c>
      <c r="C44" s="1" t="n">
        <v>46090</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52223-2025</t>
        </is>
      </c>
      <c r="B45" s="1" t="n">
        <v>45953.44509259259</v>
      </c>
      <c r="C45" s="1" t="n">
        <v>46090</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43201-2023</t>
        </is>
      </c>
      <c r="B46" s="1" t="n">
        <v>45183</v>
      </c>
      <c r="C46" s="1" t="n">
        <v>46090</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584-2023</t>
        </is>
      </c>
      <c r="B47" s="1" t="n">
        <v>44930</v>
      </c>
      <c r="C47" s="1" t="n">
        <v>46090</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45248-2024</t>
        </is>
      </c>
      <c r="B48" s="1" t="n">
        <v>45576</v>
      </c>
      <c r="C48" s="1" t="n">
        <v>46090</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46090</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46090</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46090</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33153-2024</t>
        </is>
      </c>
      <c r="B52" s="1" t="n">
        <v>45518</v>
      </c>
      <c r="C52" s="1" t="n">
        <v>46090</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46090</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46090</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46090</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46090</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21467-2024</t>
        </is>
      </c>
      <c r="B57" s="1" t="n">
        <v>45441</v>
      </c>
      <c r="C57" s="1" t="n">
        <v>46090</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46090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46090</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51737-2021</t>
        </is>
      </c>
      <c r="B60" s="1" t="n">
        <v>44462.57368055556</v>
      </c>
      <c r="C60" s="1" t="n">
        <v>46090</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27168-2022</t>
        </is>
      </c>
      <c r="B61" s="1" t="n">
        <v>44741</v>
      </c>
      <c r="C61" s="1" t="n">
        <v>46090</v>
      </c>
      <c r="D61" t="inlineStr">
        <is>
          <t>GOTLANDS LÄN</t>
        </is>
      </c>
      <c r="E61" t="inlineStr">
        <is>
          <t>GOTLAND</t>
        </is>
      </c>
      <c r="G61" t="n">
        <v>2.2</v>
      </c>
      <c r="H61" t="n">
        <v>4</v>
      </c>
      <c r="I61" t="n">
        <v>2</v>
      </c>
      <c r="J61" t="n">
        <v>2</v>
      </c>
      <c r="K61" t="n">
        <v>1</v>
      </c>
      <c r="L61" t="n">
        <v>0</v>
      </c>
      <c r="M61" t="n">
        <v>0</v>
      </c>
      <c r="N61" t="n">
        <v>0</v>
      </c>
      <c r="O61" t="n">
        <v>3</v>
      </c>
      <c r="P61" t="n">
        <v>1</v>
      </c>
      <c r="Q61" t="n">
        <v>7</v>
      </c>
      <c r="R61" s="2" t="inlineStr">
        <is>
          <t>Gotlandsmåra
Solvända
Svinrot
Purpurknipprot
Vit skogslilja
Brudsporre
Kärrknipprot</t>
        </is>
      </c>
      <c r="S61">
        <f>HYPERLINK("https://klasma.github.io/Logging_0980/artfynd/A 27168-2022 artfynd.xlsx", "A 27168-2022")</f>
        <v/>
      </c>
      <c r="T61">
        <f>HYPERLINK("https://klasma.github.io/Logging_0980/kartor/A 27168-2022 karta.png", "A 27168-2022")</f>
        <v/>
      </c>
      <c r="V61">
        <f>HYPERLINK("https://klasma.github.io/Logging_0980/klagomål/A 27168-2022 FSC-klagomål.docx", "A 27168-2022")</f>
        <v/>
      </c>
      <c r="W61">
        <f>HYPERLINK("https://klasma.github.io/Logging_0980/klagomålsmail/A 27168-2022 FSC-klagomål mail.docx", "A 27168-2022")</f>
        <v/>
      </c>
      <c r="X61">
        <f>HYPERLINK("https://klasma.github.io/Logging_0980/tillsyn/A 27168-2022 tillsynsbegäran.docx", "A 27168-2022")</f>
        <v/>
      </c>
      <c r="Y61">
        <f>HYPERLINK("https://klasma.github.io/Logging_0980/tillsynsmail/A 27168-2022 tillsynsbegäran mail.docx", "A 27168-2022")</f>
        <v/>
      </c>
    </row>
    <row r="62" ht="15" customHeight="1">
      <c r="A62" t="inlineStr">
        <is>
          <t>A 56687-2025</t>
        </is>
      </c>
      <c r="B62" s="1" t="n">
        <v>45975.84065972222</v>
      </c>
      <c r="C62" s="1" t="n">
        <v>46090</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46090</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46090</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46090</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46090</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46090</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46090</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46090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46090</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16823-2024</t>
        </is>
      </c>
      <c r="B71" s="1" t="n">
        <v>45411</v>
      </c>
      <c r="C71" s="1" t="n">
        <v>46090</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7038-2023</t>
        </is>
      </c>
      <c r="B72" s="1" t="n">
        <v>44968</v>
      </c>
      <c r="C72" s="1" t="n">
        <v>46090</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54527-2023</t>
        </is>
      </c>
      <c r="B73" s="1" t="n">
        <v>45233</v>
      </c>
      <c r="C73" s="1" t="n">
        <v>46090</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53584-2025</t>
        </is>
      </c>
      <c r="B74" s="1" t="n">
        <v>45960.43130787037</v>
      </c>
      <c r="C74" s="1" t="n">
        <v>46090</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446-2023</t>
        </is>
      </c>
      <c r="B75" s="1" t="n">
        <v>44929</v>
      </c>
      <c r="C75" s="1" t="n">
        <v>46090</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57773-2025</t>
        </is>
      </c>
      <c r="B76" s="1" t="n">
        <v>45981.56349537037</v>
      </c>
      <c r="C76" s="1" t="n">
        <v>46090</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54527-2023</t>
        </is>
      </c>
      <c r="B77" s="1" t="n">
        <v>45233</v>
      </c>
      <c r="C77" s="1" t="n">
        <v>46090</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46090</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16375-2025</t>
        </is>
      </c>
      <c r="B79" s="1" t="n">
        <v>45751.41064814815</v>
      </c>
      <c r="C79" s="1" t="n">
        <v>46090</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6839-2026</t>
        </is>
      </c>
      <c r="B80" s="1" t="n">
        <v>46057.41193287037</v>
      </c>
      <c r="C80" s="1" t="n">
        <v>46090</v>
      </c>
      <c r="D80" t="inlineStr">
        <is>
          <t>GOTLANDS LÄN</t>
        </is>
      </c>
      <c r="E80" t="inlineStr">
        <is>
          <t>GOTLAND</t>
        </is>
      </c>
      <c r="G80" t="n">
        <v>4.9</v>
      </c>
      <c r="H80" t="n">
        <v>0</v>
      </c>
      <c r="I80" t="n">
        <v>1</v>
      </c>
      <c r="J80" t="n">
        <v>2</v>
      </c>
      <c r="K80" t="n">
        <v>2</v>
      </c>
      <c r="L80" t="n">
        <v>0</v>
      </c>
      <c r="M80" t="n">
        <v>0</v>
      </c>
      <c r="N80" t="n">
        <v>0</v>
      </c>
      <c r="O80" t="n">
        <v>4</v>
      </c>
      <c r="P80" t="n">
        <v>2</v>
      </c>
      <c r="Q80" t="n">
        <v>5</v>
      </c>
      <c r="R80" s="2" t="inlineStr">
        <is>
          <t>Mörk kraterlav
Skogskorn
Ekvaxskivling
Mjölmusseron
Besk kastanjemusseron</t>
        </is>
      </c>
      <c r="S80">
        <f>HYPERLINK("https://klasma.github.io/Logging_0980/artfynd/A 6839-2026 artfynd.xlsx", "A 6839-2026")</f>
        <v/>
      </c>
      <c r="T80">
        <f>HYPERLINK("https://klasma.github.io/Logging_0980/kartor/A 6839-2026 karta.png", "A 6839-2026")</f>
        <v/>
      </c>
      <c r="V80">
        <f>HYPERLINK("https://klasma.github.io/Logging_0980/klagomål/A 6839-2026 FSC-klagomål.docx", "A 6839-2026")</f>
        <v/>
      </c>
      <c r="W80">
        <f>HYPERLINK("https://klasma.github.io/Logging_0980/klagomålsmail/A 6839-2026 FSC-klagomål mail.docx", "A 6839-2026")</f>
        <v/>
      </c>
      <c r="X80">
        <f>HYPERLINK("https://klasma.github.io/Logging_0980/tillsyn/A 6839-2026 tillsynsbegäran.docx", "A 6839-2026")</f>
        <v/>
      </c>
      <c r="Y80">
        <f>HYPERLINK("https://klasma.github.io/Logging_0980/tillsynsmail/A 6839-2026 tillsynsbegäran mail.docx", "A 6839-2026")</f>
        <v/>
      </c>
    </row>
    <row r="81" ht="15" customHeight="1">
      <c r="A81" t="inlineStr">
        <is>
          <t>A 32326-2024</t>
        </is>
      </c>
      <c r="B81" s="1" t="n">
        <v>45512</v>
      </c>
      <c r="C81" s="1" t="n">
        <v>46090</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46090</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46090</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46090</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46090</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46090</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46090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46090</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40099-2025</t>
        </is>
      </c>
      <c r="B89" s="1" t="n">
        <v>45894.48462962963</v>
      </c>
      <c r="C89" s="1" t="n">
        <v>46090</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56717-2024</t>
        </is>
      </c>
      <c r="B90" s="1" t="n">
        <v>45628.3166550926</v>
      </c>
      <c r="C90" s="1" t="n">
        <v>46090</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6836-2026</t>
        </is>
      </c>
      <c r="B91" s="1" t="n">
        <v>46057.40902777778</v>
      </c>
      <c r="C91" s="1" t="n">
        <v>46090</v>
      </c>
      <c r="D91" t="inlineStr">
        <is>
          <t>GOTLANDS LÄN</t>
        </is>
      </c>
      <c r="E91" t="inlineStr">
        <is>
          <t>GOTLAND</t>
        </is>
      </c>
      <c r="G91" t="n">
        <v>3.8</v>
      </c>
      <c r="H91" t="n">
        <v>1</v>
      </c>
      <c r="I91" t="n">
        <v>3</v>
      </c>
      <c r="J91" t="n">
        <v>0</v>
      </c>
      <c r="K91" t="n">
        <v>1</v>
      </c>
      <c r="L91" t="n">
        <v>0</v>
      </c>
      <c r="M91" t="n">
        <v>0</v>
      </c>
      <c r="N91" t="n">
        <v>0</v>
      </c>
      <c r="O91" t="n">
        <v>1</v>
      </c>
      <c r="P91" t="n">
        <v>1</v>
      </c>
      <c r="Q91" t="n">
        <v>4</v>
      </c>
      <c r="R91" s="2" t="inlineStr">
        <is>
          <t>Knärot
Fransig jordstjärna
Rödgul trumpetsvamp
Svavelriska</t>
        </is>
      </c>
      <c r="S91">
        <f>HYPERLINK("https://klasma.github.io/Logging_0980/artfynd/A 6836-2026 artfynd.xlsx", "A 6836-2026")</f>
        <v/>
      </c>
      <c r="T91">
        <f>HYPERLINK("https://klasma.github.io/Logging_0980/kartor/A 6836-2026 karta.png", "A 6836-2026")</f>
        <v/>
      </c>
      <c r="U91">
        <f>HYPERLINK("https://klasma.github.io/Logging_0980/knärot/A 6836-2026 karta knärot.png", "A 6836-2026")</f>
        <v/>
      </c>
      <c r="V91">
        <f>HYPERLINK("https://klasma.github.io/Logging_0980/klagomål/A 6836-2026 FSC-klagomål.docx", "A 6836-2026")</f>
        <v/>
      </c>
      <c r="W91">
        <f>HYPERLINK("https://klasma.github.io/Logging_0980/klagomålsmail/A 6836-2026 FSC-klagomål mail.docx", "A 6836-2026")</f>
        <v/>
      </c>
      <c r="X91">
        <f>HYPERLINK("https://klasma.github.io/Logging_0980/tillsyn/A 6836-2026 tillsynsbegäran.docx", "A 6836-2026")</f>
        <v/>
      </c>
      <c r="Y91">
        <f>HYPERLINK("https://klasma.github.io/Logging_0980/tillsynsmail/A 6836-2026 tillsynsbegäran mail.docx", "A 6836-2026")</f>
        <v/>
      </c>
    </row>
    <row r="92" ht="15" customHeight="1">
      <c r="A92" t="inlineStr">
        <is>
          <t>A 20833-2024</t>
        </is>
      </c>
      <c r="B92" s="1" t="n">
        <v>45439</v>
      </c>
      <c r="C92" s="1" t="n">
        <v>46090</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2485-2025</t>
        </is>
      </c>
      <c r="B93" s="1" t="n">
        <v>45673</v>
      </c>
      <c r="C93" s="1" t="n">
        <v>46090</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5904-2024</t>
        </is>
      </c>
      <c r="B94" s="1" t="n">
        <v>45335</v>
      </c>
      <c r="C94" s="1" t="n">
        <v>46090</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6159-2023</t>
        </is>
      </c>
      <c r="B95" s="1" t="n">
        <v>44964</v>
      </c>
      <c r="C95" s="1" t="n">
        <v>46090</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57463-2025</t>
        </is>
      </c>
      <c r="B96" s="1" t="n">
        <v>45980.54174768519</v>
      </c>
      <c r="C96" s="1" t="n">
        <v>46090</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43197-2023</t>
        </is>
      </c>
      <c r="B97" s="1" t="n">
        <v>45183</v>
      </c>
      <c r="C97" s="1" t="n">
        <v>46090</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52250-2025</t>
        </is>
      </c>
      <c r="B98" s="1" t="n">
        <v>45953.48998842593</v>
      </c>
      <c r="C98" s="1" t="n">
        <v>46090</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54523-2023</t>
        </is>
      </c>
      <c r="B99" s="1" t="n">
        <v>45233</v>
      </c>
      <c r="C99" s="1" t="n">
        <v>46090</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1971-2023</t>
        </is>
      </c>
      <c r="B100" s="1" t="n">
        <v>44939</v>
      </c>
      <c r="C100" s="1" t="n">
        <v>46090</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46090</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46090</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46090</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46090</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46090</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46090</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46090</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46090</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46090</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46090</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46090</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46090</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30490-2025</t>
        </is>
      </c>
      <c r="B113" s="1" t="n">
        <v>45830</v>
      </c>
      <c r="C113" s="1" t="n">
        <v>46090</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55334-2024</t>
        </is>
      </c>
      <c r="B114" s="1" t="n">
        <v>45621</v>
      </c>
      <c r="C114" s="1" t="n">
        <v>46090</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46090</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20831-2024</t>
        </is>
      </c>
      <c r="B116" s="1" t="n">
        <v>45439</v>
      </c>
      <c r="C116" s="1" t="n">
        <v>46090</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17975-2024</t>
        </is>
      </c>
      <c r="B117" s="1" t="n">
        <v>45419.85546296297</v>
      </c>
      <c r="C117" s="1" t="n">
        <v>46090</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1520-2026</t>
        </is>
      </c>
      <c r="B118" s="1" t="n">
        <v>46034.35891203704</v>
      </c>
      <c r="C118" s="1" t="n">
        <v>46090</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17982-2023</t>
        </is>
      </c>
      <c r="B119" s="1" t="n">
        <v>45040</v>
      </c>
      <c r="C119" s="1" t="n">
        <v>46090</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46090</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46090</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46090</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46090</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46090</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46090</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46090</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46090</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46090</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46090</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20429-2025</t>
        </is>
      </c>
      <c r="B130" s="1" t="n">
        <v>45775.47728009259</v>
      </c>
      <c r="C130" s="1" t="n">
        <v>46090</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12914-2025</t>
        </is>
      </c>
      <c r="B131" s="1" t="n">
        <v>45733</v>
      </c>
      <c r="C131" s="1" t="n">
        <v>46090</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54357-2024</t>
        </is>
      </c>
      <c r="B132" s="1" t="n">
        <v>45617.40662037037</v>
      </c>
      <c r="C132" s="1" t="n">
        <v>46090</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10274-2026</t>
        </is>
      </c>
      <c r="B133" s="1" t="n">
        <v>46076.58261574074</v>
      </c>
      <c r="C133" s="1" t="n">
        <v>46090</v>
      </c>
      <c r="D133" t="inlineStr">
        <is>
          <t>GOTLANDS LÄN</t>
        </is>
      </c>
      <c r="E133" t="inlineStr">
        <is>
          <t>GOTLAND</t>
        </is>
      </c>
      <c r="G133" t="n">
        <v>9.800000000000001</v>
      </c>
      <c r="H133" t="n">
        <v>1</v>
      </c>
      <c r="I133" t="n">
        <v>0</v>
      </c>
      <c r="J133" t="n">
        <v>0</v>
      </c>
      <c r="K133" t="n">
        <v>1</v>
      </c>
      <c r="L133" t="n">
        <v>0</v>
      </c>
      <c r="M133" t="n">
        <v>0</v>
      </c>
      <c r="N133" t="n">
        <v>0</v>
      </c>
      <c r="O133" t="n">
        <v>1</v>
      </c>
      <c r="P133" t="n">
        <v>1</v>
      </c>
      <c r="Q133" t="n">
        <v>2</v>
      </c>
      <c r="R133" s="2" t="inlineStr">
        <is>
          <t>Gråfingerört
Alvarstånds</t>
        </is>
      </c>
      <c r="S133">
        <f>HYPERLINK("https://klasma.github.io/Logging_0980/artfynd/A 10274-2026 artfynd.xlsx", "A 10274-2026")</f>
        <v/>
      </c>
      <c r="T133">
        <f>HYPERLINK("https://klasma.github.io/Logging_0980/kartor/A 10274-2026 karta.png", "A 10274-2026")</f>
        <v/>
      </c>
      <c r="V133">
        <f>HYPERLINK("https://klasma.github.io/Logging_0980/klagomål/A 10274-2026 FSC-klagomål.docx", "A 10274-2026")</f>
        <v/>
      </c>
      <c r="W133">
        <f>HYPERLINK("https://klasma.github.io/Logging_0980/klagomålsmail/A 10274-2026 FSC-klagomål mail.docx", "A 10274-2026")</f>
        <v/>
      </c>
      <c r="X133">
        <f>HYPERLINK("https://klasma.github.io/Logging_0980/tillsyn/A 10274-2026 tillsynsbegäran.docx", "A 10274-2026")</f>
        <v/>
      </c>
      <c r="Y133">
        <f>HYPERLINK("https://klasma.github.io/Logging_0980/tillsynsmail/A 10274-2026 tillsynsbegäran mail.docx", "A 10274-2026")</f>
        <v/>
      </c>
    </row>
    <row r="134" ht="15" customHeight="1">
      <c r="A134" t="inlineStr">
        <is>
          <t>A 62760-2025</t>
        </is>
      </c>
      <c r="B134" s="1" t="n">
        <v>46008</v>
      </c>
      <c r="C134" s="1" t="n">
        <v>46090</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20838-2024</t>
        </is>
      </c>
      <c r="B135" s="1" t="n">
        <v>45439</v>
      </c>
      <c r="C135" s="1" t="n">
        <v>46090</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63162-2025</t>
        </is>
      </c>
      <c r="B136" s="1" t="n">
        <v>46010.37629629629</v>
      </c>
      <c r="C136" s="1" t="n">
        <v>46090</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26077-2024</t>
        </is>
      </c>
      <c r="B137" s="1" t="n">
        <v>45467</v>
      </c>
      <c r="C137" s="1" t="n">
        <v>46090</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46090</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46090</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46090</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46090</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46090</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46090</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46090</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44308-2021</t>
        </is>
      </c>
      <c r="B145" s="1" t="n">
        <v>44434</v>
      </c>
      <c r="C145" s="1" t="n">
        <v>46090</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46527-2023</t>
        </is>
      </c>
      <c r="B146" s="1" t="n">
        <v>45197</v>
      </c>
      <c r="C146" s="1" t="n">
        <v>46090</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39812-2025</t>
        </is>
      </c>
      <c r="B147" s="1" t="n">
        <v>45891</v>
      </c>
      <c r="C147" s="1" t="n">
        <v>46090</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26461-2025</t>
        </is>
      </c>
      <c r="B148" s="1" t="n">
        <v>45807.43337962963</v>
      </c>
      <c r="C148" s="1" t="n">
        <v>46090</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17723-2021</t>
        </is>
      </c>
      <c r="B149" s="1" t="n">
        <v>44300</v>
      </c>
      <c r="C149" s="1" t="n">
        <v>46090</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6303-2024</t>
        </is>
      </c>
      <c r="B150" s="1" t="n">
        <v>45338.35376157407</v>
      </c>
      <c r="C150" s="1" t="n">
        <v>46090</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46090</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35467-2021</t>
        </is>
      </c>
      <c r="B152" s="1" t="n">
        <v>44385</v>
      </c>
      <c r="C152" s="1" t="n">
        <v>46090</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46090</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25977-2024</t>
        </is>
      </c>
      <c r="B154" s="1" t="n">
        <v>45467.69356481481</v>
      </c>
      <c r="C154" s="1" t="n">
        <v>46090</v>
      </c>
      <c r="D154" t="inlineStr">
        <is>
          <t>GOTLANDS LÄN</t>
        </is>
      </c>
      <c r="E154" t="inlineStr">
        <is>
          <t>GOTLAND</t>
        </is>
      </c>
      <c r="G154" t="n">
        <v>3</v>
      </c>
      <c r="H154" t="n">
        <v>1</v>
      </c>
      <c r="I154" t="n">
        <v>0</v>
      </c>
      <c r="J154" t="n">
        <v>0</v>
      </c>
      <c r="K154" t="n">
        <v>0</v>
      </c>
      <c r="L154" t="n">
        <v>0</v>
      </c>
      <c r="M154" t="n">
        <v>0</v>
      </c>
      <c r="N154" t="n">
        <v>0</v>
      </c>
      <c r="O154" t="n">
        <v>0</v>
      </c>
      <c r="P154" t="n">
        <v>0</v>
      </c>
      <c r="Q154" t="n">
        <v>1</v>
      </c>
      <c r="R154" s="2" t="inlineStr">
        <is>
          <t>Nattviol</t>
        </is>
      </c>
      <c r="S154">
        <f>HYPERLINK("https://klasma.github.io/Logging_0980/artfynd/A 25977-2024 artfynd.xlsx", "A 25977-2024")</f>
        <v/>
      </c>
      <c r="T154">
        <f>HYPERLINK("https://klasma.github.io/Logging_0980/kartor/A 25977-2024 karta.png", "A 25977-2024")</f>
        <v/>
      </c>
      <c r="V154">
        <f>HYPERLINK("https://klasma.github.io/Logging_0980/klagomål/A 25977-2024 FSC-klagomål.docx", "A 25977-2024")</f>
        <v/>
      </c>
      <c r="W154">
        <f>HYPERLINK("https://klasma.github.io/Logging_0980/klagomålsmail/A 25977-2024 FSC-klagomål mail.docx", "A 25977-2024")</f>
        <v/>
      </c>
      <c r="X154">
        <f>HYPERLINK("https://klasma.github.io/Logging_0980/tillsyn/A 25977-2024 tillsynsbegäran.docx", "A 25977-2024")</f>
        <v/>
      </c>
      <c r="Y154">
        <f>HYPERLINK("https://klasma.github.io/Logging_0980/tillsynsmail/A 25977-2024 tillsynsbegäran mail.docx", "A 25977-2024")</f>
        <v/>
      </c>
    </row>
    <row r="155" ht="15" customHeight="1">
      <c r="A155" t="inlineStr">
        <is>
          <t>A 27589-2023</t>
        </is>
      </c>
      <c r="B155" s="1" t="n">
        <v>45097</v>
      </c>
      <c r="C155" s="1" t="n">
        <v>46090</v>
      </c>
      <c r="D155" t="inlineStr">
        <is>
          <t>GOTLANDS LÄN</t>
        </is>
      </c>
      <c r="E155" t="inlineStr">
        <is>
          <t>GOTLAND</t>
        </is>
      </c>
      <c r="G155" t="n">
        <v>5.4</v>
      </c>
      <c r="H155" t="n">
        <v>0</v>
      </c>
      <c r="I155" t="n">
        <v>0</v>
      </c>
      <c r="J155" t="n">
        <v>0</v>
      </c>
      <c r="K155" t="n">
        <v>0</v>
      </c>
      <c r="L155" t="n">
        <v>0</v>
      </c>
      <c r="M155" t="n">
        <v>1</v>
      </c>
      <c r="N155" t="n">
        <v>0</v>
      </c>
      <c r="O155" t="n">
        <v>1</v>
      </c>
      <c r="P155" t="n">
        <v>1</v>
      </c>
      <c r="Q155" t="n">
        <v>1</v>
      </c>
      <c r="R155" s="2" t="inlineStr">
        <is>
          <t>Skogsalm</t>
        </is>
      </c>
      <c r="S155">
        <f>HYPERLINK("https://klasma.github.io/Logging_0980/artfynd/A 27589-2023 artfynd.xlsx", "A 27589-2023")</f>
        <v/>
      </c>
      <c r="T155">
        <f>HYPERLINK("https://klasma.github.io/Logging_0980/kartor/A 27589-2023 karta.png", "A 27589-2023")</f>
        <v/>
      </c>
      <c r="V155">
        <f>HYPERLINK("https://klasma.github.io/Logging_0980/klagomål/A 27589-2023 FSC-klagomål.docx", "A 27589-2023")</f>
        <v/>
      </c>
      <c r="W155">
        <f>HYPERLINK("https://klasma.github.io/Logging_0980/klagomålsmail/A 27589-2023 FSC-klagomål mail.docx", "A 27589-2023")</f>
        <v/>
      </c>
      <c r="X155">
        <f>HYPERLINK("https://klasma.github.io/Logging_0980/tillsyn/A 27589-2023 tillsynsbegäran.docx", "A 27589-2023")</f>
        <v/>
      </c>
      <c r="Y155">
        <f>HYPERLINK("https://klasma.github.io/Logging_0980/tillsynsmail/A 27589-2023 tillsynsbegäran mail.docx", "A 27589-2023")</f>
        <v/>
      </c>
    </row>
    <row r="156" ht="15" customHeight="1">
      <c r="A156" t="inlineStr">
        <is>
          <t>A 9862-2024</t>
        </is>
      </c>
      <c r="B156" s="1" t="n">
        <v>45363</v>
      </c>
      <c r="C156" s="1" t="n">
        <v>46090</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34141-2024</t>
        </is>
      </c>
      <c r="B157" s="1" t="n">
        <v>45524.36229166666</v>
      </c>
      <c r="C157" s="1" t="n">
        <v>46090</v>
      </c>
      <c r="D157" t="inlineStr">
        <is>
          <t>GOTLANDS LÄN</t>
        </is>
      </c>
      <c r="E157" t="inlineStr">
        <is>
          <t>GOTLAND</t>
        </is>
      </c>
      <c r="G157" t="n">
        <v>0.9</v>
      </c>
      <c r="H157" t="n">
        <v>0</v>
      </c>
      <c r="I157" t="n">
        <v>1</v>
      </c>
      <c r="J157" t="n">
        <v>0</v>
      </c>
      <c r="K157" t="n">
        <v>0</v>
      </c>
      <c r="L157" t="n">
        <v>0</v>
      </c>
      <c r="M157" t="n">
        <v>0</v>
      </c>
      <c r="N157" t="n">
        <v>0</v>
      </c>
      <c r="O157" t="n">
        <v>0</v>
      </c>
      <c r="P157" t="n">
        <v>0</v>
      </c>
      <c r="Q157" t="n">
        <v>1</v>
      </c>
      <c r="R157" s="2" t="inlineStr">
        <is>
          <t>Strävlosta</t>
        </is>
      </c>
      <c r="S157">
        <f>HYPERLINK("https://klasma.github.io/Logging_0980/artfynd/A 34141-2024 artfynd.xlsx", "A 34141-2024")</f>
        <v/>
      </c>
      <c r="T157">
        <f>HYPERLINK("https://klasma.github.io/Logging_0980/kartor/A 34141-2024 karta.png", "A 34141-2024")</f>
        <v/>
      </c>
      <c r="V157">
        <f>HYPERLINK("https://klasma.github.io/Logging_0980/klagomål/A 34141-2024 FSC-klagomål.docx", "A 34141-2024")</f>
        <v/>
      </c>
      <c r="W157">
        <f>HYPERLINK("https://klasma.github.io/Logging_0980/klagomålsmail/A 34141-2024 FSC-klagomål mail.docx", "A 34141-2024")</f>
        <v/>
      </c>
      <c r="X157">
        <f>HYPERLINK("https://klasma.github.io/Logging_0980/tillsyn/A 34141-2024 tillsynsbegäran.docx", "A 34141-2024")</f>
        <v/>
      </c>
      <c r="Y157">
        <f>HYPERLINK("https://klasma.github.io/Logging_0980/tillsynsmail/A 34141-2024 tillsynsbegäran mail.docx", "A 34141-2024")</f>
        <v/>
      </c>
    </row>
    <row r="158" ht="15" customHeight="1">
      <c r="A158" t="inlineStr">
        <is>
          <t>A 65927-2021</t>
        </is>
      </c>
      <c r="B158" s="1" t="n">
        <v>44516</v>
      </c>
      <c r="C158" s="1" t="n">
        <v>46090</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46090</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49726-2025</t>
        </is>
      </c>
      <c r="B160" s="1" t="n">
        <v>45939.84466435185</v>
      </c>
      <c r="C160" s="1" t="n">
        <v>46090</v>
      </c>
      <c r="D160" t="inlineStr">
        <is>
          <t>GOTLANDS LÄN</t>
        </is>
      </c>
      <c r="E160" t="inlineStr">
        <is>
          <t>GOTLAND</t>
        </is>
      </c>
      <c r="F160" t="inlineStr">
        <is>
          <t>Kyrkan</t>
        </is>
      </c>
      <c r="G160" t="n">
        <v>5.4</v>
      </c>
      <c r="H160" t="n">
        <v>0</v>
      </c>
      <c r="I160" t="n">
        <v>0</v>
      </c>
      <c r="J160" t="n">
        <v>1</v>
      </c>
      <c r="K160" t="n">
        <v>0</v>
      </c>
      <c r="L160" t="n">
        <v>0</v>
      </c>
      <c r="M160" t="n">
        <v>0</v>
      </c>
      <c r="N160" t="n">
        <v>0</v>
      </c>
      <c r="O160" t="n">
        <v>1</v>
      </c>
      <c r="P160" t="n">
        <v>0</v>
      </c>
      <c r="Q160" t="n">
        <v>1</v>
      </c>
      <c r="R160" s="2" t="inlineStr">
        <is>
          <t>Odörspindling</t>
        </is>
      </c>
      <c r="S160">
        <f>HYPERLINK("https://klasma.github.io/Logging_0980/artfynd/A 49726-2025 artfynd.xlsx", "A 49726-2025")</f>
        <v/>
      </c>
      <c r="T160">
        <f>HYPERLINK("https://klasma.github.io/Logging_0980/kartor/A 49726-2025 karta.png", "A 49726-2025")</f>
        <v/>
      </c>
      <c r="V160">
        <f>HYPERLINK("https://klasma.github.io/Logging_0980/klagomål/A 49726-2025 FSC-klagomål.docx", "A 49726-2025")</f>
        <v/>
      </c>
      <c r="W160">
        <f>HYPERLINK("https://klasma.github.io/Logging_0980/klagomålsmail/A 49726-2025 FSC-klagomål mail.docx", "A 49726-2025")</f>
        <v/>
      </c>
      <c r="X160">
        <f>HYPERLINK("https://klasma.github.io/Logging_0980/tillsyn/A 49726-2025 tillsynsbegäran.docx", "A 49726-2025")</f>
        <v/>
      </c>
      <c r="Y160">
        <f>HYPERLINK("https://klasma.github.io/Logging_0980/tillsynsmail/A 49726-2025 tillsynsbegäran mail.docx", "A 49726-2025")</f>
        <v/>
      </c>
    </row>
    <row r="161" ht="15" customHeight="1">
      <c r="A161" t="inlineStr">
        <is>
          <t>A 61561-2023</t>
        </is>
      </c>
      <c r="B161" s="1" t="n">
        <v>45265</v>
      </c>
      <c r="C161" s="1" t="n">
        <v>46090</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12924-2025</t>
        </is>
      </c>
      <c r="B162" s="1" t="n">
        <v>45734</v>
      </c>
      <c r="C162" s="1" t="n">
        <v>46090</v>
      </c>
      <c r="D162" t="inlineStr">
        <is>
          <t>GOTLANDS LÄN</t>
        </is>
      </c>
      <c r="E162" t="inlineStr">
        <is>
          <t>GOTLAND</t>
        </is>
      </c>
      <c r="G162" t="n">
        <v>11.7</v>
      </c>
      <c r="H162" t="n">
        <v>0</v>
      </c>
      <c r="I162" t="n">
        <v>0</v>
      </c>
      <c r="J162" t="n">
        <v>0</v>
      </c>
      <c r="K162" t="n">
        <v>1</v>
      </c>
      <c r="L162" t="n">
        <v>0</v>
      </c>
      <c r="M162" t="n">
        <v>0</v>
      </c>
      <c r="N162" t="n">
        <v>0</v>
      </c>
      <c r="O162" t="n">
        <v>1</v>
      </c>
      <c r="P162" t="n">
        <v>1</v>
      </c>
      <c r="Q162" t="n">
        <v>1</v>
      </c>
      <c r="R162" s="2" t="inlineStr">
        <is>
          <t>Gotlandsmåra</t>
        </is>
      </c>
      <c r="S162">
        <f>HYPERLINK("https://klasma.github.io/Logging_0980/artfynd/A 12924-2025 artfynd.xlsx", "A 12924-2025")</f>
        <v/>
      </c>
      <c r="T162">
        <f>HYPERLINK("https://klasma.github.io/Logging_0980/kartor/A 12924-2025 karta.png", "A 12924-2025")</f>
        <v/>
      </c>
      <c r="V162">
        <f>HYPERLINK("https://klasma.github.io/Logging_0980/klagomål/A 12924-2025 FSC-klagomål.docx", "A 12924-2025")</f>
        <v/>
      </c>
      <c r="W162">
        <f>HYPERLINK("https://klasma.github.io/Logging_0980/klagomålsmail/A 12924-2025 FSC-klagomål mail.docx", "A 12924-2025")</f>
        <v/>
      </c>
      <c r="X162">
        <f>HYPERLINK("https://klasma.github.io/Logging_0980/tillsyn/A 12924-2025 tillsynsbegäran.docx", "A 12924-2025")</f>
        <v/>
      </c>
      <c r="Y162">
        <f>HYPERLINK("https://klasma.github.io/Logging_0980/tillsynsmail/A 12924-2025 tillsynsbegäran mail.docx", "A 12924-2025")</f>
        <v/>
      </c>
    </row>
    <row r="163" ht="15" customHeight="1">
      <c r="A163" t="inlineStr">
        <is>
          <t>A 63149-2025</t>
        </is>
      </c>
      <c r="B163" s="1" t="n">
        <v>46010</v>
      </c>
      <c r="C163" s="1" t="n">
        <v>46090</v>
      </c>
      <c r="D163" t="inlineStr">
        <is>
          <t>GOTLANDS LÄN</t>
        </is>
      </c>
      <c r="E163" t="inlineStr">
        <is>
          <t>GOTLAND</t>
        </is>
      </c>
      <c r="G163" t="n">
        <v>4.3</v>
      </c>
      <c r="H163" t="n">
        <v>0</v>
      </c>
      <c r="I163" t="n">
        <v>1</v>
      </c>
      <c r="J163" t="n">
        <v>0</v>
      </c>
      <c r="K163" t="n">
        <v>0</v>
      </c>
      <c r="L163" t="n">
        <v>0</v>
      </c>
      <c r="M163" t="n">
        <v>0</v>
      </c>
      <c r="N163" t="n">
        <v>0</v>
      </c>
      <c r="O163" t="n">
        <v>0</v>
      </c>
      <c r="P163" t="n">
        <v>0</v>
      </c>
      <c r="Q163" t="n">
        <v>1</v>
      </c>
      <c r="R163" s="2" t="inlineStr">
        <is>
          <t>Anisspindling</t>
        </is>
      </c>
      <c r="S163">
        <f>HYPERLINK("https://klasma.github.io/Logging_0980/artfynd/A 63149-2025 artfynd.xlsx", "A 63149-2025")</f>
        <v/>
      </c>
      <c r="T163">
        <f>HYPERLINK("https://klasma.github.io/Logging_0980/kartor/A 63149-2025 karta.png", "A 63149-2025")</f>
        <v/>
      </c>
      <c r="V163">
        <f>HYPERLINK("https://klasma.github.io/Logging_0980/klagomål/A 63149-2025 FSC-klagomål.docx", "A 63149-2025")</f>
        <v/>
      </c>
      <c r="W163">
        <f>HYPERLINK("https://klasma.github.io/Logging_0980/klagomålsmail/A 63149-2025 FSC-klagomål mail.docx", "A 63149-2025")</f>
        <v/>
      </c>
      <c r="X163">
        <f>HYPERLINK("https://klasma.github.io/Logging_0980/tillsyn/A 63149-2025 tillsynsbegäran.docx", "A 63149-2025")</f>
        <v/>
      </c>
      <c r="Y163">
        <f>HYPERLINK("https://klasma.github.io/Logging_0980/tillsynsmail/A 63149-2025 tillsynsbegäran mail.docx", "A 63149-2025")</f>
        <v/>
      </c>
    </row>
    <row r="164" ht="15" customHeight="1">
      <c r="A164" t="inlineStr">
        <is>
          <t>A 13939-2021</t>
        </is>
      </c>
      <c r="B164" s="1" t="n">
        <v>44277</v>
      </c>
      <c r="C164" s="1" t="n">
        <v>46090</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12324-2025</t>
        </is>
      </c>
      <c r="B165" s="1" t="n">
        <v>45730</v>
      </c>
      <c r="C165" s="1" t="n">
        <v>46090</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2476-2025</t>
        </is>
      </c>
      <c r="B166" s="1" t="n">
        <v>45673</v>
      </c>
      <c r="C166" s="1" t="n">
        <v>46090</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44304-2021</t>
        </is>
      </c>
      <c r="B167" s="1" t="n">
        <v>44434</v>
      </c>
      <c r="C167" s="1" t="n">
        <v>46090</v>
      </c>
      <c r="D167" t="inlineStr">
        <is>
          <t>GOTLANDS LÄN</t>
        </is>
      </c>
      <c r="E167" t="inlineStr">
        <is>
          <t>GOTLAND</t>
        </is>
      </c>
      <c r="G167" t="n">
        <v>5.8</v>
      </c>
      <c r="H167" t="n">
        <v>0</v>
      </c>
      <c r="I167" t="n">
        <v>0</v>
      </c>
      <c r="J167" t="n">
        <v>1</v>
      </c>
      <c r="K167" t="n">
        <v>0</v>
      </c>
      <c r="L167" t="n">
        <v>0</v>
      </c>
      <c r="M167" t="n">
        <v>0</v>
      </c>
      <c r="N167" t="n">
        <v>0</v>
      </c>
      <c r="O167" t="n">
        <v>1</v>
      </c>
      <c r="P167" t="n">
        <v>0</v>
      </c>
      <c r="Q167" t="n">
        <v>1</v>
      </c>
      <c r="R167" s="2" t="inlineStr">
        <is>
          <t>Svinrot</t>
        </is>
      </c>
      <c r="S167">
        <f>HYPERLINK("https://klasma.github.io/Logging_0980/artfynd/A 44304-2021 artfynd.xlsx", "A 44304-2021")</f>
        <v/>
      </c>
      <c r="T167">
        <f>HYPERLINK("https://klasma.github.io/Logging_0980/kartor/A 44304-2021 karta.png", "A 44304-2021")</f>
        <v/>
      </c>
      <c r="V167">
        <f>HYPERLINK("https://klasma.github.io/Logging_0980/klagomål/A 44304-2021 FSC-klagomål.docx", "A 44304-2021")</f>
        <v/>
      </c>
      <c r="W167">
        <f>HYPERLINK("https://klasma.github.io/Logging_0980/klagomålsmail/A 44304-2021 FSC-klagomål mail.docx", "A 44304-2021")</f>
        <v/>
      </c>
      <c r="X167">
        <f>HYPERLINK("https://klasma.github.io/Logging_0980/tillsyn/A 44304-2021 tillsynsbegäran.docx", "A 44304-2021")</f>
        <v/>
      </c>
      <c r="Y167">
        <f>HYPERLINK("https://klasma.github.io/Logging_0980/tillsynsmail/A 44304-2021 tillsynsbegäran mail.docx", "A 44304-2021")</f>
        <v/>
      </c>
    </row>
    <row r="168" ht="15" customHeight="1">
      <c r="A168" t="inlineStr">
        <is>
          <t>A 447-2023</t>
        </is>
      </c>
      <c r="B168" s="1" t="n">
        <v>44929</v>
      </c>
      <c r="C168" s="1" t="n">
        <v>46090</v>
      </c>
      <c r="D168" t="inlineStr">
        <is>
          <t>GOTLANDS LÄN</t>
        </is>
      </c>
      <c r="E168" t="inlineStr">
        <is>
          <t>GOTLAND</t>
        </is>
      </c>
      <c r="G168" t="n">
        <v>5.1</v>
      </c>
      <c r="H168" t="n">
        <v>0</v>
      </c>
      <c r="I168" t="n">
        <v>0</v>
      </c>
      <c r="J168" t="n">
        <v>1</v>
      </c>
      <c r="K168" t="n">
        <v>0</v>
      </c>
      <c r="L168" t="n">
        <v>0</v>
      </c>
      <c r="M168" t="n">
        <v>0</v>
      </c>
      <c r="N168" t="n">
        <v>0</v>
      </c>
      <c r="O168" t="n">
        <v>1</v>
      </c>
      <c r="P168" t="n">
        <v>0</v>
      </c>
      <c r="Q168" t="n">
        <v>1</v>
      </c>
      <c r="R168" s="2" t="inlineStr">
        <is>
          <t>Äggspindling</t>
        </is>
      </c>
      <c r="S168">
        <f>HYPERLINK("https://klasma.github.io/Logging_0980/artfynd/A 447-2023 artfynd.xlsx", "A 447-2023")</f>
        <v/>
      </c>
      <c r="T168">
        <f>HYPERLINK("https://klasma.github.io/Logging_0980/kartor/A 447-2023 karta.png", "A 447-2023")</f>
        <v/>
      </c>
      <c r="V168">
        <f>HYPERLINK("https://klasma.github.io/Logging_0980/klagomål/A 447-2023 FSC-klagomål.docx", "A 447-2023")</f>
        <v/>
      </c>
      <c r="W168">
        <f>HYPERLINK("https://klasma.github.io/Logging_0980/klagomålsmail/A 447-2023 FSC-klagomål mail.docx", "A 447-2023")</f>
        <v/>
      </c>
      <c r="X168">
        <f>HYPERLINK("https://klasma.github.io/Logging_0980/tillsyn/A 447-2023 tillsynsbegäran.docx", "A 447-2023")</f>
        <v/>
      </c>
      <c r="Y168">
        <f>HYPERLINK("https://klasma.github.io/Logging_0980/tillsynsmail/A 447-2023 tillsynsbegäran mail.docx", "A 447-2023")</f>
        <v/>
      </c>
    </row>
    <row r="169" ht="15" customHeight="1">
      <c r="A169" t="inlineStr">
        <is>
          <t>A 11708-2026</t>
        </is>
      </c>
      <c r="B169" s="1" t="n">
        <v>46084</v>
      </c>
      <c r="C169" s="1" t="n">
        <v>46090</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34809-2024</t>
        </is>
      </c>
      <c r="B170" s="1" t="n">
        <v>45526</v>
      </c>
      <c r="C170" s="1" t="n">
        <v>46090</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46090</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46090</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46090</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1477-2024</t>
        </is>
      </c>
      <c r="B174" s="1" t="n">
        <v>45305.37987268518</v>
      </c>
      <c r="C174" s="1" t="n">
        <v>46090</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7637-2025</t>
        </is>
      </c>
      <c r="B175" s="1" t="n">
        <v>45705.77181712963</v>
      </c>
      <c r="C175" s="1" t="n">
        <v>46090</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61796-2022</t>
        </is>
      </c>
      <c r="B176" s="1" t="n">
        <v>44917</v>
      </c>
      <c r="C176" s="1" t="n">
        <v>46090</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10218-2025</t>
        </is>
      </c>
      <c r="B177" s="1" t="n">
        <v>45720</v>
      </c>
      <c r="C177" s="1" t="n">
        <v>46090</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46090</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46090</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46090</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37591-2023</t>
        </is>
      </c>
      <c r="B181" s="1" t="n">
        <v>45159</v>
      </c>
      <c r="C181" s="1" t="n">
        <v>46090</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15637-2024</t>
        </is>
      </c>
      <c r="B182" s="1" t="n">
        <v>45403.6684837963</v>
      </c>
      <c r="C182" s="1" t="n">
        <v>46090</v>
      </c>
      <c r="D182" t="inlineStr">
        <is>
          <t>GOTLANDS LÄN</t>
        </is>
      </c>
      <c r="E182" t="inlineStr">
        <is>
          <t>GOTLAND</t>
        </is>
      </c>
      <c r="G182" t="n">
        <v>4.1</v>
      </c>
      <c r="H182" t="n">
        <v>1</v>
      </c>
      <c r="I182" t="n">
        <v>0</v>
      </c>
      <c r="J182" t="n">
        <v>0</v>
      </c>
      <c r="K182" t="n">
        <v>0</v>
      </c>
      <c r="L182" t="n">
        <v>0</v>
      </c>
      <c r="M182" t="n">
        <v>0</v>
      </c>
      <c r="N182" t="n">
        <v>0</v>
      </c>
      <c r="O182" t="n">
        <v>0</v>
      </c>
      <c r="P182" t="n">
        <v>0</v>
      </c>
      <c r="Q182" t="n">
        <v>1</v>
      </c>
      <c r="R182" s="2" t="inlineStr">
        <is>
          <t>Blåsippa</t>
        </is>
      </c>
      <c r="S182">
        <f>HYPERLINK("https://klasma.github.io/Logging_0980/artfynd/A 15637-2024 artfynd.xlsx", "A 15637-2024")</f>
        <v/>
      </c>
      <c r="T182">
        <f>HYPERLINK("https://klasma.github.io/Logging_0980/kartor/A 15637-2024 karta.png", "A 15637-2024")</f>
        <v/>
      </c>
      <c r="V182">
        <f>HYPERLINK("https://klasma.github.io/Logging_0980/klagomål/A 15637-2024 FSC-klagomål.docx", "A 15637-2024")</f>
        <v/>
      </c>
      <c r="W182">
        <f>HYPERLINK("https://klasma.github.io/Logging_0980/klagomålsmail/A 15637-2024 FSC-klagomål mail.docx", "A 15637-2024")</f>
        <v/>
      </c>
      <c r="X182">
        <f>HYPERLINK("https://klasma.github.io/Logging_0980/tillsyn/A 15637-2024 tillsynsbegäran.docx", "A 15637-2024")</f>
        <v/>
      </c>
      <c r="Y182">
        <f>HYPERLINK("https://klasma.github.io/Logging_0980/tillsynsmail/A 15637-2024 tillsynsbegäran mail.docx", "A 15637-2024")</f>
        <v/>
      </c>
    </row>
    <row r="183" ht="15" customHeight="1">
      <c r="A183" t="inlineStr">
        <is>
          <t>A 49847-2023</t>
        </is>
      </c>
      <c r="B183" s="1" t="n">
        <v>45212</v>
      </c>
      <c r="C183" s="1" t="n">
        <v>46090</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10995-2023</t>
        </is>
      </c>
      <c r="B184" s="1" t="n">
        <v>44986</v>
      </c>
      <c r="C184" s="1" t="n">
        <v>46090</v>
      </c>
      <c r="D184" t="inlineStr">
        <is>
          <t>GOTLANDS LÄN</t>
        </is>
      </c>
      <c r="E184" t="inlineStr">
        <is>
          <t>GOTLAND</t>
        </is>
      </c>
      <c r="G184" t="n">
        <v>2.8</v>
      </c>
      <c r="H184" t="n">
        <v>0</v>
      </c>
      <c r="I184" t="n">
        <v>0</v>
      </c>
      <c r="J184" t="n">
        <v>0</v>
      </c>
      <c r="K184" t="n">
        <v>1</v>
      </c>
      <c r="L184" t="n">
        <v>0</v>
      </c>
      <c r="M184" t="n">
        <v>0</v>
      </c>
      <c r="N184" t="n">
        <v>0</v>
      </c>
      <c r="O184" t="n">
        <v>1</v>
      </c>
      <c r="P184" t="n">
        <v>1</v>
      </c>
      <c r="Q184" t="n">
        <v>1</v>
      </c>
      <c r="R184" s="2" t="inlineStr">
        <is>
          <t>Violettfläckig spindling</t>
        </is>
      </c>
      <c r="S184">
        <f>HYPERLINK("https://klasma.github.io/Logging_0980/artfynd/A 10995-2023 artfynd.xlsx", "A 10995-2023")</f>
        <v/>
      </c>
      <c r="T184">
        <f>HYPERLINK("https://klasma.github.io/Logging_0980/kartor/A 10995-2023 karta.png", "A 10995-2023")</f>
        <v/>
      </c>
      <c r="V184">
        <f>HYPERLINK("https://klasma.github.io/Logging_0980/klagomål/A 10995-2023 FSC-klagomål.docx", "A 10995-2023")</f>
        <v/>
      </c>
      <c r="W184">
        <f>HYPERLINK("https://klasma.github.io/Logging_0980/klagomålsmail/A 10995-2023 FSC-klagomål mail.docx", "A 10995-2023")</f>
        <v/>
      </c>
      <c r="X184">
        <f>HYPERLINK("https://klasma.github.io/Logging_0980/tillsyn/A 10995-2023 tillsynsbegäran.docx", "A 10995-2023")</f>
        <v/>
      </c>
      <c r="Y184">
        <f>HYPERLINK("https://klasma.github.io/Logging_0980/tillsynsmail/A 10995-2023 tillsynsbegäran mail.docx", "A 10995-2023")</f>
        <v/>
      </c>
    </row>
    <row r="185" ht="15" customHeight="1">
      <c r="A185" t="inlineStr">
        <is>
          <t>A 63576-2021</t>
        </is>
      </c>
      <c r="B185" s="1" t="n">
        <v>44508</v>
      </c>
      <c r="C185" s="1" t="n">
        <v>46090</v>
      </c>
      <c r="D185" t="inlineStr">
        <is>
          <t>GOTLANDS LÄN</t>
        </is>
      </c>
      <c r="E185" t="inlineStr">
        <is>
          <t>GOTLAND</t>
        </is>
      </c>
      <c r="F185" t="inlineStr">
        <is>
          <t>Kyrkan</t>
        </is>
      </c>
      <c r="G185" t="n">
        <v>4.1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63576-2021 artfynd.xlsx", "A 63576-2021")</f>
        <v/>
      </c>
      <c r="T185">
        <f>HYPERLINK("https://klasma.github.io/Logging_0980/kartor/A 63576-2021 karta.png", "A 63576-2021")</f>
        <v/>
      </c>
      <c r="V185">
        <f>HYPERLINK("https://klasma.github.io/Logging_0980/klagomål/A 63576-2021 FSC-klagomål.docx", "A 63576-2021")</f>
        <v/>
      </c>
      <c r="W185">
        <f>HYPERLINK("https://klasma.github.io/Logging_0980/klagomålsmail/A 63576-2021 FSC-klagomål mail.docx", "A 63576-2021")</f>
        <v/>
      </c>
      <c r="X185">
        <f>HYPERLINK("https://klasma.github.io/Logging_0980/tillsyn/A 63576-2021 tillsynsbegäran.docx", "A 63576-2021")</f>
        <v/>
      </c>
      <c r="Y185">
        <f>HYPERLINK("https://klasma.github.io/Logging_0980/tillsynsmail/A 63576-2021 tillsynsbegäran mail.docx", "A 63576-2021")</f>
        <v/>
      </c>
    </row>
    <row r="186" ht="15" customHeight="1">
      <c r="A186" t="inlineStr">
        <is>
          <t>A 21466-2025</t>
        </is>
      </c>
      <c r="B186" s="1" t="n">
        <v>45782</v>
      </c>
      <c r="C186" s="1" t="n">
        <v>46090</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46090</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46090</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46090</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46090</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46090</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46090</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46090</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46090</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46090</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46090</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46090</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46090</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46090</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46090</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46090</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46090</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46090</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46090</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12318-2021</t>
        </is>
      </c>
      <c r="B205" s="1" t="n">
        <v>44266</v>
      </c>
      <c r="C205" s="1" t="n">
        <v>46090</v>
      </c>
      <c r="D205" t="inlineStr">
        <is>
          <t>GOTLANDS LÄN</t>
        </is>
      </c>
      <c r="E205" t="inlineStr">
        <is>
          <t>GOTLAND</t>
        </is>
      </c>
      <c r="G205" t="n">
        <v>1</v>
      </c>
      <c r="H205" t="n">
        <v>0</v>
      </c>
      <c r="I205" t="n">
        <v>0</v>
      </c>
      <c r="J205" t="n">
        <v>0</v>
      </c>
      <c r="K205" t="n">
        <v>0</v>
      </c>
      <c r="L205" t="n">
        <v>0</v>
      </c>
      <c r="M205" t="n">
        <v>0</v>
      </c>
      <c r="N205" t="n">
        <v>0</v>
      </c>
      <c r="O205" t="n">
        <v>0</v>
      </c>
      <c r="P205" t="n">
        <v>0</v>
      </c>
      <c r="Q205" t="n">
        <v>0</v>
      </c>
      <c r="R205" s="2" t="inlineStr"/>
    </row>
    <row r="206" ht="15" customHeight="1">
      <c r="A206" t="inlineStr">
        <is>
          <t>A 15127-2021</t>
        </is>
      </c>
      <c r="B206" s="1" t="n">
        <v>44283</v>
      </c>
      <c r="C206" s="1" t="n">
        <v>46090</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46090</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46090</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46090</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46090</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46090</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46090</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46090</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47369-2021</t>
        </is>
      </c>
      <c r="B214" s="1" t="n">
        <v>44447</v>
      </c>
      <c r="C214" s="1" t="n">
        <v>46090</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11029-2022</t>
        </is>
      </c>
      <c r="B215" s="1" t="n">
        <v>44628</v>
      </c>
      <c r="C215" s="1" t="n">
        <v>46090</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46090</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46090</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46090</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46090</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46090</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46090</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46090</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46090</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46090</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46090</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46090</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46090</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46090</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46090</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46090</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46090</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46090</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46090</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17901-2023</t>
        </is>
      </c>
      <c r="B234" s="1" t="n">
        <v>45039</v>
      </c>
      <c r="C234" s="1" t="n">
        <v>46090</v>
      </c>
      <c r="D234" t="inlineStr">
        <is>
          <t>GOTLANDS LÄN</t>
        </is>
      </c>
      <c r="E234" t="inlineStr">
        <is>
          <t>GOTLAND</t>
        </is>
      </c>
      <c r="F234" t="inlineStr">
        <is>
          <t>Kyrkan</t>
        </is>
      </c>
      <c r="G234" t="n">
        <v>0.6</v>
      </c>
      <c r="H234" t="n">
        <v>0</v>
      </c>
      <c r="I234" t="n">
        <v>0</v>
      </c>
      <c r="J234" t="n">
        <v>0</v>
      </c>
      <c r="K234" t="n">
        <v>0</v>
      </c>
      <c r="L234" t="n">
        <v>0</v>
      </c>
      <c r="M234" t="n">
        <v>0</v>
      </c>
      <c r="N234" t="n">
        <v>0</v>
      </c>
      <c r="O234" t="n">
        <v>0</v>
      </c>
      <c r="P234" t="n">
        <v>0</v>
      </c>
      <c r="Q234" t="n">
        <v>0</v>
      </c>
      <c r="R234" s="2" t="inlineStr"/>
    </row>
    <row r="235" ht="15" customHeight="1">
      <c r="A235" t="inlineStr">
        <is>
          <t>A 58476-2022</t>
        </is>
      </c>
      <c r="B235" s="1" t="n">
        <v>44902</v>
      </c>
      <c r="C235" s="1" t="n">
        <v>46090</v>
      </c>
      <c r="D235" t="inlineStr">
        <is>
          <t>GOTLANDS LÄN</t>
        </is>
      </c>
      <c r="E235" t="inlineStr">
        <is>
          <t>GOTLAND</t>
        </is>
      </c>
      <c r="G235" t="n">
        <v>0.9</v>
      </c>
      <c r="H235" t="n">
        <v>0</v>
      </c>
      <c r="I235" t="n">
        <v>0</v>
      </c>
      <c r="J235" t="n">
        <v>0</v>
      </c>
      <c r="K235" t="n">
        <v>0</v>
      </c>
      <c r="L235" t="n">
        <v>0</v>
      </c>
      <c r="M235" t="n">
        <v>0</v>
      </c>
      <c r="N235" t="n">
        <v>0</v>
      </c>
      <c r="O235" t="n">
        <v>0</v>
      </c>
      <c r="P235" t="n">
        <v>0</v>
      </c>
      <c r="Q235" t="n">
        <v>0</v>
      </c>
      <c r="R235" s="2" t="inlineStr"/>
    </row>
    <row r="236" ht="15" customHeight="1">
      <c r="A236" t="inlineStr">
        <is>
          <t>A 61596-2023</t>
        </is>
      </c>
      <c r="B236" s="1" t="n">
        <v>45265</v>
      </c>
      <c r="C236" s="1" t="n">
        <v>46090</v>
      </c>
      <c r="D236" t="inlineStr">
        <is>
          <t>GOTLANDS LÄN</t>
        </is>
      </c>
      <c r="E236" t="inlineStr">
        <is>
          <t>GOTLAND</t>
        </is>
      </c>
      <c r="G236" t="n">
        <v>1.7</v>
      </c>
      <c r="H236" t="n">
        <v>0</v>
      </c>
      <c r="I236" t="n">
        <v>0</v>
      </c>
      <c r="J236" t="n">
        <v>0</v>
      </c>
      <c r="K236" t="n">
        <v>0</v>
      </c>
      <c r="L236" t="n">
        <v>0</v>
      </c>
      <c r="M236" t="n">
        <v>0</v>
      </c>
      <c r="N236" t="n">
        <v>0</v>
      </c>
      <c r="O236" t="n">
        <v>0</v>
      </c>
      <c r="P236" t="n">
        <v>0</v>
      </c>
      <c r="Q236" t="n">
        <v>0</v>
      </c>
      <c r="R236" s="2" t="inlineStr"/>
    </row>
    <row r="237" ht="15" customHeight="1">
      <c r="A237" t="inlineStr">
        <is>
          <t>A 873-2024</t>
        </is>
      </c>
      <c r="B237" s="1" t="n">
        <v>45301</v>
      </c>
      <c r="C237" s="1" t="n">
        <v>46090</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44228-2022</t>
        </is>
      </c>
      <c r="B238" s="1" t="n">
        <v>44839.51599537037</v>
      </c>
      <c r="C238" s="1" t="n">
        <v>46090</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63229-2021</t>
        </is>
      </c>
      <c r="B239" s="1" t="n">
        <v>44508.34518518519</v>
      </c>
      <c r="C239" s="1" t="n">
        <v>46090</v>
      </c>
      <c r="D239" t="inlineStr">
        <is>
          <t>GOTLANDS LÄN</t>
        </is>
      </c>
      <c r="E239" t="inlineStr">
        <is>
          <t>GOTLAND</t>
        </is>
      </c>
      <c r="F239" t="inlineStr">
        <is>
          <t>Kyrkan</t>
        </is>
      </c>
      <c r="G239" t="n">
        <v>3.8</v>
      </c>
      <c r="H239" t="n">
        <v>0</v>
      </c>
      <c r="I239" t="n">
        <v>0</v>
      </c>
      <c r="J239" t="n">
        <v>0</v>
      </c>
      <c r="K239" t="n">
        <v>0</v>
      </c>
      <c r="L239" t="n">
        <v>0</v>
      </c>
      <c r="M239" t="n">
        <v>0</v>
      </c>
      <c r="N239" t="n">
        <v>0</v>
      </c>
      <c r="O239" t="n">
        <v>0</v>
      </c>
      <c r="P239" t="n">
        <v>0</v>
      </c>
      <c r="Q239" t="n">
        <v>0</v>
      </c>
      <c r="R239" s="2" t="inlineStr"/>
    </row>
    <row r="240" ht="15" customHeight="1">
      <c r="A240" t="inlineStr">
        <is>
          <t>A 456-2023</t>
        </is>
      </c>
      <c r="B240" s="1" t="n">
        <v>44929.87122685185</v>
      </c>
      <c r="C240" s="1" t="n">
        <v>46090</v>
      </c>
      <c r="D240" t="inlineStr">
        <is>
          <t>GOTLANDS LÄN</t>
        </is>
      </c>
      <c r="E240" t="inlineStr">
        <is>
          <t>GOTLAND</t>
        </is>
      </c>
      <c r="G240" t="n">
        <v>3.2</v>
      </c>
      <c r="H240" t="n">
        <v>0</v>
      </c>
      <c r="I240" t="n">
        <v>0</v>
      </c>
      <c r="J240" t="n">
        <v>0</v>
      </c>
      <c r="K240" t="n">
        <v>0</v>
      </c>
      <c r="L240" t="n">
        <v>0</v>
      </c>
      <c r="M240" t="n">
        <v>0</v>
      </c>
      <c r="N240" t="n">
        <v>0</v>
      </c>
      <c r="O240" t="n">
        <v>0</v>
      </c>
      <c r="P240" t="n">
        <v>0</v>
      </c>
      <c r="Q240" t="n">
        <v>0</v>
      </c>
      <c r="R240" s="2" t="inlineStr"/>
    </row>
    <row r="241" ht="15" customHeight="1">
      <c r="A241" t="inlineStr">
        <is>
          <t>A 61386-2023</t>
        </is>
      </c>
      <c r="B241" s="1" t="n">
        <v>45264</v>
      </c>
      <c r="C241" s="1" t="n">
        <v>46090</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46090</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25129-2023</t>
        </is>
      </c>
      <c r="B243" s="1" t="n">
        <v>45086.44261574074</v>
      </c>
      <c r="C243" s="1" t="n">
        <v>46090</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45106-2024</t>
        </is>
      </c>
      <c r="B244" s="1" t="n">
        <v>45575</v>
      </c>
      <c r="C244" s="1" t="n">
        <v>46090</v>
      </c>
      <c r="D244" t="inlineStr">
        <is>
          <t>GOTLANDS LÄN</t>
        </is>
      </c>
      <c r="E244" t="inlineStr">
        <is>
          <t>GOTLAND</t>
        </is>
      </c>
      <c r="G244" t="n">
        <v>10</v>
      </c>
      <c r="H244" t="n">
        <v>0</v>
      </c>
      <c r="I244" t="n">
        <v>0</v>
      </c>
      <c r="J244" t="n">
        <v>0</v>
      </c>
      <c r="K244" t="n">
        <v>0</v>
      </c>
      <c r="L244" t="n">
        <v>0</v>
      </c>
      <c r="M244" t="n">
        <v>0</v>
      </c>
      <c r="N244" t="n">
        <v>0</v>
      </c>
      <c r="O244" t="n">
        <v>0</v>
      </c>
      <c r="P244" t="n">
        <v>0</v>
      </c>
      <c r="Q244" t="n">
        <v>0</v>
      </c>
      <c r="R244" s="2" t="inlineStr"/>
    </row>
    <row r="245" ht="15" customHeight="1">
      <c r="A245" t="inlineStr">
        <is>
          <t>A 45112-2024</t>
        </is>
      </c>
      <c r="B245" s="1" t="n">
        <v>45575</v>
      </c>
      <c r="C245" s="1" t="n">
        <v>46090</v>
      </c>
      <c r="D245" t="inlineStr">
        <is>
          <t>GOTLANDS LÄN</t>
        </is>
      </c>
      <c r="E245" t="inlineStr">
        <is>
          <t>GOTLAND</t>
        </is>
      </c>
      <c r="G245" t="n">
        <v>5.1</v>
      </c>
      <c r="H245" t="n">
        <v>0</v>
      </c>
      <c r="I245" t="n">
        <v>0</v>
      </c>
      <c r="J245" t="n">
        <v>0</v>
      </c>
      <c r="K245" t="n">
        <v>0</v>
      </c>
      <c r="L245" t="n">
        <v>0</v>
      </c>
      <c r="M245" t="n">
        <v>0</v>
      </c>
      <c r="N245" t="n">
        <v>0</v>
      </c>
      <c r="O245" t="n">
        <v>0</v>
      </c>
      <c r="P245" t="n">
        <v>0</v>
      </c>
      <c r="Q245" t="n">
        <v>0</v>
      </c>
      <c r="R245" s="2" t="inlineStr"/>
    </row>
    <row r="246" ht="15" customHeight="1">
      <c r="A246" t="inlineStr">
        <is>
          <t>A 56009-2024</t>
        </is>
      </c>
      <c r="B246" s="1" t="n">
        <v>45623.80864583333</v>
      </c>
      <c r="C246" s="1" t="n">
        <v>46090</v>
      </c>
      <c r="D246" t="inlineStr">
        <is>
          <t>GOTLANDS LÄN</t>
        </is>
      </c>
      <c r="E246" t="inlineStr">
        <is>
          <t>GOTLAND</t>
        </is>
      </c>
      <c r="G246" t="n">
        <v>2.8</v>
      </c>
      <c r="H246" t="n">
        <v>0</v>
      </c>
      <c r="I246" t="n">
        <v>0</v>
      </c>
      <c r="J246" t="n">
        <v>0</v>
      </c>
      <c r="K246" t="n">
        <v>0</v>
      </c>
      <c r="L246" t="n">
        <v>0</v>
      </c>
      <c r="M246" t="n">
        <v>0</v>
      </c>
      <c r="N246" t="n">
        <v>0</v>
      </c>
      <c r="O246" t="n">
        <v>0</v>
      </c>
      <c r="P246" t="n">
        <v>0</v>
      </c>
      <c r="Q246" t="n">
        <v>0</v>
      </c>
      <c r="R246" s="2" t="inlineStr"/>
    </row>
    <row r="247" ht="15" customHeight="1">
      <c r="A247" t="inlineStr">
        <is>
          <t>A 54073-2022</t>
        </is>
      </c>
      <c r="B247" s="1" t="n">
        <v>44881.50380787037</v>
      </c>
      <c r="C247" s="1" t="n">
        <v>46090</v>
      </c>
      <c r="D247" t="inlineStr">
        <is>
          <t>GOTLANDS LÄN</t>
        </is>
      </c>
      <c r="E247" t="inlineStr">
        <is>
          <t>GOTLAND</t>
        </is>
      </c>
      <c r="G247" t="n">
        <v>3.8</v>
      </c>
      <c r="H247" t="n">
        <v>0</v>
      </c>
      <c r="I247" t="n">
        <v>0</v>
      </c>
      <c r="J247" t="n">
        <v>0</v>
      </c>
      <c r="K247" t="n">
        <v>0</v>
      </c>
      <c r="L247" t="n">
        <v>0</v>
      </c>
      <c r="M247" t="n">
        <v>0</v>
      </c>
      <c r="N247" t="n">
        <v>0</v>
      </c>
      <c r="O247" t="n">
        <v>0</v>
      </c>
      <c r="P247" t="n">
        <v>0</v>
      </c>
      <c r="Q247" t="n">
        <v>0</v>
      </c>
      <c r="R247" s="2" t="inlineStr"/>
    </row>
    <row r="248" ht="15" customHeight="1">
      <c r="A248" t="inlineStr">
        <is>
          <t>A 7026-2023</t>
        </is>
      </c>
      <c r="B248" s="1" t="n">
        <v>44968.30340277778</v>
      </c>
      <c r="C248" s="1" t="n">
        <v>46090</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52892-2021</t>
        </is>
      </c>
      <c r="B249" s="1" t="n">
        <v>44467.49048611111</v>
      </c>
      <c r="C249" s="1" t="n">
        <v>46090</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3964-2024</t>
        </is>
      </c>
      <c r="B250" s="1" t="n">
        <v>45322</v>
      </c>
      <c r="C250" s="1" t="n">
        <v>46090</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1351-2025</t>
        </is>
      </c>
      <c r="B251" s="1" t="n">
        <v>45667.62246527777</v>
      </c>
      <c r="C251" s="1" t="n">
        <v>46090</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49874-2024</t>
        </is>
      </c>
      <c r="B252" s="1" t="n">
        <v>45597.49274305555</v>
      </c>
      <c r="C252" s="1" t="n">
        <v>46090</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51782-2023</t>
        </is>
      </c>
      <c r="B253" s="1" t="n">
        <v>45222.80952546297</v>
      </c>
      <c r="C253" s="1" t="n">
        <v>46090</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60675-2021</t>
        </is>
      </c>
      <c r="B254" s="1" t="n">
        <v>44496.64855324074</v>
      </c>
      <c r="C254" s="1" t="n">
        <v>46090</v>
      </c>
      <c r="D254" t="inlineStr">
        <is>
          <t>GOTLANDS LÄN</t>
        </is>
      </c>
      <c r="E254" t="inlineStr">
        <is>
          <t>GOTLAND</t>
        </is>
      </c>
      <c r="G254" t="n">
        <v>4.6</v>
      </c>
      <c r="H254" t="n">
        <v>0</v>
      </c>
      <c r="I254" t="n">
        <v>0</v>
      </c>
      <c r="J254" t="n">
        <v>0</v>
      </c>
      <c r="K254" t="n">
        <v>0</v>
      </c>
      <c r="L254" t="n">
        <v>0</v>
      </c>
      <c r="M254" t="n">
        <v>0</v>
      </c>
      <c r="N254" t="n">
        <v>0</v>
      </c>
      <c r="O254" t="n">
        <v>0</v>
      </c>
      <c r="P254" t="n">
        <v>0</v>
      </c>
      <c r="Q254" t="n">
        <v>0</v>
      </c>
      <c r="R254" s="2" t="inlineStr"/>
    </row>
    <row r="255" ht="15" customHeight="1">
      <c r="A255" t="inlineStr">
        <is>
          <t>A 15073-2025</t>
        </is>
      </c>
      <c r="B255" s="1" t="n">
        <v>45743</v>
      </c>
      <c r="C255" s="1" t="n">
        <v>46090</v>
      </c>
      <c r="D255" t="inlineStr">
        <is>
          <t>GOTLANDS LÄN</t>
        </is>
      </c>
      <c r="E255" t="inlineStr">
        <is>
          <t>GOTLAND</t>
        </is>
      </c>
      <c r="G255" t="n">
        <v>12.1</v>
      </c>
      <c r="H255" t="n">
        <v>0</v>
      </c>
      <c r="I255" t="n">
        <v>0</v>
      </c>
      <c r="J255" t="n">
        <v>0</v>
      </c>
      <c r="K255" t="n">
        <v>0</v>
      </c>
      <c r="L255" t="n">
        <v>0</v>
      </c>
      <c r="M255" t="n">
        <v>0</v>
      </c>
      <c r="N255" t="n">
        <v>0</v>
      </c>
      <c r="O255" t="n">
        <v>0</v>
      </c>
      <c r="P255" t="n">
        <v>0</v>
      </c>
      <c r="Q255" t="n">
        <v>0</v>
      </c>
      <c r="R255" s="2" t="inlineStr"/>
    </row>
    <row r="256" ht="15" customHeight="1">
      <c r="A256" t="inlineStr">
        <is>
          <t>A 5217-2023</t>
        </is>
      </c>
      <c r="B256" s="1" t="n">
        <v>44959.39582175926</v>
      </c>
      <c r="C256" s="1" t="n">
        <v>46090</v>
      </c>
      <c r="D256" t="inlineStr">
        <is>
          <t>GOTLANDS LÄN</t>
        </is>
      </c>
      <c r="E256" t="inlineStr">
        <is>
          <t>GOTLAND</t>
        </is>
      </c>
      <c r="G256" t="n">
        <v>1.9</v>
      </c>
      <c r="H256" t="n">
        <v>0</v>
      </c>
      <c r="I256" t="n">
        <v>0</v>
      </c>
      <c r="J256" t="n">
        <v>0</v>
      </c>
      <c r="K256" t="n">
        <v>0</v>
      </c>
      <c r="L256" t="n">
        <v>0</v>
      </c>
      <c r="M256" t="n">
        <v>0</v>
      </c>
      <c r="N256" t="n">
        <v>0</v>
      </c>
      <c r="O256" t="n">
        <v>0</v>
      </c>
      <c r="P256" t="n">
        <v>0</v>
      </c>
      <c r="Q256" t="n">
        <v>0</v>
      </c>
      <c r="R256" s="2" t="inlineStr"/>
    </row>
    <row r="257" ht="15" customHeight="1">
      <c r="A257" t="inlineStr">
        <is>
          <t>A 4421-2024</t>
        </is>
      </c>
      <c r="B257" s="1" t="n">
        <v>45327.45173611111</v>
      </c>
      <c r="C257" s="1" t="n">
        <v>46090</v>
      </c>
      <c r="D257" t="inlineStr">
        <is>
          <t>GOTLANDS LÄN</t>
        </is>
      </c>
      <c r="E257" t="inlineStr">
        <is>
          <t>GOTLAND</t>
        </is>
      </c>
      <c r="G257" t="n">
        <v>5.1</v>
      </c>
      <c r="H257" t="n">
        <v>0</v>
      </c>
      <c r="I257" t="n">
        <v>0</v>
      </c>
      <c r="J257" t="n">
        <v>0</v>
      </c>
      <c r="K257" t="n">
        <v>0</v>
      </c>
      <c r="L257" t="n">
        <v>0</v>
      </c>
      <c r="M257" t="n">
        <v>0</v>
      </c>
      <c r="N257" t="n">
        <v>0</v>
      </c>
      <c r="O257" t="n">
        <v>0</v>
      </c>
      <c r="P257" t="n">
        <v>0</v>
      </c>
      <c r="Q257" t="n">
        <v>0</v>
      </c>
      <c r="R257" s="2" t="inlineStr"/>
    </row>
    <row r="258" ht="15" customHeight="1">
      <c r="A258" t="inlineStr">
        <is>
          <t>A 14638-2025</t>
        </is>
      </c>
      <c r="B258" s="1" t="n">
        <v>45742</v>
      </c>
      <c r="C258" s="1" t="n">
        <v>46090</v>
      </c>
      <c r="D258" t="inlineStr">
        <is>
          <t>GOTLANDS LÄN</t>
        </is>
      </c>
      <c r="E258" t="inlineStr">
        <is>
          <t>GOTLAND</t>
        </is>
      </c>
      <c r="G258" t="n">
        <v>13.4</v>
      </c>
      <c r="H258" t="n">
        <v>0</v>
      </c>
      <c r="I258" t="n">
        <v>0</v>
      </c>
      <c r="J258" t="n">
        <v>0</v>
      </c>
      <c r="K258" t="n">
        <v>0</v>
      </c>
      <c r="L258" t="n">
        <v>0</v>
      </c>
      <c r="M258" t="n">
        <v>0</v>
      </c>
      <c r="N258" t="n">
        <v>0</v>
      </c>
      <c r="O258" t="n">
        <v>0</v>
      </c>
      <c r="P258" t="n">
        <v>0</v>
      </c>
      <c r="Q258" t="n">
        <v>0</v>
      </c>
      <c r="R258" s="2" t="inlineStr"/>
    </row>
    <row r="259" ht="15" customHeight="1">
      <c r="A259" t="inlineStr">
        <is>
          <t>A 20165-2022</t>
        </is>
      </c>
      <c r="B259" s="1" t="n">
        <v>44698.49854166667</v>
      </c>
      <c r="C259" s="1" t="n">
        <v>46090</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38649-2025</t>
        </is>
      </c>
      <c r="B260" s="1" t="n">
        <v>45884</v>
      </c>
      <c r="C260" s="1" t="n">
        <v>46090</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6749-2025</t>
        </is>
      </c>
      <c r="B261" s="1" t="n">
        <v>45700</v>
      </c>
      <c r="C261" s="1" t="n">
        <v>46090</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31264-2021</t>
        </is>
      </c>
      <c r="B262" s="1" t="n">
        <v>44368</v>
      </c>
      <c r="C262" s="1" t="n">
        <v>46090</v>
      </c>
      <c r="D262" t="inlineStr">
        <is>
          <t>GOTLANDS LÄN</t>
        </is>
      </c>
      <c r="E262" t="inlineStr">
        <is>
          <t>GOTLAND</t>
        </is>
      </c>
      <c r="G262" t="n">
        <v>1.2</v>
      </c>
      <c r="H262" t="n">
        <v>0</v>
      </c>
      <c r="I262" t="n">
        <v>0</v>
      </c>
      <c r="J262" t="n">
        <v>0</v>
      </c>
      <c r="K262" t="n">
        <v>0</v>
      </c>
      <c r="L262" t="n">
        <v>0</v>
      </c>
      <c r="M262" t="n">
        <v>0</v>
      </c>
      <c r="N262" t="n">
        <v>0</v>
      </c>
      <c r="O262" t="n">
        <v>0</v>
      </c>
      <c r="P262" t="n">
        <v>0</v>
      </c>
      <c r="Q262" t="n">
        <v>0</v>
      </c>
      <c r="R262" s="2" t="inlineStr"/>
    </row>
    <row r="263" ht="15" customHeight="1">
      <c r="A263" t="inlineStr">
        <is>
          <t>A 20356-2022</t>
        </is>
      </c>
      <c r="B263" s="1" t="n">
        <v>44699</v>
      </c>
      <c r="C263" s="1" t="n">
        <v>46090</v>
      </c>
      <c r="D263" t="inlineStr">
        <is>
          <t>GOTLANDS LÄN</t>
        </is>
      </c>
      <c r="E263" t="inlineStr">
        <is>
          <t>GOTLAND</t>
        </is>
      </c>
      <c r="F263" t="inlineStr">
        <is>
          <t>Övriga Aktiebolag</t>
        </is>
      </c>
      <c r="G263" t="n">
        <v>4.4</v>
      </c>
      <c r="H263" t="n">
        <v>0</v>
      </c>
      <c r="I263" t="n">
        <v>0</v>
      </c>
      <c r="J263" t="n">
        <v>0</v>
      </c>
      <c r="K263" t="n">
        <v>0</v>
      </c>
      <c r="L263" t="n">
        <v>0</v>
      </c>
      <c r="M263" t="n">
        <v>0</v>
      </c>
      <c r="N263" t="n">
        <v>0</v>
      </c>
      <c r="O263" t="n">
        <v>0</v>
      </c>
      <c r="P263" t="n">
        <v>0</v>
      </c>
      <c r="Q263" t="n">
        <v>0</v>
      </c>
      <c r="R263" s="2" t="inlineStr"/>
    </row>
    <row r="264" ht="15" customHeight="1">
      <c r="A264" t="inlineStr">
        <is>
          <t>A 33876-2024</t>
        </is>
      </c>
      <c r="B264" s="1" t="n">
        <v>45521.87988425926</v>
      </c>
      <c r="C264" s="1" t="n">
        <v>46090</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5462-2025</t>
        </is>
      </c>
      <c r="B265" s="1" t="n">
        <v>45693.29331018519</v>
      </c>
      <c r="C265" s="1" t="n">
        <v>46090</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43223-2023</t>
        </is>
      </c>
      <c r="B266" s="1" t="n">
        <v>45183.45642361111</v>
      </c>
      <c r="C266" s="1" t="n">
        <v>46090</v>
      </c>
      <c r="D266" t="inlineStr">
        <is>
          <t>GOTLANDS LÄN</t>
        </is>
      </c>
      <c r="E266" t="inlineStr">
        <is>
          <t>GOTLAND</t>
        </is>
      </c>
      <c r="G266" t="n">
        <v>1.8</v>
      </c>
      <c r="H266" t="n">
        <v>0</v>
      </c>
      <c r="I266" t="n">
        <v>0</v>
      </c>
      <c r="J266" t="n">
        <v>0</v>
      </c>
      <c r="K266" t="n">
        <v>0</v>
      </c>
      <c r="L266" t="n">
        <v>0</v>
      </c>
      <c r="M266" t="n">
        <v>0</v>
      </c>
      <c r="N266" t="n">
        <v>0</v>
      </c>
      <c r="O266" t="n">
        <v>0</v>
      </c>
      <c r="P266" t="n">
        <v>0</v>
      </c>
      <c r="Q266" t="n">
        <v>0</v>
      </c>
      <c r="R266" s="2" t="inlineStr"/>
    </row>
    <row r="267" ht="15" customHeight="1">
      <c r="A267" t="inlineStr">
        <is>
          <t>A 35142-2025</t>
        </is>
      </c>
      <c r="B267" s="1" t="n">
        <v>45852.65532407408</v>
      </c>
      <c r="C267" s="1" t="n">
        <v>46090</v>
      </c>
      <c r="D267" t="inlineStr">
        <is>
          <t>GOTLANDS LÄN</t>
        </is>
      </c>
      <c r="E267" t="inlineStr">
        <is>
          <t>GOTLAND</t>
        </is>
      </c>
      <c r="G267" t="n">
        <v>2.4</v>
      </c>
      <c r="H267" t="n">
        <v>0</v>
      </c>
      <c r="I267" t="n">
        <v>0</v>
      </c>
      <c r="J267" t="n">
        <v>0</v>
      </c>
      <c r="K267" t="n">
        <v>0</v>
      </c>
      <c r="L267" t="n">
        <v>0</v>
      </c>
      <c r="M267" t="n">
        <v>0</v>
      </c>
      <c r="N267" t="n">
        <v>0</v>
      </c>
      <c r="O267" t="n">
        <v>0</v>
      </c>
      <c r="P267" t="n">
        <v>0</v>
      </c>
      <c r="Q267" t="n">
        <v>0</v>
      </c>
      <c r="R267" s="2" t="inlineStr"/>
    </row>
    <row r="268" ht="15" customHeight="1">
      <c r="A268" t="inlineStr">
        <is>
          <t>A 61962-2024</t>
        </is>
      </c>
      <c r="B268" s="1" t="n">
        <v>45653.54340277778</v>
      </c>
      <c r="C268" s="1" t="n">
        <v>46090</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27930-2021</t>
        </is>
      </c>
      <c r="B269" s="1" t="n">
        <v>44354</v>
      </c>
      <c r="C269" s="1" t="n">
        <v>46090</v>
      </c>
      <c r="D269" t="inlineStr">
        <is>
          <t>GOTLANDS LÄN</t>
        </is>
      </c>
      <c r="E269" t="inlineStr">
        <is>
          <t>GOTLAND</t>
        </is>
      </c>
      <c r="G269" t="n">
        <v>2.5</v>
      </c>
      <c r="H269" t="n">
        <v>0</v>
      </c>
      <c r="I269" t="n">
        <v>0</v>
      </c>
      <c r="J269" t="n">
        <v>0</v>
      </c>
      <c r="K269" t="n">
        <v>0</v>
      </c>
      <c r="L269" t="n">
        <v>0</v>
      </c>
      <c r="M269" t="n">
        <v>0</v>
      </c>
      <c r="N269" t="n">
        <v>0</v>
      </c>
      <c r="O269" t="n">
        <v>0</v>
      </c>
      <c r="P269" t="n">
        <v>0</v>
      </c>
      <c r="Q269" t="n">
        <v>0</v>
      </c>
      <c r="R269" s="2" t="inlineStr"/>
    </row>
    <row r="270" ht="15" customHeight="1">
      <c r="A270" t="inlineStr">
        <is>
          <t>A 59469-2024</t>
        </is>
      </c>
      <c r="B270" s="1" t="n">
        <v>45638</v>
      </c>
      <c r="C270" s="1" t="n">
        <v>46090</v>
      </c>
      <c r="D270" t="inlineStr">
        <is>
          <t>GOTLANDS LÄN</t>
        </is>
      </c>
      <c r="E270" t="inlineStr">
        <is>
          <t>GOTLAND</t>
        </is>
      </c>
      <c r="G270" t="n">
        <v>0.4</v>
      </c>
      <c r="H270" t="n">
        <v>0</v>
      </c>
      <c r="I270" t="n">
        <v>0</v>
      </c>
      <c r="J270" t="n">
        <v>0</v>
      </c>
      <c r="K270" t="n">
        <v>0</v>
      </c>
      <c r="L270" t="n">
        <v>0</v>
      </c>
      <c r="M270" t="n">
        <v>0</v>
      </c>
      <c r="N270" t="n">
        <v>0</v>
      </c>
      <c r="O270" t="n">
        <v>0</v>
      </c>
      <c r="P270" t="n">
        <v>0</v>
      </c>
      <c r="Q270" t="n">
        <v>0</v>
      </c>
      <c r="R270" s="2" t="inlineStr"/>
    </row>
    <row r="271" ht="15" customHeight="1">
      <c r="A271" t="inlineStr">
        <is>
          <t>A 35141-2025</t>
        </is>
      </c>
      <c r="B271" s="1" t="n">
        <v>45852.65206018519</v>
      </c>
      <c r="C271" s="1" t="n">
        <v>46090</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5751-2024</t>
        </is>
      </c>
      <c r="B272" s="1" t="n">
        <v>45335.32702546296</v>
      </c>
      <c r="C272" s="1" t="n">
        <v>46090</v>
      </c>
      <c r="D272" t="inlineStr">
        <is>
          <t>GOTLANDS LÄN</t>
        </is>
      </c>
      <c r="E272" t="inlineStr">
        <is>
          <t>GOTLAND</t>
        </is>
      </c>
      <c r="G272" t="n">
        <v>4.2</v>
      </c>
      <c r="H272" t="n">
        <v>0</v>
      </c>
      <c r="I272" t="n">
        <v>0</v>
      </c>
      <c r="J272" t="n">
        <v>0</v>
      </c>
      <c r="K272" t="n">
        <v>0</v>
      </c>
      <c r="L272" t="n">
        <v>0</v>
      </c>
      <c r="M272" t="n">
        <v>0</v>
      </c>
      <c r="N272" t="n">
        <v>0</v>
      </c>
      <c r="O272" t="n">
        <v>0</v>
      </c>
      <c r="P272" t="n">
        <v>0</v>
      </c>
      <c r="Q272" t="n">
        <v>0</v>
      </c>
      <c r="R272" s="2" t="inlineStr"/>
    </row>
    <row r="273" ht="15" customHeight="1">
      <c r="A273" t="inlineStr">
        <is>
          <t>A 6696-2023</t>
        </is>
      </c>
      <c r="B273" s="1" t="n">
        <v>44966.66425925926</v>
      </c>
      <c r="C273" s="1" t="n">
        <v>46090</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28480-2023</t>
        </is>
      </c>
      <c r="B274" s="1" t="n">
        <v>45103</v>
      </c>
      <c r="C274" s="1" t="n">
        <v>46090</v>
      </c>
      <c r="D274" t="inlineStr">
        <is>
          <t>GOTLANDS LÄN</t>
        </is>
      </c>
      <c r="E274" t="inlineStr">
        <is>
          <t>GOTLAND</t>
        </is>
      </c>
      <c r="G274" t="n">
        <v>5.7</v>
      </c>
      <c r="H274" t="n">
        <v>0</v>
      </c>
      <c r="I274" t="n">
        <v>0</v>
      </c>
      <c r="J274" t="n">
        <v>0</v>
      </c>
      <c r="K274" t="n">
        <v>0</v>
      </c>
      <c r="L274" t="n">
        <v>0</v>
      </c>
      <c r="M274" t="n">
        <v>0</v>
      </c>
      <c r="N274" t="n">
        <v>0</v>
      </c>
      <c r="O274" t="n">
        <v>0</v>
      </c>
      <c r="P274" t="n">
        <v>0</v>
      </c>
      <c r="Q274" t="n">
        <v>0</v>
      </c>
      <c r="R274" s="2" t="inlineStr"/>
    </row>
    <row r="275" ht="15" customHeight="1">
      <c r="A275" t="inlineStr">
        <is>
          <t>A 28485-2023</t>
        </is>
      </c>
      <c r="B275" s="1" t="n">
        <v>45103.43731481482</v>
      </c>
      <c r="C275" s="1" t="n">
        <v>46090</v>
      </c>
      <c r="D275" t="inlineStr">
        <is>
          <t>GOTLANDS LÄN</t>
        </is>
      </c>
      <c r="E275" t="inlineStr">
        <is>
          <t>GOTLAND</t>
        </is>
      </c>
      <c r="G275" t="n">
        <v>2.3</v>
      </c>
      <c r="H275" t="n">
        <v>0</v>
      </c>
      <c r="I275" t="n">
        <v>0</v>
      </c>
      <c r="J275" t="n">
        <v>0</v>
      </c>
      <c r="K275" t="n">
        <v>0</v>
      </c>
      <c r="L275" t="n">
        <v>0</v>
      </c>
      <c r="M275" t="n">
        <v>0</v>
      </c>
      <c r="N275" t="n">
        <v>0</v>
      </c>
      <c r="O275" t="n">
        <v>0</v>
      </c>
      <c r="P275" t="n">
        <v>0</v>
      </c>
      <c r="Q275" t="n">
        <v>0</v>
      </c>
      <c r="R275" s="2" t="inlineStr"/>
    </row>
    <row r="276" ht="15" customHeight="1">
      <c r="A276" t="inlineStr">
        <is>
          <t>A 4990-2025</t>
        </is>
      </c>
      <c r="B276" s="1" t="n">
        <v>45691</v>
      </c>
      <c r="C276" s="1" t="n">
        <v>46090</v>
      </c>
      <c r="D276" t="inlineStr">
        <is>
          <t>GOTLANDS LÄN</t>
        </is>
      </c>
      <c r="E276" t="inlineStr">
        <is>
          <t>GOTLAND</t>
        </is>
      </c>
      <c r="G276" t="n">
        <v>7.7</v>
      </c>
      <c r="H276" t="n">
        <v>0</v>
      </c>
      <c r="I276" t="n">
        <v>0</v>
      </c>
      <c r="J276" t="n">
        <v>0</v>
      </c>
      <c r="K276" t="n">
        <v>0</v>
      </c>
      <c r="L276" t="n">
        <v>0</v>
      </c>
      <c r="M276" t="n">
        <v>0</v>
      </c>
      <c r="N276" t="n">
        <v>0</v>
      </c>
      <c r="O276" t="n">
        <v>0</v>
      </c>
      <c r="P276" t="n">
        <v>0</v>
      </c>
      <c r="Q276" t="n">
        <v>0</v>
      </c>
      <c r="R276" s="2" t="inlineStr"/>
    </row>
    <row r="277" ht="15" customHeight="1">
      <c r="A277" t="inlineStr">
        <is>
          <t>A 39849-2025</t>
        </is>
      </c>
      <c r="B277" s="1" t="n">
        <v>45891.58502314815</v>
      </c>
      <c r="C277" s="1" t="n">
        <v>46090</v>
      </c>
      <c r="D277" t="inlineStr">
        <is>
          <t>GOTLANDS LÄN</t>
        </is>
      </c>
      <c r="E277" t="inlineStr">
        <is>
          <t>GOTLAND</t>
        </is>
      </c>
      <c r="G277" t="n">
        <v>6.1</v>
      </c>
      <c r="H277" t="n">
        <v>0</v>
      </c>
      <c r="I277" t="n">
        <v>0</v>
      </c>
      <c r="J277" t="n">
        <v>0</v>
      </c>
      <c r="K277" t="n">
        <v>0</v>
      </c>
      <c r="L277" t="n">
        <v>0</v>
      </c>
      <c r="M277" t="n">
        <v>0</v>
      </c>
      <c r="N277" t="n">
        <v>0</v>
      </c>
      <c r="O277" t="n">
        <v>0</v>
      </c>
      <c r="P277" t="n">
        <v>0</v>
      </c>
      <c r="Q277" t="n">
        <v>0</v>
      </c>
      <c r="R277" s="2" t="inlineStr"/>
    </row>
    <row r="278" ht="15" customHeight="1">
      <c r="A278" t="inlineStr">
        <is>
          <t>A 39814-2025</t>
        </is>
      </c>
      <c r="B278" s="1" t="n">
        <v>45891.52694444444</v>
      </c>
      <c r="C278" s="1" t="n">
        <v>46090</v>
      </c>
      <c r="D278" t="inlineStr">
        <is>
          <t>GOTLANDS LÄN</t>
        </is>
      </c>
      <c r="E278" t="inlineStr">
        <is>
          <t>GOTLAND</t>
        </is>
      </c>
      <c r="G278" t="n">
        <v>4.5</v>
      </c>
      <c r="H278" t="n">
        <v>0</v>
      </c>
      <c r="I278" t="n">
        <v>0</v>
      </c>
      <c r="J278" t="n">
        <v>0</v>
      </c>
      <c r="K278" t="n">
        <v>0</v>
      </c>
      <c r="L278" t="n">
        <v>0</v>
      </c>
      <c r="M278" t="n">
        <v>0</v>
      </c>
      <c r="N278" t="n">
        <v>0</v>
      </c>
      <c r="O278" t="n">
        <v>0</v>
      </c>
      <c r="P278" t="n">
        <v>0</v>
      </c>
      <c r="Q278" t="n">
        <v>0</v>
      </c>
      <c r="R278" s="2" t="inlineStr"/>
    </row>
    <row r="279" ht="15" customHeight="1">
      <c r="A279" t="inlineStr">
        <is>
          <t>A 7625-2026</t>
        </is>
      </c>
      <c r="B279" s="1" t="n">
        <v>46062.35135416667</v>
      </c>
      <c r="C279" s="1" t="n">
        <v>46090</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7627-2026</t>
        </is>
      </c>
      <c r="B280" s="1" t="n">
        <v>46062.35465277778</v>
      </c>
      <c r="C280" s="1" t="n">
        <v>46090</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39819-2025</t>
        </is>
      </c>
      <c r="B281" s="1" t="n">
        <v>45891.53418981482</v>
      </c>
      <c r="C281" s="1" t="n">
        <v>46090</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38165-2023</t>
        </is>
      </c>
      <c r="B282" s="1" t="n">
        <v>45161</v>
      </c>
      <c r="C282" s="1" t="n">
        <v>46090</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39752-2025</t>
        </is>
      </c>
      <c r="B283" s="1" t="n">
        <v>45891</v>
      </c>
      <c r="C283" s="1" t="n">
        <v>46090</v>
      </c>
      <c r="D283" t="inlineStr">
        <is>
          <t>GOTLANDS LÄN</t>
        </is>
      </c>
      <c r="E283" t="inlineStr">
        <is>
          <t>GOTLAND</t>
        </is>
      </c>
      <c r="G283" t="n">
        <v>5.3</v>
      </c>
      <c r="H283" t="n">
        <v>0</v>
      </c>
      <c r="I283" t="n">
        <v>0</v>
      </c>
      <c r="J283" t="n">
        <v>0</v>
      </c>
      <c r="K283" t="n">
        <v>0</v>
      </c>
      <c r="L283" t="n">
        <v>0</v>
      </c>
      <c r="M283" t="n">
        <v>0</v>
      </c>
      <c r="N283" t="n">
        <v>0</v>
      </c>
      <c r="O283" t="n">
        <v>0</v>
      </c>
      <c r="P283" t="n">
        <v>0</v>
      </c>
      <c r="Q283" t="n">
        <v>0</v>
      </c>
      <c r="R283" s="2" t="inlineStr"/>
    </row>
    <row r="284" ht="15" customHeight="1">
      <c r="A284" t="inlineStr">
        <is>
          <t>A 39816-2025</t>
        </is>
      </c>
      <c r="B284" s="1" t="n">
        <v>45891</v>
      </c>
      <c r="C284" s="1" t="n">
        <v>46090</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40372-2025</t>
        </is>
      </c>
      <c r="B285" s="1" t="n">
        <v>45895.5162037037</v>
      </c>
      <c r="C285" s="1" t="n">
        <v>46090</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40373-2025</t>
        </is>
      </c>
      <c r="B286" s="1" t="n">
        <v>45895.51821759259</v>
      </c>
      <c r="C286" s="1" t="n">
        <v>46090</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25796-2025</t>
        </is>
      </c>
      <c r="B287" s="1" t="n">
        <v>45804.39543981481</v>
      </c>
      <c r="C287" s="1" t="n">
        <v>46090</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61078-2025</t>
        </is>
      </c>
      <c r="B288" s="1" t="n">
        <v>46000</v>
      </c>
      <c r="C288" s="1" t="n">
        <v>46090</v>
      </c>
      <c r="D288" t="inlineStr">
        <is>
          <t>GOTLANDS LÄN</t>
        </is>
      </c>
      <c r="E288" t="inlineStr">
        <is>
          <t>GOTLAND</t>
        </is>
      </c>
      <c r="G288" t="n">
        <v>0.7</v>
      </c>
      <c r="H288" t="n">
        <v>0</v>
      </c>
      <c r="I288" t="n">
        <v>0</v>
      </c>
      <c r="J288" t="n">
        <v>0</v>
      </c>
      <c r="K288" t="n">
        <v>0</v>
      </c>
      <c r="L288" t="n">
        <v>0</v>
      </c>
      <c r="M288" t="n">
        <v>0</v>
      </c>
      <c r="N288" t="n">
        <v>0</v>
      </c>
      <c r="O288" t="n">
        <v>0</v>
      </c>
      <c r="P288" t="n">
        <v>0</v>
      </c>
      <c r="Q288" t="n">
        <v>0</v>
      </c>
      <c r="R288" s="2" t="inlineStr"/>
    </row>
    <row r="289" ht="15" customHeight="1">
      <c r="A289" t="inlineStr">
        <is>
          <t>A 40103-2025</t>
        </is>
      </c>
      <c r="B289" s="1" t="n">
        <v>45894.4880324074</v>
      </c>
      <c r="C289" s="1" t="n">
        <v>46090</v>
      </c>
      <c r="D289" t="inlineStr">
        <is>
          <t>GOTLANDS LÄN</t>
        </is>
      </c>
      <c r="E289" t="inlineStr">
        <is>
          <t>GOTLAND</t>
        </is>
      </c>
      <c r="G289" t="n">
        <v>0.9</v>
      </c>
      <c r="H289" t="n">
        <v>0</v>
      </c>
      <c r="I289" t="n">
        <v>0</v>
      </c>
      <c r="J289" t="n">
        <v>0</v>
      </c>
      <c r="K289" t="n">
        <v>0</v>
      </c>
      <c r="L289" t="n">
        <v>0</v>
      </c>
      <c r="M289" t="n">
        <v>0</v>
      </c>
      <c r="N289" t="n">
        <v>0</v>
      </c>
      <c r="O289" t="n">
        <v>0</v>
      </c>
      <c r="P289" t="n">
        <v>0</v>
      </c>
      <c r="Q289" t="n">
        <v>0</v>
      </c>
      <c r="R289" s="2" t="inlineStr"/>
    </row>
    <row r="290" ht="15" customHeight="1">
      <c r="A290" t="inlineStr">
        <is>
          <t>A 40499-2025</t>
        </is>
      </c>
      <c r="B290" s="1" t="n">
        <v>45896.32517361111</v>
      </c>
      <c r="C290" s="1" t="n">
        <v>46090</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49693-2023</t>
        </is>
      </c>
      <c r="B291" s="1" t="n">
        <v>45212.38138888889</v>
      </c>
      <c r="C291" s="1" t="n">
        <v>46090</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49697-2023</t>
        </is>
      </c>
      <c r="B292" s="1" t="n">
        <v>45212.38909722222</v>
      </c>
      <c r="C292" s="1" t="n">
        <v>46090</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26465-2025</t>
        </is>
      </c>
      <c r="B293" s="1" t="n">
        <v>45807.44377314814</v>
      </c>
      <c r="C293" s="1" t="n">
        <v>46090</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34312-2024</t>
        </is>
      </c>
      <c r="B294" s="1" t="n">
        <v>45524.69703703704</v>
      </c>
      <c r="C294" s="1" t="n">
        <v>46090</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26457-2025</t>
        </is>
      </c>
      <c r="B295" s="1" t="n">
        <v>45807.42773148148</v>
      </c>
      <c r="C295" s="1" t="n">
        <v>46090</v>
      </c>
      <c r="D295" t="inlineStr">
        <is>
          <t>GOTLANDS LÄN</t>
        </is>
      </c>
      <c r="E295" t="inlineStr">
        <is>
          <t>GOTLAND</t>
        </is>
      </c>
      <c r="G295" t="n">
        <v>5.7</v>
      </c>
      <c r="H295" t="n">
        <v>0</v>
      </c>
      <c r="I295" t="n">
        <v>0</v>
      </c>
      <c r="J295" t="n">
        <v>0</v>
      </c>
      <c r="K295" t="n">
        <v>0</v>
      </c>
      <c r="L295" t="n">
        <v>0</v>
      </c>
      <c r="M295" t="n">
        <v>0</v>
      </c>
      <c r="N295" t="n">
        <v>0</v>
      </c>
      <c r="O295" t="n">
        <v>0</v>
      </c>
      <c r="P295" t="n">
        <v>0</v>
      </c>
      <c r="Q295" t="n">
        <v>0</v>
      </c>
      <c r="R295" s="2" t="inlineStr"/>
    </row>
    <row r="296" ht="15" customHeight="1">
      <c r="A296" t="inlineStr">
        <is>
          <t>A 26467-2025</t>
        </is>
      </c>
      <c r="B296" s="1" t="n">
        <v>45807.44640046296</v>
      </c>
      <c r="C296" s="1" t="n">
        <v>46090</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41551-2025</t>
        </is>
      </c>
      <c r="B297" s="1" t="n">
        <v>45901.58854166666</v>
      </c>
      <c r="C297" s="1" t="n">
        <v>46090</v>
      </c>
      <c r="D297" t="inlineStr">
        <is>
          <t>GOTLANDS LÄN</t>
        </is>
      </c>
      <c r="E297" t="inlineStr">
        <is>
          <t>GOTLAND</t>
        </is>
      </c>
      <c r="G297" t="n">
        <v>5.6</v>
      </c>
      <c r="H297" t="n">
        <v>0</v>
      </c>
      <c r="I297" t="n">
        <v>0</v>
      </c>
      <c r="J297" t="n">
        <v>0</v>
      </c>
      <c r="K297" t="n">
        <v>0</v>
      </c>
      <c r="L297" t="n">
        <v>0</v>
      </c>
      <c r="M297" t="n">
        <v>0</v>
      </c>
      <c r="N297" t="n">
        <v>0</v>
      </c>
      <c r="O297" t="n">
        <v>0</v>
      </c>
      <c r="P297" t="n">
        <v>0</v>
      </c>
      <c r="Q297" t="n">
        <v>0</v>
      </c>
      <c r="R297" s="2" t="inlineStr"/>
    </row>
    <row r="298" ht="15" customHeight="1">
      <c r="A298" t="inlineStr">
        <is>
          <t>A 48503-2023</t>
        </is>
      </c>
      <c r="B298" s="1" t="n">
        <v>45207</v>
      </c>
      <c r="C298" s="1" t="n">
        <v>46090</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39278-2025</t>
        </is>
      </c>
      <c r="B299" s="1" t="n">
        <v>45889</v>
      </c>
      <c r="C299" s="1" t="n">
        <v>46090</v>
      </c>
      <c r="D299" t="inlineStr">
        <is>
          <t>GOTLANDS LÄN</t>
        </is>
      </c>
      <c r="E299" t="inlineStr">
        <is>
          <t>GOTLAND</t>
        </is>
      </c>
      <c r="G299" t="n">
        <v>3.7</v>
      </c>
      <c r="H299" t="n">
        <v>0</v>
      </c>
      <c r="I299" t="n">
        <v>0</v>
      </c>
      <c r="J299" t="n">
        <v>0</v>
      </c>
      <c r="K299" t="n">
        <v>0</v>
      </c>
      <c r="L299" t="n">
        <v>0</v>
      </c>
      <c r="M299" t="n">
        <v>0</v>
      </c>
      <c r="N299" t="n">
        <v>0</v>
      </c>
      <c r="O299" t="n">
        <v>0</v>
      </c>
      <c r="P299" t="n">
        <v>0</v>
      </c>
      <c r="Q299" t="n">
        <v>0</v>
      </c>
      <c r="R299" s="2" t="inlineStr"/>
    </row>
    <row r="300" ht="15" customHeight="1">
      <c r="A300" t="inlineStr">
        <is>
          <t>A 26660-2025</t>
        </is>
      </c>
      <c r="B300" s="1" t="n">
        <v>45810.39737268518</v>
      </c>
      <c r="C300" s="1" t="n">
        <v>46090</v>
      </c>
      <c r="D300" t="inlineStr">
        <is>
          <t>GOTLANDS LÄN</t>
        </is>
      </c>
      <c r="E300" t="inlineStr">
        <is>
          <t>GOTLAND</t>
        </is>
      </c>
      <c r="G300" t="n">
        <v>1.8</v>
      </c>
      <c r="H300" t="n">
        <v>0</v>
      </c>
      <c r="I300" t="n">
        <v>0</v>
      </c>
      <c r="J300" t="n">
        <v>0</v>
      </c>
      <c r="K300" t="n">
        <v>0</v>
      </c>
      <c r="L300" t="n">
        <v>0</v>
      </c>
      <c r="M300" t="n">
        <v>0</v>
      </c>
      <c r="N300" t="n">
        <v>0</v>
      </c>
      <c r="O300" t="n">
        <v>0</v>
      </c>
      <c r="P300" t="n">
        <v>0</v>
      </c>
      <c r="Q300" t="n">
        <v>0</v>
      </c>
      <c r="R300" s="2" t="inlineStr"/>
    </row>
    <row r="301" ht="15" customHeight="1">
      <c r="A301" t="inlineStr">
        <is>
          <t>A 41435-2025</t>
        </is>
      </c>
      <c r="B301" s="1" t="n">
        <v>45901.39974537037</v>
      </c>
      <c r="C301" s="1" t="n">
        <v>46090</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24825-2024</t>
        </is>
      </c>
      <c r="B302" s="1" t="n">
        <v>45461</v>
      </c>
      <c r="C302" s="1" t="n">
        <v>46090</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27355-2025</t>
        </is>
      </c>
      <c r="B303" s="1" t="n">
        <v>45812</v>
      </c>
      <c r="C303" s="1" t="n">
        <v>46090</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27371-2025</t>
        </is>
      </c>
      <c r="B304" s="1" t="n">
        <v>45812</v>
      </c>
      <c r="C304" s="1" t="n">
        <v>46090</v>
      </c>
      <c r="D304" t="inlineStr">
        <is>
          <t>GOTLANDS LÄN</t>
        </is>
      </c>
      <c r="E304" t="inlineStr">
        <is>
          <t>GOTLAND</t>
        </is>
      </c>
      <c r="G304" t="n">
        <v>8</v>
      </c>
      <c r="H304" t="n">
        <v>0</v>
      </c>
      <c r="I304" t="n">
        <v>0</v>
      </c>
      <c r="J304" t="n">
        <v>0</v>
      </c>
      <c r="K304" t="n">
        <v>0</v>
      </c>
      <c r="L304" t="n">
        <v>0</v>
      </c>
      <c r="M304" t="n">
        <v>0</v>
      </c>
      <c r="N304" t="n">
        <v>0</v>
      </c>
      <c r="O304" t="n">
        <v>0</v>
      </c>
      <c r="P304" t="n">
        <v>0</v>
      </c>
      <c r="Q304" t="n">
        <v>0</v>
      </c>
      <c r="R304" s="2" t="inlineStr"/>
    </row>
    <row r="305" ht="15" customHeight="1">
      <c r="A305" t="inlineStr">
        <is>
          <t>A 22031-2024</t>
        </is>
      </c>
      <c r="B305" s="1" t="n">
        <v>45443.60075231481</v>
      </c>
      <c r="C305" s="1" t="n">
        <v>46090</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17688-2024</t>
        </is>
      </c>
      <c r="B306" s="1" t="n">
        <v>45418.43575231481</v>
      </c>
      <c r="C306" s="1" t="n">
        <v>46090</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42608-2025</t>
        </is>
      </c>
      <c r="B307" s="1" t="n">
        <v>45905</v>
      </c>
      <c r="C307" s="1" t="n">
        <v>46090</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7850-2025</t>
        </is>
      </c>
      <c r="B308" s="1" t="n">
        <v>45706</v>
      </c>
      <c r="C308" s="1" t="n">
        <v>46090</v>
      </c>
      <c r="D308" t="inlineStr">
        <is>
          <t>GOTLANDS LÄN</t>
        </is>
      </c>
      <c r="E308" t="inlineStr">
        <is>
          <t>GOTLAND</t>
        </is>
      </c>
      <c r="G308" t="n">
        <v>0.5</v>
      </c>
      <c r="H308" t="n">
        <v>0</v>
      </c>
      <c r="I308" t="n">
        <v>0</v>
      </c>
      <c r="J308" t="n">
        <v>0</v>
      </c>
      <c r="K308" t="n">
        <v>0</v>
      </c>
      <c r="L308" t="n">
        <v>0</v>
      </c>
      <c r="M308" t="n">
        <v>0</v>
      </c>
      <c r="N308" t="n">
        <v>0</v>
      </c>
      <c r="O308" t="n">
        <v>0</v>
      </c>
      <c r="P308" t="n">
        <v>0</v>
      </c>
      <c r="Q308" t="n">
        <v>0</v>
      </c>
      <c r="R308" s="2" t="inlineStr"/>
    </row>
    <row r="309" ht="15" customHeight="1">
      <c r="A309" t="inlineStr">
        <is>
          <t>A 27694-2024</t>
        </is>
      </c>
      <c r="B309" s="1" t="n">
        <v>45475</v>
      </c>
      <c r="C309" s="1" t="n">
        <v>46090</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6739-2025</t>
        </is>
      </c>
      <c r="B310" s="1" t="n">
        <v>45700</v>
      </c>
      <c r="C310" s="1" t="n">
        <v>46090</v>
      </c>
      <c r="D310" t="inlineStr">
        <is>
          <t>GOTLANDS LÄN</t>
        </is>
      </c>
      <c r="E310" t="inlineStr">
        <is>
          <t>GOTLAND</t>
        </is>
      </c>
      <c r="G310" t="n">
        <v>4.5</v>
      </c>
      <c r="H310" t="n">
        <v>0</v>
      </c>
      <c r="I310" t="n">
        <v>0</v>
      </c>
      <c r="J310" t="n">
        <v>0</v>
      </c>
      <c r="K310" t="n">
        <v>0</v>
      </c>
      <c r="L310" t="n">
        <v>0</v>
      </c>
      <c r="M310" t="n">
        <v>0</v>
      </c>
      <c r="N310" t="n">
        <v>0</v>
      </c>
      <c r="O310" t="n">
        <v>0</v>
      </c>
      <c r="P310" t="n">
        <v>0</v>
      </c>
      <c r="Q310" t="n">
        <v>0</v>
      </c>
      <c r="R310" s="2" t="inlineStr"/>
    </row>
    <row r="311" ht="15" customHeight="1">
      <c r="A311" t="inlineStr">
        <is>
          <t>A 16373-2025</t>
        </is>
      </c>
      <c r="B311" s="1" t="n">
        <v>45751</v>
      </c>
      <c r="C311" s="1" t="n">
        <v>46090</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39764-2022</t>
        </is>
      </c>
      <c r="B312" s="1" t="n">
        <v>44819</v>
      </c>
      <c r="C312" s="1" t="n">
        <v>46090</v>
      </c>
      <c r="D312" t="inlineStr">
        <is>
          <t>GOTLANDS LÄN</t>
        </is>
      </c>
      <c r="E312" t="inlineStr">
        <is>
          <t>GOTLAND</t>
        </is>
      </c>
      <c r="F312" t="inlineStr">
        <is>
          <t>Kyrkan</t>
        </is>
      </c>
      <c r="G312" t="n">
        <v>3.7</v>
      </c>
      <c r="H312" t="n">
        <v>0</v>
      </c>
      <c r="I312" t="n">
        <v>0</v>
      </c>
      <c r="J312" t="n">
        <v>0</v>
      </c>
      <c r="K312" t="n">
        <v>0</v>
      </c>
      <c r="L312" t="n">
        <v>0</v>
      </c>
      <c r="M312" t="n">
        <v>0</v>
      </c>
      <c r="N312" t="n">
        <v>0</v>
      </c>
      <c r="O312" t="n">
        <v>0</v>
      </c>
      <c r="P312" t="n">
        <v>0</v>
      </c>
      <c r="Q312" t="n">
        <v>0</v>
      </c>
      <c r="R312" s="2" t="inlineStr"/>
    </row>
    <row r="313" ht="15" customHeight="1">
      <c r="A313" t="inlineStr">
        <is>
          <t>A 6099-2024</t>
        </is>
      </c>
      <c r="B313" s="1" t="n">
        <v>45337</v>
      </c>
      <c r="C313" s="1" t="n">
        <v>46090</v>
      </c>
      <c r="D313" t="inlineStr">
        <is>
          <t>GOTLANDS LÄN</t>
        </is>
      </c>
      <c r="E313" t="inlineStr">
        <is>
          <t>GOTLAND</t>
        </is>
      </c>
      <c r="G313" t="n">
        <v>12.6</v>
      </c>
      <c r="H313" t="n">
        <v>0</v>
      </c>
      <c r="I313" t="n">
        <v>0</v>
      </c>
      <c r="J313" t="n">
        <v>0</v>
      </c>
      <c r="K313" t="n">
        <v>0</v>
      </c>
      <c r="L313" t="n">
        <v>0</v>
      </c>
      <c r="M313" t="n">
        <v>0</v>
      </c>
      <c r="N313" t="n">
        <v>0</v>
      </c>
      <c r="O313" t="n">
        <v>0</v>
      </c>
      <c r="P313" t="n">
        <v>0</v>
      </c>
      <c r="Q313" t="n">
        <v>0</v>
      </c>
      <c r="R313" s="2" t="inlineStr"/>
    </row>
    <row r="314" ht="15" customHeight="1">
      <c r="A314" t="inlineStr">
        <is>
          <t>A 8260-2023</t>
        </is>
      </c>
      <c r="B314" s="1" t="n">
        <v>44974.61608796296</v>
      </c>
      <c r="C314" s="1" t="n">
        <v>46090</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8444-2025</t>
        </is>
      </c>
      <c r="B315" s="1" t="n">
        <v>45709</v>
      </c>
      <c r="C315" s="1" t="n">
        <v>46090</v>
      </c>
      <c r="D315" t="inlineStr">
        <is>
          <t>GOTLANDS LÄN</t>
        </is>
      </c>
      <c r="E315" t="inlineStr">
        <is>
          <t>GOTLAND</t>
        </is>
      </c>
      <c r="G315" t="n">
        <v>5.2</v>
      </c>
      <c r="H315" t="n">
        <v>0</v>
      </c>
      <c r="I315" t="n">
        <v>0</v>
      </c>
      <c r="J315" t="n">
        <v>0</v>
      </c>
      <c r="K315" t="n">
        <v>0</v>
      </c>
      <c r="L315" t="n">
        <v>0</v>
      </c>
      <c r="M315" t="n">
        <v>0</v>
      </c>
      <c r="N315" t="n">
        <v>0</v>
      </c>
      <c r="O315" t="n">
        <v>0</v>
      </c>
      <c r="P315" t="n">
        <v>0</v>
      </c>
      <c r="Q315" t="n">
        <v>0</v>
      </c>
      <c r="R315" s="2" t="inlineStr"/>
    </row>
    <row r="316" ht="15" customHeight="1">
      <c r="A316" t="inlineStr">
        <is>
          <t>A 19905-2025</t>
        </is>
      </c>
      <c r="B316" s="1" t="n">
        <v>45771</v>
      </c>
      <c r="C316" s="1" t="n">
        <v>46090</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22287-2022</t>
        </is>
      </c>
      <c r="B317" s="1" t="n">
        <v>44712</v>
      </c>
      <c r="C317" s="1" t="n">
        <v>46090</v>
      </c>
      <c r="D317" t="inlineStr">
        <is>
          <t>GOTLANDS LÄN</t>
        </is>
      </c>
      <c r="E317" t="inlineStr">
        <is>
          <t>GOTLAND</t>
        </is>
      </c>
      <c r="G317" t="n">
        <v>6.1</v>
      </c>
      <c r="H317" t="n">
        <v>0</v>
      </c>
      <c r="I317" t="n">
        <v>0</v>
      </c>
      <c r="J317" t="n">
        <v>0</v>
      </c>
      <c r="K317" t="n">
        <v>0</v>
      </c>
      <c r="L317" t="n">
        <v>0</v>
      </c>
      <c r="M317" t="n">
        <v>0</v>
      </c>
      <c r="N317" t="n">
        <v>0</v>
      </c>
      <c r="O317" t="n">
        <v>0</v>
      </c>
      <c r="P317" t="n">
        <v>0</v>
      </c>
      <c r="Q317" t="n">
        <v>0</v>
      </c>
      <c r="R317" s="2" t="inlineStr"/>
    </row>
    <row r="318" ht="15" customHeight="1">
      <c r="A318" t="inlineStr">
        <is>
          <t>A 57534-2022</t>
        </is>
      </c>
      <c r="B318" s="1" t="n">
        <v>44896</v>
      </c>
      <c r="C318" s="1" t="n">
        <v>46090</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10158-2025</t>
        </is>
      </c>
      <c r="B319" s="1" t="n">
        <v>45719</v>
      </c>
      <c r="C319" s="1" t="n">
        <v>46090</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29207-2025</t>
        </is>
      </c>
      <c r="B320" s="1" t="n">
        <v>45823</v>
      </c>
      <c r="C320" s="1" t="n">
        <v>46090</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43911-2025</t>
        </is>
      </c>
      <c r="B321" s="1" t="n">
        <v>45914.3881712963</v>
      </c>
      <c r="C321" s="1" t="n">
        <v>46090</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29196-2025</t>
        </is>
      </c>
      <c r="B322" s="1" t="n">
        <v>45822</v>
      </c>
      <c r="C322" s="1" t="n">
        <v>46090</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64660-2023</t>
        </is>
      </c>
      <c r="B323" s="1" t="n">
        <v>45281.60122685185</v>
      </c>
      <c r="C323" s="1" t="n">
        <v>46090</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43951-2025</t>
        </is>
      </c>
      <c r="B324" s="1" t="n">
        <v>45915.38119212963</v>
      </c>
      <c r="C324" s="1" t="n">
        <v>46090</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44410-2025</t>
        </is>
      </c>
      <c r="B325" s="1" t="n">
        <v>45916.53699074074</v>
      </c>
      <c r="C325" s="1" t="n">
        <v>46090</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36-2026</t>
        </is>
      </c>
      <c r="B326" s="1" t="n">
        <v>46024.38886574074</v>
      </c>
      <c r="C326" s="1" t="n">
        <v>46090</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44405-2025</t>
        </is>
      </c>
      <c r="B327" s="1" t="n">
        <v>45916.52405092592</v>
      </c>
      <c r="C327" s="1" t="n">
        <v>46090</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30061-2025</t>
        </is>
      </c>
      <c r="B328" s="1" t="n">
        <v>45826.61488425926</v>
      </c>
      <c r="C328" s="1" t="n">
        <v>46090</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20855-2023</t>
        </is>
      </c>
      <c r="B329" s="1" t="n">
        <v>45058.82172453704</v>
      </c>
      <c r="C329" s="1" t="n">
        <v>46090</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58160-2024</t>
        </is>
      </c>
      <c r="B330" s="1" t="n">
        <v>45632.44927083333</v>
      </c>
      <c r="C330" s="1" t="n">
        <v>46090</v>
      </c>
      <c r="D330" t="inlineStr">
        <is>
          <t>GOTLANDS LÄN</t>
        </is>
      </c>
      <c r="E330" t="inlineStr">
        <is>
          <t>GOTLAND</t>
        </is>
      </c>
      <c r="G330" t="n">
        <v>5.6</v>
      </c>
      <c r="H330" t="n">
        <v>0</v>
      </c>
      <c r="I330" t="n">
        <v>0</v>
      </c>
      <c r="J330" t="n">
        <v>0</v>
      </c>
      <c r="K330" t="n">
        <v>0</v>
      </c>
      <c r="L330" t="n">
        <v>0</v>
      </c>
      <c r="M330" t="n">
        <v>0</v>
      </c>
      <c r="N330" t="n">
        <v>0</v>
      </c>
      <c r="O330" t="n">
        <v>0</v>
      </c>
      <c r="P330" t="n">
        <v>0</v>
      </c>
      <c r="Q330" t="n">
        <v>0</v>
      </c>
      <c r="R330" s="2" t="inlineStr"/>
    </row>
    <row r="331" ht="15" customHeight="1">
      <c r="A331" t="inlineStr">
        <is>
          <t>A 60709-2023</t>
        </is>
      </c>
      <c r="B331" s="1" t="n">
        <v>45260</v>
      </c>
      <c r="C331" s="1" t="n">
        <v>46090</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1000-2024</t>
        </is>
      </c>
      <c r="B332" s="1" t="n">
        <v>45301.63371527778</v>
      </c>
      <c r="C332" s="1" t="n">
        <v>46090</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1010-2024</t>
        </is>
      </c>
      <c r="B333" s="1" t="n">
        <v>45301</v>
      </c>
      <c r="C333" s="1" t="n">
        <v>46090</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65249-2023</t>
        </is>
      </c>
      <c r="B334" s="1" t="n">
        <v>45290</v>
      </c>
      <c r="C334" s="1" t="n">
        <v>46090</v>
      </c>
      <c r="D334" t="inlineStr">
        <is>
          <t>GOTLANDS LÄN</t>
        </is>
      </c>
      <c r="E334" t="inlineStr">
        <is>
          <t>GOTLAND</t>
        </is>
      </c>
      <c r="G334" t="n">
        <v>2.4</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46090</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12596-2023</t>
        </is>
      </c>
      <c r="B336" s="1" t="n">
        <v>45000.43310185185</v>
      </c>
      <c r="C336" s="1" t="n">
        <v>46090</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46090</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16109-2025</t>
        </is>
      </c>
      <c r="B338" s="1" t="n">
        <v>45750</v>
      </c>
      <c r="C338" s="1" t="n">
        <v>46090</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32467-2025</t>
        </is>
      </c>
      <c r="B339" s="1" t="n">
        <v>45838.42111111111</v>
      </c>
      <c r="C339" s="1" t="n">
        <v>46090</v>
      </c>
      <c r="D339" t="inlineStr">
        <is>
          <t>GOTLANDS LÄN</t>
        </is>
      </c>
      <c r="E339" t="inlineStr">
        <is>
          <t>GOTLAND</t>
        </is>
      </c>
      <c r="G339" t="n">
        <v>4.3</v>
      </c>
      <c r="H339" t="n">
        <v>0</v>
      </c>
      <c r="I339" t="n">
        <v>0</v>
      </c>
      <c r="J339" t="n">
        <v>0</v>
      </c>
      <c r="K339" t="n">
        <v>0</v>
      </c>
      <c r="L339" t="n">
        <v>0</v>
      </c>
      <c r="M339" t="n">
        <v>0</v>
      </c>
      <c r="N339" t="n">
        <v>0</v>
      </c>
      <c r="O339" t="n">
        <v>0</v>
      </c>
      <c r="P339" t="n">
        <v>0</v>
      </c>
      <c r="Q339" t="n">
        <v>0</v>
      </c>
      <c r="R339" s="2" t="inlineStr"/>
    </row>
    <row r="340" ht="15" customHeight="1">
      <c r="A340" t="inlineStr">
        <is>
          <t>A 26391-2025</t>
        </is>
      </c>
      <c r="B340" s="1" t="n">
        <v>45806</v>
      </c>
      <c r="C340" s="1" t="n">
        <v>46090</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999-2024</t>
        </is>
      </c>
      <c r="B341" s="1" t="n">
        <v>45301</v>
      </c>
      <c r="C341" s="1" t="n">
        <v>46090</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65901-2021</t>
        </is>
      </c>
      <c r="B342" s="1" t="n">
        <v>44516</v>
      </c>
      <c r="C342" s="1" t="n">
        <v>46090</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32379-2025</t>
        </is>
      </c>
      <c r="B343" s="1" t="n">
        <v>45837</v>
      </c>
      <c r="C343" s="1" t="n">
        <v>46090</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46836-2025</t>
        </is>
      </c>
      <c r="B344" s="1" t="n">
        <v>45928.31511574074</v>
      </c>
      <c r="C344" s="1" t="n">
        <v>46090</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47762-2023</t>
        </is>
      </c>
      <c r="B345" s="1" t="n">
        <v>45203.86256944444</v>
      </c>
      <c r="C345" s="1" t="n">
        <v>46090</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40294-2022</t>
        </is>
      </c>
      <c r="B346" s="1" t="n">
        <v>44821</v>
      </c>
      <c r="C346" s="1" t="n">
        <v>46090</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27602-2023</t>
        </is>
      </c>
      <c r="B347" s="1" t="n">
        <v>45097</v>
      </c>
      <c r="C347" s="1" t="n">
        <v>46090</v>
      </c>
      <c r="D347" t="inlineStr">
        <is>
          <t>GOTLANDS LÄN</t>
        </is>
      </c>
      <c r="E347" t="inlineStr">
        <is>
          <t>GOTLAND</t>
        </is>
      </c>
      <c r="G347" t="n">
        <v>2.7</v>
      </c>
      <c r="H347" t="n">
        <v>0</v>
      </c>
      <c r="I347" t="n">
        <v>0</v>
      </c>
      <c r="J347" t="n">
        <v>0</v>
      </c>
      <c r="K347" t="n">
        <v>0</v>
      </c>
      <c r="L347" t="n">
        <v>0</v>
      </c>
      <c r="M347" t="n">
        <v>0</v>
      </c>
      <c r="N347" t="n">
        <v>0</v>
      </c>
      <c r="O347" t="n">
        <v>0</v>
      </c>
      <c r="P347" t="n">
        <v>0</v>
      </c>
      <c r="Q347" t="n">
        <v>0</v>
      </c>
      <c r="R347" s="2" t="inlineStr"/>
    </row>
    <row r="348" ht="15" customHeight="1">
      <c r="A348" t="inlineStr">
        <is>
          <t>A 58780-2024</t>
        </is>
      </c>
      <c r="B348" s="1" t="n">
        <v>45635.84113425926</v>
      </c>
      <c r="C348" s="1" t="n">
        <v>46090</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12322-2025</t>
        </is>
      </c>
      <c r="B349" s="1" t="n">
        <v>45730</v>
      </c>
      <c r="C349" s="1" t="n">
        <v>46090</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47637-2025</t>
        </is>
      </c>
      <c r="B350" s="1" t="n">
        <v>45931.49753472222</v>
      </c>
      <c r="C350" s="1" t="n">
        <v>46090</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33007-2025</t>
        </is>
      </c>
      <c r="B351" s="1" t="n">
        <v>45840</v>
      </c>
      <c r="C351" s="1" t="n">
        <v>46090</v>
      </c>
      <c r="D351" t="inlineStr">
        <is>
          <t>GOTLANDS LÄN</t>
        </is>
      </c>
      <c r="E351" t="inlineStr">
        <is>
          <t>GOTLAND</t>
        </is>
      </c>
      <c r="G351" t="n">
        <v>4.9</v>
      </c>
      <c r="H351" t="n">
        <v>0</v>
      </c>
      <c r="I351" t="n">
        <v>0</v>
      </c>
      <c r="J351" t="n">
        <v>0</v>
      </c>
      <c r="K351" t="n">
        <v>0</v>
      </c>
      <c r="L351" t="n">
        <v>0</v>
      </c>
      <c r="M351" t="n">
        <v>0</v>
      </c>
      <c r="N351" t="n">
        <v>0</v>
      </c>
      <c r="O351" t="n">
        <v>0</v>
      </c>
      <c r="P351" t="n">
        <v>0</v>
      </c>
      <c r="Q351" t="n">
        <v>0</v>
      </c>
      <c r="R351" s="2" t="inlineStr"/>
    </row>
    <row r="352" ht="15" customHeight="1">
      <c r="A352" t="inlineStr">
        <is>
          <t>A 24192-2023</t>
        </is>
      </c>
      <c r="B352" s="1" t="n">
        <v>45079</v>
      </c>
      <c r="C352" s="1" t="n">
        <v>46090</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30282-2022</t>
        </is>
      </c>
      <c r="B353" s="1" t="n">
        <v>44760</v>
      </c>
      <c r="C353" s="1" t="n">
        <v>46090</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7835-2024</t>
        </is>
      </c>
      <c r="B354" s="1" t="n">
        <v>45349.83138888889</v>
      </c>
      <c r="C354" s="1" t="n">
        <v>46090</v>
      </c>
      <c r="D354" t="inlineStr">
        <is>
          <t>GOTLANDS LÄN</t>
        </is>
      </c>
      <c r="E354" t="inlineStr">
        <is>
          <t>GOTLAND</t>
        </is>
      </c>
      <c r="G354" t="n">
        <v>3.8</v>
      </c>
      <c r="H354" t="n">
        <v>0</v>
      </c>
      <c r="I354" t="n">
        <v>0</v>
      </c>
      <c r="J354" t="n">
        <v>0</v>
      </c>
      <c r="K354" t="n">
        <v>0</v>
      </c>
      <c r="L354" t="n">
        <v>0</v>
      </c>
      <c r="M354" t="n">
        <v>0</v>
      </c>
      <c r="N354" t="n">
        <v>0</v>
      </c>
      <c r="O354" t="n">
        <v>0</v>
      </c>
      <c r="P354" t="n">
        <v>0</v>
      </c>
      <c r="Q354" t="n">
        <v>0</v>
      </c>
      <c r="R354" s="2" t="inlineStr"/>
    </row>
    <row r="355" ht="15" customHeight="1">
      <c r="A355" t="inlineStr">
        <is>
          <t>A 32378-2025</t>
        </is>
      </c>
      <c r="B355" s="1" t="n">
        <v>45837</v>
      </c>
      <c r="C355" s="1" t="n">
        <v>46090</v>
      </c>
      <c r="D355" t="inlineStr">
        <is>
          <t>GOTLANDS LÄN</t>
        </is>
      </c>
      <c r="E355" t="inlineStr">
        <is>
          <t>GOTLAND</t>
        </is>
      </c>
      <c r="G355" t="n">
        <v>4.1</v>
      </c>
      <c r="H355" t="n">
        <v>0</v>
      </c>
      <c r="I355" t="n">
        <v>0</v>
      </c>
      <c r="J355" t="n">
        <v>0</v>
      </c>
      <c r="K355" t="n">
        <v>0</v>
      </c>
      <c r="L355" t="n">
        <v>0</v>
      </c>
      <c r="M355" t="n">
        <v>0</v>
      </c>
      <c r="N355" t="n">
        <v>0</v>
      </c>
      <c r="O355" t="n">
        <v>0</v>
      </c>
      <c r="P355" t="n">
        <v>0</v>
      </c>
      <c r="Q355" t="n">
        <v>0</v>
      </c>
      <c r="R355" s="2" t="inlineStr"/>
    </row>
    <row r="356" ht="15" customHeight="1">
      <c r="A356" t="inlineStr">
        <is>
          <t>A 10650-2022</t>
        </is>
      </c>
      <c r="B356" s="1" t="n">
        <v>44624.57945601852</v>
      </c>
      <c r="C356" s="1" t="n">
        <v>46090</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26810-2021</t>
        </is>
      </c>
      <c r="B357" s="1" t="n">
        <v>44349.55087962963</v>
      </c>
      <c r="C357" s="1" t="n">
        <v>46090</v>
      </c>
      <c r="D357" t="inlineStr">
        <is>
          <t>GOTLANDS LÄN</t>
        </is>
      </c>
      <c r="E357" t="inlineStr">
        <is>
          <t>GOTLAND</t>
        </is>
      </c>
      <c r="G357" t="n">
        <v>3.5</v>
      </c>
      <c r="H357" t="n">
        <v>0</v>
      </c>
      <c r="I357" t="n">
        <v>0</v>
      </c>
      <c r="J357" t="n">
        <v>0</v>
      </c>
      <c r="K357" t="n">
        <v>0</v>
      </c>
      <c r="L357" t="n">
        <v>0</v>
      </c>
      <c r="M357" t="n">
        <v>0</v>
      </c>
      <c r="N357" t="n">
        <v>0</v>
      </c>
      <c r="O357" t="n">
        <v>0</v>
      </c>
      <c r="P357" t="n">
        <v>0</v>
      </c>
      <c r="Q357" t="n">
        <v>0</v>
      </c>
      <c r="R357" s="2" t="inlineStr"/>
    </row>
    <row r="358" ht="15" customHeight="1">
      <c r="A358" t="inlineStr">
        <is>
          <t>A 35550-2025</t>
        </is>
      </c>
      <c r="B358" s="1" t="n">
        <v>45856.49324074074</v>
      </c>
      <c r="C358" s="1" t="n">
        <v>46090</v>
      </c>
      <c r="D358" t="inlineStr">
        <is>
          <t>GOTLANDS LÄN</t>
        </is>
      </c>
      <c r="E358" t="inlineStr">
        <is>
          <t>GOTLAND</t>
        </is>
      </c>
      <c r="G358" t="n">
        <v>3.2</v>
      </c>
      <c r="H358" t="n">
        <v>0</v>
      </c>
      <c r="I358" t="n">
        <v>0</v>
      </c>
      <c r="J358" t="n">
        <v>0</v>
      </c>
      <c r="K358" t="n">
        <v>0</v>
      </c>
      <c r="L358" t="n">
        <v>0</v>
      </c>
      <c r="M358" t="n">
        <v>0</v>
      </c>
      <c r="N358" t="n">
        <v>0</v>
      </c>
      <c r="O358" t="n">
        <v>0</v>
      </c>
      <c r="P358" t="n">
        <v>0</v>
      </c>
      <c r="Q358" t="n">
        <v>0</v>
      </c>
      <c r="R358" s="2" t="inlineStr"/>
    </row>
    <row r="359" ht="15" customHeight="1">
      <c r="A359" t="inlineStr">
        <is>
          <t>A 28425-2023</t>
        </is>
      </c>
      <c r="B359" s="1" t="n">
        <v>45102</v>
      </c>
      <c r="C359" s="1" t="n">
        <v>46090</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15413-2025</t>
        </is>
      </c>
      <c r="B360" s="1" t="n">
        <v>45747.451875</v>
      </c>
      <c r="C360" s="1" t="n">
        <v>46090</v>
      </c>
      <c r="D360" t="inlineStr">
        <is>
          <t>GOTLANDS LÄN</t>
        </is>
      </c>
      <c r="E360" t="inlineStr">
        <is>
          <t>GOTLAND</t>
        </is>
      </c>
      <c r="G360" t="n">
        <v>0.6</v>
      </c>
      <c r="H360" t="n">
        <v>0</v>
      </c>
      <c r="I360" t="n">
        <v>0</v>
      </c>
      <c r="J360" t="n">
        <v>0</v>
      </c>
      <c r="K360" t="n">
        <v>0</v>
      </c>
      <c r="L360" t="n">
        <v>0</v>
      </c>
      <c r="M360" t="n">
        <v>0</v>
      </c>
      <c r="N360" t="n">
        <v>0</v>
      </c>
      <c r="O360" t="n">
        <v>0</v>
      </c>
      <c r="P360" t="n">
        <v>0</v>
      </c>
      <c r="Q360" t="n">
        <v>0</v>
      </c>
      <c r="R360" s="2" t="inlineStr"/>
    </row>
    <row r="361" ht="15" customHeight="1">
      <c r="A361" t="inlineStr">
        <is>
          <t>A 35096-2025</t>
        </is>
      </c>
      <c r="B361" s="1" t="n">
        <v>45852.54356481481</v>
      </c>
      <c r="C361" s="1" t="n">
        <v>46090</v>
      </c>
      <c r="D361" t="inlineStr">
        <is>
          <t>GOTLANDS LÄN</t>
        </is>
      </c>
      <c r="E361" t="inlineStr">
        <is>
          <t>GOTLAND</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47578-2025</t>
        </is>
      </c>
      <c r="B362" s="1" t="n">
        <v>45931</v>
      </c>
      <c r="C362" s="1" t="n">
        <v>46090</v>
      </c>
      <c r="D362" t="inlineStr">
        <is>
          <t>GOTLANDS LÄN</t>
        </is>
      </c>
      <c r="E362" t="inlineStr">
        <is>
          <t>GOTLAND</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13037-2025</t>
        </is>
      </c>
      <c r="B363" s="1" t="n">
        <v>45734</v>
      </c>
      <c r="C363" s="1" t="n">
        <v>46090</v>
      </c>
      <c r="D363" t="inlineStr">
        <is>
          <t>GOTLANDS LÄN</t>
        </is>
      </c>
      <c r="E363" t="inlineStr">
        <is>
          <t>GOTLAND</t>
        </is>
      </c>
      <c r="G363" t="n">
        <v>9.5</v>
      </c>
      <c r="H363" t="n">
        <v>0</v>
      </c>
      <c r="I363" t="n">
        <v>0</v>
      </c>
      <c r="J363" t="n">
        <v>0</v>
      </c>
      <c r="K363" t="n">
        <v>0</v>
      </c>
      <c r="L363" t="n">
        <v>0</v>
      </c>
      <c r="M363" t="n">
        <v>0</v>
      </c>
      <c r="N363" t="n">
        <v>0</v>
      </c>
      <c r="O363" t="n">
        <v>0</v>
      </c>
      <c r="P363" t="n">
        <v>0</v>
      </c>
      <c r="Q363" t="n">
        <v>0</v>
      </c>
      <c r="R363" s="2" t="inlineStr"/>
    </row>
    <row r="364" ht="15" customHeight="1">
      <c r="A364" t="inlineStr">
        <is>
          <t>A 35123-2025</t>
        </is>
      </c>
      <c r="B364" s="1" t="n">
        <v>45852.614375</v>
      </c>
      <c r="C364" s="1" t="n">
        <v>46090</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33011-2025</t>
        </is>
      </c>
      <c r="B365" s="1" t="n">
        <v>45840</v>
      </c>
      <c r="C365" s="1" t="n">
        <v>46090</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49690-2025</t>
        </is>
      </c>
      <c r="B366" s="1" t="n">
        <v>45939.66730324074</v>
      </c>
      <c r="C366" s="1" t="n">
        <v>46090</v>
      </c>
      <c r="D366" t="inlineStr">
        <is>
          <t>GOTLANDS LÄN</t>
        </is>
      </c>
      <c r="E366" t="inlineStr">
        <is>
          <t>GOTLAND</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35290-2025</t>
        </is>
      </c>
      <c r="B367" s="1" t="n">
        <v>45854.38502314815</v>
      </c>
      <c r="C367" s="1" t="n">
        <v>46090</v>
      </c>
      <c r="D367" t="inlineStr">
        <is>
          <t>GOTLANDS LÄN</t>
        </is>
      </c>
      <c r="E367" t="inlineStr">
        <is>
          <t>GOTLAND</t>
        </is>
      </c>
      <c r="G367" t="n">
        <v>5.4</v>
      </c>
      <c r="H367" t="n">
        <v>0</v>
      </c>
      <c r="I367" t="n">
        <v>0</v>
      </c>
      <c r="J367" t="n">
        <v>0</v>
      </c>
      <c r="K367" t="n">
        <v>0</v>
      </c>
      <c r="L367" t="n">
        <v>0</v>
      </c>
      <c r="M367" t="n">
        <v>0</v>
      </c>
      <c r="N367" t="n">
        <v>0</v>
      </c>
      <c r="O367" t="n">
        <v>0</v>
      </c>
      <c r="P367" t="n">
        <v>0</v>
      </c>
      <c r="Q367" t="n">
        <v>0</v>
      </c>
      <c r="R367" s="2" t="inlineStr"/>
    </row>
    <row r="368" ht="15" customHeight="1">
      <c r="A368" t="inlineStr">
        <is>
          <t>A 30104-2025</t>
        </is>
      </c>
      <c r="B368" s="1" t="n">
        <v>45826.68806712963</v>
      </c>
      <c r="C368" s="1" t="n">
        <v>46090</v>
      </c>
      <c r="D368" t="inlineStr">
        <is>
          <t>GOTLANDS LÄN</t>
        </is>
      </c>
      <c r="E368" t="inlineStr">
        <is>
          <t>GOTLAND</t>
        </is>
      </c>
      <c r="G368" t="n">
        <v>15.4</v>
      </c>
      <c r="H368" t="n">
        <v>0</v>
      </c>
      <c r="I368" t="n">
        <v>0</v>
      </c>
      <c r="J368" t="n">
        <v>0</v>
      </c>
      <c r="K368" t="n">
        <v>0</v>
      </c>
      <c r="L368" t="n">
        <v>0</v>
      </c>
      <c r="M368" t="n">
        <v>0</v>
      </c>
      <c r="N368" t="n">
        <v>0</v>
      </c>
      <c r="O368" t="n">
        <v>0</v>
      </c>
      <c r="P368" t="n">
        <v>0</v>
      </c>
      <c r="Q368" t="n">
        <v>0</v>
      </c>
      <c r="R368" s="2" t="inlineStr"/>
    </row>
    <row r="369" ht="15" customHeight="1">
      <c r="A369" t="inlineStr">
        <is>
          <t>A 32669-2024</t>
        </is>
      </c>
      <c r="B369" s="1" t="n">
        <v>45514</v>
      </c>
      <c r="C369" s="1" t="n">
        <v>46090</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62674-2025</t>
        </is>
      </c>
      <c r="B370" s="1" t="n">
        <v>46008</v>
      </c>
      <c r="C370" s="1" t="n">
        <v>46090</v>
      </c>
      <c r="D370" t="inlineStr">
        <is>
          <t>GOTLANDS LÄN</t>
        </is>
      </c>
      <c r="E370" t="inlineStr">
        <is>
          <t>GOTLAND</t>
        </is>
      </c>
      <c r="G370" t="n">
        <v>5</v>
      </c>
      <c r="H370" t="n">
        <v>0</v>
      </c>
      <c r="I370" t="n">
        <v>0</v>
      </c>
      <c r="J370" t="n">
        <v>0</v>
      </c>
      <c r="K370" t="n">
        <v>0</v>
      </c>
      <c r="L370" t="n">
        <v>0</v>
      </c>
      <c r="M370" t="n">
        <v>0</v>
      </c>
      <c r="N370" t="n">
        <v>0</v>
      </c>
      <c r="O370" t="n">
        <v>0</v>
      </c>
      <c r="P370" t="n">
        <v>0</v>
      </c>
      <c r="Q370" t="n">
        <v>0</v>
      </c>
      <c r="R370" s="2" t="inlineStr"/>
    </row>
    <row r="371" ht="15" customHeight="1">
      <c r="A371" t="inlineStr">
        <is>
          <t>A 9543-2026</t>
        </is>
      </c>
      <c r="B371" s="1" t="n">
        <v>46071.62486111111</v>
      </c>
      <c r="C371" s="1" t="n">
        <v>46090</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35537-2025</t>
        </is>
      </c>
      <c r="B372" s="1" t="n">
        <v>45856</v>
      </c>
      <c r="C372" s="1" t="n">
        <v>46090</v>
      </c>
      <c r="D372" t="inlineStr">
        <is>
          <t>GOTLANDS LÄN</t>
        </is>
      </c>
      <c r="E372" t="inlineStr">
        <is>
          <t>GOTLAND</t>
        </is>
      </c>
      <c r="G372" t="n">
        <v>16.8</v>
      </c>
      <c r="H372" t="n">
        <v>0</v>
      </c>
      <c r="I372" t="n">
        <v>0</v>
      </c>
      <c r="J372" t="n">
        <v>0</v>
      </c>
      <c r="K372" t="n">
        <v>0</v>
      </c>
      <c r="L372" t="n">
        <v>0</v>
      </c>
      <c r="M372" t="n">
        <v>0</v>
      </c>
      <c r="N372" t="n">
        <v>0</v>
      </c>
      <c r="O372" t="n">
        <v>0</v>
      </c>
      <c r="P372" t="n">
        <v>0</v>
      </c>
      <c r="Q372" t="n">
        <v>0</v>
      </c>
      <c r="R372" s="2" t="inlineStr"/>
    </row>
    <row r="373" ht="15" customHeight="1">
      <c r="A373" t="inlineStr">
        <is>
          <t>A 9518-2026</t>
        </is>
      </c>
      <c r="B373" s="1" t="n">
        <v>46071.59653935185</v>
      </c>
      <c r="C373" s="1" t="n">
        <v>46090</v>
      </c>
      <c r="D373" t="inlineStr">
        <is>
          <t>GOTLANDS LÄN</t>
        </is>
      </c>
      <c r="E373" t="inlineStr">
        <is>
          <t>GOTLAND</t>
        </is>
      </c>
      <c r="G373" t="n">
        <v>6.2</v>
      </c>
      <c r="H373" t="n">
        <v>0</v>
      </c>
      <c r="I373" t="n">
        <v>0</v>
      </c>
      <c r="J373" t="n">
        <v>0</v>
      </c>
      <c r="K373" t="n">
        <v>0</v>
      </c>
      <c r="L373" t="n">
        <v>0</v>
      </c>
      <c r="M373" t="n">
        <v>0</v>
      </c>
      <c r="N373" t="n">
        <v>0</v>
      </c>
      <c r="O373" t="n">
        <v>0</v>
      </c>
      <c r="P373" t="n">
        <v>0</v>
      </c>
      <c r="Q373" t="n">
        <v>0</v>
      </c>
      <c r="R373" s="2" t="inlineStr"/>
    </row>
    <row r="374" ht="15" customHeight="1">
      <c r="A374" t="inlineStr">
        <is>
          <t>A 9524-2026</t>
        </is>
      </c>
      <c r="B374" s="1" t="n">
        <v>46071.60108796296</v>
      </c>
      <c r="C374" s="1" t="n">
        <v>46090</v>
      </c>
      <c r="D374" t="inlineStr">
        <is>
          <t>GOTLANDS LÄN</t>
        </is>
      </c>
      <c r="E374" t="inlineStr">
        <is>
          <t>GOTLAND</t>
        </is>
      </c>
      <c r="G374" t="n">
        <v>2.5</v>
      </c>
      <c r="H374" t="n">
        <v>0</v>
      </c>
      <c r="I374" t="n">
        <v>0</v>
      </c>
      <c r="J374" t="n">
        <v>0</v>
      </c>
      <c r="K374" t="n">
        <v>0</v>
      </c>
      <c r="L374" t="n">
        <v>0</v>
      </c>
      <c r="M374" t="n">
        <v>0</v>
      </c>
      <c r="N374" t="n">
        <v>0</v>
      </c>
      <c r="O374" t="n">
        <v>0</v>
      </c>
      <c r="P374" t="n">
        <v>0</v>
      </c>
      <c r="Q374" t="n">
        <v>0</v>
      </c>
      <c r="R374" s="2" t="inlineStr"/>
    </row>
    <row r="375" ht="15" customHeight="1">
      <c r="A375" t="inlineStr">
        <is>
          <t>A 49724-2025</t>
        </is>
      </c>
      <c r="B375" s="1" t="n">
        <v>45939.83730324074</v>
      </c>
      <c r="C375" s="1" t="n">
        <v>46090</v>
      </c>
      <c r="D375" t="inlineStr">
        <is>
          <t>GOTLANDS LÄN</t>
        </is>
      </c>
      <c r="E375" t="inlineStr">
        <is>
          <t>GOTLAND</t>
        </is>
      </c>
      <c r="F375" t="inlineStr">
        <is>
          <t>Kyrkan</t>
        </is>
      </c>
      <c r="G375" t="n">
        <v>3.1</v>
      </c>
      <c r="H375" t="n">
        <v>0</v>
      </c>
      <c r="I375" t="n">
        <v>0</v>
      </c>
      <c r="J375" t="n">
        <v>0</v>
      </c>
      <c r="K375" t="n">
        <v>0</v>
      </c>
      <c r="L375" t="n">
        <v>0</v>
      </c>
      <c r="M375" t="n">
        <v>0</v>
      </c>
      <c r="N375" t="n">
        <v>0</v>
      </c>
      <c r="O375" t="n">
        <v>0</v>
      </c>
      <c r="P375" t="n">
        <v>0</v>
      </c>
      <c r="Q375" t="n">
        <v>0</v>
      </c>
      <c r="R375" s="2" t="inlineStr"/>
    </row>
    <row r="376" ht="15" customHeight="1">
      <c r="A376" t="inlineStr">
        <is>
          <t>A 49730-2025</t>
        </is>
      </c>
      <c r="B376" s="1" t="n">
        <v>45939.87613425926</v>
      </c>
      <c r="C376" s="1" t="n">
        <v>46090</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10746-2025</t>
        </is>
      </c>
      <c r="B377" s="1" t="n">
        <v>45722.42766203704</v>
      </c>
      <c r="C377" s="1" t="n">
        <v>46090</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50421-2025</t>
        </is>
      </c>
      <c r="B378" s="1" t="n">
        <v>45944.66049768519</v>
      </c>
      <c r="C378" s="1" t="n">
        <v>46090</v>
      </c>
      <c r="D378" t="inlineStr">
        <is>
          <t>GOTLANDS LÄN</t>
        </is>
      </c>
      <c r="E378" t="inlineStr">
        <is>
          <t>GOTLAND</t>
        </is>
      </c>
      <c r="G378" t="n">
        <v>3.9</v>
      </c>
      <c r="H378" t="n">
        <v>0</v>
      </c>
      <c r="I378" t="n">
        <v>0</v>
      </c>
      <c r="J378" t="n">
        <v>0</v>
      </c>
      <c r="K378" t="n">
        <v>0</v>
      </c>
      <c r="L378" t="n">
        <v>0</v>
      </c>
      <c r="M378" t="n">
        <v>0</v>
      </c>
      <c r="N378" t="n">
        <v>0</v>
      </c>
      <c r="O378" t="n">
        <v>0</v>
      </c>
      <c r="P378" t="n">
        <v>0</v>
      </c>
      <c r="Q378" t="n">
        <v>0</v>
      </c>
      <c r="R378" s="2" t="inlineStr"/>
    </row>
    <row r="379" ht="15" customHeight="1">
      <c r="A379" t="inlineStr">
        <is>
          <t>A 50431-2025</t>
        </is>
      </c>
      <c r="B379" s="1" t="n">
        <v>45944.68453703704</v>
      </c>
      <c r="C379" s="1" t="n">
        <v>46090</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30488-2025</t>
        </is>
      </c>
      <c r="B380" s="1" t="n">
        <v>45830</v>
      </c>
      <c r="C380" s="1" t="n">
        <v>46090</v>
      </c>
      <c r="D380" t="inlineStr">
        <is>
          <t>GOTLANDS LÄN</t>
        </is>
      </c>
      <c r="E380" t="inlineStr">
        <is>
          <t>GOTLAND</t>
        </is>
      </c>
      <c r="F380" t="inlineStr">
        <is>
          <t>Kyrkan</t>
        </is>
      </c>
      <c r="G380" t="n">
        <v>3.9</v>
      </c>
      <c r="H380" t="n">
        <v>0</v>
      </c>
      <c r="I380" t="n">
        <v>0</v>
      </c>
      <c r="J380" t="n">
        <v>0</v>
      </c>
      <c r="K380" t="n">
        <v>0</v>
      </c>
      <c r="L380" t="n">
        <v>0</v>
      </c>
      <c r="M380" t="n">
        <v>0</v>
      </c>
      <c r="N380" t="n">
        <v>0</v>
      </c>
      <c r="O380" t="n">
        <v>0</v>
      </c>
      <c r="P380" t="n">
        <v>0</v>
      </c>
      <c r="Q380" t="n">
        <v>0</v>
      </c>
      <c r="R380" s="2" t="inlineStr"/>
    </row>
    <row r="381" ht="15" customHeight="1">
      <c r="A381" t="inlineStr">
        <is>
          <t>A 15216-2025</t>
        </is>
      </c>
      <c r="B381" s="1" t="n">
        <v>45744</v>
      </c>
      <c r="C381" s="1" t="n">
        <v>46090</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15001-2025</t>
        </is>
      </c>
      <c r="B382" s="1" t="n">
        <v>45743</v>
      </c>
      <c r="C382" s="1" t="n">
        <v>46090</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63105-2025</t>
        </is>
      </c>
      <c r="B383" s="1" t="n">
        <v>46009</v>
      </c>
      <c r="C383" s="1" t="n">
        <v>46090</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43790-2024</t>
        </is>
      </c>
      <c r="B384" s="1" t="n">
        <v>45571</v>
      </c>
      <c r="C384" s="1" t="n">
        <v>46090</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63152-2025</t>
        </is>
      </c>
      <c r="B385" s="1" t="n">
        <v>46010</v>
      </c>
      <c r="C385" s="1" t="n">
        <v>46090</v>
      </c>
      <c r="D385" t="inlineStr">
        <is>
          <t>GOTLANDS LÄN</t>
        </is>
      </c>
      <c r="E385" t="inlineStr">
        <is>
          <t>GOTLAND</t>
        </is>
      </c>
      <c r="G385" t="n">
        <v>1.5</v>
      </c>
      <c r="H385" t="n">
        <v>0</v>
      </c>
      <c r="I385" t="n">
        <v>0</v>
      </c>
      <c r="J385" t="n">
        <v>0</v>
      </c>
      <c r="K385" t="n">
        <v>0</v>
      </c>
      <c r="L385" t="n">
        <v>0</v>
      </c>
      <c r="M385" t="n">
        <v>0</v>
      </c>
      <c r="N385" t="n">
        <v>0</v>
      </c>
      <c r="O385" t="n">
        <v>0</v>
      </c>
      <c r="P385" t="n">
        <v>0</v>
      </c>
      <c r="Q385" t="n">
        <v>0</v>
      </c>
      <c r="R385" s="2" t="inlineStr"/>
    </row>
    <row r="386" ht="15" customHeight="1">
      <c r="A386" t="inlineStr">
        <is>
          <t>A 17847-2025</t>
        </is>
      </c>
      <c r="B386" s="1" t="n">
        <v>45758</v>
      </c>
      <c r="C386" s="1" t="n">
        <v>46090</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18742-2025</t>
        </is>
      </c>
      <c r="B387" s="1" t="n">
        <v>45763</v>
      </c>
      <c r="C387" s="1" t="n">
        <v>46090</v>
      </c>
      <c r="D387" t="inlineStr">
        <is>
          <t>GOTLANDS LÄN</t>
        </is>
      </c>
      <c r="E387" t="inlineStr">
        <is>
          <t>GOTLAND</t>
        </is>
      </c>
      <c r="G387" t="n">
        <v>3.4</v>
      </c>
      <c r="H387" t="n">
        <v>0</v>
      </c>
      <c r="I387" t="n">
        <v>0</v>
      </c>
      <c r="J387" t="n">
        <v>0</v>
      </c>
      <c r="K387" t="n">
        <v>0</v>
      </c>
      <c r="L387" t="n">
        <v>0</v>
      </c>
      <c r="M387" t="n">
        <v>0</v>
      </c>
      <c r="N387" t="n">
        <v>0</v>
      </c>
      <c r="O387" t="n">
        <v>0</v>
      </c>
      <c r="P387" t="n">
        <v>0</v>
      </c>
      <c r="Q387" t="n">
        <v>0</v>
      </c>
      <c r="R387" s="2" t="inlineStr"/>
    </row>
    <row r="388" ht="15" customHeight="1">
      <c r="A388" t="inlineStr">
        <is>
          <t>A 35129-2025</t>
        </is>
      </c>
      <c r="B388" s="1" t="n">
        <v>45852.63224537037</v>
      </c>
      <c r="C388" s="1" t="n">
        <v>46090</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43229-2023</t>
        </is>
      </c>
      <c r="B389" s="1" t="n">
        <v>45183.46704861111</v>
      </c>
      <c r="C389" s="1" t="n">
        <v>46090</v>
      </c>
      <c r="D389" t="inlineStr">
        <is>
          <t>GOTLANDS LÄN</t>
        </is>
      </c>
      <c r="E389" t="inlineStr">
        <is>
          <t>GOTLAND</t>
        </is>
      </c>
      <c r="G389" t="n">
        <v>7.1</v>
      </c>
      <c r="H389" t="n">
        <v>0</v>
      </c>
      <c r="I389" t="n">
        <v>0</v>
      </c>
      <c r="J389" t="n">
        <v>0</v>
      </c>
      <c r="K389" t="n">
        <v>0</v>
      </c>
      <c r="L389" t="n">
        <v>0</v>
      </c>
      <c r="M389" t="n">
        <v>0</v>
      </c>
      <c r="N389" t="n">
        <v>0</v>
      </c>
      <c r="O389" t="n">
        <v>0</v>
      </c>
      <c r="P389" t="n">
        <v>0</v>
      </c>
      <c r="Q389" t="n">
        <v>0</v>
      </c>
      <c r="R389" s="2" t="inlineStr"/>
    </row>
    <row r="390" ht="15" customHeight="1">
      <c r="A390" t="inlineStr">
        <is>
          <t>A 41038-2023</t>
        </is>
      </c>
      <c r="B390" s="1" t="n">
        <v>45173.60959490741</v>
      </c>
      <c r="C390" s="1" t="n">
        <v>46090</v>
      </c>
      <c r="D390" t="inlineStr">
        <is>
          <t>GOTLANDS LÄN</t>
        </is>
      </c>
      <c r="E390" t="inlineStr">
        <is>
          <t>GOTLAND</t>
        </is>
      </c>
      <c r="G390" t="n">
        <v>2.7</v>
      </c>
      <c r="H390" t="n">
        <v>0</v>
      </c>
      <c r="I390" t="n">
        <v>0</v>
      </c>
      <c r="J390" t="n">
        <v>0</v>
      </c>
      <c r="K390" t="n">
        <v>0</v>
      </c>
      <c r="L390" t="n">
        <v>0</v>
      </c>
      <c r="M390" t="n">
        <v>0</v>
      </c>
      <c r="N390" t="n">
        <v>0</v>
      </c>
      <c r="O390" t="n">
        <v>0</v>
      </c>
      <c r="P390" t="n">
        <v>0</v>
      </c>
      <c r="Q390" t="n">
        <v>0</v>
      </c>
      <c r="R390" s="2" t="inlineStr"/>
    </row>
    <row r="391" ht="15" customHeight="1">
      <c r="A391" t="inlineStr">
        <is>
          <t>A 50928-2025</t>
        </is>
      </c>
      <c r="B391" s="1" t="n">
        <v>45946.67896990741</v>
      </c>
      <c r="C391" s="1" t="n">
        <v>46090</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51262-2025</t>
        </is>
      </c>
      <c r="B392" s="1" t="n">
        <v>45949.49872685185</v>
      </c>
      <c r="C392" s="1" t="n">
        <v>46090</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24966-2023</t>
        </is>
      </c>
      <c r="B393" s="1" t="n">
        <v>45085</v>
      </c>
      <c r="C393" s="1" t="n">
        <v>46090</v>
      </c>
      <c r="D393" t="inlineStr">
        <is>
          <t>GOTLANDS LÄN</t>
        </is>
      </c>
      <c r="E393" t="inlineStr">
        <is>
          <t>GOTLAND</t>
        </is>
      </c>
      <c r="G393" t="n">
        <v>7</v>
      </c>
      <c r="H393" t="n">
        <v>0</v>
      </c>
      <c r="I393" t="n">
        <v>0</v>
      </c>
      <c r="J393" t="n">
        <v>0</v>
      </c>
      <c r="K393" t="n">
        <v>0</v>
      </c>
      <c r="L393" t="n">
        <v>0</v>
      </c>
      <c r="M393" t="n">
        <v>0</v>
      </c>
      <c r="N393" t="n">
        <v>0</v>
      </c>
      <c r="O393" t="n">
        <v>0</v>
      </c>
      <c r="P393" t="n">
        <v>0</v>
      </c>
      <c r="Q393" t="n">
        <v>0</v>
      </c>
      <c r="R393" s="2" t="inlineStr"/>
    </row>
    <row r="394" ht="15" customHeight="1">
      <c r="A394" t="inlineStr">
        <is>
          <t>A 57652-2023</t>
        </is>
      </c>
      <c r="B394" s="1" t="n">
        <v>45246</v>
      </c>
      <c r="C394" s="1" t="n">
        <v>46090</v>
      </c>
      <c r="D394" t="inlineStr">
        <is>
          <t>GOTLANDS LÄN</t>
        </is>
      </c>
      <c r="E394" t="inlineStr">
        <is>
          <t>GOTLAND</t>
        </is>
      </c>
      <c r="G394" t="n">
        <v>7.2</v>
      </c>
      <c r="H394" t="n">
        <v>0</v>
      </c>
      <c r="I394" t="n">
        <v>0</v>
      </c>
      <c r="J394" t="n">
        <v>0</v>
      </c>
      <c r="K394" t="n">
        <v>0</v>
      </c>
      <c r="L394" t="n">
        <v>0</v>
      </c>
      <c r="M394" t="n">
        <v>0</v>
      </c>
      <c r="N394" t="n">
        <v>0</v>
      </c>
      <c r="O394" t="n">
        <v>0</v>
      </c>
      <c r="P394" t="n">
        <v>0</v>
      </c>
      <c r="Q394" t="n">
        <v>0</v>
      </c>
      <c r="R394" s="2" t="inlineStr"/>
    </row>
    <row r="395" ht="15" customHeight="1">
      <c r="A395" t="inlineStr">
        <is>
          <t>A 52249-2025</t>
        </is>
      </c>
      <c r="B395" s="1" t="n">
        <v>45953.48637731482</v>
      </c>
      <c r="C395" s="1" t="n">
        <v>46090</v>
      </c>
      <c r="D395" t="inlineStr">
        <is>
          <t>GOTLANDS LÄN</t>
        </is>
      </c>
      <c r="E395" t="inlineStr">
        <is>
          <t>GOTLAND</t>
        </is>
      </c>
      <c r="F395" t="inlineStr">
        <is>
          <t>Övriga Aktiebolag</t>
        </is>
      </c>
      <c r="G395" t="n">
        <v>1</v>
      </c>
      <c r="H395" t="n">
        <v>0</v>
      </c>
      <c r="I395" t="n">
        <v>0</v>
      </c>
      <c r="J395" t="n">
        <v>0</v>
      </c>
      <c r="K395" t="n">
        <v>0</v>
      </c>
      <c r="L395" t="n">
        <v>0</v>
      </c>
      <c r="M395" t="n">
        <v>0</v>
      </c>
      <c r="N395" t="n">
        <v>0</v>
      </c>
      <c r="O395" t="n">
        <v>0</v>
      </c>
      <c r="P395" t="n">
        <v>0</v>
      </c>
      <c r="Q395" t="n">
        <v>0</v>
      </c>
      <c r="R395" s="2" t="inlineStr"/>
    </row>
    <row r="396" ht="15" customHeight="1">
      <c r="A396" t="inlineStr">
        <is>
          <t>A 30489-2025</t>
        </is>
      </c>
      <c r="B396" s="1" t="n">
        <v>45830</v>
      </c>
      <c r="C396" s="1" t="n">
        <v>46090</v>
      </c>
      <c r="D396" t="inlineStr">
        <is>
          <t>GOTLANDS LÄN</t>
        </is>
      </c>
      <c r="E396" t="inlineStr">
        <is>
          <t>GOTLAND</t>
        </is>
      </c>
      <c r="G396" t="n">
        <v>4.6</v>
      </c>
      <c r="H396" t="n">
        <v>0</v>
      </c>
      <c r="I396" t="n">
        <v>0</v>
      </c>
      <c r="J396" t="n">
        <v>0</v>
      </c>
      <c r="K396" t="n">
        <v>0</v>
      </c>
      <c r="L396" t="n">
        <v>0</v>
      </c>
      <c r="M396" t="n">
        <v>0</v>
      </c>
      <c r="N396" t="n">
        <v>0</v>
      </c>
      <c r="O396" t="n">
        <v>0</v>
      </c>
      <c r="P396" t="n">
        <v>0</v>
      </c>
      <c r="Q396" t="n">
        <v>0</v>
      </c>
      <c r="R396" s="2" t="inlineStr"/>
    </row>
    <row r="397" ht="15" customHeight="1">
      <c r="A397" t="inlineStr">
        <is>
          <t>A 46189-2022</t>
        </is>
      </c>
      <c r="B397" s="1" t="n">
        <v>44847</v>
      </c>
      <c r="C397" s="1" t="n">
        <v>46090</v>
      </c>
      <c r="D397" t="inlineStr">
        <is>
          <t>GOTLANDS LÄN</t>
        </is>
      </c>
      <c r="E397" t="inlineStr">
        <is>
          <t>GOTLAND</t>
        </is>
      </c>
      <c r="G397" t="n">
        <v>0.4</v>
      </c>
      <c r="H397" t="n">
        <v>0</v>
      </c>
      <c r="I397" t="n">
        <v>0</v>
      </c>
      <c r="J397" t="n">
        <v>0</v>
      </c>
      <c r="K397" t="n">
        <v>0</v>
      </c>
      <c r="L397" t="n">
        <v>0</v>
      </c>
      <c r="M397" t="n">
        <v>0</v>
      </c>
      <c r="N397" t="n">
        <v>0</v>
      </c>
      <c r="O397" t="n">
        <v>0</v>
      </c>
      <c r="P397" t="n">
        <v>0</v>
      </c>
      <c r="Q397" t="n">
        <v>0</v>
      </c>
      <c r="R397" s="2" t="inlineStr"/>
    </row>
    <row r="398" ht="15" customHeight="1">
      <c r="A398" t="inlineStr">
        <is>
          <t>A 21142-2025</t>
        </is>
      </c>
      <c r="B398" s="1" t="n">
        <v>45779</v>
      </c>
      <c r="C398" s="1" t="n">
        <v>46090</v>
      </c>
      <c r="D398" t="inlineStr">
        <is>
          <t>GOTLANDS LÄN</t>
        </is>
      </c>
      <c r="E398" t="inlineStr">
        <is>
          <t>GOTLAND</t>
        </is>
      </c>
      <c r="G398" t="n">
        <v>1.3</v>
      </c>
      <c r="H398" t="n">
        <v>0</v>
      </c>
      <c r="I398" t="n">
        <v>0</v>
      </c>
      <c r="J398" t="n">
        <v>0</v>
      </c>
      <c r="K398" t="n">
        <v>0</v>
      </c>
      <c r="L398" t="n">
        <v>0</v>
      </c>
      <c r="M398" t="n">
        <v>0</v>
      </c>
      <c r="N398" t="n">
        <v>0</v>
      </c>
      <c r="O398" t="n">
        <v>0</v>
      </c>
      <c r="P398" t="n">
        <v>0</v>
      </c>
      <c r="Q398" t="n">
        <v>0</v>
      </c>
      <c r="R398" s="2" t="inlineStr"/>
    </row>
    <row r="399" ht="15" customHeight="1">
      <c r="A399" t="inlineStr">
        <is>
          <t>A 6108-2025</t>
        </is>
      </c>
      <c r="B399" s="1" t="n">
        <v>45698.29880787037</v>
      </c>
      <c r="C399" s="1" t="n">
        <v>46090</v>
      </c>
      <c r="D399" t="inlineStr">
        <is>
          <t>GOTLANDS LÄN</t>
        </is>
      </c>
      <c r="E399" t="inlineStr">
        <is>
          <t>GOTLAND</t>
        </is>
      </c>
      <c r="G399" t="n">
        <v>2.8</v>
      </c>
      <c r="H399" t="n">
        <v>0</v>
      </c>
      <c r="I399" t="n">
        <v>0</v>
      </c>
      <c r="J399" t="n">
        <v>0</v>
      </c>
      <c r="K399" t="n">
        <v>0</v>
      </c>
      <c r="L399" t="n">
        <v>0</v>
      </c>
      <c r="M399" t="n">
        <v>0</v>
      </c>
      <c r="N399" t="n">
        <v>0</v>
      </c>
      <c r="O399" t="n">
        <v>0</v>
      </c>
      <c r="P399" t="n">
        <v>0</v>
      </c>
      <c r="Q399" t="n">
        <v>0</v>
      </c>
      <c r="R399" s="2" t="inlineStr"/>
    </row>
    <row r="400" ht="15" customHeight="1">
      <c r="A400" t="inlineStr">
        <is>
          <t>A 57522-2022</t>
        </is>
      </c>
      <c r="B400" s="1" t="n">
        <v>44896</v>
      </c>
      <c r="C400" s="1" t="n">
        <v>46090</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52637-2025</t>
        </is>
      </c>
      <c r="B401" s="1" t="n">
        <v>45954.75099537037</v>
      </c>
      <c r="C401" s="1" t="n">
        <v>46090</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14797-2024</t>
        </is>
      </c>
      <c r="B402" s="1" t="n">
        <v>45397.87030092593</v>
      </c>
      <c r="C402" s="1" t="n">
        <v>46090</v>
      </c>
      <c r="D402" t="inlineStr">
        <is>
          <t>GOTLANDS LÄN</t>
        </is>
      </c>
      <c r="E402" t="inlineStr">
        <is>
          <t>GOTLAND</t>
        </is>
      </c>
      <c r="G402" t="n">
        <v>8.1</v>
      </c>
      <c r="H402" t="n">
        <v>0</v>
      </c>
      <c r="I402" t="n">
        <v>0</v>
      </c>
      <c r="J402" t="n">
        <v>0</v>
      </c>
      <c r="K402" t="n">
        <v>0</v>
      </c>
      <c r="L402" t="n">
        <v>0</v>
      </c>
      <c r="M402" t="n">
        <v>0</v>
      </c>
      <c r="N402" t="n">
        <v>0</v>
      </c>
      <c r="O402" t="n">
        <v>0</v>
      </c>
      <c r="P402" t="n">
        <v>0</v>
      </c>
      <c r="Q402" t="n">
        <v>0</v>
      </c>
      <c r="R402" s="2" t="inlineStr"/>
    </row>
    <row r="403" ht="15" customHeight="1">
      <c r="A403" t="inlineStr">
        <is>
          <t>A 17343-2025</t>
        </is>
      </c>
      <c r="B403" s="1" t="n">
        <v>45756.6687037037</v>
      </c>
      <c r="C403" s="1" t="n">
        <v>46090</v>
      </c>
      <c r="D403" t="inlineStr">
        <is>
          <t>GOTLANDS LÄN</t>
        </is>
      </c>
      <c r="E403" t="inlineStr">
        <is>
          <t>GOTLAND</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18938-2025</t>
        </is>
      </c>
      <c r="B404" s="1" t="n">
        <v>45764.49172453704</v>
      </c>
      <c r="C404" s="1" t="n">
        <v>46090</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20307-2025</t>
        </is>
      </c>
      <c r="B405" s="1" t="n">
        <v>45774.95546296296</v>
      </c>
      <c r="C405" s="1" t="n">
        <v>46090</v>
      </c>
      <c r="D405" t="inlineStr">
        <is>
          <t>GOTLANDS LÄN</t>
        </is>
      </c>
      <c r="E405" t="inlineStr">
        <is>
          <t>GOTLAND</t>
        </is>
      </c>
      <c r="G405" t="n">
        <v>6.8</v>
      </c>
      <c r="H405" t="n">
        <v>0</v>
      </c>
      <c r="I405" t="n">
        <v>0</v>
      </c>
      <c r="J405" t="n">
        <v>0</v>
      </c>
      <c r="K405" t="n">
        <v>0</v>
      </c>
      <c r="L405" t="n">
        <v>0</v>
      </c>
      <c r="M405" t="n">
        <v>0</v>
      </c>
      <c r="N405" t="n">
        <v>0</v>
      </c>
      <c r="O405" t="n">
        <v>0</v>
      </c>
      <c r="P405" t="n">
        <v>0</v>
      </c>
      <c r="Q405" t="n">
        <v>0</v>
      </c>
      <c r="R405" s="2" t="inlineStr"/>
    </row>
    <row r="406" ht="15" customHeight="1">
      <c r="A406" t="inlineStr">
        <is>
          <t>A 9519-2026</t>
        </is>
      </c>
      <c r="B406" s="1" t="n">
        <v>46071.59820601852</v>
      </c>
      <c r="C406" s="1" t="n">
        <v>46090</v>
      </c>
      <c r="D406" t="inlineStr">
        <is>
          <t>GOTLANDS LÄN</t>
        </is>
      </c>
      <c r="E406" t="inlineStr">
        <is>
          <t>GOTLAND</t>
        </is>
      </c>
      <c r="G406" t="n">
        <v>4</v>
      </c>
      <c r="H406" t="n">
        <v>0</v>
      </c>
      <c r="I406" t="n">
        <v>0</v>
      </c>
      <c r="J406" t="n">
        <v>0</v>
      </c>
      <c r="K406" t="n">
        <v>0</v>
      </c>
      <c r="L406" t="n">
        <v>0</v>
      </c>
      <c r="M406" t="n">
        <v>0</v>
      </c>
      <c r="N406" t="n">
        <v>0</v>
      </c>
      <c r="O406" t="n">
        <v>0</v>
      </c>
      <c r="P406" t="n">
        <v>0</v>
      </c>
      <c r="Q406" t="n">
        <v>0</v>
      </c>
      <c r="R406" s="2" t="inlineStr"/>
    </row>
    <row r="407" ht="15" customHeight="1">
      <c r="A407" t="inlineStr">
        <is>
          <t>A 7837-2024</t>
        </is>
      </c>
      <c r="B407" s="1" t="n">
        <v>45349.83787037037</v>
      </c>
      <c r="C407" s="1" t="n">
        <v>46090</v>
      </c>
      <c r="D407" t="inlineStr">
        <is>
          <t>GOTLANDS LÄN</t>
        </is>
      </c>
      <c r="E407" t="inlineStr">
        <is>
          <t>GOTLAND</t>
        </is>
      </c>
      <c r="G407" t="n">
        <v>5</v>
      </c>
      <c r="H407" t="n">
        <v>0</v>
      </c>
      <c r="I407" t="n">
        <v>0</v>
      </c>
      <c r="J407" t="n">
        <v>0</v>
      </c>
      <c r="K407" t="n">
        <v>0</v>
      </c>
      <c r="L407" t="n">
        <v>0</v>
      </c>
      <c r="M407" t="n">
        <v>0</v>
      </c>
      <c r="N407" t="n">
        <v>0</v>
      </c>
      <c r="O407" t="n">
        <v>0</v>
      </c>
      <c r="P407" t="n">
        <v>0</v>
      </c>
      <c r="Q407" t="n">
        <v>0</v>
      </c>
      <c r="R407" s="2" t="inlineStr"/>
    </row>
    <row r="408" ht="15" customHeight="1">
      <c r="A408" t="inlineStr">
        <is>
          <t>A 9521-2026</t>
        </is>
      </c>
      <c r="B408" s="1" t="n">
        <v>46071.59969907408</v>
      </c>
      <c r="C408" s="1" t="n">
        <v>46090</v>
      </c>
      <c r="D408" t="inlineStr">
        <is>
          <t>GOTLANDS LÄN</t>
        </is>
      </c>
      <c r="E408" t="inlineStr">
        <is>
          <t>GOTLAND</t>
        </is>
      </c>
      <c r="G408" t="n">
        <v>3.9</v>
      </c>
      <c r="H408" t="n">
        <v>0</v>
      </c>
      <c r="I408" t="n">
        <v>0</v>
      </c>
      <c r="J408" t="n">
        <v>0</v>
      </c>
      <c r="K408" t="n">
        <v>0</v>
      </c>
      <c r="L408" t="n">
        <v>0</v>
      </c>
      <c r="M408" t="n">
        <v>0</v>
      </c>
      <c r="N408" t="n">
        <v>0</v>
      </c>
      <c r="O408" t="n">
        <v>0</v>
      </c>
      <c r="P408" t="n">
        <v>0</v>
      </c>
      <c r="Q408" t="n">
        <v>0</v>
      </c>
      <c r="R408" s="2" t="inlineStr"/>
    </row>
    <row r="409" ht="15" customHeight="1">
      <c r="A409" t="inlineStr">
        <is>
          <t>A 1394-2023</t>
        </is>
      </c>
      <c r="B409" s="1" t="n">
        <v>44936.72997685185</v>
      </c>
      <c r="C409" s="1" t="n">
        <v>46090</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2676-2023</t>
        </is>
      </c>
      <c r="B410" s="1" t="n">
        <v>44944</v>
      </c>
      <c r="C410" s="1" t="n">
        <v>46090</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4387-2023</t>
        </is>
      </c>
      <c r="B411" s="1" t="n">
        <v>44955.73359953704</v>
      </c>
      <c r="C411" s="1" t="n">
        <v>46090</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9504-2026</t>
        </is>
      </c>
      <c r="B412" s="1" t="n">
        <v>46071.57730324074</v>
      </c>
      <c r="C412" s="1" t="n">
        <v>46090</v>
      </c>
      <c r="D412" t="inlineStr">
        <is>
          <t>GOTLANDS LÄN</t>
        </is>
      </c>
      <c r="E412" t="inlineStr">
        <is>
          <t>GOTLAND</t>
        </is>
      </c>
      <c r="G412" t="n">
        <v>0.6</v>
      </c>
      <c r="H412" t="n">
        <v>0</v>
      </c>
      <c r="I412" t="n">
        <v>0</v>
      </c>
      <c r="J412" t="n">
        <v>0</v>
      </c>
      <c r="K412" t="n">
        <v>0</v>
      </c>
      <c r="L412" t="n">
        <v>0</v>
      </c>
      <c r="M412" t="n">
        <v>0</v>
      </c>
      <c r="N412" t="n">
        <v>0</v>
      </c>
      <c r="O412" t="n">
        <v>0</v>
      </c>
      <c r="P412" t="n">
        <v>0</v>
      </c>
      <c r="Q412" t="n">
        <v>0</v>
      </c>
      <c r="R412" s="2" t="inlineStr"/>
    </row>
    <row r="413" ht="15" customHeight="1">
      <c r="A413" t="inlineStr">
        <is>
          <t>A 9540-2026</t>
        </is>
      </c>
      <c r="B413" s="1" t="n">
        <v>46071.61961805556</v>
      </c>
      <c r="C413" s="1" t="n">
        <v>46090</v>
      </c>
      <c r="D413" t="inlineStr">
        <is>
          <t>GOTLANDS LÄN</t>
        </is>
      </c>
      <c r="E413" t="inlineStr">
        <is>
          <t>GOTLAND</t>
        </is>
      </c>
      <c r="G413" t="n">
        <v>2.8</v>
      </c>
      <c r="H413" t="n">
        <v>0</v>
      </c>
      <c r="I413" t="n">
        <v>0</v>
      </c>
      <c r="J413" t="n">
        <v>0</v>
      </c>
      <c r="K413" t="n">
        <v>0</v>
      </c>
      <c r="L413" t="n">
        <v>0</v>
      </c>
      <c r="M413" t="n">
        <v>0</v>
      </c>
      <c r="N413" t="n">
        <v>0</v>
      </c>
      <c r="O413" t="n">
        <v>0</v>
      </c>
      <c r="P413" t="n">
        <v>0</v>
      </c>
      <c r="Q413" t="n">
        <v>0</v>
      </c>
      <c r="R413" s="2" t="inlineStr"/>
    </row>
    <row r="414" ht="15" customHeight="1">
      <c r="A414" t="inlineStr">
        <is>
          <t>A 18993-2025</t>
        </is>
      </c>
      <c r="B414" s="1" t="n">
        <v>45764</v>
      </c>
      <c r="C414" s="1" t="n">
        <v>46090</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30135-2025</t>
        </is>
      </c>
      <c r="B415" s="1" t="n">
        <v>45826</v>
      </c>
      <c r="C415" s="1" t="n">
        <v>46090</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53577-2025</t>
        </is>
      </c>
      <c r="B416" s="1" t="n">
        <v>45960.42224537037</v>
      </c>
      <c r="C416" s="1" t="n">
        <v>46090</v>
      </c>
      <c r="D416" t="inlineStr">
        <is>
          <t>GOTLANDS LÄN</t>
        </is>
      </c>
      <c r="E416" t="inlineStr">
        <is>
          <t>GOTLAND</t>
        </is>
      </c>
      <c r="F416" t="inlineStr">
        <is>
          <t>Övriga Aktiebolag</t>
        </is>
      </c>
      <c r="G416" t="n">
        <v>3.3</v>
      </c>
      <c r="H416" t="n">
        <v>0</v>
      </c>
      <c r="I416" t="n">
        <v>0</v>
      </c>
      <c r="J416" t="n">
        <v>0</v>
      </c>
      <c r="K416" t="n">
        <v>0</v>
      </c>
      <c r="L416" t="n">
        <v>0</v>
      </c>
      <c r="M416" t="n">
        <v>0</v>
      </c>
      <c r="N416" t="n">
        <v>0</v>
      </c>
      <c r="O416" t="n">
        <v>0</v>
      </c>
      <c r="P416" t="n">
        <v>0</v>
      </c>
      <c r="Q416" t="n">
        <v>0</v>
      </c>
      <c r="R416" s="2" t="inlineStr"/>
    </row>
    <row r="417" ht="15" customHeight="1">
      <c r="A417" t="inlineStr">
        <is>
          <t>A 49411-2023</t>
        </is>
      </c>
      <c r="B417" s="1" t="n">
        <v>45205</v>
      </c>
      <c r="C417" s="1" t="n">
        <v>46090</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37728-2024</t>
        </is>
      </c>
      <c r="B418" s="1" t="n">
        <v>45541</v>
      </c>
      <c r="C418" s="1" t="n">
        <v>46090</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1355-2026</t>
        </is>
      </c>
      <c r="B419" s="1" t="n">
        <v>46031.59909722222</v>
      </c>
      <c r="C419" s="1" t="n">
        <v>46090</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53569-2025</t>
        </is>
      </c>
      <c r="B420" s="1" t="n">
        <v>45960.41155092593</v>
      </c>
      <c r="C420" s="1" t="n">
        <v>46090</v>
      </c>
      <c r="D420" t="inlineStr">
        <is>
          <t>GOTLANDS LÄN</t>
        </is>
      </c>
      <c r="E420" t="inlineStr">
        <is>
          <t>GOTLAND</t>
        </is>
      </c>
      <c r="F420" t="inlineStr">
        <is>
          <t>Övriga Aktiebolag</t>
        </is>
      </c>
      <c r="G420" t="n">
        <v>11.3</v>
      </c>
      <c r="H420" t="n">
        <v>0</v>
      </c>
      <c r="I420" t="n">
        <v>0</v>
      </c>
      <c r="J420" t="n">
        <v>0</v>
      </c>
      <c r="K420" t="n">
        <v>0</v>
      </c>
      <c r="L420" t="n">
        <v>0</v>
      </c>
      <c r="M420" t="n">
        <v>0</v>
      </c>
      <c r="N420" t="n">
        <v>0</v>
      </c>
      <c r="O420" t="n">
        <v>0</v>
      </c>
      <c r="P420" t="n">
        <v>0</v>
      </c>
      <c r="Q420" t="n">
        <v>0</v>
      </c>
      <c r="R420" s="2" t="inlineStr"/>
    </row>
    <row r="421" ht="15" customHeight="1">
      <c r="A421" t="inlineStr">
        <is>
          <t>A 2241-2025</t>
        </is>
      </c>
      <c r="B421" s="1" t="n">
        <v>45673.48710648148</v>
      </c>
      <c r="C421" s="1" t="n">
        <v>46090</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12599-2025</t>
        </is>
      </c>
      <c r="B422" s="1" t="n">
        <v>45733.29546296296</v>
      </c>
      <c r="C422" s="1" t="n">
        <v>46090</v>
      </c>
      <c r="D422" t="inlineStr">
        <is>
          <t>GOTLANDS LÄN</t>
        </is>
      </c>
      <c r="E422" t="inlineStr">
        <is>
          <t>GOTLAND</t>
        </is>
      </c>
      <c r="G422" t="n">
        <v>4.7</v>
      </c>
      <c r="H422" t="n">
        <v>0</v>
      </c>
      <c r="I422" t="n">
        <v>0</v>
      </c>
      <c r="J422" t="n">
        <v>0</v>
      </c>
      <c r="K422" t="n">
        <v>0</v>
      </c>
      <c r="L422" t="n">
        <v>0</v>
      </c>
      <c r="M422" t="n">
        <v>0</v>
      </c>
      <c r="N422" t="n">
        <v>0</v>
      </c>
      <c r="O422" t="n">
        <v>0</v>
      </c>
      <c r="P422" t="n">
        <v>0</v>
      </c>
      <c r="Q422" t="n">
        <v>0</v>
      </c>
      <c r="R422" s="2" t="inlineStr"/>
    </row>
    <row r="423" ht="15" customHeight="1">
      <c r="A423" t="inlineStr">
        <is>
          <t>A 22275-2023</t>
        </is>
      </c>
      <c r="B423" s="1" t="n">
        <v>45070.39875</v>
      </c>
      <c r="C423" s="1" t="n">
        <v>46090</v>
      </c>
      <c r="D423" t="inlineStr">
        <is>
          <t>GOTLANDS LÄN</t>
        </is>
      </c>
      <c r="E423" t="inlineStr">
        <is>
          <t>GOTLAND</t>
        </is>
      </c>
      <c r="G423" t="n">
        <v>7.2</v>
      </c>
      <c r="H423" t="n">
        <v>0</v>
      </c>
      <c r="I423" t="n">
        <v>0</v>
      </c>
      <c r="J423" t="n">
        <v>0</v>
      </c>
      <c r="K423" t="n">
        <v>0</v>
      </c>
      <c r="L423" t="n">
        <v>0</v>
      </c>
      <c r="M423" t="n">
        <v>0</v>
      </c>
      <c r="N423" t="n">
        <v>0</v>
      </c>
      <c r="O423" t="n">
        <v>0</v>
      </c>
      <c r="P423" t="n">
        <v>0</v>
      </c>
      <c r="Q423" t="n">
        <v>0</v>
      </c>
      <c r="R423" s="2" t="inlineStr"/>
    </row>
    <row r="424" ht="15" customHeight="1">
      <c r="A424" t="inlineStr">
        <is>
          <t>A 9901-2026</t>
        </is>
      </c>
      <c r="B424" s="1" t="n">
        <v>46073.40391203704</v>
      </c>
      <c r="C424" s="1" t="n">
        <v>46090</v>
      </c>
      <c r="D424" t="inlineStr">
        <is>
          <t>GOTLANDS LÄN</t>
        </is>
      </c>
      <c r="E424" t="inlineStr">
        <is>
          <t>GOTLAND</t>
        </is>
      </c>
      <c r="F424" t="inlineStr">
        <is>
          <t>Kyrkan</t>
        </is>
      </c>
      <c r="G424" t="n">
        <v>0.9</v>
      </c>
      <c r="H424" t="n">
        <v>0</v>
      </c>
      <c r="I424" t="n">
        <v>0</v>
      </c>
      <c r="J424" t="n">
        <v>0</v>
      </c>
      <c r="K424" t="n">
        <v>0</v>
      </c>
      <c r="L424" t="n">
        <v>0</v>
      </c>
      <c r="M424" t="n">
        <v>0</v>
      </c>
      <c r="N424" t="n">
        <v>0</v>
      </c>
      <c r="O424" t="n">
        <v>0</v>
      </c>
      <c r="P424" t="n">
        <v>0</v>
      </c>
      <c r="Q424" t="n">
        <v>0</v>
      </c>
      <c r="R424" s="2" t="inlineStr"/>
    </row>
    <row r="425" ht="15" customHeight="1">
      <c r="A425" t="inlineStr">
        <is>
          <t>A 14635-2023</t>
        </is>
      </c>
      <c r="B425" s="1" t="n">
        <v>45013.69365740741</v>
      </c>
      <c r="C425" s="1" t="n">
        <v>46090</v>
      </c>
      <c r="D425" t="inlineStr">
        <is>
          <t>GOTLANDS LÄN</t>
        </is>
      </c>
      <c r="E425" t="inlineStr">
        <is>
          <t>GOTLAND</t>
        </is>
      </c>
      <c r="G425" t="n">
        <v>3.1</v>
      </c>
      <c r="H425" t="n">
        <v>0</v>
      </c>
      <c r="I425" t="n">
        <v>0</v>
      </c>
      <c r="J425" t="n">
        <v>0</v>
      </c>
      <c r="K425" t="n">
        <v>0</v>
      </c>
      <c r="L425" t="n">
        <v>0</v>
      </c>
      <c r="M425" t="n">
        <v>0</v>
      </c>
      <c r="N425" t="n">
        <v>0</v>
      </c>
      <c r="O425" t="n">
        <v>0</v>
      </c>
      <c r="P425" t="n">
        <v>0</v>
      </c>
      <c r="Q425" t="n">
        <v>0</v>
      </c>
      <c r="R425" s="2" t="inlineStr"/>
    </row>
    <row r="426" ht="15" customHeight="1">
      <c r="A426" t="inlineStr">
        <is>
          <t>A 63763-2023</t>
        </is>
      </c>
      <c r="B426" s="1" t="n">
        <v>45278.33944444444</v>
      </c>
      <c r="C426" s="1" t="n">
        <v>46090</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7635-2025</t>
        </is>
      </c>
      <c r="B427" s="1" t="n">
        <v>45705</v>
      </c>
      <c r="C427" s="1" t="n">
        <v>46090</v>
      </c>
      <c r="D427" t="inlineStr">
        <is>
          <t>GOTLANDS LÄN</t>
        </is>
      </c>
      <c r="E427" t="inlineStr">
        <is>
          <t>GOTLAND</t>
        </is>
      </c>
      <c r="G427" t="n">
        <v>0.9</v>
      </c>
      <c r="H427" t="n">
        <v>0</v>
      </c>
      <c r="I427" t="n">
        <v>0</v>
      </c>
      <c r="J427" t="n">
        <v>0</v>
      </c>
      <c r="K427" t="n">
        <v>0</v>
      </c>
      <c r="L427" t="n">
        <v>0</v>
      </c>
      <c r="M427" t="n">
        <v>0</v>
      </c>
      <c r="N427" t="n">
        <v>0</v>
      </c>
      <c r="O427" t="n">
        <v>0</v>
      </c>
      <c r="P427" t="n">
        <v>0</v>
      </c>
      <c r="Q427" t="n">
        <v>0</v>
      </c>
      <c r="R427" s="2" t="inlineStr"/>
    </row>
    <row r="428" ht="15" customHeight="1">
      <c r="A428" t="inlineStr">
        <is>
          <t>A 7636-2025</t>
        </is>
      </c>
      <c r="B428" s="1" t="n">
        <v>45705.7687962963</v>
      </c>
      <c r="C428" s="1" t="n">
        <v>46090</v>
      </c>
      <c r="D428" t="inlineStr">
        <is>
          <t>GOTLANDS LÄN</t>
        </is>
      </c>
      <c r="E428" t="inlineStr">
        <is>
          <t>GOTLAND</t>
        </is>
      </c>
      <c r="G428" t="n">
        <v>0.6</v>
      </c>
      <c r="H428" t="n">
        <v>0</v>
      </c>
      <c r="I428" t="n">
        <v>0</v>
      </c>
      <c r="J428" t="n">
        <v>0</v>
      </c>
      <c r="K428" t="n">
        <v>0</v>
      </c>
      <c r="L428" t="n">
        <v>0</v>
      </c>
      <c r="M428" t="n">
        <v>0</v>
      </c>
      <c r="N428" t="n">
        <v>0</v>
      </c>
      <c r="O428" t="n">
        <v>0</v>
      </c>
      <c r="P428" t="n">
        <v>0</v>
      </c>
      <c r="Q428" t="n">
        <v>0</v>
      </c>
      <c r="R428" s="2" t="inlineStr"/>
    </row>
    <row r="429" ht="15" customHeight="1">
      <c r="A429" t="inlineStr">
        <is>
          <t>A 7639-2025</t>
        </is>
      </c>
      <c r="B429" s="1" t="n">
        <v>45705.77465277778</v>
      </c>
      <c r="C429" s="1" t="n">
        <v>46090</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61682-2024</t>
        </is>
      </c>
      <c r="B430" s="1" t="n">
        <v>45647.48824074074</v>
      </c>
      <c r="C430" s="1" t="n">
        <v>46090</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15434-2024</t>
        </is>
      </c>
      <c r="B431" s="1" t="n">
        <v>45401.38836805556</v>
      </c>
      <c r="C431" s="1" t="n">
        <v>46090</v>
      </c>
      <c r="D431" t="inlineStr">
        <is>
          <t>GOTLANDS LÄN</t>
        </is>
      </c>
      <c r="E431" t="inlineStr">
        <is>
          <t>GOTLAND</t>
        </is>
      </c>
      <c r="G431" t="n">
        <v>2.5</v>
      </c>
      <c r="H431" t="n">
        <v>0</v>
      </c>
      <c r="I431" t="n">
        <v>0</v>
      </c>
      <c r="J431" t="n">
        <v>0</v>
      </c>
      <c r="K431" t="n">
        <v>0</v>
      </c>
      <c r="L431" t="n">
        <v>0</v>
      </c>
      <c r="M431" t="n">
        <v>0</v>
      </c>
      <c r="N431" t="n">
        <v>0</v>
      </c>
      <c r="O431" t="n">
        <v>0</v>
      </c>
      <c r="P431" t="n">
        <v>0</v>
      </c>
      <c r="Q431" t="n">
        <v>0</v>
      </c>
      <c r="R431" s="2" t="inlineStr"/>
    </row>
    <row r="432" ht="15" customHeight="1">
      <c r="A432" t="inlineStr">
        <is>
          <t>A 10486-2026</t>
        </is>
      </c>
      <c r="B432" s="1" t="n">
        <v>46077.51425925926</v>
      </c>
      <c r="C432" s="1" t="n">
        <v>46090</v>
      </c>
      <c r="D432" t="inlineStr">
        <is>
          <t>GOTLANDS LÄN</t>
        </is>
      </c>
      <c r="E432" t="inlineStr">
        <is>
          <t>GOTLAND</t>
        </is>
      </c>
      <c r="G432" t="n">
        <v>3.5</v>
      </c>
      <c r="H432" t="n">
        <v>0</v>
      </c>
      <c r="I432" t="n">
        <v>0</v>
      </c>
      <c r="J432" t="n">
        <v>0</v>
      </c>
      <c r="K432" t="n">
        <v>0</v>
      </c>
      <c r="L432" t="n">
        <v>0</v>
      </c>
      <c r="M432" t="n">
        <v>0</v>
      </c>
      <c r="N432" t="n">
        <v>0</v>
      </c>
      <c r="O432" t="n">
        <v>0</v>
      </c>
      <c r="P432" t="n">
        <v>0</v>
      </c>
      <c r="Q432" t="n">
        <v>0</v>
      </c>
      <c r="R432" s="2" t="inlineStr"/>
    </row>
    <row r="433" ht="15" customHeight="1">
      <c r="A433" t="inlineStr">
        <is>
          <t>A 1898-2026</t>
        </is>
      </c>
      <c r="B433" s="1" t="n">
        <v>46035.52024305556</v>
      </c>
      <c r="C433" s="1" t="n">
        <v>46090</v>
      </c>
      <c r="D433" t="inlineStr">
        <is>
          <t>GOTLANDS LÄN</t>
        </is>
      </c>
      <c r="E433" t="inlineStr">
        <is>
          <t>GOTLAND</t>
        </is>
      </c>
      <c r="G433" t="n">
        <v>3.7</v>
      </c>
      <c r="H433" t="n">
        <v>0</v>
      </c>
      <c r="I433" t="n">
        <v>0</v>
      </c>
      <c r="J433" t="n">
        <v>0</v>
      </c>
      <c r="K433" t="n">
        <v>0</v>
      </c>
      <c r="L433" t="n">
        <v>0</v>
      </c>
      <c r="M433" t="n">
        <v>0</v>
      </c>
      <c r="N433" t="n">
        <v>0</v>
      </c>
      <c r="O433" t="n">
        <v>0</v>
      </c>
      <c r="P433" t="n">
        <v>0</v>
      </c>
      <c r="Q433" t="n">
        <v>0</v>
      </c>
      <c r="R433" s="2" t="inlineStr"/>
    </row>
    <row r="434" ht="15" customHeight="1">
      <c r="A434" t="inlineStr">
        <is>
          <t>A 7034-2023</t>
        </is>
      </c>
      <c r="B434" s="1" t="n">
        <v>44968.32108796296</v>
      </c>
      <c r="C434" s="1" t="n">
        <v>46090</v>
      </c>
      <c r="D434" t="inlineStr">
        <is>
          <t>GOTLANDS LÄN</t>
        </is>
      </c>
      <c r="E434" t="inlineStr">
        <is>
          <t>GOTLAND</t>
        </is>
      </c>
      <c r="G434" t="n">
        <v>1.6</v>
      </c>
      <c r="H434" t="n">
        <v>0</v>
      </c>
      <c r="I434" t="n">
        <v>0</v>
      </c>
      <c r="J434" t="n">
        <v>0</v>
      </c>
      <c r="K434" t="n">
        <v>0</v>
      </c>
      <c r="L434" t="n">
        <v>0</v>
      </c>
      <c r="M434" t="n">
        <v>0</v>
      </c>
      <c r="N434" t="n">
        <v>0</v>
      </c>
      <c r="O434" t="n">
        <v>0</v>
      </c>
      <c r="P434" t="n">
        <v>0</v>
      </c>
      <c r="Q434" t="n">
        <v>0</v>
      </c>
      <c r="R434" s="2" t="inlineStr"/>
    </row>
    <row r="435" ht="15" customHeight="1">
      <c r="A435" t="inlineStr">
        <is>
          <t>A 7042-2023</t>
        </is>
      </c>
      <c r="B435" s="1" t="n">
        <v>44968</v>
      </c>
      <c r="C435" s="1" t="n">
        <v>46090</v>
      </c>
      <c r="D435" t="inlineStr">
        <is>
          <t>GOTLANDS LÄN</t>
        </is>
      </c>
      <c r="E435" t="inlineStr">
        <is>
          <t>GOTLAND</t>
        </is>
      </c>
      <c r="G435" t="n">
        <v>0.7</v>
      </c>
      <c r="H435" t="n">
        <v>0</v>
      </c>
      <c r="I435" t="n">
        <v>0</v>
      </c>
      <c r="J435" t="n">
        <v>0</v>
      </c>
      <c r="K435" t="n">
        <v>0</v>
      </c>
      <c r="L435" t="n">
        <v>0</v>
      </c>
      <c r="M435" t="n">
        <v>0</v>
      </c>
      <c r="N435" t="n">
        <v>0</v>
      </c>
      <c r="O435" t="n">
        <v>0</v>
      </c>
      <c r="P435" t="n">
        <v>0</v>
      </c>
      <c r="Q435" t="n">
        <v>0</v>
      </c>
      <c r="R435" s="2" t="inlineStr"/>
    </row>
    <row r="436" ht="15" customHeight="1">
      <c r="A436" t="inlineStr">
        <is>
          <t>A 2180-2025</t>
        </is>
      </c>
      <c r="B436" s="1" t="n">
        <v>45673</v>
      </c>
      <c r="C436" s="1" t="n">
        <v>46090</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54074-2022</t>
        </is>
      </c>
      <c r="B437" s="1" t="n">
        <v>44881</v>
      </c>
      <c r="C437" s="1" t="n">
        <v>46090</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61694-2023</t>
        </is>
      </c>
      <c r="B438" s="1" t="n">
        <v>45264</v>
      </c>
      <c r="C438" s="1" t="n">
        <v>46090</v>
      </c>
      <c r="D438" t="inlineStr">
        <is>
          <t>GOTLANDS LÄN</t>
        </is>
      </c>
      <c r="E438" t="inlineStr">
        <is>
          <t>GOTLAND</t>
        </is>
      </c>
      <c r="G438" t="n">
        <v>4.6</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46090</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54268-2022</t>
        </is>
      </c>
      <c r="B440" s="1" t="n">
        <v>44882</v>
      </c>
      <c r="C440" s="1" t="n">
        <v>46090</v>
      </c>
      <c r="D440" t="inlineStr">
        <is>
          <t>GOTLANDS LÄN</t>
        </is>
      </c>
      <c r="E440" t="inlineStr">
        <is>
          <t>GOTLAND</t>
        </is>
      </c>
      <c r="G440" t="n">
        <v>2.7</v>
      </c>
      <c r="H440" t="n">
        <v>0</v>
      </c>
      <c r="I440" t="n">
        <v>0</v>
      </c>
      <c r="J440" t="n">
        <v>0</v>
      </c>
      <c r="K440" t="n">
        <v>0</v>
      </c>
      <c r="L440" t="n">
        <v>0</v>
      </c>
      <c r="M440" t="n">
        <v>0</v>
      </c>
      <c r="N440" t="n">
        <v>0</v>
      </c>
      <c r="O440" t="n">
        <v>0</v>
      </c>
      <c r="P440" t="n">
        <v>0</v>
      </c>
      <c r="Q440" t="n">
        <v>0</v>
      </c>
      <c r="R440" s="2" t="inlineStr"/>
    </row>
    <row r="441" ht="15" customHeight="1">
      <c r="A441" t="inlineStr">
        <is>
          <t>A 10284-2026</t>
        </is>
      </c>
      <c r="B441" s="1" t="n">
        <v>46076</v>
      </c>
      <c r="C441" s="1" t="n">
        <v>46090</v>
      </c>
      <c r="D441" t="inlineStr">
        <is>
          <t>GOTLANDS LÄN</t>
        </is>
      </c>
      <c r="E441" t="inlineStr">
        <is>
          <t>GOTLAND</t>
        </is>
      </c>
      <c r="G441" t="n">
        <v>5.2</v>
      </c>
      <c r="H441" t="n">
        <v>0</v>
      </c>
      <c r="I441" t="n">
        <v>0</v>
      </c>
      <c r="J441" t="n">
        <v>0</v>
      </c>
      <c r="K441" t="n">
        <v>0</v>
      </c>
      <c r="L441" t="n">
        <v>0</v>
      </c>
      <c r="M441" t="n">
        <v>0</v>
      </c>
      <c r="N441" t="n">
        <v>0</v>
      </c>
      <c r="O441" t="n">
        <v>0</v>
      </c>
      <c r="P441" t="n">
        <v>0</v>
      </c>
      <c r="Q441" t="n">
        <v>0</v>
      </c>
      <c r="R441" s="2" t="inlineStr"/>
    </row>
    <row r="442" ht="15" customHeight="1">
      <c r="A442" t="inlineStr">
        <is>
          <t>A 56688-2025</t>
        </is>
      </c>
      <c r="B442" s="1" t="n">
        <v>45975.84331018518</v>
      </c>
      <c r="C442" s="1" t="n">
        <v>46090</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1446-2025</t>
        </is>
      </c>
      <c r="B443" s="1" t="n">
        <v>45669.86035879629</v>
      </c>
      <c r="C443" s="1" t="n">
        <v>46090</v>
      </c>
      <c r="D443" t="inlineStr">
        <is>
          <t>GOTLANDS LÄN</t>
        </is>
      </c>
      <c r="E443" t="inlineStr">
        <is>
          <t>GOTLAND</t>
        </is>
      </c>
      <c r="G443" t="n">
        <v>3.1</v>
      </c>
      <c r="H443" t="n">
        <v>0</v>
      </c>
      <c r="I443" t="n">
        <v>0</v>
      </c>
      <c r="J443" t="n">
        <v>0</v>
      </c>
      <c r="K443" t="n">
        <v>0</v>
      </c>
      <c r="L443" t="n">
        <v>0</v>
      </c>
      <c r="M443" t="n">
        <v>0</v>
      </c>
      <c r="N443" t="n">
        <v>0</v>
      </c>
      <c r="O443" t="n">
        <v>0</v>
      </c>
      <c r="P443" t="n">
        <v>0</v>
      </c>
      <c r="Q443" t="n">
        <v>0</v>
      </c>
      <c r="R443" s="2" t="inlineStr"/>
    </row>
    <row r="444" ht="15" customHeight="1">
      <c r="A444" t="inlineStr">
        <is>
          <t>A 1462-2025</t>
        </is>
      </c>
      <c r="B444" s="1" t="n">
        <v>45670.36319444444</v>
      </c>
      <c r="C444" s="1" t="n">
        <v>46090</v>
      </c>
      <c r="D444" t="inlineStr">
        <is>
          <t>GOTLANDS LÄN</t>
        </is>
      </c>
      <c r="E444" t="inlineStr">
        <is>
          <t>GOTLAND</t>
        </is>
      </c>
      <c r="G444" t="n">
        <v>2.8</v>
      </c>
      <c r="H444" t="n">
        <v>0</v>
      </c>
      <c r="I444" t="n">
        <v>0</v>
      </c>
      <c r="J444" t="n">
        <v>0</v>
      </c>
      <c r="K444" t="n">
        <v>0</v>
      </c>
      <c r="L444" t="n">
        <v>0</v>
      </c>
      <c r="M444" t="n">
        <v>0</v>
      </c>
      <c r="N444" t="n">
        <v>0</v>
      </c>
      <c r="O444" t="n">
        <v>0</v>
      </c>
      <c r="P444" t="n">
        <v>0</v>
      </c>
      <c r="Q444" t="n">
        <v>0</v>
      </c>
      <c r="R444" s="2" t="inlineStr"/>
    </row>
    <row r="445" ht="15" customHeight="1">
      <c r="A445" t="inlineStr">
        <is>
          <t>A 57685-2022</t>
        </is>
      </c>
      <c r="B445" s="1" t="n">
        <v>44897.4777662037</v>
      </c>
      <c r="C445" s="1" t="n">
        <v>46090</v>
      </c>
      <c r="D445" t="inlineStr">
        <is>
          <t>GOTLANDS LÄN</t>
        </is>
      </c>
      <c r="E445" t="inlineStr">
        <is>
          <t>GOTLAND</t>
        </is>
      </c>
      <c r="G445" t="n">
        <v>3.7</v>
      </c>
      <c r="H445" t="n">
        <v>0</v>
      </c>
      <c r="I445" t="n">
        <v>0</v>
      </c>
      <c r="J445" t="n">
        <v>0</v>
      </c>
      <c r="K445" t="n">
        <v>0</v>
      </c>
      <c r="L445" t="n">
        <v>0</v>
      </c>
      <c r="M445" t="n">
        <v>0</v>
      </c>
      <c r="N445" t="n">
        <v>0</v>
      </c>
      <c r="O445" t="n">
        <v>0</v>
      </c>
      <c r="P445" t="n">
        <v>0</v>
      </c>
      <c r="Q445" t="n">
        <v>0</v>
      </c>
      <c r="R445" s="2" t="inlineStr"/>
    </row>
    <row r="446" ht="15" customHeight="1">
      <c r="A446" t="inlineStr">
        <is>
          <t>A 56799-2025</t>
        </is>
      </c>
      <c r="B446" s="1" t="n">
        <v>45978.43392361111</v>
      </c>
      <c r="C446" s="1" t="n">
        <v>46090</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811-2023</t>
        </is>
      </c>
      <c r="B447" s="1" t="n">
        <v>44931</v>
      </c>
      <c r="C447" s="1" t="n">
        <v>46090</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5905-2024</t>
        </is>
      </c>
      <c r="B448" s="1" t="n">
        <v>45335.88993055555</v>
      </c>
      <c r="C448" s="1" t="n">
        <v>46090</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3431-2025</t>
        </is>
      </c>
      <c r="B449" s="1" t="n">
        <v>45680.42935185185</v>
      </c>
      <c r="C449" s="1" t="n">
        <v>46090</v>
      </c>
      <c r="D449" t="inlineStr">
        <is>
          <t>GOTLANDS LÄN</t>
        </is>
      </c>
      <c r="E449" t="inlineStr">
        <is>
          <t>GOTLAND</t>
        </is>
      </c>
      <c r="G449" t="n">
        <v>4.8</v>
      </c>
      <c r="H449" t="n">
        <v>0</v>
      </c>
      <c r="I449" t="n">
        <v>0</v>
      </c>
      <c r="J449" t="n">
        <v>0</v>
      </c>
      <c r="K449" t="n">
        <v>0</v>
      </c>
      <c r="L449" t="n">
        <v>0</v>
      </c>
      <c r="M449" t="n">
        <v>0</v>
      </c>
      <c r="N449" t="n">
        <v>0</v>
      </c>
      <c r="O449" t="n">
        <v>0</v>
      </c>
      <c r="P449" t="n">
        <v>0</v>
      </c>
      <c r="Q449" t="n">
        <v>0</v>
      </c>
      <c r="R449" s="2" t="inlineStr"/>
    </row>
    <row r="450" ht="15" customHeight="1">
      <c r="A450" t="inlineStr">
        <is>
          <t>A 34407-2023</t>
        </is>
      </c>
      <c r="B450" s="1" t="n">
        <v>45132</v>
      </c>
      <c r="C450" s="1" t="n">
        <v>46090</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30892-2024</t>
        </is>
      </c>
      <c r="B451" s="1" t="n">
        <v>45491</v>
      </c>
      <c r="C451" s="1" t="n">
        <v>46090</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2134-2026</t>
        </is>
      </c>
      <c r="B452" s="1" t="n">
        <v>46036</v>
      </c>
      <c r="C452" s="1" t="n">
        <v>46090</v>
      </c>
      <c r="D452" t="inlineStr">
        <is>
          <t>GOTLANDS LÄN</t>
        </is>
      </c>
      <c r="E452" t="inlineStr">
        <is>
          <t>GOTLAND</t>
        </is>
      </c>
      <c r="G452" t="n">
        <v>1.7</v>
      </c>
      <c r="H452" t="n">
        <v>0</v>
      </c>
      <c r="I452" t="n">
        <v>0</v>
      </c>
      <c r="J452" t="n">
        <v>0</v>
      </c>
      <c r="K452" t="n">
        <v>0</v>
      </c>
      <c r="L452" t="n">
        <v>0</v>
      </c>
      <c r="M452" t="n">
        <v>0</v>
      </c>
      <c r="N452" t="n">
        <v>0</v>
      </c>
      <c r="O452" t="n">
        <v>0</v>
      </c>
      <c r="P452" t="n">
        <v>0</v>
      </c>
      <c r="Q452" t="n">
        <v>0</v>
      </c>
      <c r="R452" s="2" t="inlineStr"/>
    </row>
    <row r="453" ht="15" customHeight="1">
      <c r="A453" t="inlineStr">
        <is>
          <t>A 32958-2021</t>
        </is>
      </c>
      <c r="B453" s="1" t="n">
        <v>44376</v>
      </c>
      <c r="C453" s="1" t="n">
        <v>46090</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7858-2025</t>
        </is>
      </c>
      <c r="B454" s="1" t="n">
        <v>45706.68633101852</v>
      </c>
      <c r="C454" s="1" t="n">
        <v>46090</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46545-2024</t>
        </is>
      </c>
      <c r="B455" s="1" t="n">
        <v>45582.65831018519</v>
      </c>
      <c r="C455" s="1" t="n">
        <v>46090</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999-2023</t>
        </is>
      </c>
      <c r="B456" s="1" t="n">
        <v>44935</v>
      </c>
      <c r="C456" s="1" t="n">
        <v>46090</v>
      </c>
      <c r="D456" t="inlineStr">
        <is>
          <t>GOTLANDS LÄN</t>
        </is>
      </c>
      <c r="E456" t="inlineStr">
        <is>
          <t>GOTLAND</t>
        </is>
      </c>
      <c r="G456" t="n">
        <v>4.7</v>
      </c>
      <c r="H456" t="n">
        <v>0</v>
      </c>
      <c r="I456" t="n">
        <v>0</v>
      </c>
      <c r="J456" t="n">
        <v>0</v>
      </c>
      <c r="K456" t="n">
        <v>0</v>
      </c>
      <c r="L456" t="n">
        <v>0</v>
      </c>
      <c r="M456" t="n">
        <v>0</v>
      </c>
      <c r="N456" t="n">
        <v>0</v>
      </c>
      <c r="O456" t="n">
        <v>0</v>
      </c>
      <c r="P456" t="n">
        <v>0</v>
      </c>
      <c r="Q456" t="n">
        <v>0</v>
      </c>
      <c r="R456" s="2" t="inlineStr"/>
    </row>
    <row r="457" ht="15" customHeight="1">
      <c r="A457" t="inlineStr">
        <is>
          <t>A 1364-2025</t>
        </is>
      </c>
      <c r="B457" s="1" t="n">
        <v>45667.63929398148</v>
      </c>
      <c r="C457" s="1" t="n">
        <v>46090</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2125-2025</t>
        </is>
      </c>
      <c r="B458" s="1" t="n">
        <v>45672.64940972222</v>
      </c>
      <c r="C458" s="1" t="n">
        <v>46090</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2415-2026</t>
        </is>
      </c>
      <c r="B459" s="1" t="n">
        <v>46036.76203703704</v>
      </c>
      <c r="C459" s="1" t="n">
        <v>46090</v>
      </c>
      <c r="D459" t="inlineStr">
        <is>
          <t>GOTLANDS LÄN</t>
        </is>
      </c>
      <c r="E459" t="inlineStr">
        <is>
          <t>GOTLAND</t>
        </is>
      </c>
      <c r="G459" t="n">
        <v>6.9</v>
      </c>
      <c r="H459" t="n">
        <v>0</v>
      </c>
      <c r="I459" t="n">
        <v>0</v>
      </c>
      <c r="J459" t="n">
        <v>0</v>
      </c>
      <c r="K459" t="n">
        <v>0</v>
      </c>
      <c r="L459" t="n">
        <v>0</v>
      </c>
      <c r="M459" t="n">
        <v>0</v>
      </c>
      <c r="N459" t="n">
        <v>0</v>
      </c>
      <c r="O459" t="n">
        <v>0</v>
      </c>
      <c r="P459" t="n">
        <v>0</v>
      </c>
      <c r="Q459" t="n">
        <v>0</v>
      </c>
      <c r="R459" s="2" t="inlineStr"/>
    </row>
    <row r="460" ht="15" customHeight="1">
      <c r="A460" t="inlineStr">
        <is>
          <t>A 14141-2024</t>
        </is>
      </c>
      <c r="B460" s="1" t="n">
        <v>45392.85193287037</v>
      </c>
      <c r="C460" s="1" t="n">
        <v>46090</v>
      </c>
      <c r="D460" t="inlineStr">
        <is>
          <t>GOTLANDS LÄN</t>
        </is>
      </c>
      <c r="E460" t="inlineStr">
        <is>
          <t>GOTLAND</t>
        </is>
      </c>
      <c r="G460" t="n">
        <v>5.3</v>
      </c>
      <c r="H460" t="n">
        <v>0</v>
      </c>
      <c r="I460" t="n">
        <v>0</v>
      </c>
      <c r="J460" t="n">
        <v>0</v>
      </c>
      <c r="K460" t="n">
        <v>0</v>
      </c>
      <c r="L460" t="n">
        <v>0</v>
      </c>
      <c r="M460" t="n">
        <v>0</v>
      </c>
      <c r="N460" t="n">
        <v>0</v>
      </c>
      <c r="O460" t="n">
        <v>0</v>
      </c>
      <c r="P460" t="n">
        <v>0</v>
      </c>
      <c r="Q460" t="n">
        <v>0</v>
      </c>
      <c r="R460" s="2" t="inlineStr"/>
    </row>
    <row r="461" ht="15" customHeight="1">
      <c r="A461" t="inlineStr">
        <is>
          <t>A 12155-2023</t>
        </is>
      </c>
      <c r="B461" s="1" t="n">
        <v>44998.49106481481</v>
      </c>
      <c r="C461" s="1" t="n">
        <v>46090</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59197-2025</t>
        </is>
      </c>
      <c r="B462" s="1" t="n">
        <v>45988.59846064815</v>
      </c>
      <c r="C462" s="1" t="n">
        <v>46090</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2135-2026</t>
        </is>
      </c>
      <c r="B463" s="1" t="n">
        <v>46036</v>
      </c>
      <c r="C463" s="1" t="n">
        <v>46090</v>
      </c>
      <c r="D463" t="inlineStr">
        <is>
          <t>GOTLANDS LÄN</t>
        </is>
      </c>
      <c r="E463" t="inlineStr">
        <is>
          <t>GOTLAND</t>
        </is>
      </c>
      <c r="G463" t="n">
        <v>0.5</v>
      </c>
      <c r="H463" t="n">
        <v>0</v>
      </c>
      <c r="I463" t="n">
        <v>0</v>
      </c>
      <c r="J463" t="n">
        <v>0</v>
      </c>
      <c r="K463" t="n">
        <v>0</v>
      </c>
      <c r="L463" t="n">
        <v>0</v>
      </c>
      <c r="M463" t="n">
        <v>0</v>
      </c>
      <c r="N463" t="n">
        <v>0</v>
      </c>
      <c r="O463" t="n">
        <v>0</v>
      </c>
      <c r="P463" t="n">
        <v>0</v>
      </c>
      <c r="Q463" t="n">
        <v>0</v>
      </c>
      <c r="R463" s="2" t="inlineStr"/>
    </row>
    <row r="464" ht="15" customHeight="1">
      <c r="A464" t="inlineStr">
        <is>
          <t>A 36319-2025</t>
        </is>
      </c>
      <c r="B464" s="1" t="n">
        <v>45868</v>
      </c>
      <c r="C464" s="1" t="n">
        <v>46090</v>
      </c>
      <c r="D464" t="inlineStr">
        <is>
          <t>GOTLANDS LÄN</t>
        </is>
      </c>
      <c r="E464" t="inlineStr">
        <is>
          <t>GOTLAND</t>
        </is>
      </c>
      <c r="G464" t="n">
        <v>2.9</v>
      </c>
      <c r="H464" t="n">
        <v>0</v>
      </c>
      <c r="I464" t="n">
        <v>0</v>
      </c>
      <c r="J464" t="n">
        <v>0</v>
      </c>
      <c r="K464" t="n">
        <v>0</v>
      </c>
      <c r="L464" t="n">
        <v>0</v>
      </c>
      <c r="M464" t="n">
        <v>0</v>
      </c>
      <c r="N464" t="n">
        <v>0</v>
      </c>
      <c r="O464" t="n">
        <v>0</v>
      </c>
      <c r="P464" t="n">
        <v>0</v>
      </c>
      <c r="Q464" t="n">
        <v>0</v>
      </c>
      <c r="R464" s="2" t="inlineStr"/>
    </row>
    <row r="465" ht="15" customHeight="1">
      <c r="A465" t="inlineStr">
        <is>
          <t>A 2774-2024</t>
        </is>
      </c>
      <c r="B465" s="1" t="n">
        <v>45314.62375</v>
      </c>
      <c r="C465" s="1" t="n">
        <v>46090</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62836-2025</t>
        </is>
      </c>
      <c r="B466" s="1" t="n">
        <v>46008</v>
      </c>
      <c r="C466" s="1" t="n">
        <v>46090</v>
      </c>
      <c r="D466" t="inlineStr">
        <is>
          <t>GOTLANDS LÄN</t>
        </is>
      </c>
      <c r="E466" t="inlineStr">
        <is>
          <t>GOTLAND</t>
        </is>
      </c>
      <c r="G466" t="n">
        <v>6.5</v>
      </c>
      <c r="H466" t="n">
        <v>0</v>
      </c>
      <c r="I466" t="n">
        <v>0</v>
      </c>
      <c r="J466" t="n">
        <v>0</v>
      </c>
      <c r="K466" t="n">
        <v>0</v>
      </c>
      <c r="L466" t="n">
        <v>0</v>
      </c>
      <c r="M466" t="n">
        <v>0</v>
      </c>
      <c r="N466" t="n">
        <v>0</v>
      </c>
      <c r="O466" t="n">
        <v>0</v>
      </c>
      <c r="P466" t="n">
        <v>0</v>
      </c>
      <c r="Q466" t="n">
        <v>0</v>
      </c>
      <c r="R466" s="2" t="inlineStr"/>
    </row>
    <row r="467" ht="15" customHeight="1">
      <c r="A467" t="inlineStr">
        <is>
          <t>A 9947-2024</t>
        </is>
      </c>
      <c r="B467" s="1" t="n">
        <v>45363</v>
      </c>
      <c r="C467" s="1" t="n">
        <v>46090</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42007-2023</t>
        </is>
      </c>
      <c r="B468" s="1" t="n">
        <v>45177</v>
      </c>
      <c r="C468" s="1" t="n">
        <v>46090</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3253-2026</t>
        </is>
      </c>
      <c r="B469" s="1" t="n">
        <v>46041.58902777778</v>
      </c>
      <c r="C469" s="1" t="n">
        <v>46090</v>
      </c>
      <c r="D469" t="inlineStr">
        <is>
          <t>GOTLANDS LÄN</t>
        </is>
      </c>
      <c r="E469" t="inlineStr">
        <is>
          <t>GOTLAND</t>
        </is>
      </c>
      <c r="G469" t="n">
        <v>0.7</v>
      </c>
      <c r="H469" t="n">
        <v>0</v>
      </c>
      <c r="I469" t="n">
        <v>0</v>
      </c>
      <c r="J469" t="n">
        <v>0</v>
      </c>
      <c r="K469" t="n">
        <v>0</v>
      </c>
      <c r="L469" t="n">
        <v>0</v>
      </c>
      <c r="M469" t="n">
        <v>0</v>
      </c>
      <c r="N469" t="n">
        <v>0</v>
      </c>
      <c r="O469" t="n">
        <v>0</v>
      </c>
      <c r="P469" t="n">
        <v>0</v>
      </c>
      <c r="Q469" t="n">
        <v>0</v>
      </c>
      <c r="R469" s="2" t="inlineStr"/>
    </row>
    <row r="470" ht="15" customHeight="1">
      <c r="A470" t="inlineStr">
        <is>
          <t>A 11414-2026</t>
        </is>
      </c>
      <c r="B470" s="1" t="n">
        <v>46083.46336805556</v>
      </c>
      <c r="C470" s="1" t="n">
        <v>46090</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15083-2025</t>
        </is>
      </c>
      <c r="B471" s="1" t="n">
        <v>45743</v>
      </c>
      <c r="C471" s="1" t="n">
        <v>46090</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11424-2026</t>
        </is>
      </c>
      <c r="B472" s="1" t="n">
        <v>46083.48068287037</v>
      </c>
      <c r="C472" s="1" t="n">
        <v>46090</v>
      </c>
      <c r="D472" t="inlineStr">
        <is>
          <t>GOTLANDS LÄN</t>
        </is>
      </c>
      <c r="E472" t="inlineStr">
        <is>
          <t>GOTLAND</t>
        </is>
      </c>
      <c r="G472" t="n">
        <v>1.3</v>
      </c>
      <c r="H472" t="n">
        <v>0</v>
      </c>
      <c r="I472" t="n">
        <v>0</v>
      </c>
      <c r="J472" t="n">
        <v>0</v>
      </c>
      <c r="K472" t="n">
        <v>0</v>
      </c>
      <c r="L472" t="n">
        <v>0</v>
      </c>
      <c r="M472" t="n">
        <v>0</v>
      </c>
      <c r="N472" t="n">
        <v>0</v>
      </c>
      <c r="O472" t="n">
        <v>0</v>
      </c>
      <c r="P472" t="n">
        <v>0</v>
      </c>
      <c r="Q472" t="n">
        <v>0</v>
      </c>
      <c r="R472" s="2" t="inlineStr"/>
    </row>
    <row r="473" ht="15" customHeight="1">
      <c r="A473" t="inlineStr">
        <is>
          <t>A 3067-2026</t>
        </is>
      </c>
      <c r="B473" s="1" t="n">
        <v>46040.59025462963</v>
      </c>
      <c r="C473" s="1" t="n">
        <v>46090</v>
      </c>
      <c r="D473" t="inlineStr">
        <is>
          <t>GOTLANDS LÄN</t>
        </is>
      </c>
      <c r="E473" t="inlineStr">
        <is>
          <t>GOTLAND</t>
        </is>
      </c>
      <c r="G473" t="n">
        <v>7.8</v>
      </c>
      <c r="H473" t="n">
        <v>0</v>
      </c>
      <c r="I473" t="n">
        <v>0</v>
      </c>
      <c r="J473" t="n">
        <v>0</v>
      </c>
      <c r="K473" t="n">
        <v>0</v>
      </c>
      <c r="L473" t="n">
        <v>0</v>
      </c>
      <c r="M473" t="n">
        <v>0</v>
      </c>
      <c r="N473" t="n">
        <v>0</v>
      </c>
      <c r="O473" t="n">
        <v>0</v>
      </c>
      <c r="P473" t="n">
        <v>0</v>
      </c>
      <c r="Q473" t="n">
        <v>0</v>
      </c>
      <c r="R473" s="2" t="inlineStr"/>
    </row>
    <row r="474" ht="15" customHeight="1">
      <c r="A474" t="inlineStr">
        <is>
          <t>A 53587-2025</t>
        </is>
      </c>
      <c r="B474" s="1" t="n">
        <v>45960.43681712963</v>
      </c>
      <c r="C474" s="1" t="n">
        <v>46090</v>
      </c>
      <c r="D474" t="inlineStr">
        <is>
          <t>GOTLANDS LÄN</t>
        </is>
      </c>
      <c r="E474" t="inlineStr">
        <is>
          <t>GOTLAND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1066-2024</t>
        </is>
      </c>
      <c r="B475" s="1" t="n">
        <v>45302.285</v>
      </c>
      <c r="C475" s="1" t="n">
        <v>46090</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4670-2026</t>
        </is>
      </c>
      <c r="B476" s="1" t="n">
        <v>46048.41733796296</v>
      </c>
      <c r="C476" s="1" t="n">
        <v>46090</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4662-2026</t>
        </is>
      </c>
      <c r="B477" s="1" t="n">
        <v>46048.40949074074</v>
      </c>
      <c r="C477" s="1" t="n">
        <v>46090</v>
      </c>
      <c r="D477" t="inlineStr">
        <is>
          <t>GOTLANDS LÄN</t>
        </is>
      </c>
      <c r="E477" t="inlineStr">
        <is>
          <t>GOTLAND</t>
        </is>
      </c>
      <c r="G477" t="n">
        <v>7.6</v>
      </c>
      <c r="H477" t="n">
        <v>0</v>
      </c>
      <c r="I477" t="n">
        <v>0</v>
      </c>
      <c r="J477" t="n">
        <v>0</v>
      </c>
      <c r="K477" t="n">
        <v>0</v>
      </c>
      <c r="L477" t="n">
        <v>0</v>
      </c>
      <c r="M477" t="n">
        <v>0</v>
      </c>
      <c r="N477" t="n">
        <v>0</v>
      </c>
      <c r="O477" t="n">
        <v>0</v>
      </c>
      <c r="P477" t="n">
        <v>0</v>
      </c>
      <c r="Q477" t="n">
        <v>0</v>
      </c>
      <c r="R477" s="2" t="inlineStr"/>
    </row>
    <row r="478" ht="15" customHeight="1">
      <c r="A478" t="inlineStr">
        <is>
          <t>A 37202-2024</t>
        </is>
      </c>
      <c r="B478" s="1" t="n">
        <v>45539.67310185185</v>
      </c>
      <c r="C478" s="1" t="n">
        <v>46090</v>
      </c>
      <c r="D478" t="inlineStr">
        <is>
          <t>GOTLANDS LÄN</t>
        </is>
      </c>
      <c r="E478" t="inlineStr">
        <is>
          <t>GOTLAND</t>
        </is>
      </c>
      <c r="G478" t="n">
        <v>0.3</v>
      </c>
      <c r="H478" t="n">
        <v>0</v>
      </c>
      <c r="I478" t="n">
        <v>0</v>
      </c>
      <c r="J478" t="n">
        <v>0</v>
      </c>
      <c r="K478" t="n">
        <v>0</v>
      </c>
      <c r="L478" t="n">
        <v>0</v>
      </c>
      <c r="M478" t="n">
        <v>0</v>
      </c>
      <c r="N478" t="n">
        <v>0</v>
      </c>
      <c r="O478" t="n">
        <v>0</v>
      </c>
      <c r="P478" t="n">
        <v>0</v>
      </c>
      <c r="Q478" t="n">
        <v>0</v>
      </c>
      <c r="R478" s="2" t="inlineStr"/>
    </row>
    <row r="479" ht="15" customHeight="1">
      <c r="A479" t="inlineStr">
        <is>
          <t>A 4646-2026</t>
        </is>
      </c>
      <c r="B479" s="1" t="n">
        <v>46048.40357638889</v>
      </c>
      <c r="C479" s="1" t="n">
        <v>46090</v>
      </c>
      <c r="D479" t="inlineStr">
        <is>
          <t>GOTLANDS LÄN</t>
        </is>
      </c>
      <c r="E479" t="inlineStr">
        <is>
          <t>GOTLAND</t>
        </is>
      </c>
      <c r="G479" t="n">
        <v>2.7</v>
      </c>
      <c r="H479" t="n">
        <v>0</v>
      </c>
      <c r="I479" t="n">
        <v>0</v>
      </c>
      <c r="J479" t="n">
        <v>0</v>
      </c>
      <c r="K479" t="n">
        <v>0</v>
      </c>
      <c r="L479" t="n">
        <v>0</v>
      </c>
      <c r="M479" t="n">
        <v>0</v>
      </c>
      <c r="N479" t="n">
        <v>0</v>
      </c>
      <c r="O479" t="n">
        <v>0</v>
      </c>
      <c r="P479" t="n">
        <v>0</v>
      </c>
      <c r="Q479" t="n">
        <v>0</v>
      </c>
      <c r="R479" s="2" t="inlineStr"/>
    </row>
    <row r="480" ht="15" customHeight="1">
      <c r="A480" t="inlineStr">
        <is>
          <t>A 30815-2023</t>
        </is>
      </c>
      <c r="B480" s="1" t="n">
        <v>45112</v>
      </c>
      <c r="C480" s="1" t="n">
        <v>46090</v>
      </c>
      <c r="D480" t="inlineStr">
        <is>
          <t>GOTLANDS LÄN</t>
        </is>
      </c>
      <c r="E480" t="inlineStr">
        <is>
          <t>GOTLAND</t>
        </is>
      </c>
      <c r="G480" t="n">
        <v>6</v>
      </c>
      <c r="H480" t="n">
        <v>0</v>
      </c>
      <c r="I480" t="n">
        <v>0</v>
      </c>
      <c r="J480" t="n">
        <v>0</v>
      </c>
      <c r="K480" t="n">
        <v>0</v>
      </c>
      <c r="L480" t="n">
        <v>0</v>
      </c>
      <c r="M480" t="n">
        <v>0</v>
      </c>
      <c r="N480" t="n">
        <v>0</v>
      </c>
      <c r="O480" t="n">
        <v>0</v>
      </c>
      <c r="P480" t="n">
        <v>0</v>
      </c>
      <c r="Q480" t="n">
        <v>0</v>
      </c>
      <c r="R480" s="2" t="inlineStr"/>
    </row>
    <row r="481" ht="15" customHeight="1">
      <c r="A481" t="inlineStr">
        <is>
          <t>A 4639-2026</t>
        </is>
      </c>
      <c r="B481" s="1" t="n">
        <v>46048.39880787037</v>
      </c>
      <c r="C481" s="1" t="n">
        <v>46090</v>
      </c>
      <c r="D481" t="inlineStr">
        <is>
          <t>GOTLANDS LÄN</t>
        </is>
      </c>
      <c r="E481" t="inlineStr">
        <is>
          <t>GOTLAND</t>
        </is>
      </c>
      <c r="G481" t="n">
        <v>0.8</v>
      </c>
      <c r="H481" t="n">
        <v>0</v>
      </c>
      <c r="I481" t="n">
        <v>0</v>
      </c>
      <c r="J481" t="n">
        <v>0</v>
      </c>
      <c r="K481" t="n">
        <v>0</v>
      </c>
      <c r="L481" t="n">
        <v>0</v>
      </c>
      <c r="M481" t="n">
        <v>0</v>
      </c>
      <c r="N481" t="n">
        <v>0</v>
      </c>
      <c r="O481" t="n">
        <v>0</v>
      </c>
      <c r="P481" t="n">
        <v>0</v>
      </c>
      <c r="Q481" t="n">
        <v>0</v>
      </c>
      <c r="R481" s="2" t="inlineStr"/>
    </row>
    <row r="482" ht="15" customHeight="1">
      <c r="A482" t="inlineStr">
        <is>
          <t>A 1854-2026</t>
        </is>
      </c>
      <c r="B482" s="1" t="n">
        <v>46035.4171875</v>
      </c>
      <c r="C482" s="1" t="n">
        <v>46090</v>
      </c>
      <c r="D482" t="inlineStr">
        <is>
          <t>GOTLANDS LÄN</t>
        </is>
      </c>
      <c r="E482" t="inlineStr">
        <is>
          <t>GOTLAND</t>
        </is>
      </c>
      <c r="G482" t="n">
        <v>3</v>
      </c>
      <c r="H482" t="n">
        <v>0</v>
      </c>
      <c r="I482" t="n">
        <v>0</v>
      </c>
      <c r="J482" t="n">
        <v>0</v>
      </c>
      <c r="K482" t="n">
        <v>0</v>
      </c>
      <c r="L482" t="n">
        <v>0</v>
      </c>
      <c r="M482" t="n">
        <v>0</v>
      </c>
      <c r="N482" t="n">
        <v>0</v>
      </c>
      <c r="O482" t="n">
        <v>0</v>
      </c>
      <c r="P482" t="n">
        <v>0</v>
      </c>
      <c r="Q482" t="n">
        <v>0</v>
      </c>
      <c r="R482" s="2" t="inlineStr"/>
    </row>
    <row r="483" ht="15" customHeight="1">
      <c r="A483" t="inlineStr">
        <is>
          <t>A 46400-2023</t>
        </is>
      </c>
      <c r="B483" s="1" t="n">
        <v>45197.49290509259</v>
      </c>
      <c r="C483" s="1" t="n">
        <v>46090</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62066-2025</t>
        </is>
      </c>
      <c r="B484" s="1" t="n">
        <v>46006.34738425926</v>
      </c>
      <c r="C484" s="1" t="n">
        <v>46090</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10492-2023</t>
        </is>
      </c>
      <c r="B485" s="1" t="n">
        <v>44987</v>
      </c>
      <c r="C485" s="1" t="n">
        <v>46090</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62103-2025</t>
        </is>
      </c>
      <c r="B486" s="1" t="n">
        <v>46006</v>
      </c>
      <c r="C486" s="1" t="n">
        <v>46090</v>
      </c>
      <c r="D486" t="inlineStr">
        <is>
          <t>GOTLANDS LÄN</t>
        </is>
      </c>
      <c r="E486" t="inlineStr">
        <is>
          <t>GOTLAND</t>
        </is>
      </c>
      <c r="F486" t="inlineStr">
        <is>
          <t>Övriga Aktiebolag</t>
        </is>
      </c>
      <c r="G486" t="n">
        <v>1.7</v>
      </c>
      <c r="H486" t="n">
        <v>0</v>
      </c>
      <c r="I486" t="n">
        <v>0</v>
      </c>
      <c r="J486" t="n">
        <v>0</v>
      </c>
      <c r="K486" t="n">
        <v>0</v>
      </c>
      <c r="L486" t="n">
        <v>0</v>
      </c>
      <c r="M486" t="n">
        <v>0</v>
      </c>
      <c r="N486" t="n">
        <v>0</v>
      </c>
      <c r="O486" t="n">
        <v>0</v>
      </c>
      <c r="P486" t="n">
        <v>0</v>
      </c>
      <c r="Q486" t="n">
        <v>0</v>
      </c>
      <c r="R486" s="2" t="inlineStr"/>
    </row>
    <row r="487" ht="15" customHeight="1">
      <c r="A487" t="inlineStr">
        <is>
          <t>A 4634-2026</t>
        </is>
      </c>
      <c r="B487" s="1" t="n">
        <v>46048.39304398148</v>
      </c>
      <c r="C487" s="1" t="n">
        <v>46090</v>
      </c>
      <c r="D487" t="inlineStr">
        <is>
          <t>GOTLANDS LÄN</t>
        </is>
      </c>
      <c r="E487" t="inlineStr">
        <is>
          <t>GOTLAND</t>
        </is>
      </c>
      <c r="G487" t="n">
        <v>7.8</v>
      </c>
      <c r="H487" t="n">
        <v>0</v>
      </c>
      <c r="I487" t="n">
        <v>0</v>
      </c>
      <c r="J487" t="n">
        <v>0</v>
      </c>
      <c r="K487" t="n">
        <v>0</v>
      </c>
      <c r="L487" t="n">
        <v>0</v>
      </c>
      <c r="M487" t="n">
        <v>0</v>
      </c>
      <c r="N487" t="n">
        <v>0</v>
      </c>
      <c r="O487" t="n">
        <v>0</v>
      </c>
      <c r="P487" t="n">
        <v>0</v>
      </c>
      <c r="Q487" t="n">
        <v>0</v>
      </c>
      <c r="R487" s="2" t="inlineStr"/>
    </row>
    <row r="488" ht="15" customHeight="1">
      <c r="A488" t="inlineStr">
        <is>
          <t>A 11982-2026</t>
        </is>
      </c>
      <c r="B488" s="1" t="n">
        <v>46085.6434375</v>
      </c>
      <c r="C488" s="1" t="n">
        <v>46090</v>
      </c>
      <c r="D488" t="inlineStr">
        <is>
          <t>GOTLANDS LÄN</t>
        </is>
      </c>
      <c r="E488" t="inlineStr">
        <is>
          <t>GOTLAND</t>
        </is>
      </c>
      <c r="G488" t="n">
        <v>2.2</v>
      </c>
      <c r="H488" t="n">
        <v>0</v>
      </c>
      <c r="I488" t="n">
        <v>0</v>
      </c>
      <c r="J488" t="n">
        <v>0</v>
      </c>
      <c r="K488" t="n">
        <v>0</v>
      </c>
      <c r="L488" t="n">
        <v>0</v>
      </c>
      <c r="M488" t="n">
        <v>0</v>
      </c>
      <c r="N488" t="n">
        <v>0</v>
      </c>
      <c r="O488" t="n">
        <v>0</v>
      </c>
      <c r="P488" t="n">
        <v>0</v>
      </c>
      <c r="Q488" t="n">
        <v>0</v>
      </c>
      <c r="R488" s="2" t="inlineStr"/>
    </row>
    <row r="489" ht="15" customHeight="1">
      <c r="A489" t="inlineStr">
        <is>
          <t>A 53561-2025</t>
        </is>
      </c>
      <c r="B489" s="1" t="n">
        <v>45960.4059375</v>
      </c>
      <c r="C489" s="1" t="n">
        <v>46090</v>
      </c>
      <c r="D489" t="inlineStr">
        <is>
          <t>GOTLANDS LÄN</t>
        </is>
      </c>
      <c r="E489" t="inlineStr">
        <is>
          <t>GOTLAND</t>
        </is>
      </c>
      <c r="F489" t="inlineStr">
        <is>
          <t>Övriga Aktiebolag</t>
        </is>
      </c>
      <c r="G489" t="n">
        <v>2.4</v>
      </c>
      <c r="H489" t="n">
        <v>0</v>
      </c>
      <c r="I489" t="n">
        <v>0</v>
      </c>
      <c r="J489" t="n">
        <v>0</v>
      </c>
      <c r="K489" t="n">
        <v>0</v>
      </c>
      <c r="L489" t="n">
        <v>0</v>
      </c>
      <c r="M489" t="n">
        <v>0</v>
      </c>
      <c r="N489" t="n">
        <v>0</v>
      </c>
      <c r="O489" t="n">
        <v>0</v>
      </c>
      <c r="P489" t="n">
        <v>0</v>
      </c>
      <c r="Q489" t="n">
        <v>0</v>
      </c>
      <c r="R489" s="2" t="inlineStr"/>
    </row>
    <row r="490" ht="15" customHeight="1">
      <c r="A490" t="inlineStr">
        <is>
          <t>A 44919-2022</t>
        </is>
      </c>
      <c r="B490" s="1" t="n">
        <v>44841</v>
      </c>
      <c r="C490" s="1" t="n">
        <v>46090</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16501-2023</t>
        </is>
      </c>
      <c r="B491" s="1" t="n">
        <v>45029</v>
      </c>
      <c r="C491" s="1" t="n">
        <v>46090</v>
      </c>
      <c r="D491" t="inlineStr">
        <is>
          <t>GOTLANDS LÄN</t>
        </is>
      </c>
      <c r="E491" t="inlineStr">
        <is>
          <t>GOTLAND</t>
        </is>
      </c>
      <c r="G491" t="n">
        <v>3.1</v>
      </c>
      <c r="H491" t="n">
        <v>0</v>
      </c>
      <c r="I491" t="n">
        <v>0</v>
      </c>
      <c r="J491" t="n">
        <v>0</v>
      </c>
      <c r="K491" t="n">
        <v>0</v>
      </c>
      <c r="L491" t="n">
        <v>0</v>
      </c>
      <c r="M491" t="n">
        <v>0</v>
      </c>
      <c r="N491" t="n">
        <v>0</v>
      </c>
      <c r="O491" t="n">
        <v>0</v>
      </c>
      <c r="P491" t="n">
        <v>0</v>
      </c>
      <c r="Q491" t="n">
        <v>0</v>
      </c>
      <c r="R491" s="2" t="inlineStr"/>
    </row>
    <row r="492" ht="15" customHeight="1">
      <c r="A492" t="inlineStr">
        <is>
          <t>A 47147-2025</t>
        </is>
      </c>
      <c r="B492" s="1" t="n">
        <v>45929</v>
      </c>
      <c r="C492" s="1" t="n">
        <v>46090</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63002-2025</t>
        </is>
      </c>
      <c r="B493" s="1" t="n">
        <v>46009.56564814815</v>
      </c>
      <c r="C493" s="1" t="n">
        <v>46090</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27095-2022</t>
        </is>
      </c>
      <c r="B494" s="1" t="n">
        <v>44741</v>
      </c>
      <c r="C494" s="1" t="n">
        <v>46090</v>
      </c>
      <c r="D494" t="inlineStr">
        <is>
          <t>GOTLANDS LÄN</t>
        </is>
      </c>
      <c r="E494" t="inlineStr">
        <is>
          <t>GOTLAND</t>
        </is>
      </c>
      <c r="F494" t="inlineStr">
        <is>
          <t>Övriga Aktiebolag</t>
        </is>
      </c>
      <c r="G494" t="n">
        <v>2.9</v>
      </c>
      <c r="H494" t="n">
        <v>0</v>
      </c>
      <c r="I494" t="n">
        <v>0</v>
      </c>
      <c r="J494" t="n">
        <v>0</v>
      </c>
      <c r="K494" t="n">
        <v>0</v>
      </c>
      <c r="L494" t="n">
        <v>0</v>
      </c>
      <c r="M494" t="n">
        <v>0</v>
      </c>
      <c r="N494" t="n">
        <v>0</v>
      </c>
      <c r="O494" t="n">
        <v>0</v>
      </c>
      <c r="P494" t="n">
        <v>0</v>
      </c>
      <c r="Q494" t="n">
        <v>0</v>
      </c>
      <c r="R494" s="2" t="inlineStr"/>
    </row>
    <row r="495" ht="15" customHeight="1">
      <c r="A495" t="inlineStr">
        <is>
          <t>A 458-2023</t>
        </is>
      </c>
      <c r="B495" s="1" t="n">
        <v>44929</v>
      </c>
      <c r="C495" s="1" t="n">
        <v>46090</v>
      </c>
      <c r="D495" t="inlineStr">
        <is>
          <t>GOTLANDS LÄN</t>
        </is>
      </c>
      <c r="E495" t="inlineStr">
        <is>
          <t>GOTLAND</t>
        </is>
      </c>
      <c r="G495" t="n">
        <v>3.6</v>
      </c>
      <c r="H495" t="n">
        <v>0</v>
      </c>
      <c r="I495" t="n">
        <v>0</v>
      </c>
      <c r="J495" t="n">
        <v>0</v>
      </c>
      <c r="K495" t="n">
        <v>0</v>
      </c>
      <c r="L495" t="n">
        <v>0</v>
      </c>
      <c r="M495" t="n">
        <v>0</v>
      </c>
      <c r="N495" t="n">
        <v>0</v>
      </c>
      <c r="O495" t="n">
        <v>0</v>
      </c>
      <c r="P495" t="n">
        <v>0</v>
      </c>
      <c r="Q495" t="n">
        <v>0</v>
      </c>
      <c r="R495" s="2" t="inlineStr"/>
    </row>
    <row r="496" ht="15" customHeight="1">
      <c r="A496" t="inlineStr">
        <is>
          <t>A 1291-2023</t>
        </is>
      </c>
      <c r="B496" s="1" t="n">
        <v>44936.47561342592</v>
      </c>
      <c r="C496" s="1" t="n">
        <v>46090</v>
      </c>
      <c r="D496" t="inlineStr">
        <is>
          <t>GOTLANDS LÄN</t>
        </is>
      </c>
      <c r="E496" t="inlineStr">
        <is>
          <t>GOTLAND</t>
        </is>
      </c>
      <c r="G496" t="n">
        <v>7.4</v>
      </c>
      <c r="H496" t="n">
        <v>0</v>
      </c>
      <c r="I496" t="n">
        <v>0</v>
      </c>
      <c r="J496" t="n">
        <v>0</v>
      </c>
      <c r="K496" t="n">
        <v>0</v>
      </c>
      <c r="L496" t="n">
        <v>0</v>
      </c>
      <c r="M496" t="n">
        <v>0</v>
      </c>
      <c r="N496" t="n">
        <v>0</v>
      </c>
      <c r="O496" t="n">
        <v>0</v>
      </c>
      <c r="P496" t="n">
        <v>0</v>
      </c>
      <c r="Q496" t="n">
        <v>0</v>
      </c>
      <c r="R496" s="2" t="inlineStr"/>
    </row>
    <row r="497" ht="15" customHeight="1">
      <c r="A497" t="inlineStr">
        <is>
          <t>A 12135-2026</t>
        </is>
      </c>
      <c r="B497" s="1" t="n">
        <v>46086</v>
      </c>
      <c r="C497" s="1" t="n">
        <v>46090</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6207-2026</t>
        </is>
      </c>
      <c r="B498" s="1" t="n">
        <v>46055.42083333333</v>
      </c>
      <c r="C498" s="1" t="n">
        <v>46090</v>
      </c>
      <c r="D498" t="inlineStr">
        <is>
          <t>GOTLANDS LÄN</t>
        </is>
      </c>
      <c r="E498" t="inlineStr">
        <is>
          <t>GOTLAND</t>
        </is>
      </c>
      <c r="G498" t="n">
        <v>7.6</v>
      </c>
      <c r="H498" t="n">
        <v>0</v>
      </c>
      <c r="I498" t="n">
        <v>0</v>
      </c>
      <c r="J498" t="n">
        <v>0</v>
      </c>
      <c r="K498" t="n">
        <v>0</v>
      </c>
      <c r="L498" t="n">
        <v>0</v>
      </c>
      <c r="M498" t="n">
        <v>0</v>
      </c>
      <c r="N498" t="n">
        <v>0</v>
      </c>
      <c r="O498" t="n">
        <v>0</v>
      </c>
      <c r="P498" t="n">
        <v>0</v>
      </c>
      <c r="Q498" t="n">
        <v>0</v>
      </c>
      <c r="R498" s="2" t="inlineStr"/>
    </row>
    <row r="499" ht="15" customHeight="1">
      <c r="A499" t="inlineStr">
        <is>
          <t>A 32330-2024</t>
        </is>
      </c>
      <c r="B499" s="1" t="n">
        <v>45512</v>
      </c>
      <c r="C499" s="1" t="n">
        <v>46090</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5863-2026</t>
        </is>
      </c>
      <c r="B500" s="1" t="n">
        <v>46052.36697916667</v>
      </c>
      <c r="C500" s="1" t="n">
        <v>46090</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5891-2025</t>
        </is>
      </c>
      <c r="B501" s="1" t="n">
        <v>45695.38327546296</v>
      </c>
      <c r="C501" s="1" t="n">
        <v>46090</v>
      </c>
      <c r="D501" t="inlineStr">
        <is>
          <t>GOTLANDS LÄN</t>
        </is>
      </c>
      <c r="E501" t="inlineStr">
        <is>
          <t>GOTLAND</t>
        </is>
      </c>
      <c r="G501" t="n">
        <v>0.8</v>
      </c>
      <c r="H501" t="n">
        <v>0</v>
      </c>
      <c r="I501" t="n">
        <v>0</v>
      </c>
      <c r="J501" t="n">
        <v>0</v>
      </c>
      <c r="K501" t="n">
        <v>0</v>
      </c>
      <c r="L501" t="n">
        <v>0</v>
      </c>
      <c r="M501" t="n">
        <v>0</v>
      </c>
      <c r="N501" t="n">
        <v>0</v>
      </c>
      <c r="O501" t="n">
        <v>0</v>
      </c>
      <c r="P501" t="n">
        <v>0</v>
      </c>
      <c r="Q501" t="n">
        <v>0</v>
      </c>
      <c r="R501" s="2" t="inlineStr"/>
    </row>
    <row r="502" ht="15" customHeight="1">
      <c r="A502" t="inlineStr">
        <is>
          <t>A 60384-2025</t>
        </is>
      </c>
      <c r="B502" s="1" t="n">
        <v>45995</v>
      </c>
      <c r="C502" s="1" t="n">
        <v>46090</v>
      </c>
      <c r="D502" t="inlineStr">
        <is>
          <t>GOTLANDS LÄN</t>
        </is>
      </c>
      <c r="E502" t="inlineStr">
        <is>
          <t>GOTLAND</t>
        </is>
      </c>
      <c r="G502" t="n">
        <v>2.5</v>
      </c>
      <c r="H502" t="n">
        <v>0</v>
      </c>
      <c r="I502" t="n">
        <v>0</v>
      </c>
      <c r="J502" t="n">
        <v>0</v>
      </c>
      <c r="K502" t="n">
        <v>0</v>
      </c>
      <c r="L502" t="n">
        <v>0</v>
      </c>
      <c r="M502" t="n">
        <v>0</v>
      </c>
      <c r="N502" t="n">
        <v>0</v>
      </c>
      <c r="O502" t="n">
        <v>0</v>
      </c>
      <c r="P502" t="n">
        <v>0</v>
      </c>
      <c r="Q502" t="n">
        <v>0</v>
      </c>
      <c r="R502" s="2" t="inlineStr"/>
    </row>
    <row r="503" ht="15" customHeight="1">
      <c r="A503" t="inlineStr">
        <is>
          <t>A 62751-2025</t>
        </is>
      </c>
      <c r="B503" s="1" t="n">
        <v>46008</v>
      </c>
      <c r="C503" s="1" t="n">
        <v>46090</v>
      </c>
      <c r="D503" t="inlineStr">
        <is>
          <t>GOTLANDS LÄN</t>
        </is>
      </c>
      <c r="E503" t="inlineStr">
        <is>
          <t>GOTLAND</t>
        </is>
      </c>
      <c r="F503" t="inlineStr">
        <is>
          <t>Övriga Aktiebolag</t>
        </is>
      </c>
      <c r="G503" t="n">
        <v>7.8</v>
      </c>
      <c r="H503" t="n">
        <v>0</v>
      </c>
      <c r="I503" t="n">
        <v>0</v>
      </c>
      <c r="J503" t="n">
        <v>0</v>
      </c>
      <c r="K503" t="n">
        <v>0</v>
      </c>
      <c r="L503" t="n">
        <v>0</v>
      </c>
      <c r="M503" t="n">
        <v>0</v>
      </c>
      <c r="N503" t="n">
        <v>0</v>
      </c>
      <c r="O503" t="n">
        <v>0</v>
      </c>
      <c r="P503" t="n">
        <v>0</v>
      </c>
      <c r="Q503" t="n">
        <v>0</v>
      </c>
      <c r="R503" s="2" t="inlineStr"/>
    </row>
    <row r="504" ht="15" customHeight="1">
      <c r="A504" t="inlineStr">
        <is>
          <t>A 14804-2021</t>
        </is>
      </c>
      <c r="B504" s="1" t="n">
        <v>44280</v>
      </c>
      <c r="C504" s="1" t="n">
        <v>46090</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6218-2026</t>
        </is>
      </c>
      <c r="B505" s="1" t="n">
        <v>46055.42859953704</v>
      </c>
      <c r="C505" s="1" t="n">
        <v>46090</v>
      </c>
      <c r="D505" t="inlineStr">
        <is>
          <t>GOTLANDS LÄN</t>
        </is>
      </c>
      <c r="E505" t="inlineStr">
        <is>
          <t>GOTLAND</t>
        </is>
      </c>
      <c r="G505" t="n">
        <v>4.3</v>
      </c>
      <c r="H505" t="n">
        <v>0</v>
      </c>
      <c r="I505" t="n">
        <v>0</v>
      </c>
      <c r="J505" t="n">
        <v>0</v>
      </c>
      <c r="K505" t="n">
        <v>0</v>
      </c>
      <c r="L505" t="n">
        <v>0</v>
      </c>
      <c r="M505" t="n">
        <v>0</v>
      </c>
      <c r="N505" t="n">
        <v>0</v>
      </c>
      <c r="O505" t="n">
        <v>0</v>
      </c>
      <c r="P505" t="n">
        <v>0</v>
      </c>
      <c r="Q505" t="n">
        <v>0</v>
      </c>
      <c r="R505" s="2" t="inlineStr"/>
    </row>
    <row r="506" ht="15" customHeight="1">
      <c r="A506" t="inlineStr">
        <is>
          <t>A 62754-2025</t>
        </is>
      </c>
      <c r="B506" s="1" t="n">
        <v>46008</v>
      </c>
      <c r="C506" s="1" t="n">
        <v>46090</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6960-2026</t>
        </is>
      </c>
      <c r="B507" s="1" t="n">
        <v>46057.58105324074</v>
      </c>
      <c r="C507" s="1" t="n">
        <v>46090</v>
      </c>
      <c r="D507" t="inlineStr">
        <is>
          <t>GOTLANDS LÄN</t>
        </is>
      </c>
      <c r="E507" t="inlineStr">
        <is>
          <t>GOTLAND</t>
        </is>
      </c>
      <c r="F507" t="inlineStr">
        <is>
          <t>Kyrkan</t>
        </is>
      </c>
      <c r="G507" t="n">
        <v>2.4</v>
      </c>
      <c r="H507" t="n">
        <v>0</v>
      </c>
      <c r="I507" t="n">
        <v>0</v>
      </c>
      <c r="J507" t="n">
        <v>0</v>
      </c>
      <c r="K507" t="n">
        <v>0</v>
      </c>
      <c r="L507" t="n">
        <v>0</v>
      </c>
      <c r="M507" t="n">
        <v>0</v>
      </c>
      <c r="N507" t="n">
        <v>0</v>
      </c>
      <c r="O507" t="n">
        <v>0</v>
      </c>
      <c r="P507" t="n">
        <v>0</v>
      </c>
      <c r="Q507" t="n">
        <v>0</v>
      </c>
      <c r="R507" s="2" t="inlineStr"/>
    </row>
    <row r="508" ht="15" customHeight="1">
      <c r="A508" t="inlineStr">
        <is>
          <t>A 2719-2023</t>
        </is>
      </c>
      <c r="B508" s="1" t="n">
        <v>44944.55361111111</v>
      </c>
      <c r="C508" s="1" t="n">
        <v>46090</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17144-2025</t>
        </is>
      </c>
      <c r="B509" s="1" t="n">
        <v>45755.9499537037</v>
      </c>
      <c r="C509" s="1" t="n">
        <v>46090</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49314-2024</t>
        </is>
      </c>
      <c r="B510" s="1" t="n">
        <v>45595.55893518519</v>
      </c>
      <c r="C510" s="1" t="n">
        <v>46090</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9875-2025</t>
        </is>
      </c>
      <c r="B511" s="1" t="n">
        <v>45716</v>
      </c>
      <c r="C511" s="1" t="n">
        <v>46090</v>
      </c>
      <c r="D511" t="inlineStr">
        <is>
          <t>GOTLANDS LÄN</t>
        </is>
      </c>
      <c r="E511" t="inlineStr">
        <is>
          <t>GOTLAND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54584-2025</t>
        </is>
      </c>
      <c r="B512" s="1" t="n">
        <v>45965.71788194445</v>
      </c>
      <c r="C512" s="1" t="n">
        <v>46090</v>
      </c>
      <c r="D512" t="inlineStr">
        <is>
          <t>GOTLANDS LÄN</t>
        </is>
      </c>
      <c r="E512" t="inlineStr">
        <is>
          <t>GOTLAND</t>
        </is>
      </c>
      <c r="G512" t="n">
        <v>3.5</v>
      </c>
      <c r="H512" t="n">
        <v>0</v>
      </c>
      <c r="I512" t="n">
        <v>0</v>
      </c>
      <c r="J512" t="n">
        <v>0</v>
      </c>
      <c r="K512" t="n">
        <v>0</v>
      </c>
      <c r="L512" t="n">
        <v>0</v>
      </c>
      <c r="M512" t="n">
        <v>0</v>
      </c>
      <c r="N512" t="n">
        <v>0</v>
      </c>
      <c r="O512" t="n">
        <v>0</v>
      </c>
      <c r="P512" t="n">
        <v>0</v>
      </c>
      <c r="Q512" t="n">
        <v>0</v>
      </c>
      <c r="R512" s="2" t="inlineStr"/>
    </row>
    <row r="513" ht="15" customHeight="1">
      <c r="A513" t="inlineStr">
        <is>
          <t>A 29809-2022</t>
        </is>
      </c>
      <c r="B513" s="1" t="n">
        <v>44755.8713425926</v>
      </c>
      <c r="C513" s="1" t="n">
        <v>46090</v>
      </c>
      <c r="D513" t="inlineStr">
        <is>
          <t>GOTLANDS LÄN</t>
        </is>
      </c>
      <c r="E513" t="inlineStr">
        <is>
          <t>GOTLAND</t>
        </is>
      </c>
      <c r="G513" t="n">
        <v>11.5</v>
      </c>
      <c r="H513" t="n">
        <v>0</v>
      </c>
      <c r="I513" t="n">
        <v>0</v>
      </c>
      <c r="J513" t="n">
        <v>0</v>
      </c>
      <c r="K513" t="n">
        <v>0</v>
      </c>
      <c r="L513" t="n">
        <v>0</v>
      </c>
      <c r="M513" t="n">
        <v>0</v>
      </c>
      <c r="N513" t="n">
        <v>0</v>
      </c>
      <c r="O513" t="n">
        <v>0</v>
      </c>
      <c r="P513" t="n">
        <v>0</v>
      </c>
      <c r="Q513" t="n">
        <v>0</v>
      </c>
      <c r="R513" s="2" t="inlineStr"/>
    </row>
    <row r="514" ht="15" customHeight="1">
      <c r="A514" t="inlineStr">
        <is>
          <t>A 63000-2025</t>
        </is>
      </c>
      <c r="B514" s="1" t="n">
        <v>46009</v>
      </c>
      <c r="C514" s="1" t="n">
        <v>46090</v>
      </c>
      <c r="D514" t="inlineStr">
        <is>
          <t>GOTLANDS LÄN</t>
        </is>
      </c>
      <c r="E514" t="inlineStr">
        <is>
          <t>GOTLAND</t>
        </is>
      </c>
      <c r="F514" t="inlineStr">
        <is>
          <t>Övriga Aktiebolag</t>
        </is>
      </c>
      <c r="G514" t="n">
        <v>1.7</v>
      </c>
      <c r="H514" t="n">
        <v>0</v>
      </c>
      <c r="I514" t="n">
        <v>0</v>
      </c>
      <c r="J514" t="n">
        <v>0</v>
      </c>
      <c r="K514" t="n">
        <v>0</v>
      </c>
      <c r="L514" t="n">
        <v>0</v>
      </c>
      <c r="M514" t="n">
        <v>0</v>
      </c>
      <c r="N514" t="n">
        <v>0</v>
      </c>
      <c r="O514" t="n">
        <v>0</v>
      </c>
      <c r="P514" t="n">
        <v>0</v>
      </c>
      <c r="Q514" t="n">
        <v>0</v>
      </c>
      <c r="R514" s="2" t="inlineStr"/>
    </row>
    <row r="515" ht="15" customHeight="1">
      <c r="A515" t="inlineStr">
        <is>
          <t>A 6959-2026</t>
        </is>
      </c>
      <c r="B515" s="1" t="n">
        <v>46057.580625</v>
      </c>
      <c r="C515" s="1" t="n">
        <v>46090</v>
      </c>
      <c r="D515" t="inlineStr">
        <is>
          <t>GOTLANDS LÄN</t>
        </is>
      </c>
      <c r="E515" t="inlineStr">
        <is>
          <t>GOTLAND</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1839-2026</t>
        </is>
      </c>
      <c r="B516" s="1" t="n">
        <v>46035.3942824074</v>
      </c>
      <c r="C516" s="1" t="n">
        <v>46090</v>
      </c>
      <c r="D516" t="inlineStr">
        <is>
          <t>GOTLANDS LÄN</t>
        </is>
      </c>
      <c r="E516" t="inlineStr">
        <is>
          <t>GOTLAND</t>
        </is>
      </c>
      <c r="G516" t="n">
        <v>3.5</v>
      </c>
      <c r="H516" t="n">
        <v>0</v>
      </c>
      <c r="I516" t="n">
        <v>0</v>
      </c>
      <c r="J516" t="n">
        <v>0</v>
      </c>
      <c r="K516" t="n">
        <v>0</v>
      </c>
      <c r="L516" t="n">
        <v>0</v>
      </c>
      <c r="M516" t="n">
        <v>0</v>
      </c>
      <c r="N516" t="n">
        <v>0</v>
      </c>
      <c r="O516" t="n">
        <v>0</v>
      </c>
      <c r="P516" t="n">
        <v>0</v>
      </c>
      <c r="Q516" t="n">
        <v>0</v>
      </c>
      <c r="R516" s="2" t="inlineStr"/>
    </row>
    <row r="517" ht="15" customHeight="1">
      <c r="A517" t="inlineStr">
        <is>
          <t>A 16361-2024</t>
        </is>
      </c>
      <c r="B517" s="1" t="n">
        <v>45407</v>
      </c>
      <c r="C517" s="1" t="n">
        <v>46090</v>
      </c>
      <c r="D517" t="inlineStr">
        <is>
          <t>GOTLANDS LÄN</t>
        </is>
      </c>
      <c r="E517" t="inlineStr">
        <is>
          <t>GOTLAND</t>
        </is>
      </c>
      <c r="G517" t="n">
        <v>6</v>
      </c>
      <c r="H517" t="n">
        <v>0</v>
      </c>
      <c r="I517" t="n">
        <v>0</v>
      </c>
      <c r="J517" t="n">
        <v>0</v>
      </c>
      <c r="K517" t="n">
        <v>0</v>
      </c>
      <c r="L517" t="n">
        <v>0</v>
      </c>
      <c r="M517" t="n">
        <v>0</v>
      </c>
      <c r="N517" t="n">
        <v>0</v>
      </c>
      <c r="O517" t="n">
        <v>0</v>
      </c>
      <c r="P517" t="n">
        <v>0</v>
      </c>
      <c r="Q517" t="n">
        <v>0</v>
      </c>
      <c r="R517" s="2" t="inlineStr"/>
    </row>
    <row r="518" ht="15" customHeight="1">
      <c r="A518" t="inlineStr">
        <is>
          <t>A 43081-2022</t>
        </is>
      </c>
      <c r="B518" s="1" t="n">
        <v>44833</v>
      </c>
      <c r="C518" s="1" t="n">
        <v>46090</v>
      </c>
      <c r="D518" t="inlineStr">
        <is>
          <t>GOTLANDS LÄN</t>
        </is>
      </c>
      <c r="E518" t="inlineStr">
        <is>
          <t>GOTLAND</t>
        </is>
      </c>
      <c r="G518" t="n">
        <v>6.8</v>
      </c>
      <c r="H518" t="n">
        <v>0</v>
      </c>
      <c r="I518" t="n">
        <v>0</v>
      </c>
      <c r="J518" t="n">
        <v>0</v>
      </c>
      <c r="K518" t="n">
        <v>0</v>
      </c>
      <c r="L518" t="n">
        <v>0</v>
      </c>
      <c r="M518" t="n">
        <v>0</v>
      </c>
      <c r="N518" t="n">
        <v>0</v>
      </c>
      <c r="O518" t="n">
        <v>0</v>
      </c>
      <c r="P518" t="n">
        <v>0</v>
      </c>
      <c r="Q518" t="n">
        <v>0</v>
      </c>
      <c r="R518" s="2" t="inlineStr"/>
    </row>
    <row r="519" ht="15" customHeight="1">
      <c r="A519" t="inlineStr">
        <is>
          <t>A 1175-2025</t>
        </is>
      </c>
      <c r="B519" s="1" t="n">
        <v>45667.34449074074</v>
      </c>
      <c r="C519" s="1" t="n">
        <v>46090</v>
      </c>
      <c r="D519" t="inlineStr">
        <is>
          <t>GOTLANDS LÄN</t>
        </is>
      </c>
      <c r="E519" t="inlineStr">
        <is>
          <t>GOTLAND</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42201-2023</t>
        </is>
      </c>
      <c r="B520" s="1" t="n">
        <v>45179</v>
      </c>
      <c r="C520" s="1" t="n">
        <v>46090</v>
      </c>
      <c r="D520" t="inlineStr">
        <is>
          <t>GOTLANDS LÄN</t>
        </is>
      </c>
      <c r="E520" t="inlineStr">
        <is>
          <t>GOTLAND</t>
        </is>
      </c>
      <c r="G520" t="n">
        <v>11.9</v>
      </c>
      <c r="H520" t="n">
        <v>0</v>
      </c>
      <c r="I520" t="n">
        <v>0</v>
      </c>
      <c r="J520" t="n">
        <v>0</v>
      </c>
      <c r="K520" t="n">
        <v>0</v>
      </c>
      <c r="L520" t="n">
        <v>0</v>
      </c>
      <c r="M520" t="n">
        <v>0</v>
      </c>
      <c r="N520" t="n">
        <v>0</v>
      </c>
      <c r="O520" t="n">
        <v>0</v>
      </c>
      <c r="P520" t="n">
        <v>0</v>
      </c>
      <c r="Q520" t="n">
        <v>0</v>
      </c>
      <c r="R520" s="2" t="inlineStr"/>
    </row>
    <row r="521" ht="15" customHeight="1">
      <c r="A521" t="inlineStr">
        <is>
          <t>A 3150-2025</t>
        </is>
      </c>
      <c r="B521" s="1" t="n">
        <v>45679.28974537037</v>
      </c>
      <c r="C521" s="1" t="n">
        <v>46090</v>
      </c>
      <c r="D521" t="inlineStr">
        <is>
          <t>GOTLANDS LÄN</t>
        </is>
      </c>
      <c r="E521" t="inlineStr">
        <is>
          <t>GOTLAND</t>
        </is>
      </c>
      <c r="G521" t="n">
        <v>2.5</v>
      </c>
      <c r="H521" t="n">
        <v>0</v>
      </c>
      <c r="I521" t="n">
        <v>0</v>
      </c>
      <c r="J521" t="n">
        <v>0</v>
      </c>
      <c r="K521" t="n">
        <v>0</v>
      </c>
      <c r="L521" t="n">
        <v>0</v>
      </c>
      <c r="M521" t="n">
        <v>0</v>
      </c>
      <c r="N521" t="n">
        <v>0</v>
      </c>
      <c r="O521" t="n">
        <v>0</v>
      </c>
      <c r="P521" t="n">
        <v>0</v>
      </c>
      <c r="Q521" t="n">
        <v>0</v>
      </c>
      <c r="R521" s="2" t="inlineStr"/>
    </row>
    <row r="522" ht="15" customHeight="1">
      <c r="A522" t="inlineStr">
        <is>
          <t>A 42041-2024</t>
        </is>
      </c>
      <c r="B522" s="1" t="n">
        <v>45561</v>
      </c>
      <c r="C522" s="1" t="n">
        <v>46090</v>
      </c>
      <c r="D522" t="inlineStr">
        <is>
          <t>GOTLANDS LÄN</t>
        </is>
      </c>
      <c r="E522" t="inlineStr">
        <is>
          <t>GOTLAND</t>
        </is>
      </c>
      <c r="G522" t="n">
        <v>3.2</v>
      </c>
      <c r="H522" t="n">
        <v>0</v>
      </c>
      <c r="I522" t="n">
        <v>0</v>
      </c>
      <c r="J522" t="n">
        <v>0</v>
      </c>
      <c r="K522" t="n">
        <v>0</v>
      </c>
      <c r="L522" t="n">
        <v>0</v>
      </c>
      <c r="M522" t="n">
        <v>0</v>
      </c>
      <c r="N522" t="n">
        <v>0</v>
      </c>
      <c r="O522" t="n">
        <v>0</v>
      </c>
      <c r="P522" t="n">
        <v>0</v>
      </c>
      <c r="Q522" t="n">
        <v>0</v>
      </c>
      <c r="R522" s="2" t="inlineStr"/>
    </row>
    <row r="523" ht="15" customHeight="1">
      <c r="A523" t="inlineStr">
        <is>
          <t>A 15436-2025</t>
        </is>
      </c>
      <c r="B523" s="1" t="n">
        <v>45747.47462962963</v>
      </c>
      <c r="C523" s="1" t="n">
        <v>46090</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21247-2022</t>
        </is>
      </c>
      <c r="B524" s="1" t="n">
        <v>44705.38832175926</v>
      </c>
      <c r="C524" s="1" t="n">
        <v>46090</v>
      </c>
      <c r="D524" t="inlineStr">
        <is>
          <t>GOTLANDS LÄN</t>
        </is>
      </c>
      <c r="E524" t="inlineStr">
        <is>
          <t>GOTLAND</t>
        </is>
      </c>
      <c r="G524" t="n">
        <v>16.2</v>
      </c>
      <c r="H524" t="n">
        <v>0</v>
      </c>
      <c r="I524" t="n">
        <v>0</v>
      </c>
      <c r="J524" t="n">
        <v>0</v>
      </c>
      <c r="K524" t="n">
        <v>0</v>
      </c>
      <c r="L524" t="n">
        <v>0</v>
      </c>
      <c r="M524" t="n">
        <v>0</v>
      </c>
      <c r="N524" t="n">
        <v>0</v>
      </c>
      <c r="O524" t="n">
        <v>0</v>
      </c>
      <c r="P524" t="n">
        <v>0</v>
      </c>
      <c r="Q524" t="n">
        <v>0</v>
      </c>
      <c r="R524" s="2" t="inlineStr"/>
    </row>
    <row r="525" ht="15" customHeight="1">
      <c r="A525" t="inlineStr">
        <is>
          <t>A 17780-2022</t>
        </is>
      </c>
      <c r="B525" s="1" t="n">
        <v>44682.82622685185</v>
      </c>
      <c r="C525" s="1" t="n">
        <v>46090</v>
      </c>
      <c r="D525" t="inlineStr">
        <is>
          <t>GOTLANDS LÄN</t>
        </is>
      </c>
      <c r="E525" t="inlineStr">
        <is>
          <t>GOTLAND</t>
        </is>
      </c>
      <c r="G525" t="n">
        <v>2.2</v>
      </c>
      <c r="H525" t="n">
        <v>0</v>
      </c>
      <c r="I525" t="n">
        <v>0</v>
      </c>
      <c r="J525" t="n">
        <v>0</v>
      </c>
      <c r="K525" t="n">
        <v>0</v>
      </c>
      <c r="L525" t="n">
        <v>0</v>
      </c>
      <c r="M525" t="n">
        <v>0</v>
      </c>
      <c r="N525" t="n">
        <v>0</v>
      </c>
      <c r="O525" t="n">
        <v>0</v>
      </c>
      <c r="P525" t="n">
        <v>0</v>
      </c>
      <c r="Q525" t="n">
        <v>0</v>
      </c>
      <c r="R525" s="2" t="inlineStr"/>
    </row>
    <row r="526" ht="15" customHeight="1">
      <c r="A526" t="inlineStr">
        <is>
          <t>A 63516-2023</t>
        </is>
      </c>
      <c r="B526" s="1" t="n">
        <v>45274</v>
      </c>
      <c r="C526" s="1" t="n">
        <v>46090</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53935-2024</t>
        </is>
      </c>
      <c r="B527" s="1" t="n">
        <v>45615</v>
      </c>
      <c r="C527" s="1" t="n">
        <v>46090</v>
      </c>
      <c r="D527" t="inlineStr">
        <is>
          <t>GOTLANDS LÄN</t>
        </is>
      </c>
      <c r="E527" t="inlineStr">
        <is>
          <t>GOTLAND</t>
        </is>
      </c>
      <c r="G527" t="n">
        <v>1.2</v>
      </c>
      <c r="H527" t="n">
        <v>0</v>
      </c>
      <c r="I527" t="n">
        <v>0</v>
      </c>
      <c r="J527" t="n">
        <v>0</v>
      </c>
      <c r="K527" t="n">
        <v>0</v>
      </c>
      <c r="L527" t="n">
        <v>0</v>
      </c>
      <c r="M527" t="n">
        <v>0</v>
      </c>
      <c r="N527" t="n">
        <v>0</v>
      </c>
      <c r="O527" t="n">
        <v>0</v>
      </c>
      <c r="P527" t="n">
        <v>0</v>
      </c>
      <c r="Q527" t="n">
        <v>0</v>
      </c>
      <c r="R527" s="2" t="inlineStr"/>
    </row>
    <row r="528" ht="15" customHeight="1">
      <c r="A528" t="inlineStr">
        <is>
          <t>A 69112-2021</t>
        </is>
      </c>
      <c r="B528" s="1" t="n">
        <v>44530</v>
      </c>
      <c r="C528" s="1" t="n">
        <v>46090</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48734-2022</t>
        </is>
      </c>
      <c r="B529" s="1" t="n">
        <v>44855</v>
      </c>
      <c r="C529" s="1" t="n">
        <v>46090</v>
      </c>
      <c r="D529" t="inlineStr">
        <is>
          <t>GOTLANDS LÄN</t>
        </is>
      </c>
      <c r="E529" t="inlineStr">
        <is>
          <t>GOTLAND</t>
        </is>
      </c>
      <c r="G529" t="n">
        <v>1.6</v>
      </c>
      <c r="H529" t="n">
        <v>0</v>
      </c>
      <c r="I529" t="n">
        <v>0</v>
      </c>
      <c r="J529" t="n">
        <v>0</v>
      </c>
      <c r="K529" t="n">
        <v>0</v>
      </c>
      <c r="L529" t="n">
        <v>0</v>
      </c>
      <c r="M529" t="n">
        <v>0</v>
      </c>
      <c r="N529" t="n">
        <v>0</v>
      </c>
      <c r="O529" t="n">
        <v>0</v>
      </c>
      <c r="P529" t="n">
        <v>0</v>
      </c>
      <c r="Q529" t="n">
        <v>0</v>
      </c>
      <c r="R529" s="2" t="inlineStr"/>
    </row>
    <row r="530" ht="15" customHeight="1">
      <c r="A530" t="inlineStr">
        <is>
          <t>A 23516-2023</t>
        </is>
      </c>
      <c r="B530" s="1" t="n">
        <v>45076.93391203704</v>
      </c>
      <c r="C530" s="1" t="n">
        <v>46090</v>
      </c>
      <c r="D530" t="inlineStr">
        <is>
          <t>GOTLANDS LÄN</t>
        </is>
      </c>
      <c r="E530" t="inlineStr">
        <is>
          <t>GOTLAND</t>
        </is>
      </c>
      <c r="G530" t="n">
        <v>1.4</v>
      </c>
      <c r="H530" t="n">
        <v>0</v>
      </c>
      <c r="I530" t="n">
        <v>0</v>
      </c>
      <c r="J530" t="n">
        <v>0</v>
      </c>
      <c r="K530" t="n">
        <v>0</v>
      </c>
      <c r="L530" t="n">
        <v>0</v>
      </c>
      <c r="M530" t="n">
        <v>0</v>
      </c>
      <c r="N530" t="n">
        <v>0</v>
      </c>
      <c r="O530" t="n">
        <v>0</v>
      </c>
      <c r="P530" t="n">
        <v>0</v>
      </c>
      <c r="Q530" t="n">
        <v>0</v>
      </c>
      <c r="R530" s="2" t="inlineStr"/>
    </row>
    <row r="531" ht="15" customHeight="1">
      <c r="A531" t="inlineStr">
        <is>
          <t>A 43231-2023</t>
        </is>
      </c>
      <c r="B531" s="1" t="n">
        <v>45183.47025462963</v>
      </c>
      <c r="C531" s="1" t="n">
        <v>46090</v>
      </c>
      <c r="D531" t="inlineStr">
        <is>
          <t>GOTLANDS LÄN</t>
        </is>
      </c>
      <c r="E531" t="inlineStr">
        <is>
          <t>GOTLAND</t>
        </is>
      </c>
      <c r="G531" t="n">
        <v>3.6</v>
      </c>
      <c r="H531" t="n">
        <v>0</v>
      </c>
      <c r="I531" t="n">
        <v>0</v>
      </c>
      <c r="J531" t="n">
        <v>0</v>
      </c>
      <c r="K531" t="n">
        <v>0</v>
      </c>
      <c r="L531" t="n">
        <v>0</v>
      </c>
      <c r="M531" t="n">
        <v>0</v>
      </c>
      <c r="N531" t="n">
        <v>0</v>
      </c>
      <c r="O531" t="n">
        <v>0</v>
      </c>
      <c r="P531" t="n">
        <v>0</v>
      </c>
      <c r="Q531" t="n">
        <v>0</v>
      </c>
      <c r="R531" s="2" t="inlineStr"/>
    </row>
    <row r="532" ht="15" customHeight="1">
      <c r="A532" t="inlineStr">
        <is>
          <t>A 58230-2024</t>
        </is>
      </c>
      <c r="B532" s="1" t="n">
        <v>45632.51625</v>
      </c>
      <c r="C532" s="1" t="n">
        <v>46090</v>
      </c>
      <c r="D532" t="inlineStr">
        <is>
          <t>GOTLANDS LÄN</t>
        </is>
      </c>
      <c r="E532" t="inlineStr">
        <is>
          <t>GOTLAND</t>
        </is>
      </c>
      <c r="G532" t="n">
        <v>7.3</v>
      </c>
      <c r="H532" t="n">
        <v>0</v>
      </c>
      <c r="I532" t="n">
        <v>0</v>
      </c>
      <c r="J532" t="n">
        <v>0</v>
      </c>
      <c r="K532" t="n">
        <v>0</v>
      </c>
      <c r="L532" t="n">
        <v>0</v>
      </c>
      <c r="M532" t="n">
        <v>0</v>
      </c>
      <c r="N532" t="n">
        <v>0</v>
      </c>
      <c r="O532" t="n">
        <v>0</v>
      </c>
      <c r="P532" t="n">
        <v>0</v>
      </c>
      <c r="Q532" t="n">
        <v>0</v>
      </c>
      <c r="R532" s="2" t="inlineStr"/>
    </row>
    <row r="533" ht="15" customHeight="1">
      <c r="A533" t="inlineStr">
        <is>
          <t>A 64555-2023</t>
        </is>
      </c>
      <c r="B533" s="1" t="n">
        <v>45281</v>
      </c>
      <c r="C533" s="1" t="n">
        <v>46090</v>
      </c>
      <c r="D533" t="inlineStr">
        <is>
          <t>GOTLANDS LÄN</t>
        </is>
      </c>
      <c r="E533" t="inlineStr">
        <is>
          <t>GOTLAND</t>
        </is>
      </c>
      <c r="G533" t="n">
        <v>3.5</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44929.87238425926</v>
      </c>
      <c r="C534" s="1" t="n">
        <v>46090</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459-2023</t>
        </is>
      </c>
      <c r="B535" s="1" t="n">
        <v>44929.87423611111</v>
      </c>
      <c r="C535" s="1" t="n">
        <v>46090</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876-2024</t>
        </is>
      </c>
      <c r="B536" s="1" t="n">
        <v>45301</v>
      </c>
      <c r="C536" s="1" t="n">
        <v>46090</v>
      </c>
      <c r="D536" t="inlineStr">
        <is>
          <t>GOTLANDS LÄN</t>
        </is>
      </c>
      <c r="E536" t="inlineStr">
        <is>
          <t>GOTLAND</t>
        </is>
      </c>
      <c r="G536" t="n">
        <v>5.3</v>
      </c>
      <c r="H536" t="n">
        <v>0</v>
      </c>
      <c r="I536" t="n">
        <v>0</v>
      </c>
      <c r="J536" t="n">
        <v>0</v>
      </c>
      <c r="K536" t="n">
        <v>0</v>
      </c>
      <c r="L536" t="n">
        <v>0</v>
      </c>
      <c r="M536" t="n">
        <v>0</v>
      </c>
      <c r="N536" t="n">
        <v>0</v>
      </c>
      <c r="O536" t="n">
        <v>0</v>
      </c>
      <c r="P536" t="n">
        <v>0</v>
      </c>
      <c r="Q536" t="n">
        <v>0</v>
      </c>
      <c r="R536" s="2" t="inlineStr"/>
    </row>
    <row r="537" ht="15" customHeight="1">
      <c r="A537" t="inlineStr">
        <is>
          <t>A 26891-2024</t>
        </is>
      </c>
      <c r="B537" s="1" t="n">
        <v>45470.65540509259</v>
      </c>
      <c r="C537" s="1" t="n">
        <v>46090</v>
      </c>
      <c r="D537" t="inlineStr">
        <is>
          <t>GOTLANDS LÄN</t>
        </is>
      </c>
      <c r="E537" t="inlineStr">
        <is>
          <t>GOTLAND</t>
        </is>
      </c>
      <c r="G537" t="n">
        <v>0.8</v>
      </c>
      <c r="H537" t="n">
        <v>0</v>
      </c>
      <c r="I537" t="n">
        <v>0</v>
      </c>
      <c r="J537" t="n">
        <v>0</v>
      </c>
      <c r="K537" t="n">
        <v>0</v>
      </c>
      <c r="L537" t="n">
        <v>0</v>
      </c>
      <c r="M537" t="n">
        <v>0</v>
      </c>
      <c r="N537" t="n">
        <v>0</v>
      </c>
      <c r="O537" t="n">
        <v>0</v>
      </c>
      <c r="P537" t="n">
        <v>0</v>
      </c>
      <c r="Q537" t="n">
        <v>0</v>
      </c>
      <c r="R537" s="2" t="inlineStr"/>
    </row>
    <row r="538" ht="15" customHeight="1">
      <c r="A538" t="inlineStr">
        <is>
          <t>A 14536-2021</t>
        </is>
      </c>
      <c r="B538" s="1" t="n">
        <v>44279.66168981481</v>
      </c>
      <c r="C538" s="1" t="n">
        <v>46090</v>
      </c>
      <c r="D538" t="inlineStr">
        <is>
          <t>GOTLANDS LÄN</t>
        </is>
      </c>
      <c r="E538" t="inlineStr">
        <is>
          <t>GOTLAND</t>
        </is>
      </c>
      <c r="G538" t="n">
        <v>8.5</v>
      </c>
      <c r="H538" t="n">
        <v>0</v>
      </c>
      <c r="I538" t="n">
        <v>0</v>
      </c>
      <c r="J538" t="n">
        <v>0</v>
      </c>
      <c r="K538" t="n">
        <v>0</v>
      </c>
      <c r="L538" t="n">
        <v>0</v>
      </c>
      <c r="M538" t="n">
        <v>0</v>
      </c>
      <c r="N538" t="n">
        <v>0</v>
      </c>
      <c r="O538" t="n">
        <v>0</v>
      </c>
      <c r="P538" t="n">
        <v>0</v>
      </c>
      <c r="Q538" t="n">
        <v>0</v>
      </c>
      <c r="R538" s="2" t="inlineStr"/>
    </row>
    <row r="539" ht="15" customHeight="1">
      <c r="A539" t="inlineStr">
        <is>
          <t>A 5923-2023</t>
        </is>
      </c>
      <c r="B539" s="1" t="n">
        <v>44963.69503472222</v>
      </c>
      <c r="C539" s="1" t="n">
        <v>46090</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50482-2024</t>
        </is>
      </c>
      <c r="B540" s="1" t="n">
        <v>45601.48114583334</v>
      </c>
      <c r="C540" s="1" t="n">
        <v>46090</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5943-2024</t>
        </is>
      </c>
      <c r="B541" s="1" t="n">
        <v>45336</v>
      </c>
      <c r="C541" s="1" t="n">
        <v>46090</v>
      </c>
      <c r="D541" t="inlineStr">
        <is>
          <t>GOTLANDS LÄN</t>
        </is>
      </c>
      <c r="E541" t="inlineStr">
        <is>
          <t>GOTLAND</t>
        </is>
      </c>
      <c r="G541" t="n">
        <v>4.3</v>
      </c>
      <c r="H541" t="n">
        <v>0</v>
      </c>
      <c r="I541" t="n">
        <v>0</v>
      </c>
      <c r="J541" t="n">
        <v>0</v>
      </c>
      <c r="K541" t="n">
        <v>0</v>
      </c>
      <c r="L541" t="n">
        <v>0</v>
      </c>
      <c r="M541" t="n">
        <v>0</v>
      </c>
      <c r="N541" t="n">
        <v>0</v>
      </c>
      <c r="O541" t="n">
        <v>0</v>
      </c>
      <c r="P541" t="n">
        <v>0</v>
      </c>
      <c r="Q541" t="n">
        <v>0</v>
      </c>
      <c r="R541" s="2" t="inlineStr"/>
    </row>
    <row r="542" ht="15" customHeight="1">
      <c r="A542" t="inlineStr">
        <is>
          <t>A 38234-2023</t>
        </is>
      </c>
      <c r="B542" s="1" t="n">
        <v>45161.56663194444</v>
      </c>
      <c r="C542" s="1" t="n">
        <v>46090</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1273-2023</t>
        </is>
      </c>
      <c r="B543" s="1" t="n">
        <v>44936</v>
      </c>
      <c r="C543" s="1" t="n">
        <v>46090</v>
      </c>
      <c r="D543" t="inlineStr">
        <is>
          <t>GOTLANDS LÄN</t>
        </is>
      </c>
      <c r="E543" t="inlineStr">
        <is>
          <t>GOTLAND</t>
        </is>
      </c>
      <c r="G543" t="n">
        <v>4.5</v>
      </c>
      <c r="H543" t="n">
        <v>0</v>
      </c>
      <c r="I543" t="n">
        <v>0</v>
      </c>
      <c r="J543" t="n">
        <v>0</v>
      </c>
      <c r="K543" t="n">
        <v>0</v>
      </c>
      <c r="L543" t="n">
        <v>0</v>
      </c>
      <c r="M543" t="n">
        <v>0</v>
      </c>
      <c r="N543" t="n">
        <v>0</v>
      </c>
      <c r="O543" t="n">
        <v>0</v>
      </c>
      <c r="P543" t="n">
        <v>0</v>
      </c>
      <c r="Q543" t="n">
        <v>0</v>
      </c>
      <c r="R543" s="2" t="inlineStr"/>
    </row>
    <row r="544" ht="15" customHeight="1">
      <c r="A544" t="inlineStr">
        <is>
          <t>A 17724-2024</t>
        </is>
      </c>
      <c r="B544" s="1" t="n">
        <v>45418.55096064815</v>
      </c>
      <c r="C544" s="1" t="n">
        <v>46090</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23978-2023</t>
        </is>
      </c>
      <c r="B545" s="1" t="n">
        <v>45078</v>
      </c>
      <c r="C545" s="1" t="n">
        <v>46090</v>
      </c>
      <c r="D545" t="inlineStr">
        <is>
          <t>GOTLANDS LÄN</t>
        </is>
      </c>
      <c r="E545" t="inlineStr">
        <is>
          <t>GOTLAND</t>
        </is>
      </c>
      <c r="F545" t="inlineStr">
        <is>
          <t>Naturvårdsverket</t>
        </is>
      </c>
      <c r="G545" t="n">
        <v>1.7</v>
      </c>
      <c r="H545" t="n">
        <v>0</v>
      </c>
      <c r="I545" t="n">
        <v>0</v>
      </c>
      <c r="J545" t="n">
        <v>0</v>
      </c>
      <c r="K545" t="n">
        <v>0</v>
      </c>
      <c r="L545" t="n">
        <v>0</v>
      </c>
      <c r="M545" t="n">
        <v>0</v>
      </c>
      <c r="N545" t="n">
        <v>0</v>
      </c>
      <c r="O545" t="n">
        <v>0</v>
      </c>
      <c r="P545" t="n">
        <v>0</v>
      </c>
      <c r="Q545" t="n">
        <v>0</v>
      </c>
      <c r="R545" s="2" t="inlineStr"/>
    </row>
    <row r="546" ht="15" customHeight="1">
      <c r="A546" t="inlineStr">
        <is>
          <t>A 49884-2023</t>
        </is>
      </c>
      <c r="B546" s="1" t="n">
        <v>45213</v>
      </c>
      <c r="C546" s="1" t="n">
        <v>46090</v>
      </c>
      <c r="D546" t="inlineStr">
        <is>
          <t>GOTLANDS LÄN</t>
        </is>
      </c>
      <c r="E546" t="inlineStr">
        <is>
          <t>GOTLAND</t>
        </is>
      </c>
      <c r="G546" t="n">
        <v>8.9</v>
      </c>
      <c r="H546" t="n">
        <v>0</v>
      </c>
      <c r="I546" t="n">
        <v>0</v>
      </c>
      <c r="J546" t="n">
        <v>0</v>
      </c>
      <c r="K546" t="n">
        <v>0</v>
      </c>
      <c r="L546" t="n">
        <v>0</v>
      </c>
      <c r="M546" t="n">
        <v>0</v>
      </c>
      <c r="N546" t="n">
        <v>0</v>
      </c>
      <c r="O546" t="n">
        <v>0</v>
      </c>
      <c r="P546" t="n">
        <v>0</v>
      </c>
      <c r="Q546" t="n">
        <v>0</v>
      </c>
      <c r="R546" s="2" t="inlineStr"/>
    </row>
    <row r="547" ht="15" customHeight="1">
      <c r="A547" t="inlineStr">
        <is>
          <t>A 12846-2025</t>
        </is>
      </c>
      <c r="B547" s="1" t="n">
        <v>45733.65049768519</v>
      </c>
      <c r="C547" s="1" t="n">
        <v>46090</v>
      </c>
      <c r="D547" t="inlineStr">
        <is>
          <t>GOTLANDS LÄN</t>
        </is>
      </c>
      <c r="E547" t="inlineStr">
        <is>
          <t>GOTLAND</t>
        </is>
      </c>
      <c r="G547" t="n">
        <v>1.7</v>
      </c>
      <c r="H547" t="n">
        <v>0</v>
      </c>
      <c r="I547" t="n">
        <v>0</v>
      </c>
      <c r="J547" t="n">
        <v>0</v>
      </c>
      <c r="K547" t="n">
        <v>0</v>
      </c>
      <c r="L547" t="n">
        <v>0</v>
      </c>
      <c r="M547" t="n">
        <v>0</v>
      </c>
      <c r="N547" t="n">
        <v>0</v>
      </c>
      <c r="O547" t="n">
        <v>0</v>
      </c>
      <c r="P547" t="n">
        <v>0</v>
      </c>
      <c r="Q547" t="n">
        <v>0</v>
      </c>
      <c r="R547" s="2" t="inlineStr"/>
    </row>
    <row r="548" ht="15" customHeight="1">
      <c r="A548" t="inlineStr">
        <is>
          <t>A 43200-2023</t>
        </is>
      </c>
      <c r="B548" s="1" t="n">
        <v>45183</v>
      </c>
      <c r="C548" s="1" t="n">
        <v>46090</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3935-2025</t>
        </is>
      </c>
      <c r="B549" s="1" t="n">
        <v>45684.46070601852</v>
      </c>
      <c r="C549" s="1" t="n">
        <v>46090</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21792-2024</t>
        </is>
      </c>
      <c r="B550" s="1" t="n">
        <v>45442.64326388889</v>
      </c>
      <c r="C550" s="1" t="n">
        <v>46090</v>
      </c>
      <c r="D550" t="inlineStr">
        <is>
          <t>GOTLANDS LÄN</t>
        </is>
      </c>
      <c r="E550" t="inlineStr">
        <is>
          <t>GOTLAND</t>
        </is>
      </c>
      <c r="G550" t="n">
        <v>1</v>
      </c>
      <c r="H550" t="n">
        <v>0</v>
      </c>
      <c r="I550" t="n">
        <v>0</v>
      </c>
      <c r="J550" t="n">
        <v>0</v>
      </c>
      <c r="K550" t="n">
        <v>0</v>
      </c>
      <c r="L550" t="n">
        <v>0</v>
      </c>
      <c r="M550" t="n">
        <v>0</v>
      </c>
      <c r="N550" t="n">
        <v>0</v>
      </c>
      <c r="O550" t="n">
        <v>0</v>
      </c>
      <c r="P550" t="n">
        <v>0</v>
      </c>
      <c r="Q550" t="n">
        <v>0</v>
      </c>
      <c r="R550" s="2" t="inlineStr"/>
    </row>
    <row r="551" ht="15" customHeight="1">
      <c r="A551" t="inlineStr">
        <is>
          <t>A 48843-2024</t>
        </is>
      </c>
      <c r="B551" s="1" t="n">
        <v>45593</v>
      </c>
      <c r="C551" s="1" t="n">
        <v>46090</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10653-2023</t>
        </is>
      </c>
      <c r="B552" s="1" t="n">
        <v>44988.48859953704</v>
      </c>
      <c r="C552" s="1" t="n">
        <v>46090</v>
      </c>
      <c r="D552" t="inlineStr">
        <is>
          <t>GOTLANDS LÄN</t>
        </is>
      </c>
      <c r="E552" t="inlineStr">
        <is>
          <t>GOTLAND</t>
        </is>
      </c>
      <c r="F552" t="inlineStr">
        <is>
          <t>Kyrkan</t>
        </is>
      </c>
      <c r="G552" t="n">
        <v>3</v>
      </c>
      <c r="H552" t="n">
        <v>0</v>
      </c>
      <c r="I552" t="n">
        <v>0</v>
      </c>
      <c r="J552" t="n">
        <v>0</v>
      </c>
      <c r="K552" t="n">
        <v>0</v>
      </c>
      <c r="L552" t="n">
        <v>0</v>
      </c>
      <c r="M552" t="n">
        <v>0</v>
      </c>
      <c r="N552" t="n">
        <v>0</v>
      </c>
      <c r="O552" t="n">
        <v>0</v>
      </c>
      <c r="P552" t="n">
        <v>0</v>
      </c>
      <c r="Q552" t="n">
        <v>0</v>
      </c>
      <c r="R552" s="2" t="inlineStr"/>
    </row>
    <row r="553" ht="15" customHeight="1">
      <c r="A553" t="inlineStr">
        <is>
          <t>A 35512-2023</t>
        </is>
      </c>
      <c r="B553" s="1" t="n">
        <v>45147.25623842593</v>
      </c>
      <c r="C553" s="1" t="n">
        <v>46090</v>
      </c>
      <c r="D553" t="inlineStr">
        <is>
          <t>GOTLANDS LÄN</t>
        </is>
      </c>
      <c r="E553" t="inlineStr">
        <is>
          <t>GOTLAND</t>
        </is>
      </c>
      <c r="G553" t="n">
        <v>1.2</v>
      </c>
      <c r="H553" t="n">
        <v>0</v>
      </c>
      <c r="I553" t="n">
        <v>0</v>
      </c>
      <c r="J553" t="n">
        <v>0</v>
      </c>
      <c r="K553" t="n">
        <v>0</v>
      </c>
      <c r="L553" t="n">
        <v>0</v>
      </c>
      <c r="M553" t="n">
        <v>0</v>
      </c>
      <c r="N553" t="n">
        <v>0</v>
      </c>
      <c r="O553" t="n">
        <v>0</v>
      </c>
      <c r="P553" t="n">
        <v>0</v>
      </c>
      <c r="Q553" t="n">
        <v>0</v>
      </c>
      <c r="R553" s="2" t="inlineStr"/>
    </row>
    <row r="554" ht="15" customHeight="1">
      <c r="A554" t="inlineStr">
        <is>
          <t>A 11874-2024</t>
        </is>
      </c>
      <c r="B554" s="1" t="n">
        <v>45376.46956018519</v>
      </c>
      <c r="C554" s="1" t="n">
        <v>46090</v>
      </c>
      <c r="D554" t="inlineStr">
        <is>
          <t>GOTLANDS LÄN</t>
        </is>
      </c>
      <c r="E554" t="inlineStr">
        <is>
          <t>GOTLAND</t>
        </is>
      </c>
      <c r="G554" t="n">
        <v>0.8</v>
      </c>
      <c r="H554" t="n">
        <v>0</v>
      </c>
      <c r="I554" t="n">
        <v>0</v>
      </c>
      <c r="J554" t="n">
        <v>0</v>
      </c>
      <c r="K554" t="n">
        <v>0</v>
      </c>
      <c r="L554" t="n">
        <v>0</v>
      </c>
      <c r="M554" t="n">
        <v>0</v>
      </c>
      <c r="N554" t="n">
        <v>0</v>
      </c>
      <c r="O554" t="n">
        <v>0</v>
      </c>
      <c r="P554" t="n">
        <v>0</v>
      </c>
      <c r="Q554" t="n">
        <v>0</v>
      </c>
      <c r="R554" s="2" t="inlineStr"/>
    </row>
    <row r="555" ht="15" customHeight="1">
      <c r="A555" t="inlineStr">
        <is>
          <t>A 20225-2025</t>
        </is>
      </c>
      <c r="B555" s="1" t="n">
        <v>45772.65802083333</v>
      </c>
      <c r="C555" s="1" t="n">
        <v>46090</v>
      </c>
      <c r="D555" t="inlineStr">
        <is>
          <t>GOTLANDS LÄN</t>
        </is>
      </c>
      <c r="E555" t="inlineStr">
        <is>
          <t>GOTLAND</t>
        </is>
      </c>
      <c r="G555" t="n">
        <v>1.1</v>
      </c>
      <c r="H555" t="n">
        <v>0</v>
      </c>
      <c r="I555" t="n">
        <v>0</v>
      </c>
      <c r="J555" t="n">
        <v>0</v>
      </c>
      <c r="K555" t="n">
        <v>0</v>
      </c>
      <c r="L555" t="n">
        <v>0</v>
      </c>
      <c r="M555" t="n">
        <v>0</v>
      </c>
      <c r="N555" t="n">
        <v>0</v>
      </c>
      <c r="O555" t="n">
        <v>0</v>
      </c>
      <c r="P555" t="n">
        <v>0</v>
      </c>
      <c r="Q555" t="n">
        <v>0</v>
      </c>
      <c r="R555" s="2" t="inlineStr"/>
    </row>
    <row r="556" ht="15" customHeight="1">
      <c r="A556" t="inlineStr">
        <is>
          <t>A 1677-2023</t>
        </is>
      </c>
      <c r="B556" s="1" t="n">
        <v>44938</v>
      </c>
      <c r="C556" s="1" t="n">
        <v>46090</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64831-2023</t>
        </is>
      </c>
      <c r="B557" s="1" t="n">
        <v>45282.44924768519</v>
      </c>
      <c r="C557" s="1" t="n">
        <v>46090</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8036-2022</t>
        </is>
      </c>
      <c r="B558" s="1" t="n">
        <v>44609.44362268518</v>
      </c>
      <c r="C558" s="1" t="n">
        <v>46090</v>
      </c>
      <c r="D558" t="inlineStr">
        <is>
          <t>GOTLANDS LÄN</t>
        </is>
      </c>
      <c r="E558" t="inlineStr">
        <is>
          <t>GOTLAND</t>
        </is>
      </c>
      <c r="G558" t="n">
        <v>6.1</v>
      </c>
      <c r="H558" t="n">
        <v>0</v>
      </c>
      <c r="I558" t="n">
        <v>0</v>
      </c>
      <c r="J558" t="n">
        <v>0</v>
      </c>
      <c r="K558" t="n">
        <v>0</v>
      </c>
      <c r="L558" t="n">
        <v>0</v>
      </c>
      <c r="M558" t="n">
        <v>0</v>
      </c>
      <c r="N558" t="n">
        <v>0</v>
      </c>
      <c r="O558" t="n">
        <v>0</v>
      </c>
      <c r="P558" t="n">
        <v>0</v>
      </c>
      <c r="Q558" t="n">
        <v>0</v>
      </c>
      <c r="R558" s="2" t="inlineStr"/>
    </row>
    <row r="559" ht="15" customHeight="1">
      <c r="A559" t="inlineStr">
        <is>
          <t>A 46375-2024</t>
        </is>
      </c>
      <c r="B559" s="1" t="n">
        <v>45582</v>
      </c>
      <c r="C559" s="1" t="n">
        <v>46090</v>
      </c>
      <c r="D559" t="inlineStr">
        <is>
          <t>GOTLANDS LÄN</t>
        </is>
      </c>
      <c r="E559" t="inlineStr">
        <is>
          <t>GOTLAND</t>
        </is>
      </c>
      <c r="G559" t="n">
        <v>3</v>
      </c>
      <c r="H559" t="n">
        <v>0</v>
      </c>
      <c r="I559" t="n">
        <v>0</v>
      </c>
      <c r="J559" t="n">
        <v>0</v>
      </c>
      <c r="K559" t="n">
        <v>0</v>
      </c>
      <c r="L559" t="n">
        <v>0</v>
      </c>
      <c r="M559" t="n">
        <v>0</v>
      </c>
      <c r="N559" t="n">
        <v>0</v>
      </c>
      <c r="O559" t="n">
        <v>0</v>
      </c>
      <c r="P559" t="n">
        <v>0</v>
      </c>
      <c r="Q559" t="n">
        <v>0</v>
      </c>
      <c r="R559" s="2" t="inlineStr"/>
    </row>
    <row r="560" ht="15" customHeight="1">
      <c r="A560" t="inlineStr">
        <is>
          <t>A 62915-2021</t>
        </is>
      </c>
      <c r="B560" s="1" t="n">
        <v>44504</v>
      </c>
      <c r="C560" s="1" t="n">
        <v>46090</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7638-2025</t>
        </is>
      </c>
      <c r="B561" s="1" t="n">
        <v>45705.77306712963</v>
      </c>
      <c r="C561" s="1" t="n">
        <v>46090</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4377-2023</t>
        </is>
      </c>
      <c r="B562" s="1" t="n">
        <v>44955.5502662037</v>
      </c>
      <c r="C562" s="1" t="n">
        <v>46090</v>
      </c>
      <c r="D562" t="inlineStr">
        <is>
          <t>GOTLANDS LÄN</t>
        </is>
      </c>
      <c r="E562" t="inlineStr">
        <is>
          <t>GOTLAND</t>
        </is>
      </c>
      <c r="F562" t="inlineStr">
        <is>
          <t>Kyrkan</t>
        </is>
      </c>
      <c r="G562" t="n">
        <v>0.6</v>
      </c>
      <c r="H562" t="n">
        <v>0</v>
      </c>
      <c r="I562" t="n">
        <v>0</v>
      </c>
      <c r="J562" t="n">
        <v>0</v>
      </c>
      <c r="K562" t="n">
        <v>0</v>
      </c>
      <c r="L562" t="n">
        <v>0</v>
      </c>
      <c r="M562" t="n">
        <v>0</v>
      </c>
      <c r="N562" t="n">
        <v>0</v>
      </c>
      <c r="O562" t="n">
        <v>0</v>
      </c>
      <c r="P562" t="n">
        <v>0</v>
      </c>
      <c r="Q562" t="n">
        <v>0</v>
      </c>
      <c r="R562" s="2" t="inlineStr"/>
    </row>
    <row r="563" ht="15" customHeight="1">
      <c r="A563" t="inlineStr">
        <is>
          <t>A 43901-2023</t>
        </is>
      </c>
      <c r="B563" s="1" t="n">
        <v>45187</v>
      </c>
      <c r="C563" s="1" t="n">
        <v>46090</v>
      </c>
      <c r="D563" t="inlineStr">
        <is>
          <t>GOTLANDS LÄN</t>
        </is>
      </c>
      <c r="E563" t="inlineStr">
        <is>
          <t>GOTLAND</t>
        </is>
      </c>
      <c r="G563" t="n">
        <v>5.4</v>
      </c>
      <c r="H563" t="n">
        <v>0</v>
      </c>
      <c r="I563" t="n">
        <v>0</v>
      </c>
      <c r="J563" t="n">
        <v>0</v>
      </c>
      <c r="K563" t="n">
        <v>0</v>
      </c>
      <c r="L563" t="n">
        <v>0</v>
      </c>
      <c r="M563" t="n">
        <v>0</v>
      </c>
      <c r="N563" t="n">
        <v>0</v>
      </c>
      <c r="O563" t="n">
        <v>0</v>
      </c>
      <c r="P563" t="n">
        <v>0</v>
      </c>
      <c r="Q563" t="n">
        <v>0</v>
      </c>
      <c r="R563" s="2" t="inlineStr"/>
    </row>
    <row r="564" ht="15" customHeight="1">
      <c r="A564" t="inlineStr">
        <is>
          <t>A 17532-2024</t>
        </is>
      </c>
      <c r="B564" s="1" t="n">
        <v>45415</v>
      </c>
      <c r="C564" s="1" t="n">
        <v>46090</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45692-2023</t>
        </is>
      </c>
      <c r="B565" s="1" t="n">
        <v>45195</v>
      </c>
      <c r="C565" s="1" t="n">
        <v>46090</v>
      </c>
      <c r="D565" t="inlineStr">
        <is>
          <t>GOTLANDS LÄN</t>
        </is>
      </c>
      <c r="E565" t="inlineStr">
        <is>
          <t>GOTLAND</t>
        </is>
      </c>
      <c r="G565" t="n">
        <v>5.3</v>
      </c>
      <c r="H565" t="n">
        <v>0</v>
      </c>
      <c r="I565" t="n">
        <v>0</v>
      </c>
      <c r="J565" t="n">
        <v>0</v>
      </c>
      <c r="K565" t="n">
        <v>0</v>
      </c>
      <c r="L565" t="n">
        <v>0</v>
      </c>
      <c r="M565" t="n">
        <v>0</v>
      </c>
      <c r="N565" t="n">
        <v>0</v>
      </c>
      <c r="O565" t="n">
        <v>0</v>
      </c>
      <c r="P565" t="n">
        <v>0</v>
      </c>
      <c r="Q565" t="n">
        <v>0</v>
      </c>
      <c r="R565" s="2" t="inlineStr"/>
    </row>
    <row r="566" ht="15" customHeight="1">
      <c r="A566" t="inlineStr">
        <is>
          <t>A 37222-2021</t>
        </is>
      </c>
      <c r="B566" s="1" t="n">
        <v>44396</v>
      </c>
      <c r="C566" s="1" t="n">
        <v>46090</v>
      </c>
      <c r="D566" t="inlineStr">
        <is>
          <t>GOTLANDS LÄN</t>
        </is>
      </c>
      <c r="E566" t="inlineStr">
        <is>
          <t>GOTLAND</t>
        </is>
      </c>
      <c r="G566" t="n">
        <v>3</v>
      </c>
      <c r="H566" t="n">
        <v>0</v>
      </c>
      <c r="I566" t="n">
        <v>0</v>
      </c>
      <c r="J566" t="n">
        <v>0</v>
      </c>
      <c r="K566" t="n">
        <v>0</v>
      </c>
      <c r="L566" t="n">
        <v>0</v>
      </c>
      <c r="M566" t="n">
        <v>0</v>
      </c>
      <c r="N566" t="n">
        <v>0</v>
      </c>
      <c r="O566" t="n">
        <v>0</v>
      </c>
      <c r="P566" t="n">
        <v>0</v>
      </c>
      <c r="Q566" t="n">
        <v>0</v>
      </c>
      <c r="R566" s="2" t="inlineStr"/>
    </row>
    <row r="567" ht="15" customHeight="1">
      <c r="A567" t="inlineStr">
        <is>
          <t>A 46396-2023</t>
        </is>
      </c>
      <c r="B567" s="1" t="n">
        <v>45197</v>
      </c>
      <c r="C567" s="1" t="n">
        <v>46090</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58388-2022</t>
        </is>
      </c>
      <c r="B568" s="1" t="n">
        <v>44894</v>
      </c>
      <c r="C568" s="1" t="n">
        <v>46090</v>
      </c>
      <c r="D568" t="inlineStr">
        <is>
          <t>GOTLANDS LÄN</t>
        </is>
      </c>
      <c r="E568" t="inlineStr">
        <is>
          <t>GOTLAND</t>
        </is>
      </c>
      <c r="F568" t="inlineStr">
        <is>
          <t>Övriga statliga verk och myndigheter</t>
        </is>
      </c>
      <c r="G568" t="n">
        <v>3.1</v>
      </c>
      <c r="H568" t="n">
        <v>0</v>
      </c>
      <c r="I568" t="n">
        <v>0</v>
      </c>
      <c r="J568" t="n">
        <v>0</v>
      </c>
      <c r="K568" t="n">
        <v>0</v>
      </c>
      <c r="L568" t="n">
        <v>0</v>
      </c>
      <c r="M568" t="n">
        <v>0</v>
      </c>
      <c r="N568" t="n">
        <v>0</v>
      </c>
      <c r="O568" t="n">
        <v>0</v>
      </c>
      <c r="P568" t="n">
        <v>0</v>
      </c>
      <c r="Q568" t="n">
        <v>0</v>
      </c>
      <c r="R568" s="2" t="inlineStr"/>
    </row>
    <row r="569" ht="15" customHeight="1">
      <c r="A569" t="inlineStr">
        <is>
          <t>A 53934-2024</t>
        </is>
      </c>
      <c r="B569" s="1" t="n">
        <v>45615</v>
      </c>
      <c r="C569" s="1" t="n">
        <v>46090</v>
      </c>
      <c r="D569" t="inlineStr">
        <is>
          <t>GOTLANDS LÄN</t>
        </is>
      </c>
      <c r="E569" t="inlineStr">
        <is>
          <t>GOTLAND</t>
        </is>
      </c>
      <c r="G569" t="n">
        <v>5</v>
      </c>
      <c r="H569" t="n">
        <v>0</v>
      </c>
      <c r="I569" t="n">
        <v>0</v>
      </c>
      <c r="J569" t="n">
        <v>0</v>
      </c>
      <c r="K569" t="n">
        <v>0</v>
      </c>
      <c r="L569" t="n">
        <v>0</v>
      </c>
      <c r="M569" t="n">
        <v>0</v>
      </c>
      <c r="N569" t="n">
        <v>0</v>
      </c>
      <c r="O569" t="n">
        <v>0</v>
      </c>
      <c r="P569" t="n">
        <v>0</v>
      </c>
      <c r="Q569" t="n">
        <v>0</v>
      </c>
      <c r="R569" s="2" t="inlineStr"/>
    </row>
    <row r="570" ht="15" customHeight="1">
      <c r="A570" t="inlineStr">
        <is>
          <t>A 58132-2023</t>
        </is>
      </c>
      <c r="B570" s="1" t="n">
        <v>45250</v>
      </c>
      <c r="C570" s="1" t="n">
        <v>46090</v>
      </c>
      <c r="D570" t="inlineStr">
        <is>
          <t>GOTLANDS LÄN</t>
        </is>
      </c>
      <c r="E570" t="inlineStr">
        <is>
          <t>GOTLAND</t>
        </is>
      </c>
      <c r="G570" t="n">
        <v>3.1</v>
      </c>
      <c r="H570" t="n">
        <v>0</v>
      </c>
      <c r="I570" t="n">
        <v>0</v>
      </c>
      <c r="J570" t="n">
        <v>0</v>
      </c>
      <c r="K570" t="n">
        <v>0</v>
      </c>
      <c r="L570" t="n">
        <v>0</v>
      </c>
      <c r="M570" t="n">
        <v>0</v>
      </c>
      <c r="N570" t="n">
        <v>0</v>
      </c>
      <c r="O570" t="n">
        <v>0</v>
      </c>
      <c r="P570" t="n">
        <v>0</v>
      </c>
      <c r="Q570" t="n">
        <v>0</v>
      </c>
      <c r="R570" s="2" t="inlineStr"/>
    </row>
    <row r="571" ht="15" customHeight="1">
      <c r="A571" t="inlineStr">
        <is>
          <t>A 22899-2023</t>
        </is>
      </c>
      <c r="B571" s="1" t="n">
        <v>45072</v>
      </c>
      <c r="C571" s="1" t="n">
        <v>46090</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28285-2024</t>
        </is>
      </c>
      <c r="B572" s="1" t="n">
        <v>45477</v>
      </c>
      <c r="C572" s="1" t="n">
        <v>46090</v>
      </c>
      <c r="D572" t="inlineStr">
        <is>
          <t>GOTLANDS LÄN</t>
        </is>
      </c>
      <c r="E572" t="inlineStr">
        <is>
          <t>GOTLAND</t>
        </is>
      </c>
      <c r="G572" t="n">
        <v>1.6</v>
      </c>
      <c r="H572" t="n">
        <v>0</v>
      </c>
      <c r="I572" t="n">
        <v>0</v>
      </c>
      <c r="J572" t="n">
        <v>0</v>
      </c>
      <c r="K572" t="n">
        <v>0</v>
      </c>
      <c r="L572" t="n">
        <v>0</v>
      </c>
      <c r="M572" t="n">
        <v>0</v>
      </c>
      <c r="N572" t="n">
        <v>0</v>
      </c>
      <c r="O572" t="n">
        <v>0</v>
      </c>
      <c r="P572" t="n">
        <v>0</v>
      </c>
      <c r="Q572" t="n">
        <v>0</v>
      </c>
      <c r="R572" s="2" t="inlineStr"/>
    </row>
    <row r="573" ht="15" customHeight="1">
      <c r="A573" t="inlineStr">
        <is>
          <t>A 51963-2024</t>
        </is>
      </c>
      <c r="B573" s="1" t="n">
        <v>45607.64833333333</v>
      </c>
      <c r="C573" s="1" t="n">
        <v>46090</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1734-2025</t>
        </is>
      </c>
      <c r="B574" s="1" t="n">
        <v>45671.3840625</v>
      </c>
      <c r="C574" s="1" t="n">
        <v>46090</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30365-2024</t>
        </is>
      </c>
      <c r="B575" s="1" t="n">
        <v>45491.3716087963</v>
      </c>
      <c r="C575" s="1" t="n">
        <v>46090</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2674-2023</t>
        </is>
      </c>
      <c r="B576" s="1" t="n">
        <v>44944</v>
      </c>
      <c r="C576" s="1" t="n">
        <v>46090</v>
      </c>
      <c r="D576" t="inlineStr">
        <is>
          <t>GOTLANDS LÄN</t>
        </is>
      </c>
      <c r="E576" t="inlineStr">
        <is>
          <t>GOTLAND</t>
        </is>
      </c>
      <c r="G576" t="n">
        <v>2.5</v>
      </c>
      <c r="H576" t="n">
        <v>0</v>
      </c>
      <c r="I576" t="n">
        <v>0</v>
      </c>
      <c r="J576" t="n">
        <v>0</v>
      </c>
      <c r="K576" t="n">
        <v>0</v>
      </c>
      <c r="L576" t="n">
        <v>0</v>
      </c>
      <c r="M576" t="n">
        <v>0</v>
      </c>
      <c r="N576" t="n">
        <v>0</v>
      </c>
      <c r="O576" t="n">
        <v>0</v>
      </c>
      <c r="P576" t="n">
        <v>0</v>
      </c>
      <c r="Q576" t="n">
        <v>0</v>
      </c>
      <c r="R576" s="2" t="inlineStr"/>
    </row>
    <row r="577" ht="15" customHeight="1">
      <c r="A577" t="inlineStr">
        <is>
          <t>A 61100-2022</t>
        </is>
      </c>
      <c r="B577" s="1" t="n">
        <v>44915</v>
      </c>
      <c r="C577" s="1" t="n">
        <v>46090</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46090</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10655-2023</t>
        </is>
      </c>
      <c r="B579" s="1" t="n">
        <v>44988.49543981482</v>
      </c>
      <c r="C579" s="1" t="n">
        <v>46090</v>
      </c>
      <c r="D579" t="inlineStr">
        <is>
          <t>GOTLANDS LÄN</t>
        </is>
      </c>
      <c r="E579" t="inlineStr">
        <is>
          <t>GOTLAND</t>
        </is>
      </c>
      <c r="F579" t="inlineStr">
        <is>
          <t>Kyrkan</t>
        </is>
      </c>
      <c r="G579" t="n">
        <v>2</v>
      </c>
      <c r="H579" t="n">
        <v>0</v>
      </c>
      <c r="I579" t="n">
        <v>0</v>
      </c>
      <c r="J579" t="n">
        <v>0</v>
      </c>
      <c r="K579" t="n">
        <v>0</v>
      </c>
      <c r="L579" t="n">
        <v>0</v>
      </c>
      <c r="M579" t="n">
        <v>0</v>
      </c>
      <c r="N579" t="n">
        <v>0</v>
      </c>
      <c r="O579" t="n">
        <v>0</v>
      </c>
      <c r="P579" t="n">
        <v>0</v>
      </c>
      <c r="Q579" t="n">
        <v>0</v>
      </c>
      <c r="R579" s="2" t="inlineStr"/>
    </row>
    <row r="580" ht="15" customHeight="1">
      <c r="A580" t="inlineStr">
        <is>
          <t>A 44649-2021</t>
        </is>
      </c>
      <c r="B580" s="1" t="n">
        <v>44437</v>
      </c>
      <c r="C580" s="1" t="n">
        <v>46090</v>
      </c>
      <c r="D580" t="inlineStr">
        <is>
          <t>GOTLANDS LÄN</t>
        </is>
      </c>
      <c r="E580" t="inlineStr">
        <is>
          <t>GOTLAND</t>
        </is>
      </c>
      <c r="G580" t="n">
        <v>8.1</v>
      </c>
      <c r="H580" t="n">
        <v>0</v>
      </c>
      <c r="I580" t="n">
        <v>0</v>
      </c>
      <c r="J580" t="n">
        <v>0</v>
      </c>
      <c r="K580" t="n">
        <v>0</v>
      </c>
      <c r="L580" t="n">
        <v>0</v>
      </c>
      <c r="M580" t="n">
        <v>0</v>
      </c>
      <c r="N580" t="n">
        <v>0</v>
      </c>
      <c r="O580" t="n">
        <v>0</v>
      </c>
      <c r="P580" t="n">
        <v>0</v>
      </c>
      <c r="Q580" t="n">
        <v>0</v>
      </c>
      <c r="R580" s="2" t="inlineStr"/>
    </row>
    <row r="581" ht="15" customHeight="1">
      <c r="A581" t="inlineStr">
        <is>
          <t>A 8484-2025</t>
        </is>
      </c>
      <c r="B581" s="1" t="n">
        <v>45709</v>
      </c>
      <c r="C581" s="1" t="n">
        <v>46090</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49962-2023</t>
        </is>
      </c>
      <c r="B582" s="1" t="n">
        <v>45215.38775462963</v>
      </c>
      <c r="C582" s="1" t="n">
        <v>46090</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50744-2024</t>
        </is>
      </c>
      <c r="B583" s="1" t="n">
        <v>45602.4187037037</v>
      </c>
      <c r="C583" s="1" t="n">
        <v>46090</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45244-2024</t>
        </is>
      </c>
      <c r="B584" s="1" t="n">
        <v>45576</v>
      </c>
      <c r="C584" s="1" t="n">
        <v>46090</v>
      </c>
      <c r="D584" t="inlineStr">
        <is>
          <t>GOTLANDS LÄN</t>
        </is>
      </c>
      <c r="E584" t="inlineStr">
        <is>
          <t>GOTLAND</t>
        </is>
      </c>
      <c r="G584" t="n">
        <v>2.4</v>
      </c>
      <c r="H584" t="n">
        <v>0</v>
      </c>
      <c r="I584" t="n">
        <v>0</v>
      </c>
      <c r="J584" t="n">
        <v>0</v>
      </c>
      <c r="K584" t="n">
        <v>0</v>
      </c>
      <c r="L584" t="n">
        <v>0</v>
      </c>
      <c r="M584" t="n">
        <v>0</v>
      </c>
      <c r="N584" t="n">
        <v>0</v>
      </c>
      <c r="O584" t="n">
        <v>0</v>
      </c>
      <c r="P584" t="n">
        <v>0</v>
      </c>
      <c r="Q584" t="n">
        <v>0</v>
      </c>
      <c r="R584" s="2" t="inlineStr"/>
    </row>
    <row r="585" ht="15" customHeight="1">
      <c r="A585" t="inlineStr">
        <is>
          <t>A 38787-2023</t>
        </is>
      </c>
      <c r="B585" s="1" t="n">
        <v>45163</v>
      </c>
      <c r="C585" s="1" t="n">
        <v>46090</v>
      </c>
      <c r="D585" t="inlineStr">
        <is>
          <t>GOTLANDS LÄN</t>
        </is>
      </c>
      <c r="E585" t="inlineStr">
        <is>
          <t>GOTLAND</t>
        </is>
      </c>
      <c r="G585" t="n">
        <v>0.4</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44944.54896990741</v>
      </c>
      <c r="C586" s="1" t="n">
        <v>46090</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22897-2023</t>
        </is>
      </c>
      <c r="B587" s="1" t="n">
        <v>45072.55239583334</v>
      </c>
      <c r="C587" s="1" t="n">
        <v>46090</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4568-2025</t>
        </is>
      </c>
      <c r="B588" s="1" t="n">
        <v>45687</v>
      </c>
      <c r="C588" s="1" t="n">
        <v>46090</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1681-2023</t>
        </is>
      </c>
      <c r="B589" s="1" t="n">
        <v>44938.39715277778</v>
      </c>
      <c r="C589" s="1" t="n">
        <v>46090</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42338-2023</t>
        </is>
      </c>
      <c r="B590" s="1" t="n">
        <v>45180</v>
      </c>
      <c r="C590" s="1" t="n">
        <v>46090</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18918-2025</t>
        </is>
      </c>
      <c r="B591" s="1" t="n">
        <v>45764</v>
      </c>
      <c r="C591" s="1" t="n">
        <v>46090</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11013-2024</t>
        </is>
      </c>
      <c r="B592" s="1" t="n">
        <v>45370</v>
      </c>
      <c r="C592" s="1" t="n">
        <v>46090</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45084-2024</t>
        </is>
      </c>
      <c r="B593" s="1" t="n">
        <v>45575</v>
      </c>
      <c r="C593" s="1" t="n">
        <v>46090</v>
      </c>
      <c r="D593" t="inlineStr">
        <is>
          <t>GOTLANDS LÄN</t>
        </is>
      </c>
      <c r="E593" t="inlineStr">
        <is>
          <t>GOTLAND</t>
        </is>
      </c>
      <c r="G593" t="n">
        <v>6.8</v>
      </c>
      <c r="H593" t="n">
        <v>0</v>
      </c>
      <c r="I593" t="n">
        <v>0</v>
      </c>
      <c r="J593" t="n">
        <v>0</v>
      </c>
      <c r="K593" t="n">
        <v>0</v>
      </c>
      <c r="L593" t="n">
        <v>0</v>
      </c>
      <c r="M593" t="n">
        <v>0</v>
      </c>
      <c r="N593" t="n">
        <v>0</v>
      </c>
      <c r="O593" t="n">
        <v>0</v>
      </c>
      <c r="P593" t="n">
        <v>0</v>
      </c>
      <c r="Q593" t="n">
        <v>0</v>
      </c>
      <c r="R593" s="2" t="inlineStr"/>
    </row>
    <row r="594" ht="15" customHeight="1">
      <c r="A594" t="inlineStr">
        <is>
          <t>A 20356-2022</t>
        </is>
      </c>
      <c r="B594" s="1" t="n">
        <v>44699</v>
      </c>
      <c r="C594" s="1" t="n">
        <v>46090</v>
      </c>
      <c r="D594" t="inlineStr">
        <is>
          <t>GOTLANDS LÄN</t>
        </is>
      </c>
      <c r="E594" t="inlineStr">
        <is>
          <t>GOTLAND</t>
        </is>
      </c>
      <c r="F594" t="inlineStr">
        <is>
          <t>Övriga Aktiebolag</t>
        </is>
      </c>
      <c r="G594" t="n">
        <v>4.4</v>
      </c>
      <c r="H594" t="n">
        <v>0</v>
      </c>
      <c r="I594" t="n">
        <v>0</v>
      </c>
      <c r="J594" t="n">
        <v>0</v>
      </c>
      <c r="K594" t="n">
        <v>0</v>
      </c>
      <c r="L594" t="n">
        <v>0</v>
      </c>
      <c r="M594" t="n">
        <v>0</v>
      </c>
      <c r="N594" t="n">
        <v>0</v>
      </c>
      <c r="O594" t="n">
        <v>0</v>
      </c>
      <c r="P594" t="n">
        <v>0</v>
      </c>
      <c r="Q594" t="n">
        <v>0</v>
      </c>
      <c r="R594" s="2" t="inlineStr"/>
    </row>
    <row r="595" ht="15" customHeight="1">
      <c r="A595" t="inlineStr">
        <is>
          <t>A 4868-2024</t>
        </is>
      </c>
      <c r="B595" s="1" t="n">
        <v>45329</v>
      </c>
      <c r="C595" s="1" t="n">
        <v>46090</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9613-2025</t>
        </is>
      </c>
      <c r="B596" s="1" t="n">
        <v>45715</v>
      </c>
      <c r="C596" s="1" t="n">
        <v>46090</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5386-2023</t>
        </is>
      </c>
      <c r="B597" s="1" t="n">
        <v>44959</v>
      </c>
      <c r="C597" s="1" t="n">
        <v>46090</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58211-2024</t>
        </is>
      </c>
      <c r="B598" s="1" t="n">
        <v>45632.49292824074</v>
      </c>
      <c r="C598" s="1" t="n">
        <v>46090</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11634-2024</t>
        </is>
      </c>
      <c r="B599" s="1" t="n">
        <v>45373</v>
      </c>
      <c r="C599" s="1" t="n">
        <v>46090</v>
      </c>
      <c r="D599" t="inlineStr">
        <is>
          <t>GOTLANDS LÄN</t>
        </is>
      </c>
      <c r="E599" t="inlineStr">
        <is>
          <t>GOTLAND</t>
        </is>
      </c>
      <c r="G599" t="n">
        <v>3</v>
      </c>
      <c r="H599" t="n">
        <v>0</v>
      </c>
      <c r="I599" t="n">
        <v>0</v>
      </c>
      <c r="J599" t="n">
        <v>0</v>
      </c>
      <c r="K599" t="n">
        <v>0</v>
      </c>
      <c r="L599" t="n">
        <v>0</v>
      </c>
      <c r="M599" t="n">
        <v>0</v>
      </c>
      <c r="N599" t="n">
        <v>0</v>
      </c>
      <c r="O599" t="n">
        <v>0</v>
      </c>
      <c r="P599" t="n">
        <v>0</v>
      </c>
      <c r="Q599" t="n">
        <v>0</v>
      </c>
      <c r="R599" s="2" t="inlineStr"/>
    </row>
    <row r="600" ht="15" customHeight="1">
      <c r="A600" t="inlineStr">
        <is>
          <t>A 5884-2025</t>
        </is>
      </c>
      <c r="B600" s="1" t="n">
        <v>45695.37482638889</v>
      </c>
      <c r="C600" s="1" t="n">
        <v>46090</v>
      </c>
      <c r="D600" t="inlineStr">
        <is>
          <t>GOTLANDS LÄN</t>
        </is>
      </c>
      <c r="E600" t="inlineStr">
        <is>
          <t>GOTLAND</t>
        </is>
      </c>
      <c r="G600" t="n">
        <v>2.1</v>
      </c>
      <c r="H600" t="n">
        <v>0</v>
      </c>
      <c r="I600" t="n">
        <v>0</v>
      </c>
      <c r="J600" t="n">
        <v>0</v>
      </c>
      <c r="K600" t="n">
        <v>0</v>
      </c>
      <c r="L600" t="n">
        <v>0</v>
      </c>
      <c r="M600" t="n">
        <v>0</v>
      </c>
      <c r="N600" t="n">
        <v>0</v>
      </c>
      <c r="O600" t="n">
        <v>0</v>
      </c>
      <c r="P600" t="n">
        <v>0</v>
      </c>
      <c r="Q600" t="n">
        <v>0</v>
      </c>
      <c r="R600" s="2" t="inlineStr"/>
    </row>
    <row r="601" ht="15" customHeight="1">
      <c r="A601" t="inlineStr">
        <is>
          <t>A 5897-2025</t>
        </is>
      </c>
      <c r="B601" s="1" t="n">
        <v>45695.39273148148</v>
      </c>
      <c r="C601" s="1" t="n">
        <v>46090</v>
      </c>
      <c r="D601" t="inlineStr">
        <is>
          <t>GOTLANDS LÄN</t>
        </is>
      </c>
      <c r="E601" t="inlineStr">
        <is>
          <t>GOTLAND</t>
        </is>
      </c>
      <c r="G601" t="n">
        <v>3.7</v>
      </c>
      <c r="H601" t="n">
        <v>0</v>
      </c>
      <c r="I601" t="n">
        <v>0</v>
      </c>
      <c r="J601" t="n">
        <v>0</v>
      </c>
      <c r="K601" t="n">
        <v>0</v>
      </c>
      <c r="L601" t="n">
        <v>0</v>
      </c>
      <c r="M601" t="n">
        <v>0</v>
      </c>
      <c r="N601" t="n">
        <v>0</v>
      </c>
      <c r="O601" t="n">
        <v>0</v>
      </c>
      <c r="P601" t="n">
        <v>0</v>
      </c>
      <c r="Q601" t="n">
        <v>0</v>
      </c>
      <c r="R601" s="2" t="inlineStr"/>
    </row>
    <row r="602" ht="15" customHeight="1">
      <c r="A602" t="inlineStr">
        <is>
          <t>A 5909-2025</t>
        </is>
      </c>
      <c r="B602" s="1" t="n">
        <v>45695.40634259259</v>
      </c>
      <c r="C602" s="1" t="n">
        <v>46090</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60086-2022</t>
        </is>
      </c>
      <c r="B603" s="1" t="n">
        <v>44909</v>
      </c>
      <c r="C603" s="1" t="n">
        <v>46090</v>
      </c>
      <c r="D603" t="inlineStr">
        <is>
          <t>GOTLANDS LÄN</t>
        </is>
      </c>
      <c r="E603" t="inlineStr">
        <is>
          <t>GOTLAND</t>
        </is>
      </c>
      <c r="G603" t="n">
        <v>2.1</v>
      </c>
      <c r="H603" t="n">
        <v>0</v>
      </c>
      <c r="I603" t="n">
        <v>0</v>
      </c>
      <c r="J603" t="n">
        <v>0</v>
      </c>
      <c r="K603" t="n">
        <v>0</v>
      </c>
      <c r="L603" t="n">
        <v>0</v>
      </c>
      <c r="M603" t="n">
        <v>0</v>
      </c>
      <c r="N603" t="n">
        <v>0</v>
      </c>
      <c r="O603" t="n">
        <v>0</v>
      </c>
      <c r="P603" t="n">
        <v>0</v>
      </c>
      <c r="Q603" t="n">
        <v>0</v>
      </c>
      <c r="R603" s="2" t="inlineStr"/>
    </row>
    <row r="604" ht="15" customHeight="1">
      <c r="A604" t="inlineStr">
        <is>
          <t>A 22704-2023</t>
        </is>
      </c>
      <c r="B604" s="1" t="n">
        <v>45071</v>
      </c>
      <c r="C604" s="1" t="n">
        <v>46090</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25866-2022</t>
        </is>
      </c>
      <c r="B605" s="1" t="n">
        <v>44733</v>
      </c>
      <c r="C605" s="1" t="n">
        <v>46090</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9887-2025</t>
        </is>
      </c>
      <c r="B606" s="1" t="n">
        <v>45716</v>
      </c>
      <c r="C606" s="1" t="n">
        <v>46090</v>
      </c>
      <c r="D606" t="inlineStr">
        <is>
          <t>GOTLANDS LÄN</t>
        </is>
      </c>
      <c r="E606" t="inlineStr">
        <is>
          <t>GOTLAND</t>
        </is>
      </c>
      <c r="G606" t="n">
        <v>7.5</v>
      </c>
      <c r="H606" t="n">
        <v>0</v>
      </c>
      <c r="I606" t="n">
        <v>0</v>
      </c>
      <c r="J606" t="n">
        <v>0</v>
      </c>
      <c r="K606" t="n">
        <v>0</v>
      </c>
      <c r="L606" t="n">
        <v>0</v>
      </c>
      <c r="M606" t="n">
        <v>0</v>
      </c>
      <c r="N606" t="n">
        <v>0</v>
      </c>
      <c r="O606" t="n">
        <v>0</v>
      </c>
      <c r="P606" t="n">
        <v>0</v>
      </c>
      <c r="Q606" t="n">
        <v>0</v>
      </c>
      <c r="R606" s="2" t="inlineStr"/>
    </row>
    <row r="607" ht="15" customHeight="1">
      <c r="A607" t="inlineStr">
        <is>
          <t>A 12209-2024</t>
        </is>
      </c>
      <c r="B607" s="1" t="n">
        <v>45378</v>
      </c>
      <c r="C607" s="1" t="n">
        <v>46090</v>
      </c>
      <c r="D607" t="inlineStr">
        <is>
          <t>GOTLANDS LÄN</t>
        </is>
      </c>
      <c r="E607" t="inlineStr">
        <is>
          <t>GOTLAND</t>
        </is>
      </c>
      <c r="G607" t="n">
        <v>5.3</v>
      </c>
      <c r="H607" t="n">
        <v>0</v>
      </c>
      <c r="I607" t="n">
        <v>0</v>
      </c>
      <c r="J607" t="n">
        <v>0</v>
      </c>
      <c r="K607" t="n">
        <v>0</v>
      </c>
      <c r="L607" t="n">
        <v>0</v>
      </c>
      <c r="M607" t="n">
        <v>0</v>
      </c>
      <c r="N607" t="n">
        <v>0</v>
      </c>
      <c r="O607" t="n">
        <v>0</v>
      </c>
      <c r="P607" t="n">
        <v>0</v>
      </c>
      <c r="Q607" t="n">
        <v>0</v>
      </c>
      <c r="R607" s="2" t="inlineStr"/>
    </row>
    <row r="608" ht="15" customHeight="1">
      <c r="A608" t="inlineStr">
        <is>
          <t>A 12210-2024</t>
        </is>
      </c>
      <c r="B608" s="1" t="n">
        <v>45378</v>
      </c>
      <c r="C608" s="1" t="n">
        <v>46090</v>
      </c>
      <c r="D608" t="inlineStr">
        <is>
          <t>GOTLANDS LÄN</t>
        </is>
      </c>
      <c r="E608" t="inlineStr">
        <is>
          <t>GOTLAND</t>
        </is>
      </c>
      <c r="G608" t="n">
        <v>4.1</v>
      </c>
      <c r="H608" t="n">
        <v>0</v>
      </c>
      <c r="I608" t="n">
        <v>0</v>
      </c>
      <c r="J608" t="n">
        <v>0</v>
      </c>
      <c r="K608" t="n">
        <v>0</v>
      </c>
      <c r="L608" t="n">
        <v>0</v>
      </c>
      <c r="M608" t="n">
        <v>0</v>
      </c>
      <c r="N608" t="n">
        <v>0</v>
      </c>
      <c r="O608" t="n">
        <v>0</v>
      </c>
      <c r="P608" t="n">
        <v>0</v>
      </c>
      <c r="Q608" t="n">
        <v>0</v>
      </c>
      <c r="R608" s="2" t="inlineStr"/>
    </row>
    <row r="609" ht="15" customHeight="1">
      <c r="A609" t="inlineStr">
        <is>
          <t>A 59986-2022</t>
        </is>
      </c>
      <c r="B609" s="1" t="n">
        <v>44909</v>
      </c>
      <c r="C609" s="1" t="n">
        <v>46090</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31802-2024</t>
        </is>
      </c>
      <c r="B610" s="1" t="n">
        <v>45509</v>
      </c>
      <c r="C610" s="1" t="n">
        <v>46090</v>
      </c>
      <c r="D610" t="inlineStr">
        <is>
          <t>GOTLANDS LÄN</t>
        </is>
      </c>
      <c r="E610" t="inlineStr">
        <is>
          <t>GOTLAND</t>
        </is>
      </c>
      <c r="G610" t="n">
        <v>2.8</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46090</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15042-2025</t>
        </is>
      </c>
      <c r="B612" s="1" t="n">
        <v>45743</v>
      </c>
      <c r="C612" s="1" t="n">
        <v>46090</v>
      </c>
      <c r="D612" t="inlineStr">
        <is>
          <t>GOTLANDS LÄN</t>
        </is>
      </c>
      <c r="E612" t="inlineStr">
        <is>
          <t>GOTLAND</t>
        </is>
      </c>
      <c r="G612" t="n">
        <v>8.5</v>
      </c>
      <c r="H612" t="n">
        <v>0</v>
      </c>
      <c r="I612" t="n">
        <v>0</v>
      </c>
      <c r="J612" t="n">
        <v>0</v>
      </c>
      <c r="K612" t="n">
        <v>0</v>
      </c>
      <c r="L612" t="n">
        <v>0</v>
      </c>
      <c r="M612" t="n">
        <v>0</v>
      </c>
      <c r="N612" t="n">
        <v>0</v>
      </c>
      <c r="O612" t="n">
        <v>0</v>
      </c>
      <c r="P612" t="n">
        <v>0</v>
      </c>
      <c r="Q612" t="n">
        <v>0</v>
      </c>
      <c r="R612" s="2" t="inlineStr"/>
    </row>
    <row r="613" ht="15" customHeight="1">
      <c r="A613" t="inlineStr">
        <is>
          <t>A 12327-2025</t>
        </is>
      </c>
      <c r="B613" s="1" t="n">
        <v>45730</v>
      </c>
      <c r="C613" s="1" t="n">
        <v>46090</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4420-2025</t>
        </is>
      </c>
      <c r="B614" s="1" t="n">
        <v>45686.47157407407</v>
      </c>
      <c r="C614" s="1" t="n">
        <v>46090</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14427-2024</t>
        </is>
      </c>
      <c r="B615" s="1" t="n">
        <v>45394</v>
      </c>
      <c r="C615" s="1" t="n">
        <v>46090</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49257-2024</t>
        </is>
      </c>
      <c r="B616" s="1" t="n">
        <v>45595.47627314815</v>
      </c>
      <c r="C616" s="1" t="n">
        <v>46090</v>
      </c>
      <c r="D616" t="inlineStr">
        <is>
          <t>GOTLANDS LÄN</t>
        </is>
      </c>
      <c r="E616" t="inlineStr">
        <is>
          <t>GOTLAND</t>
        </is>
      </c>
      <c r="G616" t="n">
        <v>6.3</v>
      </c>
      <c r="H616" t="n">
        <v>0</v>
      </c>
      <c r="I616" t="n">
        <v>0</v>
      </c>
      <c r="J616" t="n">
        <v>0</v>
      </c>
      <c r="K616" t="n">
        <v>0</v>
      </c>
      <c r="L616" t="n">
        <v>0</v>
      </c>
      <c r="M616" t="n">
        <v>0</v>
      </c>
      <c r="N616" t="n">
        <v>0</v>
      </c>
      <c r="O616" t="n">
        <v>0</v>
      </c>
      <c r="P616" t="n">
        <v>0</v>
      </c>
      <c r="Q616" t="n">
        <v>0</v>
      </c>
      <c r="R616" s="2" t="inlineStr"/>
    </row>
    <row r="617" ht="15" customHeight="1">
      <c r="A617" t="inlineStr">
        <is>
          <t>A 49315-2024</t>
        </is>
      </c>
      <c r="B617" s="1" t="n">
        <v>45595</v>
      </c>
      <c r="C617" s="1" t="n">
        <v>46090</v>
      </c>
      <c r="D617" t="inlineStr">
        <is>
          <t>GOTLANDS LÄN</t>
        </is>
      </c>
      <c r="E617" t="inlineStr">
        <is>
          <t>GOTLAND</t>
        </is>
      </c>
      <c r="G617" t="n">
        <v>1.5</v>
      </c>
      <c r="H617" t="n">
        <v>0</v>
      </c>
      <c r="I617" t="n">
        <v>0</v>
      </c>
      <c r="J617" t="n">
        <v>0</v>
      </c>
      <c r="K617" t="n">
        <v>0</v>
      </c>
      <c r="L617" t="n">
        <v>0</v>
      </c>
      <c r="M617" t="n">
        <v>0</v>
      </c>
      <c r="N617" t="n">
        <v>0</v>
      </c>
      <c r="O617" t="n">
        <v>0</v>
      </c>
      <c r="P617" t="n">
        <v>0</v>
      </c>
      <c r="Q617" t="n">
        <v>0</v>
      </c>
      <c r="R617" s="2" t="inlineStr"/>
    </row>
    <row r="618" ht="15" customHeight="1">
      <c r="A618" t="inlineStr">
        <is>
          <t>A 27596-2023</t>
        </is>
      </c>
      <c r="B618" s="1" t="n">
        <v>45097</v>
      </c>
      <c r="C618" s="1" t="n">
        <v>46090</v>
      </c>
      <c r="D618" t="inlineStr">
        <is>
          <t>GOTLANDS LÄN</t>
        </is>
      </c>
      <c r="E618" t="inlineStr">
        <is>
          <t>GOTLAND</t>
        </is>
      </c>
      <c r="G618" t="n">
        <v>3.6</v>
      </c>
      <c r="H618" t="n">
        <v>0</v>
      </c>
      <c r="I618" t="n">
        <v>0</v>
      </c>
      <c r="J618" t="n">
        <v>0</v>
      </c>
      <c r="K618" t="n">
        <v>0</v>
      </c>
      <c r="L618" t="n">
        <v>0</v>
      </c>
      <c r="M618" t="n">
        <v>0</v>
      </c>
      <c r="N618" t="n">
        <v>0</v>
      </c>
      <c r="O618" t="n">
        <v>0</v>
      </c>
      <c r="P618" t="n">
        <v>0</v>
      </c>
      <c r="Q618" t="n">
        <v>0</v>
      </c>
      <c r="R618" s="2" t="inlineStr"/>
    </row>
    <row r="619" ht="15" customHeight="1">
      <c r="A619" t="inlineStr">
        <is>
          <t>A 56115-2023</t>
        </is>
      </c>
      <c r="B619" s="1" t="n">
        <v>45236</v>
      </c>
      <c r="C619" s="1" t="n">
        <v>46090</v>
      </c>
      <c r="D619" t="inlineStr">
        <is>
          <t>GOTLANDS LÄN</t>
        </is>
      </c>
      <c r="E619" t="inlineStr">
        <is>
          <t>GOTLAND</t>
        </is>
      </c>
      <c r="G619" t="n">
        <v>2</v>
      </c>
      <c r="H619" t="n">
        <v>0</v>
      </c>
      <c r="I619" t="n">
        <v>0</v>
      </c>
      <c r="J619" t="n">
        <v>0</v>
      </c>
      <c r="K619" t="n">
        <v>0</v>
      </c>
      <c r="L619" t="n">
        <v>0</v>
      </c>
      <c r="M619" t="n">
        <v>0</v>
      </c>
      <c r="N619" t="n">
        <v>0</v>
      </c>
      <c r="O619" t="n">
        <v>0</v>
      </c>
      <c r="P619" t="n">
        <v>0</v>
      </c>
      <c r="Q619" t="n">
        <v>0</v>
      </c>
      <c r="R619" s="2" t="inlineStr"/>
    </row>
    <row r="620" ht="15" customHeight="1">
      <c r="A620" t="inlineStr">
        <is>
          <t>A 64969-2023</t>
        </is>
      </c>
      <c r="B620" s="1" t="n">
        <v>45284.54009259259</v>
      </c>
      <c r="C620" s="1" t="n">
        <v>46090</v>
      </c>
      <c r="D620" t="inlineStr">
        <is>
          <t>GOTLANDS LÄN</t>
        </is>
      </c>
      <c r="E620" t="inlineStr">
        <is>
          <t>GOTLAND</t>
        </is>
      </c>
      <c r="G620" t="n">
        <v>1.2</v>
      </c>
      <c r="H620" t="n">
        <v>0</v>
      </c>
      <c r="I620" t="n">
        <v>0</v>
      </c>
      <c r="J620" t="n">
        <v>0</v>
      </c>
      <c r="K620" t="n">
        <v>0</v>
      </c>
      <c r="L620" t="n">
        <v>0</v>
      </c>
      <c r="M620" t="n">
        <v>0</v>
      </c>
      <c r="N620" t="n">
        <v>0</v>
      </c>
      <c r="O620" t="n">
        <v>0</v>
      </c>
      <c r="P620" t="n">
        <v>0</v>
      </c>
      <c r="Q620" t="n">
        <v>0</v>
      </c>
      <c r="R620" s="2" t="inlineStr"/>
    </row>
    <row r="621" ht="15" customHeight="1">
      <c r="A621" t="inlineStr">
        <is>
          <t>A 33853-2024</t>
        </is>
      </c>
      <c r="B621" s="1" t="n">
        <v>45520.64298611111</v>
      </c>
      <c r="C621" s="1" t="n">
        <v>46090</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18223-2025</t>
        </is>
      </c>
      <c r="B622" s="1" t="n">
        <v>45761</v>
      </c>
      <c r="C622" s="1" t="n">
        <v>46090</v>
      </c>
      <c r="D622" t="inlineStr">
        <is>
          <t>GOTLANDS LÄN</t>
        </is>
      </c>
      <c r="E622" t="inlineStr">
        <is>
          <t>GOTLAND</t>
        </is>
      </c>
      <c r="G622" t="n">
        <v>0.7</v>
      </c>
      <c r="H622" t="n">
        <v>0</v>
      </c>
      <c r="I622" t="n">
        <v>0</v>
      </c>
      <c r="J622" t="n">
        <v>0</v>
      </c>
      <c r="K622" t="n">
        <v>0</v>
      </c>
      <c r="L622" t="n">
        <v>0</v>
      </c>
      <c r="M622" t="n">
        <v>0</v>
      </c>
      <c r="N622" t="n">
        <v>0</v>
      </c>
      <c r="O622" t="n">
        <v>0</v>
      </c>
      <c r="P622" t="n">
        <v>0</v>
      </c>
      <c r="Q622" t="n">
        <v>0</v>
      </c>
      <c r="R622" s="2" t="inlineStr"/>
    </row>
    <row r="623" ht="15" customHeight="1">
      <c r="A623" t="inlineStr">
        <is>
          <t>A 46949-2024</t>
        </is>
      </c>
      <c r="B623" s="1" t="n">
        <v>45585</v>
      </c>
      <c r="C623" s="1" t="n">
        <v>46090</v>
      </c>
      <c r="D623" t="inlineStr">
        <is>
          <t>GOTLANDS LÄN</t>
        </is>
      </c>
      <c r="E623" t="inlineStr">
        <is>
          <t>GOTLAND</t>
        </is>
      </c>
      <c r="G623" t="n">
        <v>0.6</v>
      </c>
      <c r="H623" t="n">
        <v>0</v>
      </c>
      <c r="I623" t="n">
        <v>0</v>
      </c>
      <c r="J623" t="n">
        <v>0</v>
      </c>
      <c r="K623" t="n">
        <v>0</v>
      </c>
      <c r="L623" t="n">
        <v>0</v>
      </c>
      <c r="M623" t="n">
        <v>0</v>
      </c>
      <c r="N623" t="n">
        <v>0</v>
      </c>
      <c r="O623" t="n">
        <v>0</v>
      </c>
      <c r="P623" t="n">
        <v>0</v>
      </c>
      <c r="Q623" t="n">
        <v>0</v>
      </c>
      <c r="R623" s="2" t="inlineStr"/>
    </row>
    <row r="624" ht="15" customHeight="1">
      <c r="A624" t="inlineStr">
        <is>
          <t>A 24001-2021</t>
        </is>
      </c>
      <c r="B624" s="1" t="n">
        <v>44335</v>
      </c>
      <c r="C624" s="1" t="n">
        <v>46090</v>
      </c>
      <c r="D624" t="inlineStr">
        <is>
          <t>GOTLANDS LÄN</t>
        </is>
      </c>
      <c r="E624" t="inlineStr">
        <is>
          <t>GOTLAND</t>
        </is>
      </c>
      <c r="G624" t="n">
        <v>3.4</v>
      </c>
      <c r="H624" t="n">
        <v>0</v>
      </c>
      <c r="I624" t="n">
        <v>0</v>
      </c>
      <c r="J624" t="n">
        <v>0</v>
      </c>
      <c r="K624" t="n">
        <v>0</v>
      </c>
      <c r="L624" t="n">
        <v>0</v>
      </c>
      <c r="M624" t="n">
        <v>0</v>
      </c>
      <c r="N624" t="n">
        <v>0</v>
      </c>
      <c r="O624" t="n">
        <v>0</v>
      </c>
      <c r="P624" t="n">
        <v>0</v>
      </c>
      <c r="Q624" t="n">
        <v>0</v>
      </c>
      <c r="R624" s="2" t="inlineStr"/>
    </row>
    <row r="625" ht="15" customHeight="1">
      <c r="A625" t="inlineStr">
        <is>
          <t>A 39479-2022</t>
        </is>
      </c>
      <c r="B625" s="1" t="n">
        <v>44818</v>
      </c>
      <c r="C625" s="1" t="n">
        <v>46090</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39496-2022</t>
        </is>
      </c>
      <c r="B626" s="1" t="n">
        <v>44818</v>
      </c>
      <c r="C626" s="1" t="n">
        <v>46090</v>
      </c>
      <c r="D626" t="inlineStr">
        <is>
          <t>GOTLANDS LÄN</t>
        </is>
      </c>
      <c r="E626" t="inlineStr">
        <is>
          <t>GOTLAND</t>
        </is>
      </c>
      <c r="G626" t="n">
        <v>2.4</v>
      </c>
      <c r="H626" t="n">
        <v>0</v>
      </c>
      <c r="I626" t="n">
        <v>0</v>
      </c>
      <c r="J626" t="n">
        <v>0</v>
      </c>
      <c r="K626" t="n">
        <v>0</v>
      </c>
      <c r="L626" t="n">
        <v>0</v>
      </c>
      <c r="M626" t="n">
        <v>0</v>
      </c>
      <c r="N626" t="n">
        <v>0</v>
      </c>
      <c r="O626" t="n">
        <v>0</v>
      </c>
      <c r="P626" t="n">
        <v>0</v>
      </c>
      <c r="Q626" t="n">
        <v>0</v>
      </c>
      <c r="R626" s="2" t="inlineStr"/>
    </row>
    <row r="627" ht="15" customHeight="1">
      <c r="A627" t="inlineStr">
        <is>
          <t>A 46389-2021</t>
        </is>
      </c>
      <c r="B627" s="1" t="n">
        <v>44443</v>
      </c>
      <c r="C627" s="1" t="n">
        <v>46090</v>
      </c>
      <c r="D627" t="inlineStr">
        <is>
          <t>GOTLANDS LÄN</t>
        </is>
      </c>
      <c r="E627" t="inlineStr">
        <is>
          <t>GOTLAND</t>
        </is>
      </c>
      <c r="F627" t="inlineStr">
        <is>
          <t>Kyrkan</t>
        </is>
      </c>
      <c r="G627" t="n">
        <v>2.1</v>
      </c>
      <c r="H627" t="n">
        <v>0</v>
      </c>
      <c r="I627" t="n">
        <v>0</v>
      </c>
      <c r="J627" t="n">
        <v>0</v>
      </c>
      <c r="K627" t="n">
        <v>0</v>
      </c>
      <c r="L627" t="n">
        <v>0</v>
      </c>
      <c r="M627" t="n">
        <v>0</v>
      </c>
      <c r="N627" t="n">
        <v>0</v>
      </c>
      <c r="O627" t="n">
        <v>0</v>
      </c>
      <c r="P627" t="n">
        <v>0</v>
      </c>
      <c r="Q627" t="n">
        <v>0</v>
      </c>
      <c r="R627" s="2" t="inlineStr"/>
    </row>
    <row r="628" ht="15" customHeight="1">
      <c r="A628" t="inlineStr">
        <is>
          <t>A 44949-2023</t>
        </is>
      </c>
      <c r="B628" s="1" t="n">
        <v>45190.69520833333</v>
      </c>
      <c r="C628" s="1" t="n">
        <v>46090</v>
      </c>
      <c r="D628" t="inlineStr">
        <is>
          <t>GOTLANDS LÄN</t>
        </is>
      </c>
      <c r="E628" t="inlineStr">
        <is>
          <t>GOTLAND</t>
        </is>
      </c>
      <c r="G628" t="n">
        <v>1.4</v>
      </c>
      <c r="H628" t="n">
        <v>0</v>
      </c>
      <c r="I628" t="n">
        <v>0</v>
      </c>
      <c r="J628" t="n">
        <v>0</v>
      </c>
      <c r="K628" t="n">
        <v>0</v>
      </c>
      <c r="L628" t="n">
        <v>0</v>
      </c>
      <c r="M628" t="n">
        <v>0</v>
      </c>
      <c r="N628" t="n">
        <v>0</v>
      </c>
      <c r="O628" t="n">
        <v>0</v>
      </c>
      <c r="P628" t="n">
        <v>0</v>
      </c>
      <c r="Q628" t="n">
        <v>0</v>
      </c>
      <c r="R628" s="2" t="inlineStr"/>
    </row>
    <row r="629" ht="15" customHeight="1">
      <c r="A629" t="inlineStr">
        <is>
          <t>A 17682-2024</t>
        </is>
      </c>
      <c r="B629" s="1" t="n">
        <v>45418.42966435185</v>
      </c>
      <c r="C629" s="1" t="n">
        <v>46090</v>
      </c>
      <c r="D629" t="inlineStr">
        <is>
          <t>GOTLANDS LÄN</t>
        </is>
      </c>
      <c r="E629" t="inlineStr">
        <is>
          <t>GOTLAND</t>
        </is>
      </c>
      <c r="G629" t="n">
        <v>2.9</v>
      </c>
      <c r="H629" t="n">
        <v>0</v>
      </c>
      <c r="I629" t="n">
        <v>0</v>
      </c>
      <c r="J629" t="n">
        <v>0</v>
      </c>
      <c r="K629" t="n">
        <v>0</v>
      </c>
      <c r="L629" t="n">
        <v>0</v>
      </c>
      <c r="M629" t="n">
        <v>0</v>
      </c>
      <c r="N629" t="n">
        <v>0</v>
      </c>
      <c r="O629" t="n">
        <v>0</v>
      </c>
      <c r="P629" t="n">
        <v>0</v>
      </c>
      <c r="Q629" t="n">
        <v>0</v>
      </c>
      <c r="R629" s="2" t="inlineStr"/>
    </row>
    <row r="630" ht="15" customHeight="1">
      <c r="A630" t="inlineStr">
        <is>
          <t>A 61897-2024</t>
        </is>
      </c>
      <c r="B630" s="1" t="n">
        <v>45652.75685185185</v>
      </c>
      <c r="C630" s="1" t="n">
        <v>46090</v>
      </c>
      <c r="D630" t="inlineStr">
        <is>
          <t>GOTLANDS LÄN</t>
        </is>
      </c>
      <c r="E630" t="inlineStr">
        <is>
          <t>GOTLAND</t>
        </is>
      </c>
      <c r="G630" t="n">
        <v>6.4</v>
      </c>
      <c r="H630" t="n">
        <v>0</v>
      </c>
      <c r="I630" t="n">
        <v>0</v>
      </c>
      <c r="J630" t="n">
        <v>0</v>
      </c>
      <c r="K630" t="n">
        <v>0</v>
      </c>
      <c r="L630" t="n">
        <v>0</v>
      </c>
      <c r="M630" t="n">
        <v>0</v>
      </c>
      <c r="N630" t="n">
        <v>0</v>
      </c>
      <c r="O630" t="n">
        <v>0</v>
      </c>
      <c r="P630" t="n">
        <v>0</v>
      </c>
      <c r="Q630" t="n">
        <v>0</v>
      </c>
      <c r="R630" s="2" t="inlineStr"/>
    </row>
    <row r="631" ht="15" customHeight="1">
      <c r="A631" t="inlineStr">
        <is>
          <t>A 12032-2025</t>
        </is>
      </c>
      <c r="B631" s="1" t="n">
        <v>45728.64472222222</v>
      </c>
      <c r="C631" s="1" t="n">
        <v>46090</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15595-2024</t>
        </is>
      </c>
      <c r="B632" s="1" t="n">
        <v>45401.81480324074</v>
      </c>
      <c r="C632" s="1" t="n">
        <v>46090</v>
      </c>
      <c r="D632" t="inlineStr">
        <is>
          <t>GOTLANDS LÄN</t>
        </is>
      </c>
      <c r="E632" t="inlineStr">
        <is>
          <t>GOTLAND</t>
        </is>
      </c>
      <c r="G632" t="n">
        <v>6.4</v>
      </c>
      <c r="H632" t="n">
        <v>0</v>
      </c>
      <c r="I632" t="n">
        <v>0</v>
      </c>
      <c r="J632" t="n">
        <v>0</v>
      </c>
      <c r="K632" t="n">
        <v>0</v>
      </c>
      <c r="L632" t="n">
        <v>0</v>
      </c>
      <c r="M632" t="n">
        <v>0</v>
      </c>
      <c r="N632" t="n">
        <v>0</v>
      </c>
      <c r="O632" t="n">
        <v>0</v>
      </c>
      <c r="P632" t="n">
        <v>0</v>
      </c>
      <c r="Q632" t="n">
        <v>0</v>
      </c>
      <c r="R632" s="2" t="inlineStr"/>
    </row>
    <row r="633" ht="15" customHeight="1">
      <c r="A633" t="inlineStr">
        <is>
          <t>A 21164-2024</t>
        </is>
      </c>
      <c r="B633" s="1" t="n">
        <v>45440</v>
      </c>
      <c r="C633" s="1" t="n">
        <v>46090</v>
      </c>
      <c r="D633" t="inlineStr">
        <is>
          <t>GOTLANDS LÄN</t>
        </is>
      </c>
      <c r="E633" t="inlineStr">
        <is>
          <t>GOTLAND</t>
        </is>
      </c>
      <c r="G633" t="n">
        <v>6.3</v>
      </c>
      <c r="H633" t="n">
        <v>0</v>
      </c>
      <c r="I633" t="n">
        <v>0</v>
      </c>
      <c r="J633" t="n">
        <v>0</v>
      </c>
      <c r="K633" t="n">
        <v>0</v>
      </c>
      <c r="L633" t="n">
        <v>0</v>
      </c>
      <c r="M633" t="n">
        <v>0</v>
      </c>
      <c r="N633" t="n">
        <v>0</v>
      </c>
      <c r="O633" t="n">
        <v>0</v>
      </c>
      <c r="P633" t="n">
        <v>0</v>
      </c>
      <c r="Q633" t="n">
        <v>0</v>
      </c>
      <c r="R633" s="2" t="inlineStr"/>
    </row>
    <row r="634" ht="15" customHeight="1">
      <c r="A634" t="inlineStr">
        <is>
          <t>A 17541-2024</t>
        </is>
      </c>
      <c r="B634" s="1" t="n">
        <v>45415</v>
      </c>
      <c r="C634" s="1" t="n">
        <v>46090</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883-2025</t>
        </is>
      </c>
      <c r="B635" s="1" t="n">
        <v>45665</v>
      </c>
      <c r="C635" s="1" t="n">
        <v>46090</v>
      </c>
      <c r="D635" t="inlineStr">
        <is>
          <t>GOTLANDS LÄN</t>
        </is>
      </c>
      <c r="E635" t="inlineStr">
        <is>
          <t>GOTLAND</t>
        </is>
      </c>
      <c r="G635" t="n">
        <v>1.3</v>
      </c>
      <c r="H635" t="n">
        <v>0</v>
      </c>
      <c r="I635" t="n">
        <v>0</v>
      </c>
      <c r="J635" t="n">
        <v>0</v>
      </c>
      <c r="K635" t="n">
        <v>0</v>
      </c>
      <c r="L635" t="n">
        <v>0</v>
      </c>
      <c r="M635" t="n">
        <v>0</v>
      </c>
      <c r="N635" t="n">
        <v>0</v>
      </c>
      <c r="O635" t="n">
        <v>0</v>
      </c>
      <c r="P635" t="n">
        <v>0</v>
      </c>
      <c r="Q635" t="n">
        <v>0</v>
      </c>
      <c r="R635" s="2" t="inlineStr"/>
    </row>
    <row r="636" ht="15" customHeight="1">
      <c r="A636" t="inlineStr">
        <is>
          <t>A 13910-2025</t>
        </is>
      </c>
      <c r="B636" s="1" t="n">
        <v>45737</v>
      </c>
      <c r="C636" s="1" t="n">
        <v>46090</v>
      </c>
      <c r="D636" t="inlineStr">
        <is>
          <t>GOTLANDS LÄN</t>
        </is>
      </c>
      <c r="E636" t="inlineStr">
        <is>
          <t>GOTLAND</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20794-2025</t>
        </is>
      </c>
      <c r="B637" s="1" t="n">
        <v>45776</v>
      </c>
      <c r="C637" s="1" t="n">
        <v>46090</v>
      </c>
      <c r="D637" t="inlineStr">
        <is>
          <t>GOTLANDS LÄN</t>
        </is>
      </c>
      <c r="E637" t="inlineStr">
        <is>
          <t>GOTLAND</t>
        </is>
      </c>
      <c r="G637" t="n">
        <v>6</v>
      </c>
      <c r="H637" t="n">
        <v>0</v>
      </c>
      <c r="I637" t="n">
        <v>0</v>
      </c>
      <c r="J637" t="n">
        <v>0</v>
      </c>
      <c r="K637" t="n">
        <v>0</v>
      </c>
      <c r="L637" t="n">
        <v>0</v>
      </c>
      <c r="M637" t="n">
        <v>0</v>
      </c>
      <c r="N637" t="n">
        <v>0</v>
      </c>
      <c r="O637" t="n">
        <v>0</v>
      </c>
      <c r="P637" t="n">
        <v>0</v>
      </c>
      <c r="Q637" t="n">
        <v>0</v>
      </c>
      <c r="R637" s="2" t="inlineStr"/>
    </row>
    <row r="638" ht="15" customHeight="1">
      <c r="A638" t="inlineStr">
        <is>
          <t>A 20805-2025</t>
        </is>
      </c>
      <c r="B638" s="1" t="n">
        <v>45776</v>
      </c>
      <c r="C638" s="1" t="n">
        <v>46090</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21389-2025</t>
        </is>
      </c>
      <c r="B639" s="1" t="n">
        <v>45782</v>
      </c>
      <c r="C639" s="1" t="n">
        <v>46090</v>
      </c>
      <c r="D639" t="inlineStr">
        <is>
          <t>GOTLANDS LÄN</t>
        </is>
      </c>
      <c r="E639" t="inlineStr">
        <is>
          <t>GOTLAND</t>
        </is>
      </c>
      <c r="G639" t="n">
        <v>4.1</v>
      </c>
      <c r="H639" t="n">
        <v>0</v>
      </c>
      <c r="I639" t="n">
        <v>0</v>
      </c>
      <c r="J639" t="n">
        <v>0</v>
      </c>
      <c r="K639" t="n">
        <v>0</v>
      </c>
      <c r="L639" t="n">
        <v>0</v>
      </c>
      <c r="M639" t="n">
        <v>0</v>
      </c>
      <c r="N639" t="n">
        <v>0</v>
      </c>
      <c r="O639" t="n">
        <v>0</v>
      </c>
      <c r="P639" t="n">
        <v>0</v>
      </c>
      <c r="Q639" t="n">
        <v>0</v>
      </c>
      <c r="R639" s="2" t="inlineStr"/>
    </row>
    <row r="640" ht="15" customHeight="1">
      <c r="A640" t="inlineStr">
        <is>
          <t>A 21651-2025</t>
        </is>
      </c>
      <c r="B640" s="1" t="n">
        <v>45783</v>
      </c>
      <c r="C640" s="1" t="n">
        <v>46090</v>
      </c>
      <c r="D640" t="inlineStr">
        <is>
          <t>GOTLANDS LÄN</t>
        </is>
      </c>
      <c r="E640" t="inlineStr">
        <is>
          <t>GOTLAND</t>
        </is>
      </c>
      <c r="G640" t="n">
        <v>4.2</v>
      </c>
      <c r="H640" t="n">
        <v>0</v>
      </c>
      <c r="I640" t="n">
        <v>0</v>
      </c>
      <c r="J640" t="n">
        <v>0</v>
      </c>
      <c r="K640" t="n">
        <v>0</v>
      </c>
      <c r="L640" t="n">
        <v>0</v>
      </c>
      <c r="M640" t="n">
        <v>0</v>
      </c>
      <c r="N640" t="n">
        <v>0</v>
      </c>
      <c r="O640" t="n">
        <v>0</v>
      </c>
      <c r="P640" t="n">
        <v>0</v>
      </c>
      <c r="Q640" t="n">
        <v>0</v>
      </c>
      <c r="R640" s="2" t="inlineStr"/>
    </row>
    <row r="641" ht="15" customHeight="1">
      <c r="A641" t="inlineStr">
        <is>
          <t>A 21420-2024</t>
        </is>
      </c>
      <c r="B641" s="1" t="n">
        <v>45441.38293981482</v>
      </c>
      <c r="C641" s="1" t="n">
        <v>46090</v>
      </c>
      <c r="D641" t="inlineStr">
        <is>
          <t>GOTLANDS LÄN</t>
        </is>
      </c>
      <c r="E641" t="inlineStr">
        <is>
          <t>GOTLAND</t>
        </is>
      </c>
      <c r="G641" t="n">
        <v>4.1</v>
      </c>
      <c r="H641" t="n">
        <v>0</v>
      </c>
      <c r="I641" t="n">
        <v>0</v>
      </c>
      <c r="J641" t="n">
        <v>0</v>
      </c>
      <c r="K641" t="n">
        <v>0</v>
      </c>
      <c r="L641" t="n">
        <v>0</v>
      </c>
      <c r="M641" t="n">
        <v>0</v>
      </c>
      <c r="N641" t="n">
        <v>0</v>
      </c>
      <c r="O641" t="n">
        <v>0</v>
      </c>
      <c r="P641" t="n">
        <v>0</v>
      </c>
      <c r="Q641" t="n">
        <v>0</v>
      </c>
      <c r="R641" s="2" t="inlineStr"/>
    </row>
    <row r="642" ht="15" customHeight="1">
      <c r="A642" t="inlineStr">
        <is>
          <t>A 10656-2024</t>
        </is>
      </c>
      <c r="B642" s="1" t="n">
        <v>45368</v>
      </c>
      <c r="C642" s="1" t="n">
        <v>46090</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57356-2023</t>
        </is>
      </c>
      <c r="B643" s="1" t="n">
        <v>45240</v>
      </c>
      <c r="C643" s="1" t="n">
        <v>46090</v>
      </c>
      <c r="D643" t="inlineStr">
        <is>
          <t>GOTLANDS LÄN</t>
        </is>
      </c>
      <c r="E643" t="inlineStr">
        <is>
          <t>GOTLAND</t>
        </is>
      </c>
      <c r="G643" t="n">
        <v>6.4</v>
      </c>
      <c r="H643" t="n">
        <v>0</v>
      </c>
      <c r="I643" t="n">
        <v>0</v>
      </c>
      <c r="J643" t="n">
        <v>0</v>
      </c>
      <c r="K643" t="n">
        <v>0</v>
      </c>
      <c r="L643" t="n">
        <v>0</v>
      </c>
      <c r="M643" t="n">
        <v>0</v>
      </c>
      <c r="N643" t="n">
        <v>0</v>
      </c>
      <c r="O643" t="n">
        <v>0</v>
      </c>
      <c r="P643" t="n">
        <v>0</v>
      </c>
      <c r="Q643" t="n">
        <v>0</v>
      </c>
      <c r="R643" s="2" t="inlineStr"/>
    </row>
    <row r="644" ht="15" customHeight="1">
      <c r="A644" t="inlineStr">
        <is>
          <t>A 28506-2023</t>
        </is>
      </c>
      <c r="B644" s="1" t="n">
        <v>45103</v>
      </c>
      <c r="C644" s="1" t="n">
        <v>46090</v>
      </c>
      <c r="D644" t="inlineStr">
        <is>
          <t>GOTLANDS LÄN</t>
        </is>
      </c>
      <c r="E644" t="inlineStr">
        <is>
          <t>GOTLAND</t>
        </is>
      </c>
      <c r="G644" t="n">
        <v>3.2</v>
      </c>
      <c r="H644" t="n">
        <v>0</v>
      </c>
      <c r="I644" t="n">
        <v>0</v>
      </c>
      <c r="J644" t="n">
        <v>0</v>
      </c>
      <c r="K644" t="n">
        <v>0</v>
      </c>
      <c r="L644" t="n">
        <v>0</v>
      </c>
      <c r="M644" t="n">
        <v>0</v>
      </c>
      <c r="N644" t="n">
        <v>0</v>
      </c>
      <c r="O644" t="n">
        <v>0</v>
      </c>
      <c r="P644" t="n">
        <v>0</v>
      </c>
      <c r="Q644" t="n">
        <v>0</v>
      </c>
      <c r="R644" s="2" t="inlineStr"/>
    </row>
    <row r="645" ht="15" customHeight="1">
      <c r="A645" t="inlineStr">
        <is>
          <t>A 23188-2025</t>
        </is>
      </c>
      <c r="B645" s="1" t="n">
        <v>45791</v>
      </c>
      <c r="C645" s="1" t="n">
        <v>46090</v>
      </c>
      <c r="D645" t="inlineStr">
        <is>
          <t>GOTLANDS LÄN</t>
        </is>
      </c>
      <c r="E645" t="inlineStr">
        <is>
          <t>GOTLAND</t>
        </is>
      </c>
      <c r="G645" t="n">
        <v>6.2</v>
      </c>
      <c r="H645" t="n">
        <v>0</v>
      </c>
      <c r="I645" t="n">
        <v>0</v>
      </c>
      <c r="J645" t="n">
        <v>0</v>
      </c>
      <c r="K645" t="n">
        <v>0</v>
      </c>
      <c r="L645" t="n">
        <v>0</v>
      </c>
      <c r="M645" t="n">
        <v>0</v>
      </c>
      <c r="N645" t="n">
        <v>0</v>
      </c>
      <c r="O645" t="n">
        <v>0</v>
      </c>
      <c r="P645" t="n">
        <v>0</v>
      </c>
      <c r="Q645" t="n">
        <v>0</v>
      </c>
      <c r="R645" s="2" t="inlineStr"/>
    </row>
    <row r="646" ht="15" customHeight="1">
      <c r="A646" t="inlineStr">
        <is>
          <t>A 23856-2025</t>
        </is>
      </c>
      <c r="B646" s="1" t="n">
        <v>45793</v>
      </c>
      <c r="C646" s="1" t="n">
        <v>46090</v>
      </c>
      <c r="D646" t="inlineStr">
        <is>
          <t>GOTLANDS LÄN</t>
        </is>
      </c>
      <c r="E646" t="inlineStr">
        <is>
          <t>GOTLAND</t>
        </is>
      </c>
      <c r="G646" t="n">
        <v>4.4</v>
      </c>
      <c r="H646" t="n">
        <v>0</v>
      </c>
      <c r="I646" t="n">
        <v>0</v>
      </c>
      <c r="J646" t="n">
        <v>0</v>
      </c>
      <c r="K646" t="n">
        <v>0</v>
      </c>
      <c r="L646" t="n">
        <v>0</v>
      </c>
      <c r="M646" t="n">
        <v>0</v>
      </c>
      <c r="N646" t="n">
        <v>0</v>
      </c>
      <c r="O646" t="n">
        <v>0</v>
      </c>
      <c r="P646" t="n">
        <v>0</v>
      </c>
      <c r="Q646" t="n">
        <v>0</v>
      </c>
      <c r="R646" s="2" t="inlineStr"/>
    </row>
    <row r="647" ht="15" customHeight="1">
      <c r="A647" t="inlineStr">
        <is>
          <t>A 23473-2025</t>
        </is>
      </c>
      <c r="B647" s="1" t="n">
        <v>45792</v>
      </c>
      <c r="C647" s="1" t="n">
        <v>46090</v>
      </c>
      <c r="D647" t="inlineStr">
        <is>
          <t>GOTLANDS LÄN</t>
        </is>
      </c>
      <c r="E647" t="inlineStr">
        <is>
          <t>GOTLAND</t>
        </is>
      </c>
      <c r="G647" t="n">
        <v>3.6</v>
      </c>
      <c r="H647" t="n">
        <v>0</v>
      </c>
      <c r="I647" t="n">
        <v>0</v>
      </c>
      <c r="J647" t="n">
        <v>0</v>
      </c>
      <c r="K647" t="n">
        <v>0</v>
      </c>
      <c r="L647" t="n">
        <v>0</v>
      </c>
      <c r="M647" t="n">
        <v>0</v>
      </c>
      <c r="N647" t="n">
        <v>0</v>
      </c>
      <c r="O647" t="n">
        <v>0</v>
      </c>
      <c r="P647" t="n">
        <v>0</v>
      </c>
      <c r="Q647" t="n">
        <v>0</v>
      </c>
      <c r="R647" s="2" t="inlineStr"/>
    </row>
    <row r="648">
      <c r="A648" t="inlineStr">
        <is>
          <t>A 23698-2025</t>
        </is>
      </c>
      <c r="B648" s="1" t="n">
        <v>45793</v>
      </c>
      <c r="C648" s="1" t="n">
        <v>46090</v>
      </c>
      <c r="D648" t="inlineStr">
        <is>
          <t>GOTLANDS LÄN</t>
        </is>
      </c>
      <c r="E648" t="inlineStr">
        <is>
          <t>GOTLAND</t>
        </is>
      </c>
      <c r="G648" t="n">
        <v>0.8</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2026-03-09T11:20:09Z</dcterms:created>
  <dcterms:modified xmlns:dcterms="http://purl.org/dc/terms/" xmlns:xsi="http://www.w3.org/2001/XMLSchema-instance" xsi:type="dcterms:W3CDTF">2026-03-09T11:20:10Z</dcterms:modified>
</cp:coreProperties>
</file>