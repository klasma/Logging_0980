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45807</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45807</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45807</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45807</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45807</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45807</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45807</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45807</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45807</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45807</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45807</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45807</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45807</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45807</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45807</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45807</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45807</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45807</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45807</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45807</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45807</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45807</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45807</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45807</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45807</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45807</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45807</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45807</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45807</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45807</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45807</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45807</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45807</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45807</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45807</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45807</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45807</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45807</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45807</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45807</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45807</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45807</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45807</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45807</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45807</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45807</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45807</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45807</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45807</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45807</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45807</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45807</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45807</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45807</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45807</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45807</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45807</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45807</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45807</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45807</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45807</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45807</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45807</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45807</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45807</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45807</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45807</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45807</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45807</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45807</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45807</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45807</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45807</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45807</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45807</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45807</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45807</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45807</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45807</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45807</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45807</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45807</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45807</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45807</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45807</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45807</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45807</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45807</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45807</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45807</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45807</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45807</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45807</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45807</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45807</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45807</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45807</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45807</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45807</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45807</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45807</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45807</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45807</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45807</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45807</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45807</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45807</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45807</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45807</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45807</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45807</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45807</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45807</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45807</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45807</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45807</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45807</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45807</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45807</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45807</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45807</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45807</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45807</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45807</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45807</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45807</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45807</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45807</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45807</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45807</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45807</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45807</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45807</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45807</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45807</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45807</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45807</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45807</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45807</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45807</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45807</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45807</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45807</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45807</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45807</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45807</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45807</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45807</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45807</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45807</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45807</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45807</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45807</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32963-2019</t>
        </is>
      </c>
      <c r="B200" s="1" t="n">
        <v>43648</v>
      </c>
      <c r="C200" s="1" t="n">
        <v>45807</v>
      </c>
      <c r="D200" t="inlineStr">
        <is>
          <t>GOTLANDS LÄN</t>
        </is>
      </c>
      <c r="E200" t="inlineStr">
        <is>
          <t>GOTLAND</t>
        </is>
      </c>
      <c r="G200" t="n">
        <v>5.8</v>
      </c>
      <c r="H200" t="n">
        <v>0</v>
      </c>
      <c r="I200" t="n">
        <v>0</v>
      </c>
      <c r="J200" t="n">
        <v>1</v>
      </c>
      <c r="K200" t="n">
        <v>0</v>
      </c>
      <c r="L200" t="n">
        <v>0</v>
      </c>
      <c r="M200" t="n">
        <v>0</v>
      </c>
      <c r="N200" t="n">
        <v>0</v>
      </c>
      <c r="O200" t="n">
        <v>1</v>
      </c>
      <c r="P200" t="n">
        <v>0</v>
      </c>
      <c r="Q200" t="n">
        <v>1</v>
      </c>
      <c r="R200" s="2" t="inlineStr">
        <is>
          <t>Mindre blåvinge</t>
        </is>
      </c>
      <c r="S200">
        <f>HYPERLINK("https://klasma.github.io/Logging_0980/artfynd/A 32963-2019 artfynd.xlsx", "A 32963-2019")</f>
        <v/>
      </c>
      <c r="T200">
        <f>HYPERLINK("https://klasma.github.io/Logging_0980/kartor/A 32963-2019 karta.png", "A 32963-2019")</f>
        <v/>
      </c>
      <c r="V200">
        <f>HYPERLINK("https://klasma.github.io/Logging_0980/klagomål/A 32963-2019 FSC-klagomål.docx", "A 32963-2019")</f>
        <v/>
      </c>
      <c r="W200">
        <f>HYPERLINK("https://klasma.github.io/Logging_0980/klagomålsmail/A 32963-2019 FSC-klagomål mail.docx", "A 32963-2019")</f>
        <v/>
      </c>
      <c r="X200">
        <f>HYPERLINK("https://klasma.github.io/Logging_0980/tillsyn/A 32963-2019 tillsynsbegäran.docx", "A 32963-2019")</f>
        <v/>
      </c>
      <c r="Y200">
        <f>HYPERLINK("https://klasma.github.io/Logging_0980/tillsynsmail/A 32963-2019 tillsynsbegäran mail.docx", "A 32963-2019")</f>
        <v/>
      </c>
    </row>
    <row r="201" ht="15" customHeight="1">
      <c r="A201" t="inlineStr">
        <is>
          <t>A 35282-2019</t>
        </is>
      </c>
      <c r="B201" s="1" t="n">
        <v>43656</v>
      </c>
      <c r="C201" s="1" t="n">
        <v>45807</v>
      </c>
      <c r="D201" t="inlineStr">
        <is>
          <t>GOTLANDS LÄN</t>
        </is>
      </c>
      <c r="E201" t="inlineStr">
        <is>
          <t>GOTLAND</t>
        </is>
      </c>
      <c r="G201" t="n">
        <v>5.6</v>
      </c>
      <c r="H201" t="n">
        <v>1</v>
      </c>
      <c r="I201" t="n">
        <v>0</v>
      </c>
      <c r="J201" t="n">
        <v>1</v>
      </c>
      <c r="K201" t="n">
        <v>0</v>
      </c>
      <c r="L201" t="n">
        <v>0</v>
      </c>
      <c r="M201" t="n">
        <v>0</v>
      </c>
      <c r="N201" t="n">
        <v>0</v>
      </c>
      <c r="O201" t="n">
        <v>1</v>
      </c>
      <c r="P201" t="n">
        <v>0</v>
      </c>
      <c r="Q201" t="n">
        <v>1</v>
      </c>
      <c r="R201" s="2" t="inlineStr">
        <is>
          <t>Spillkråka</t>
        </is>
      </c>
      <c r="S201">
        <f>HYPERLINK("https://klasma.github.io/Logging_0980/artfynd/A 35282-2019 artfynd.xlsx", "A 35282-2019")</f>
        <v/>
      </c>
      <c r="T201">
        <f>HYPERLINK("https://klasma.github.io/Logging_0980/kartor/A 35282-2019 karta.png", "A 35282-2019")</f>
        <v/>
      </c>
      <c r="V201">
        <f>HYPERLINK("https://klasma.github.io/Logging_0980/klagomål/A 35282-2019 FSC-klagomål.docx", "A 35282-2019")</f>
        <v/>
      </c>
      <c r="W201">
        <f>HYPERLINK("https://klasma.github.io/Logging_0980/klagomålsmail/A 35282-2019 FSC-klagomål mail.docx", "A 35282-2019")</f>
        <v/>
      </c>
      <c r="X201">
        <f>HYPERLINK("https://klasma.github.io/Logging_0980/tillsyn/A 35282-2019 tillsynsbegäran.docx", "A 35282-2019")</f>
        <v/>
      </c>
      <c r="Y201">
        <f>HYPERLINK("https://klasma.github.io/Logging_0980/tillsynsmail/A 35282-2019 tillsynsbegäran mail.docx", "A 35282-2019")</f>
        <v/>
      </c>
      <c r="Z201">
        <f>HYPERLINK("https://klasma.github.io/Logging_0980/fåglar/A 35282-2019 prioriterade fågelarter.docx", "A 35282-2019")</f>
        <v/>
      </c>
    </row>
    <row r="202" ht="15" customHeight="1">
      <c r="A202" t="inlineStr">
        <is>
          <t>A 48584-2019</t>
        </is>
      </c>
      <c r="B202" s="1" t="n">
        <v>43727</v>
      </c>
      <c r="C202" s="1" t="n">
        <v>45807</v>
      </c>
      <c r="D202" t="inlineStr">
        <is>
          <t>GOTLANDS LÄN</t>
        </is>
      </c>
      <c r="E202" t="inlineStr">
        <is>
          <t>GOTLAND</t>
        </is>
      </c>
      <c r="G202" t="n">
        <v>4.4</v>
      </c>
      <c r="H202" t="n">
        <v>0</v>
      </c>
      <c r="I202" t="n">
        <v>1</v>
      </c>
      <c r="J202" t="n">
        <v>0</v>
      </c>
      <c r="K202" t="n">
        <v>0</v>
      </c>
      <c r="L202" t="n">
        <v>0</v>
      </c>
      <c r="M202" t="n">
        <v>0</v>
      </c>
      <c r="N202" t="n">
        <v>0</v>
      </c>
      <c r="O202" t="n">
        <v>0</v>
      </c>
      <c r="P202" t="n">
        <v>0</v>
      </c>
      <c r="Q202" t="n">
        <v>1</v>
      </c>
      <c r="R202" s="2" t="inlineStr">
        <is>
          <t>Scharlakansskål</t>
        </is>
      </c>
      <c r="S202">
        <f>HYPERLINK("https://klasma.github.io/Logging_0980/artfynd/A 48584-2019 artfynd.xlsx", "A 48584-2019")</f>
        <v/>
      </c>
      <c r="T202">
        <f>HYPERLINK("https://klasma.github.io/Logging_0980/kartor/A 48584-2019 karta.png", "A 48584-2019")</f>
        <v/>
      </c>
      <c r="V202">
        <f>HYPERLINK("https://klasma.github.io/Logging_0980/klagomål/A 48584-2019 FSC-klagomål.docx", "A 48584-2019")</f>
        <v/>
      </c>
      <c r="W202">
        <f>HYPERLINK("https://klasma.github.io/Logging_0980/klagomålsmail/A 48584-2019 FSC-klagomål mail.docx", "A 48584-2019")</f>
        <v/>
      </c>
      <c r="X202">
        <f>HYPERLINK("https://klasma.github.io/Logging_0980/tillsyn/A 48584-2019 tillsynsbegäran.docx", "A 48584-2019")</f>
        <v/>
      </c>
      <c r="Y202">
        <f>HYPERLINK("https://klasma.github.io/Logging_0980/tillsynsmail/A 48584-2019 tillsynsbegäran mail.docx", "A 48584-2019")</f>
        <v/>
      </c>
    </row>
    <row r="203" ht="15" customHeight="1">
      <c r="A203" t="inlineStr">
        <is>
          <t>A 68988-2019</t>
        </is>
      </c>
      <c r="B203" s="1" t="n">
        <v>43826</v>
      </c>
      <c r="C203" s="1" t="n">
        <v>45807</v>
      </c>
      <c r="D203" t="inlineStr">
        <is>
          <t>GOTLANDS LÄN</t>
        </is>
      </c>
      <c r="E203" t="inlineStr">
        <is>
          <t>GOTLAND</t>
        </is>
      </c>
      <c r="F203" t="inlineStr">
        <is>
          <t>Kyrkan</t>
        </is>
      </c>
      <c r="G203" t="n">
        <v>4.6</v>
      </c>
      <c r="H203" t="n">
        <v>0</v>
      </c>
      <c r="I203" t="n">
        <v>1</v>
      </c>
      <c r="J203" t="n">
        <v>0</v>
      </c>
      <c r="K203" t="n">
        <v>0</v>
      </c>
      <c r="L203" t="n">
        <v>0</v>
      </c>
      <c r="M203" t="n">
        <v>0</v>
      </c>
      <c r="N203" t="n">
        <v>0</v>
      </c>
      <c r="O203" t="n">
        <v>0</v>
      </c>
      <c r="P203" t="n">
        <v>0</v>
      </c>
      <c r="Q203" t="n">
        <v>1</v>
      </c>
      <c r="R203" s="2" t="inlineStr">
        <is>
          <t>Kattfotslav</t>
        </is>
      </c>
      <c r="S203">
        <f>HYPERLINK("https://klasma.github.io/Logging_0980/artfynd/A 68988-2019 artfynd.xlsx", "A 68988-2019")</f>
        <v/>
      </c>
      <c r="T203">
        <f>HYPERLINK("https://klasma.github.io/Logging_0980/kartor/A 68988-2019 karta.png", "A 68988-2019")</f>
        <v/>
      </c>
      <c r="V203">
        <f>HYPERLINK("https://klasma.github.io/Logging_0980/klagomål/A 68988-2019 FSC-klagomål.docx", "A 68988-2019")</f>
        <v/>
      </c>
      <c r="W203">
        <f>HYPERLINK("https://klasma.github.io/Logging_0980/klagomålsmail/A 68988-2019 FSC-klagomål mail.docx", "A 68988-2019")</f>
        <v/>
      </c>
      <c r="X203">
        <f>HYPERLINK("https://klasma.github.io/Logging_0980/tillsyn/A 68988-2019 tillsynsbegäran.docx", "A 68988-2019")</f>
        <v/>
      </c>
      <c r="Y203">
        <f>HYPERLINK("https://klasma.github.io/Logging_0980/tillsynsmail/A 68988-2019 tillsynsbegäran mail.docx", "A 68988-2019")</f>
        <v/>
      </c>
    </row>
    <row r="204" ht="15" customHeight="1">
      <c r="A204" t="inlineStr">
        <is>
          <t>A 14010-2020</t>
        </is>
      </c>
      <c r="B204" s="1" t="n">
        <v>43899</v>
      </c>
      <c r="C204" s="1" t="n">
        <v>45807</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Gulsparv</t>
        </is>
      </c>
      <c r="S204">
        <f>HYPERLINK("https://klasma.github.io/Logging_0980/artfynd/A 14010-2020 artfynd.xlsx", "A 14010-2020")</f>
        <v/>
      </c>
      <c r="T204">
        <f>HYPERLINK("https://klasma.github.io/Logging_0980/kartor/A 14010-2020 karta.png", "A 14010-2020")</f>
        <v/>
      </c>
      <c r="V204">
        <f>HYPERLINK("https://klasma.github.io/Logging_0980/klagomål/A 14010-2020 FSC-klagomål.docx", "A 14010-2020")</f>
        <v/>
      </c>
      <c r="W204">
        <f>HYPERLINK("https://klasma.github.io/Logging_0980/klagomålsmail/A 14010-2020 FSC-klagomål mail.docx", "A 14010-2020")</f>
        <v/>
      </c>
      <c r="X204">
        <f>HYPERLINK("https://klasma.github.io/Logging_0980/tillsyn/A 14010-2020 tillsynsbegäran.docx", "A 14010-2020")</f>
        <v/>
      </c>
      <c r="Y204">
        <f>HYPERLINK("https://klasma.github.io/Logging_0980/tillsynsmail/A 14010-2020 tillsynsbegäran mail.docx", "A 14010-2020")</f>
        <v/>
      </c>
      <c r="Z204">
        <f>HYPERLINK("https://klasma.github.io/Logging_0980/fåglar/A 14010-2020 prioriterade fågelarter.docx", "A 14010-2020")</f>
        <v/>
      </c>
    </row>
    <row r="205" ht="15" customHeight="1">
      <c r="A205" t="inlineStr">
        <is>
          <t>A 21753-2020</t>
        </is>
      </c>
      <c r="B205" s="1" t="n">
        <v>43957</v>
      </c>
      <c r="C205" s="1" t="n">
        <v>45807</v>
      </c>
      <c r="D205" t="inlineStr">
        <is>
          <t>GOTLANDS LÄN</t>
        </is>
      </c>
      <c r="E205" t="inlineStr">
        <is>
          <t>GOTLAND</t>
        </is>
      </c>
      <c r="G205" t="n">
        <v>3.5</v>
      </c>
      <c r="H205" t="n">
        <v>0</v>
      </c>
      <c r="I205" t="n">
        <v>0</v>
      </c>
      <c r="J205" t="n">
        <v>0</v>
      </c>
      <c r="K205" t="n">
        <v>0</v>
      </c>
      <c r="L205" t="n">
        <v>0</v>
      </c>
      <c r="M205" t="n">
        <v>1</v>
      </c>
      <c r="N205" t="n">
        <v>0</v>
      </c>
      <c r="O205" t="n">
        <v>1</v>
      </c>
      <c r="P205" t="n">
        <v>1</v>
      </c>
      <c r="Q205" t="n">
        <v>1</v>
      </c>
      <c r="R205" s="2" t="inlineStr">
        <is>
          <t>Skogsalm</t>
        </is>
      </c>
      <c r="S205">
        <f>HYPERLINK("https://klasma.github.io/Logging_0980/artfynd/A 21753-2020 artfynd.xlsx", "A 21753-2020")</f>
        <v/>
      </c>
      <c r="T205">
        <f>HYPERLINK("https://klasma.github.io/Logging_0980/kartor/A 21753-2020 karta.png", "A 21753-2020")</f>
        <v/>
      </c>
      <c r="V205">
        <f>HYPERLINK("https://klasma.github.io/Logging_0980/klagomål/A 21753-2020 FSC-klagomål.docx", "A 21753-2020")</f>
        <v/>
      </c>
      <c r="W205">
        <f>HYPERLINK("https://klasma.github.io/Logging_0980/klagomålsmail/A 21753-2020 FSC-klagomål mail.docx", "A 21753-2020")</f>
        <v/>
      </c>
      <c r="X205">
        <f>HYPERLINK("https://klasma.github.io/Logging_0980/tillsyn/A 21753-2020 tillsynsbegäran.docx", "A 21753-2020")</f>
        <v/>
      </c>
      <c r="Y205">
        <f>HYPERLINK("https://klasma.github.io/Logging_0980/tillsynsmail/A 21753-2020 tillsynsbegäran mail.docx", "A 21753-2020")</f>
        <v/>
      </c>
    </row>
    <row r="206" ht="15" customHeight="1">
      <c r="A206" t="inlineStr">
        <is>
          <t>A 22203-2020</t>
        </is>
      </c>
      <c r="B206" s="1" t="n">
        <v>43962</v>
      </c>
      <c r="C206" s="1" t="n">
        <v>45807</v>
      </c>
      <c r="D206" t="inlineStr">
        <is>
          <t>GOTLANDS LÄN</t>
        </is>
      </c>
      <c r="E206" t="inlineStr">
        <is>
          <t>GOTLAND</t>
        </is>
      </c>
      <c r="G206" t="n">
        <v>3.2</v>
      </c>
      <c r="H206" t="n">
        <v>0</v>
      </c>
      <c r="I206" t="n">
        <v>0</v>
      </c>
      <c r="J206" t="n">
        <v>1</v>
      </c>
      <c r="K206" t="n">
        <v>0</v>
      </c>
      <c r="L206" t="n">
        <v>0</v>
      </c>
      <c r="M206" t="n">
        <v>0</v>
      </c>
      <c r="N206" t="n">
        <v>0</v>
      </c>
      <c r="O206" t="n">
        <v>1</v>
      </c>
      <c r="P206" t="n">
        <v>0</v>
      </c>
      <c r="Q206" t="n">
        <v>1</v>
      </c>
      <c r="R206" s="2" t="inlineStr">
        <is>
          <t>Svinrot</t>
        </is>
      </c>
      <c r="S206">
        <f>HYPERLINK("https://klasma.github.io/Logging_0980/artfynd/A 22203-2020 artfynd.xlsx", "A 22203-2020")</f>
        <v/>
      </c>
      <c r="T206">
        <f>HYPERLINK("https://klasma.github.io/Logging_0980/kartor/A 22203-2020 karta.png", "A 22203-2020")</f>
        <v/>
      </c>
      <c r="V206">
        <f>HYPERLINK("https://klasma.github.io/Logging_0980/klagomål/A 22203-2020 FSC-klagomål.docx", "A 22203-2020")</f>
        <v/>
      </c>
      <c r="W206">
        <f>HYPERLINK("https://klasma.github.io/Logging_0980/klagomålsmail/A 22203-2020 FSC-klagomål mail.docx", "A 22203-2020")</f>
        <v/>
      </c>
      <c r="X206">
        <f>HYPERLINK("https://klasma.github.io/Logging_0980/tillsyn/A 22203-2020 tillsynsbegäran.docx", "A 22203-2020")</f>
        <v/>
      </c>
      <c r="Y206">
        <f>HYPERLINK("https://klasma.github.io/Logging_0980/tillsynsmail/A 22203-2020 tillsynsbegäran mail.docx", "A 22203-2020")</f>
        <v/>
      </c>
    </row>
    <row r="207" ht="15" customHeight="1">
      <c r="A207" t="inlineStr">
        <is>
          <t>A 22628-2020</t>
        </is>
      </c>
      <c r="B207" s="1" t="n">
        <v>43963</v>
      </c>
      <c r="C207" s="1" t="n">
        <v>45807</v>
      </c>
      <c r="D207" t="inlineStr">
        <is>
          <t>GOTLANDS LÄN</t>
        </is>
      </c>
      <c r="E207" t="inlineStr">
        <is>
          <t>GOTLAND</t>
        </is>
      </c>
      <c r="G207" t="n">
        <v>4.3</v>
      </c>
      <c r="H207" t="n">
        <v>0</v>
      </c>
      <c r="I207" t="n">
        <v>0</v>
      </c>
      <c r="J207" t="n">
        <v>0</v>
      </c>
      <c r="K207" t="n">
        <v>1</v>
      </c>
      <c r="L207" t="n">
        <v>0</v>
      </c>
      <c r="M207" t="n">
        <v>0</v>
      </c>
      <c r="N207" t="n">
        <v>0</v>
      </c>
      <c r="O207" t="n">
        <v>1</v>
      </c>
      <c r="P207" t="n">
        <v>1</v>
      </c>
      <c r="Q207" t="n">
        <v>1</v>
      </c>
      <c r="R207" s="2" t="inlineStr">
        <is>
          <t>Gotlandsmåra</t>
        </is>
      </c>
      <c r="S207">
        <f>HYPERLINK("https://klasma.github.io/Logging_0980/artfynd/A 22628-2020 artfynd.xlsx", "A 22628-2020")</f>
        <v/>
      </c>
      <c r="T207">
        <f>HYPERLINK("https://klasma.github.io/Logging_0980/kartor/A 22628-2020 karta.png", "A 22628-2020")</f>
        <v/>
      </c>
      <c r="V207">
        <f>HYPERLINK("https://klasma.github.io/Logging_0980/klagomål/A 22628-2020 FSC-klagomål.docx", "A 22628-2020")</f>
        <v/>
      </c>
      <c r="W207">
        <f>HYPERLINK("https://klasma.github.io/Logging_0980/klagomålsmail/A 22628-2020 FSC-klagomål mail.docx", "A 22628-2020")</f>
        <v/>
      </c>
      <c r="X207">
        <f>HYPERLINK("https://klasma.github.io/Logging_0980/tillsyn/A 22628-2020 tillsynsbegäran.docx", "A 22628-2020")</f>
        <v/>
      </c>
      <c r="Y207">
        <f>HYPERLINK("https://klasma.github.io/Logging_0980/tillsynsmail/A 22628-2020 tillsynsbegäran mail.docx", "A 22628-2020")</f>
        <v/>
      </c>
    </row>
    <row r="208" ht="15" customHeight="1">
      <c r="A208" t="inlineStr">
        <is>
          <t>A 39999-2020</t>
        </is>
      </c>
      <c r="B208" s="1" t="n">
        <v>44067</v>
      </c>
      <c r="C208" s="1" t="n">
        <v>45807</v>
      </c>
      <c r="D208" t="inlineStr">
        <is>
          <t>GOTLANDS LÄN</t>
        </is>
      </c>
      <c r="E208" t="inlineStr">
        <is>
          <t>GOTLAND</t>
        </is>
      </c>
      <c r="G208" t="n">
        <v>1.8</v>
      </c>
      <c r="H208" t="n">
        <v>0</v>
      </c>
      <c r="I208" t="n">
        <v>1</v>
      </c>
      <c r="J208" t="n">
        <v>0</v>
      </c>
      <c r="K208" t="n">
        <v>0</v>
      </c>
      <c r="L208" t="n">
        <v>0</v>
      </c>
      <c r="M208" t="n">
        <v>0</v>
      </c>
      <c r="N208" t="n">
        <v>0</v>
      </c>
      <c r="O208" t="n">
        <v>0</v>
      </c>
      <c r="P208" t="n">
        <v>0</v>
      </c>
      <c r="Q208" t="n">
        <v>1</v>
      </c>
      <c r="R208" s="2" t="inlineStr">
        <is>
          <t>Strävlosta</t>
        </is>
      </c>
      <c r="S208">
        <f>HYPERLINK("https://klasma.github.io/Logging_0980/artfynd/A 39999-2020 artfynd.xlsx", "A 39999-2020")</f>
        <v/>
      </c>
      <c r="T208">
        <f>HYPERLINK("https://klasma.github.io/Logging_0980/kartor/A 39999-2020 karta.png", "A 39999-2020")</f>
        <v/>
      </c>
      <c r="V208">
        <f>HYPERLINK("https://klasma.github.io/Logging_0980/klagomål/A 39999-2020 FSC-klagomål.docx", "A 39999-2020")</f>
        <v/>
      </c>
      <c r="W208">
        <f>HYPERLINK("https://klasma.github.io/Logging_0980/klagomålsmail/A 39999-2020 FSC-klagomål mail.docx", "A 39999-2020")</f>
        <v/>
      </c>
      <c r="X208">
        <f>HYPERLINK("https://klasma.github.io/Logging_0980/tillsyn/A 39999-2020 tillsynsbegäran.docx", "A 39999-2020")</f>
        <v/>
      </c>
      <c r="Y208">
        <f>HYPERLINK("https://klasma.github.io/Logging_0980/tillsynsmail/A 39999-2020 tillsynsbegäran mail.docx", "A 39999-2020")</f>
        <v/>
      </c>
    </row>
    <row r="209" ht="15" customHeight="1">
      <c r="A209" t="inlineStr">
        <is>
          <t>A 40266-2020</t>
        </is>
      </c>
      <c r="B209" s="1" t="n">
        <v>44068</v>
      </c>
      <c r="C209" s="1" t="n">
        <v>45807</v>
      </c>
      <c r="D209" t="inlineStr">
        <is>
          <t>GOTLANDS LÄN</t>
        </is>
      </c>
      <c r="E209" t="inlineStr">
        <is>
          <t>GOTLAND</t>
        </is>
      </c>
      <c r="F209" t="inlineStr">
        <is>
          <t>Kyrkan</t>
        </is>
      </c>
      <c r="G209" t="n">
        <v>1.3</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40266-2020 artfynd.xlsx", "A 40266-2020")</f>
        <v/>
      </c>
      <c r="T209">
        <f>HYPERLINK("https://klasma.github.io/Logging_0980/kartor/A 40266-2020 karta.png", "A 40266-2020")</f>
        <v/>
      </c>
      <c r="V209">
        <f>HYPERLINK("https://klasma.github.io/Logging_0980/klagomål/A 40266-2020 FSC-klagomål.docx", "A 40266-2020")</f>
        <v/>
      </c>
      <c r="W209">
        <f>HYPERLINK("https://klasma.github.io/Logging_0980/klagomålsmail/A 40266-2020 FSC-klagomål mail.docx", "A 40266-2020")</f>
        <v/>
      </c>
      <c r="X209">
        <f>HYPERLINK("https://klasma.github.io/Logging_0980/tillsyn/A 40266-2020 tillsynsbegäran.docx", "A 40266-2020")</f>
        <v/>
      </c>
      <c r="Y209">
        <f>HYPERLINK("https://klasma.github.io/Logging_0980/tillsynsmail/A 40266-2020 tillsynsbegäran mail.docx", "A 40266-2020")</f>
        <v/>
      </c>
    </row>
    <row r="210" ht="15" customHeight="1">
      <c r="A210" t="inlineStr">
        <is>
          <t>A 41065-2020</t>
        </is>
      </c>
      <c r="B210" s="1" t="n">
        <v>44069</v>
      </c>
      <c r="C210" s="1" t="n">
        <v>45807</v>
      </c>
      <c r="D210" t="inlineStr">
        <is>
          <t>GOTLANDS LÄN</t>
        </is>
      </c>
      <c r="E210" t="inlineStr">
        <is>
          <t>GOTLAND</t>
        </is>
      </c>
      <c r="G210" t="n">
        <v>12</v>
      </c>
      <c r="H210" t="n">
        <v>0</v>
      </c>
      <c r="I210" t="n">
        <v>1</v>
      </c>
      <c r="J210" t="n">
        <v>0</v>
      </c>
      <c r="K210" t="n">
        <v>0</v>
      </c>
      <c r="L210" t="n">
        <v>0</v>
      </c>
      <c r="M210" t="n">
        <v>0</v>
      </c>
      <c r="N210" t="n">
        <v>0</v>
      </c>
      <c r="O210" t="n">
        <v>0</v>
      </c>
      <c r="P210" t="n">
        <v>0</v>
      </c>
      <c r="Q210" t="n">
        <v>1</v>
      </c>
      <c r="R210" s="2" t="inlineStr">
        <is>
          <t>Myskmadra</t>
        </is>
      </c>
      <c r="S210">
        <f>HYPERLINK("https://klasma.github.io/Logging_0980/artfynd/A 41065-2020 artfynd.xlsx", "A 41065-2020")</f>
        <v/>
      </c>
      <c r="T210">
        <f>HYPERLINK("https://klasma.github.io/Logging_0980/kartor/A 41065-2020 karta.png", "A 41065-2020")</f>
        <v/>
      </c>
      <c r="V210">
        <f>HYPERLINK("https://klasma.github.io/Logging_0980/klagomål/A 41065-2020 FSC-klagomål.docx", "A 41065-2020")</f>
        <v/>
      </c>
      <c r="W210">
        <f>HYPERLINK("https://klasma.github.io/Logging_0980/klagomålsmail/A 41065-2020 FSC-klagomål mail.docx", "A 41065-2020")</f>
        <v/>
      </c>
      <c r="X210">
        <f>HYPERLINK("https://klasma.github.io/Logging_0980/tillsyn/A 41065-2020 tillsynsbegäran.docx", "A 41065-2020")</f>
        <v/>
      </c>
      <c r="Y210">
        <f>HYPERLINK("https://klasma.github.io/Logging_0980/tillsynsmail/A 41065-2020 tillsynsbegäran mail.docx", "A 41065-2020")</f>
        <v/>
      </c>
    </row>
    <row r="211" ht="15" customHeight="1">
      <c r="A211" t="inlineStr">
        <is>
          <t>A 44958-2020</t>
        </is>
      </c>
      <c r="B211" s="1" t="n">
        <v>44088</v>
      </c>
      <c r="C211" s="1" t="n">
        <v>45807</v>
      </c>
      <c r="D211" t="inlineStr">
        <is>
          <t>GOTLANDS LÄN</t>
        </is>
      </c>
      <c r="E211" t="inlineStr">
        <is>
          <t>GOTLAND</t>
        </is>
      </c>
      <c r="G211" t="n">
        <v>0.6</v>
      </c>
      <c r="H211" t="n">
        <v>1</v>
      </c>
      <c r="I211" t="n">
        <v>0</v>
      </c>
      <c r="J211" t="n">
        <v>1</v>
      </c>
      <c r="K211" t="n">
        <v>0</v>
      </c>
      <c r="L211" t="n">
        <v>0</v>
      </c>
      <c r="M211" t="n">
        <v>0</v>
      </c>
      <c r="N211" t="n">
        <v>0</v>
      </c>
      <c r="O211" t="n">
        <v>1</v>
      </c>
      <c r="P211" t="n">
        <v>0</v>
      </c>
      <c r="Q211" t="n">
        <v>1</v>
      </c>
      <c r="R211" s="2" t="inlineStr">
        <is>
          <t>Hornuggla</t>
        </is>
      </c>
      <c r="S211">
        <f>HYPERLINK("https://klasma.github.io/Logging_0980/artfynd/A 44958-2020 artfynd.xlsx", "A 44958-2020")</f>
        <v/>
      </c>
      <c r="T211">
        <f>HYPERLINK("https://klasma.github.io/Logging_0980/kartor/A 44958-2020 karta.png", "A 44958-2020")</f>
        <v/>
      </c>
      <c r="V211">
        <f>HYPERLINK("https://klasma.github.io/Logging_0980/klagomål/A 44958-2020 FSC-klagomål.docx", "A 44958-2020")</f>
        <v/>
      </c>
      <c r="W211">
        <f>HYPERLINK("https://klasma.github.io/Logging_0980/klagomålsmail/A 44958-2020 FSC-klagomål mail.docx", "A 44958-2020")</f>
        <v/>
      </c>
      <c r="X211">
        <f>HYPERLINK("https://klasma.github.io/Logging_0980/tillsyn/A 44958-2020 tillsynsbegäran.docx", "A 44958-2020")</f>
        <v/>
      </c>
      <c r="Y211">
        <f>HYPERLINK("https://klasma.github.io/Logging_0980/tillsynsmail/A 44958-2020 tillsynsbegäran mail.docx", "A 44958-2020")</f>
        <v/>
      </c>
      <c r="Z211">
        <f>HYPERLINK("https://klasma.github.io/Logging_0980/fåglar/A 44958-2020 prioriterade fågelarter.docx", "A 44958-2020")</f>
        <v/>
      </c>
    </row>
    <row r="212" ht="15" customHeight="1">
      <c r="A212" t="inlineStr">
        <is>
          <t>A 45924-2020</t>
        </is>
      </c>
      <c r="B212" s="1" t="n">
        <v>44088</v>
      </c>
      <c r="C212" s="1" t="n">
        <v>45807</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Myskmadra</t>
        </is>
      </c>
      <c r="S212">
        <f>HYPERLINK("https://klasma.github.io/Logging_0980/artfynd/A 45924-2020 artfynd.xlsx", "A 45924-2020")</f>
        <v/>
      </c>
      <c r="T212">
        <f>HYPERLINK("https://klasma.github.io/Logging_0980/kartor/A 45924-2020 karta.png", "A 45924-2020")</f>
        <v/>
      </c>
      <c r="V212">
        <f>HYPERLINK("https://klasma.github.io/Logging_0980/klagomål/A 45924-2020 FSC-klagomål.docx", "A 45924-2020")</f>
        <v/>
      </c>
      <c r="W212">
        <f>HYPERLINK("https://klasma.github.io/Logging_0980/klagomålsmail/A 45924-2020 FSC-klagomål mail.docx", "A 45924-2020")</f>
        <v/>
      </c>
      <c r="X212">
        <f>HYPERLINK("https://klasma.github.io/Logging_0980/tillsyn/A 45924-2020 tillsynsbegäran.docx", "A 45924-2020")</f>
        <v/>
      </c>
      <c r="Y212">
        <f>HYPERLINK("https://klasma.github.io/Logging_0980/tillsynsmail/A 45924-2020 tillsynsbegäran mail.docx", "A 45924-2020")</f>
        <v/>
      </c>
    </row>
    <row r="213" ht="15" customHeight="1">
      <c r="A213" t="inlineStr">
        <is>
          <t>A 63299-2020</t>
        </is>
      </c>
      <c r="B213" s="1" t="n">
        <v>44165</v>
      </c>
      <c r="C213" s="1" t="n">
        <v>45807</v>
      </c>
      <c r="D213" t="inlineStr">
        <is>
          <t>GOTLANDS LÄN</t>
        </is>
      </c>
      <c r="E213" t="inlineStr">
        <is>
          <t>GOTLAND</t>
        </is>
      </c>
      <c r="G213" t="n">
        <v>12.9</v>
      </c>
      <c r="H213" t="n">
        <v>1</v>
      </c>
      <c r="I213" t="n">
        <v>0</v>
      </c>
      <c r="J213" t="n">
        <v>1</v>
      </c>
      <c r="K213" t="n">
        <v>0</v>
      </c>
      <c r="L213" t="n">
        <v>0</v>
      </c>
      <c r="M213" t="n">
        <v>0</v>
      </c>
      <c r="N213" t="n">
        <v>0</v>
      </c>
      <c r="O213" t="n">
        <v>1</v>
      </c>
      <c r="P213" t="n">
        <v>0</v>
      </c>
      <c r="Q213" t="n">
        <v>1</v>
      </c>
      <c r="R213" s="2" t="inlineStr">
        <is>
          <t>Svartfläckig blåvinge</t>
        </is>
      </c>
      <c r="S213">
        <f>HYPERLINK("https://klasma.github.io/Logging_0980/artfynd/A 63299-2020 artfynd.xlsx", "A 63299-2020")</f>
        <v/>
      </c>
      <c r="T213">
        <f>HYPERLINK("https://klasma.github.io/Logging_0980/kartor/A 63299-2020 karta.png", "A 63299-2020")</f>
        <v/>
      </c>
      <c r="V213">
        <f>HYPERLINK("https://klasma.github.io/Logging_0980/klagomål/A 63299-2020 FSC-klagomål.docx", "A 63299-2020")</f>
        <v/>
      </c>
      <c r="W213">
        <f>HYPERLINK("https://klasma.github.io/Logging_0980/klagomålsmail/A 63299-2020 FSC-klagomål mail.docx", "A 63299-2020")</f>
        <v/>
      </c>
      <c r="X213">
        <f>HYPERLINK("https://klasma.github.io/Logging_0980/tillsyn/A 63299-2020 tillsynsbegäran.docx", "A 63299-2020")</f>
        <v/>
      </c>
      <c r="Y213">
        <f>HYPERLINK("https://klasma.github.io/Logging_0980/tillsynsmail/A 63299-2020 tillsynsbegäran mail.docx", "A 63299-2020")</f>
        <v/>
      </c>
    </row>
    <row r="214" ht="15" customHeight="1">
      <c r="A214" t="inlineStr">
        <is>
          <t>A 24-2021</t>
        </is>
      </c>
      <c r="B214" s="1" t="n">
        <v>44197</v>
      </c>
      <c r="C214" s="1" t="n">
        <v>45807</v>
      </c>
      <c r="D214" t="inlineStr">
        <is>
          <t>GOTLANDS LÄN</t>
        </is>
      </c>
      <c r="E214" t="inlineStr">
        <is>
          <t>GOTLAND</t>
        </is>
      </c>
      <c r="F214" t="inlineStr">
        <is>
          <t>Kyrkan</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HYPERLINK("https://klasma.github.io/Logging_0980/artfynd/A 24-2021 artfynd.xlsx", "A 24-2021")</f>
        <v/>
      </c>
      <c r="T214">
        <f>HYPERLINK("https://klasma.github.io/Logging_0980/kartor/A 24-2021 karta.png", "A 24-2021")</f>
        <v/>
      </c>
      <c r="V214">
        <f>HYPERLINK("https://klasma.github.io/Logging_0980/klagomål/A 24-2021 FSC-klagomål.docx", "A 24-2021")</f>
        <v/>
      </c>
      <c r="W214">
        <f>HYPERLINK("https://klasma.github.io/Logging_0980/klagomålsmail/A 24-2021 FSC-klagomål mail.docx", "A 24-2021")</f>
        <v/>
      </c>
      <c r="X214">
        <f>HYPERLINK("https://klasma.github.io/Logging_0980/tillsyn/A 24-2021 tillsynsbegäran.docx", "A 24-2021")</f>
        <v/>
      </c>
      <c r="Y214">
        <f>HYPERLINK("https://klasma.github.io/Logging_0980/tillsynsmail/A 24-2021 tillsynsbegäran mail.docx", "A 24-2021")</f>
        <v/>
      </c>
    </row>
    <row r="215" ht="15" customHeight="1">
      <c r="A215" t="inlineStr">
        <is>
          <t>A 7485-2021</t>
        </is>
      </c>
      <c r="B215" s="1" t="n">
        <v>44238</v>
      </c>
      <c r="C215" s="1" t="n">
        <v>45807</v>
      </c>
      <c r="D215" t="inlineStr">
        <is>
          <t>GOTLANDS LÄN</t>
        </is>
      </c>
      <c r="E215" t="inlineStr">
        <is>
          <t>GOTLAND</t>
        </is>
      </c>
      <c r="G215" t="n">
        <v>2.9</v>
      </c>
      <c r="H215" t="n">
        <v>1</v>
      </c>
      <c r="I215" t="n">
        <v>0</v>
      </c>
      <c r="J215" t="n">
        <v>1</v>
      </c>
      <c r="K215" t="n">
        <v>0</v>
      </c>
      <c r="L215" t="n">
        <v>0</v>
      </c>
      <c r="M215" t="n">
        <v>0</v>
      </c>
      <c r="N215" t="n">
        <v>0</v>
      </c>
      <c r="O215" t="n">
        <v>1</v>
      </c>
      <c r="P215" t="n">
        <v>0</v>
      </c>
      <c r="Q215" t="n">
        <v>1</v>
      </c>
      <c r="R215" s="2" t="inlineStr">
        <is>
          <t>Spillkråka</t>
        </is>
      </c>
      <c r="S215">
        <f>HYPERLINK("https://klasma.github.io/Logging_0980/artfynd/A 7485-2021 artfynd.xlsx", "A 7485-2021")</f>
        <v/>
      </c>
      <c r="T215">
        <f>HYPERLINK("https://klasma.github.io/Logging_0980/kartor/A 7485-2021 karta.png", "A 7485-2021")</f>
        <v/>
      </c>
      <c r="V215">
        <f>HYPERLINK("https://klasma.github.io/Logging_0980/klagomål/A 7485-2021 FSC-klagomål.docx", "A 7485-2021")</f>
        <v/>
      </c>
      <c r="W215">
        <f>HYPERLINK("https://klasma.github.io/Logging_0980/klagomålsmail/A 7485-2021 FSC-klagomål mail.docx", "A 7485-2021")</f>
        <v/>
      </c>
      <c r="X215">
        <f>HYPERLINK("https://klasma.github.io/Logging_0980/tillsyn/A 7485-2021 tillsynsbegäran.docx", "A 7485-2021")</f>
        <v/>
      </c>
      <c r="Y215">
        <f>HYPERLINK("https://klasma.github.io/Logging_0980/tillsynsmail/A 7485-2021 tillsynsbegäran mail.docx", "A 7485-2021")</f>
        <v/>
      </c>
      <c r="Z215">
        <f>HYPERLINK("https://klasma.github.io/Logging_0980/fåglar/A 7485-2021 prioriterade fågelarter.docx", "A 7485-2021")</f>
        <v/>
      </c>
    </row>
    <row r="216" ht="15" customHeight="1">
      <c r="A216" t="inlineStr">
        <is>
          <t>A 13939-2021</t>
        </is>
      </c>
      <c r="B216" s="1" t="n">
        <v>44277</v>
      </c>
      <c r="C216" s="1" t="n">
        <v>45807</v>
      </c>
      <c r="D216" t="inlineStr">
        <is>
          <t>GOTLANDS LÄN</t>
        </is>
      </c>
      <c r="E216" t="inlineStr">
        <is>
          <t>GOTLAND</t>
        </is>
      </c>
      <c r="G216" t="n">
        <v>1</v>
      </c>
      <c r="H216" t="n">
        <v>0</v>
      </c>
      <c r="I216" t="n">
        <v>0</v>
      </c>
      <c r="J216" t="n">
        <v>1</v>
      </c>
      <c r="K216" t="n">
        <v>0</v>
      </c>
      <c r="L216" t="n">
        <v>0</v>
      </c>
      <c r="M216" t="n">
        <v>0</v>
      </c>
      <c r="N216" t="n">
        <v>0</v>
      </c>
      <c r="O216" t="n">
        <v>1</v>
      </c>
      <c r="P216" t="n">
        <v>0</v>
      </c>
      <c r="Q216" t="n">
        <v>1</v>
      </c>
      <c r="R216" s="2" t="inlineStr">
        <is>
          <t>Axveronika</t>
        </is>
      </c>
      <c r="S216">
        <f>HYPERLINK("https://klasma.github.io/Logging_0980/artfynd/A 13939-2021 artfynd.xlsx", "A 13939-2021")</f>
        <v/>
      </c>
      <c r="T216">
        <f>HYPERLINK("https://klasma.github.io/Logging_0980/kartor/A 13939-2021 karta.png", "A 13939-2021")</f>
        <v/>
      </c>
      <c r="V216">
        <f>HYPERLINK("https://klasma.github.io/Logging_0980/klagomål/A 13939-2021 FSC-klagomål.docx", "A 13939-2021")</f>
        <v/>
      </c>
      <c r="W216">
        <f>HYPERLINK("https://klasma.github.io/Logging_0980/klagomålsmail/A 13939-2021 FSC-klagomål mail.docx", "A 13939-2021")</f>
        <v/>
      </c>
      <c r="X216">
        <f>HYPERLINK("https://klasma.github.io/Logging_0980/tillsyn/A 13939-2021 tillsynsbegäran.docx", "A 13939-2021")</f>
        <v/>
      </c>
      <c r="Y216">
        <f>HYPERLINK("https://klasma.github.io/Logging_0980/tillsynsmail/A 13939-2021 tillsynsbegäran mail.docx", "A 13939-2021")</f>
        <v/>
      </c>
    </row>
    <row r="217" ht="15" customHeight="1">
      <c r="A217" t="inlineStr">
        <is>
          <t>A 17723-2021</t>
        </is>
      </c>
      <c r="B217" s="1" t="n">
        <v>44300</v>
      </c>
      <c r="C217" s="1" t="n">
        <v>45807</v>
      </c>
      <c r="D217" t="inlineStr">
        <is>
          <t>GOTLANDS LÄN</t>
        </is>
      </c>
      <c r="E217" t="inlineStr">
        <is>
          <t>GOTLAND</t>
        </is>
      </c>
      <c r="G217" t="n">
        <v>1.5</v>
      </c>
      <c r="H217" t="n">
        <v>1</v>
      </c>
      <c r="I217" t="n">
        <v>1</v>
      </c>
      <c r="J217" t="n">
        <v>0</v>
      </c>
      <c r="K217" t="n">
        <v>0</v>
      </c>
      <c r="L217" t="n">
        <v>0</v>
      </c>
      <c r="M217" t="n">
        <v>0</v>
      </c>
      <c r="N217" t="n">
        <v>0</v>
      </c>
      <c r="O217" t="n">
        <v>0</v>
      </c>
      <c r="P217" t="n">
        <v>0</v>
      </c>
      <c r="Q217" t="n">
        <v>1</v>
      </c>
      <c r="R217" s="2" t="inlineStr">
        <is>
          <t>Vit skogslilja</t>
        </is>
      </c>
      <c r="S217">
        <f>HYPERLINK("https://klasma.github.io/Logging_0980/artfynd/A 17723-2021 artfynd.xlsx", "A 17723-2021")</f>
        <v/>
      </c>
      <c r="T217">
        <f>HYPERLINK("https://klasma.github.io/Logging_0980/kartor/A 17723-2021 karta.png", "A 17723-2021")</f>
        <v/>
      </c>
      <c r="V217">
        <f>HYPERLINK("https://klasma.github.io/Logging_0980/klagomål/A 17723-2021 FSC-klagomål.docx", "A 17723-2021")</f>
        <v/>
      </c>
      <c r="W217">
        <f>HYPERLINK("https://klasma.github.io/Logging_0980/klagomålsmail/A 17723-2021 FSC-klagomål mail.docx", "A 17723-2021")</f>
        <v/>
      </c>
      <c r="X217">
        <f>HYPERLINK("https://klasma.github.io/Logging_0980/tillsyn/A 17723-2021 tillsynsbegäran.docx", "A 17723-2021")</f>
        <v/>
      </c>
      <c r="Y217">
        <f>HYPERLINK("https://klasma.github.io/Logging_0980/tillsynsmail/A 17723-2021 tillsynsbegäran mail.docx", "A 17723-2021")</f>
        <v/>
      </c>
    </row>
    <row r="218" ht="15" customHeight="1">
      <c r="A218" t="inlineStr">
        <is>
          <t>A 29951-2021</t>
        </is>
      </c>
      <c r="B218" s="1" t="n">
        <v>44362</v>
      </c>
      <c r="C218" s="1" t="n">
        <v>45807</v>
      </c>
      <c r="D218" t="inlineStr">
        <is>
          <t>GOTLANDS LÄN</t>
        </is>
      </c>
      <c r="E218" t="inlineStr">
        <is>
          <t>GOTLAND</t>
        </is>
      </c>
      <c r="G218" t="n">
        <v>3.4</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29951-2021 artfynd.xlsx", "A 29951-2021")</f>
        <v/>
      </c>
      <c r="T218">
        <f>HYPERLINK("https://klasma.github.io/Logging_0980/kartor/A 29951-2021 karta.png", "A 29951-2021")</f>
        <v/>
      </c>
      <c r="V218">
        <f>HYPERLINK("https://klasma.github.io/Logging_0980/klagomål/A 29951-2021 FSC-klagomål.docx", "A 29951-2021")</f>
        <v/>
      </c>
      <c r="W218">
        <f>HYPERLINK("https://klasma.github.io/Logging_0980/klagomålsmail/A 29951-2021 FSC-klagomål mail.docx", "A 29951-2021")</f>
        <v/>
      </c>
      <c r="X218">
        <f>HYPERLINK("https://klasma.github.io/Logging_0980/tillsyn/A 29951-2021 tillsynsbegäran.docx", "A 29951-2021")</f>
        <v/>
      </c>
      <c r="Y218">
        <f>HYPERLINK("https://klasma.github.io/Logging_0980/tillsynsmail/A 29951-2021 tillsynsbegäran mail.docx", "A 29951-2021")</f>
        <v/>
      </c>
    </row>
    <row r="219" ht="15" customHeight="1">
      <c r="A219" t="inlineStr">
        <is>
          <t>A 35467-2021</t>
        </is>
      </c>
      <c r="B219" s="1" t="n">
        <v>44385</v>
      </c>
      <c r="C219" s="1" t="n">
        <v>45807</v>
      </c>
      <c r="D219" t="inlineStr">
        <is>
          <t>GOTLANDS LÄN</t>
        </is>
      </c>
      <c r="E219" t="inlineStr">
        <is>
          <t>GOTLAND</t>
        </is>
      </c>
      <c r="G219" t="n">
        <v>12.7</v>
      </c>
      <c r="H219" t="n">
        <v>0</v>
      </c>
      <c r="I219" t="n">
        <v>0</v>
      </c>
      <c r="J219" t="n">
        <v>1</v>
      </c>
      <c r="K219" t="n">
        <v>0</v>
      </c>
      <c r="L219" t="n">
        <v>0</v>
      </c>
      <c r="M219" t="n">
        <v>0</v>
      </c>
      <c r="N219" t="n">
        <v>0</v>
      </c>
      <c r="O219" t="n">
        <v>1</v>
      </c>
      <c r="P219" t="n">
        <v>0</v>
      </c>
      <c r="Q219" t="n">
        <v>1</v>
      </c>
      <c r="R219" s="2" t="inlineStr">
        <is>
          <t>Loppstarr</t>
        </is>
      </c>
      <c r="S219">
        <f>HYPERLINK("https://klasma.github.io/Logging_0980/artfynd/A 35467-2021 artfynd.xlsx", "A 35467-2021")</f>
        <v/>
      </c>
      <c r="T219">
        <f>HYPERLINK("https://klasma.github.io/Logging_0980/kartor/A 35467-2021 karta.png", "A 35467-2021")</f>
        <v/>
      </c>
      <c r="V219">
        <f>HYPERLINK("https://klasma.github.io/Logging_0980/klagomål/A 35467-2021 FSC-klagomål.docx", "A 35467-2021")</f>
        <v/>
      </c>
      <c r="W219">
        <f>HYPERLINK("https://klasma.github.io/Logging_0980/klagomålsmail/A 35467-2021 FSC-klagomål mail.docx", "A 35467-2021")</f>
        <v/>
      </c>
      <c r="X219">
        <f>HYPERLINK("https://klasma.github.io/Logging_0980/tillsyn/A 35467-2021 tillsynsbegäran.docx", "A 35467-2021")</f>
        <v/>
      </c>
      <c r="Y219">
        <f>HYPERLINK("https://klasma.github.io/Logging_0980/tillsynsmail/A 35467-2021 tillsynsbegäran mail.docx", "A 35467-2021")</f>
        <v/>
      </c>
    </row>
    <row r="220" ht="15" customHeight="1">
      <c r="A220" t="inlineStr">
        <is>
          <t>A 44308-2021</t>
        </is>
      </c>
      <c r="B220" s="1" t="n">
        <v>44434</v>
      </c>
      <c r="C220" s="1" t="n">
        <v>45807</v>
      </c>
      <c r="D220" t="inlineStr">
        <is>
          <t>GOTLANDS LÄN</t>
        </is>
      </c>
      <c r="E220" t="inlineStr">
        <is>
          <t>GOTLAND</t>
        </is>
      </c>
      <c r="G220" t="n">
        <v>5.9</v>
      </c>
      <c r="H220" t="n">
        <v>0</v>
      </c>
      <c r="I220" t="n">
        <v>1</v>
      </c>
      <c r="J220" t="n">
        <v>0</v>
      </c>
      <c r="K220" t="n">
        <v>0</v>
      </c>
      <c r="L220" t="n">
        <v>0</v>
      </c>
      <c r="M220" t="n">
        <v>0</v>
      </c>
      <c r="N220" t="n">
        <v>0</v>
      </c>
      <c r="O220" t="n">
        <v>0</v>
      </c>
      <c r="P220" t="n">
        <v>0</v>
      </c>
      <c r="Q220" t="n">
        <v>1</v>
      </c>
      <c r="R220" s="2" t="inlineStr">
        <is>
          <t>Svavelriska</t>
        </is>
      </c>
      <c r="S220">
        <f>HYPERLINK("https://klasma.github.io/Logging_0980/artfynd/A 44308-2021 artfynd.xlsx", "A 44308-2021")</f>
        <v/>
      </c>
      <c r="T220">
        <f>HYPERLINK("https://klasma.github.io/Logging_0980/kartor/A 44308-2021 karta.png", "A 44308-2021")</f>
        <v/>
      </c>
      <c r="V220">
        <f>HYPERLINK("https://klasma.github.io/Logging_0980/klagomål/A 44308-2021 FSC-klagomål.docx", "A 44308-2021")</f>
        <v/>
      </c>
      <c r="W220">
        <f>HYPERLINK("https://klasma.github.io/Logging_0980/klagomålsmail/A 44308-2021 FSC-klagomål mail.docx", "A 44308-2021")</f>
        <v/>
      </c>
      <c r="X220">
        <f>HYPERLINK("https://klasma.github.io/Logging_0980/tillsyn/A 44308-2021 tillsynsbegäran.docx", "A 44308-2021")</f>
        <v/>
      </c>
      <c r="Y220">
        <f>HYPERLINK("https://klasma.github.io/Logging_0980/tillsynsmail/A 44308-2021 tillsynsbegäran mail.docx", "A 44308-2021")</f>
        <v/>
      </c>
    </row>
    <row r="221" ht="15" customHeight="1">
      <c r="A221" t="inlineStr">
        <is>
          <t>A 47411-2021</t>
        </is>
      </c>
      <c r="B221" s="1" t="n">
        <v>44447</v>
      </c>
      <c r="C221" s="1" t="n">
        <v>45807</v>
      </c>
      <c r="D221" t="inlineStr">
        <is>
          <t>GOTLANDS LÄN</t>
        </is>
      </c>
      <c r="E221" t="inlineStr">
        <is>
          <t>GOTLAND</t>
        </is>
      </c>
      <c r="G221" t="n">
        <v>2.7</v>
      </c>
      <c r="H221" t="n">
        <v>1</v>
      </c>
      <c r="I221" t="n">
        <v>0</v>
      </c>
      <c r="J221" t="n">
        <v>0</v>
      </c>
      <c r="K221" t="n">
        <v>0</v>
      </c>
      <c r="L221" t="n">
        <v>0</v>
      </c>
      <c r="M221" t="n">
        <v>0</v>
      </c>
      <c r="N221" t="n">
        <v>0</v>
      </c>
      <c r="O221" t="n">
        <v>0</v>
      </c>
      <c r="P221" t="n">
        <v>0</v>
      </c>
      <c r="Q221" t="n">
        <v>1</v>
      </c>
      <c r="R221" s="2" t="inlineStr">
        <is>
          <t>Revlummer</t>
        </is>
      </c>
      <c r="S221">
        <f>HYPERLINK("https://klasma.github.io/Logging_0980/artfynd/A 47411-2021 artfynd.xlsx", "A 47411-2021")</f>
        <v/>
      </c>
      <c r="T221">
        <f>HYPERLINK("https://klasma.github.io/Logging_0980/kartor/A 47411-2021 karta.png", "A 47411-2021")</f>
        <v/>
      </c>
      <c r="V221">
        <f>HYPERLINK("https://klasma.github.io/Logging_0980/klagomål/A 47411-2021 FSC-klagomål.docx", "A 47411-2021")</f>
        <v/>
      </c>
      <c r="W221">
        <f>HYPERLINK("https://klasma.github.io/Logging_0980/klagomålsmail/A 47411-2021 FSC-klagomål mail.docx", "A 47411-2021")</f>
        <v/>
      </c>
      <c r="X221">
        <f>HYPERLINK("https://klasma.github.io/Logging_0980/tillsyn/A 47411-2021 tillsynsbegäran.docx", "A 47411-2021")</f>
        <v/>
      </c>
      <c r="Y221">
        <f>HYPERLINK("https://klasma.github.io/Logging_0980/tillsynsmail/A 47411-2021 tillsynsbegäran mail.docx", "A 47411-2021")</f>
        <v/>
      </c>
    </row>
    <row r="222" ht="15" customHeight="1">
      <c r="A222" t="inlineStr">
        <is>
          <t>A 63576-2021</t>
        </is>
      </c>
      <c r="B222" s="1" t="n">
        <v>44508</v>
      </c>
      <c r="C222" s="1" t="n">
        <v>45807</v>
      </c>
      <c r="D222" t="inlineStr">
        <is>
          <t>GOTLANDS LÄN</t>
        </is>
      </c>
      <c r="E222" t="inlineStr">
        <is>
          <t>GOTLAND</t>
        </is>
      </c>
      <c r="F222" t="inlineStr">
        <is>
          <t>Kyrkan</t>
        </is>
      </c>
      <c r="G222" t="n">
        <v>4.1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63576-2021 artfynd.xlsx", "A 63576-2021")</f>
        <v/>
      </c>
      <c r="T222">
        <f>HYPERLINK("https://klasma.github.io/Logging_0980/kartor/A 63576-2021 karta.png", "A 63576-2021")</f>
        <v/>
      </c>
      <c r="V222">
        <f>HYPERLINK("https://klasma.github.io/Logging_0980/klagomål/A 63576-2021 FSC-klagomål.docx", "A 63576-2021")</f>
        <v/>
      </c>
      <c r="W222">
        <f>HYPERLINK("https://klasma.github.io/Logging_0980/klagomålsmail/A 63576-2021 FSC-klagomål mail.docx", "A 63576-2021")</f>
        <v/>
      </c>
      <c r="X222">
        <f>HYPERLINK("https://klasma.github.io/Logging_0980/tillsyn/A 63576-2021 tillsynsbegäran.docx", "A 63576-2021")</f>
        <v/>
      </c>
      <c r="Y222">
        <f>HYPERLINK("https://klasma.github.io/Logging_0980/tillsynsmail/A 63576-2021 tillsynsbegäran mail.docx", "A 63576-2021")</f>
        <v/>
      </c>
    </row>
    <row r="223" ht="15" customHeight="1">
      <c r="A223" t="inlineStr">
        <is>
          <t>A 64700-2021</t>
        </is>
      </c>
      <c r="B223" s="1" t="n">
        <v>44511</v>
      </c>
      <c r="C223" s="1" t="n">
        <v>45807</v>
      </c>
      <c r="D223" t="inlineStr">
        <is>
          <t>GOTLANDS LÄN</t>
        </is>
      </c>
      <c r="E223" t="inlineStr">
        <is>
          <t>GOTLAND</t>
        </is>
      </c>
      <c r="F223" t="inlineStr">
        <is>
          <t>Naturvårdsverket</t>
        </is>
      </c>
      <c r="G223" t="n">
        <v>2.4</v>
      </c>
      <c r="H223" t="n">
        <v>1</v>
      </c>
      <c r="I223" t="n">
        <v>0</v>
      </c>
      <c r="J223" t="n">
        <v>0</v>
      </c>
      <c r="K223" t="n">
        <v>1</v>
      </c>
      <c r="L223" t="n">
        <v>0</v>
      </c>
      <c r="M223" t="n">
        <v>0</v>
      </c>
      <c r="N223" t="n">
        <v>0</v>
      </c>
      <c r="O223" t="n">
        <v>1</v>
      </c>
      <c r="P223" t="n">
        <v>1</v>
      </c>
      <c r="Q223" t="n">
        <v>1</v>
      </c>
      <c r="R223" s="2" t="inlineStr">
        <is>
          <t>Kalkdån</t>
        </is>
      </c>
      <c r="S223">
        <f>HYPERLINK("https://klasma.github.io/Logging_0980/artfynd/A 64700-2021 artfynd.xlsx", "A 64700-2021")</f>
        <v/>
      </c>
      <c r="T223">
        <f>HYPERLINK("https://klasma.github.io/Logging_0980/kartor/A 64700-2021 karta.png", "A 64700-2021")</f>
        <v/>
      </c>
      <c r="V223">
        <f>HYPERLINK("https://klasma.github.io/Logging_0980/klagomål/A 64700-2021 FSC-klagomål.docx", "A 64700-2021")</f>
        <v/>
      </c>
      <c r="W223">
        <f>HYPERLINK("https://klasma.github.io/Logging_0980/klagomålsmail/A 64700-2021 FSC-klagomål mail.docx", "A 64700-2021")</f>
        <v/>
      </c>
      <c r="X223">
        <f>HYPERLINK("https://klasma.github.io/Logging_0980/tillsyn/A 64700-2021 tillsynsbegäran.docx", "A 64700-2021")</f>
        <v/>
      </c>
      <c r="Y223">
        <f>HYPERLINK("https://klasma.github.io/Logging_0980/tillsynsmail/A 64700-2021 tillsynsbegäran mail.docx", "A 64700-2021")</f>
        <v/>
      </c>
    </row>
    <row r="224" ht="15" customHeight="1">
      <c r="A224" t="inlineStr">
        <is>
          <t>A 65927-2021</t>
        </is>
      </c>
      <c r="B224" s="1" t="n">
        <v>44516</v>
      </c>
      <c r="C224" s="1" t="n">
        <v>45807</v>
      </c>
      <c r="D224" t="inlineStr">
        <is>
          <t>GOTLANDS LÄN</t>
        </is>
      </c>
      <c r="E224" t="inlineStr">
        <is>
          <t>GOTLAND</t>
        </is>
      </c>
      <c r="G224" t="n">
        <v>3.1</v>
      </c>
      <c r="H224" t="n">
        <v>1</v>
      </c>
      <c r="I224" t="n">
        <v>0</v>
      </c>
      <c r="J224" t="n">
        <v>0</v>
      </c>
      <c r="K224" t="n">
        <v>1</v>
      </c>
      <c r="L224" t="n">
        <v>0</v>
      </c>
      <c r="M224" t="n">
        <v>0</v>
      </c>
      <c r="N224" t="n">
        <v>0</v>
      </c>
      <c r="O224" t="n">
        <v>1</v>
      </c>
      <c r="P224" t="n">
        <v>1</v>
      </c>
      <c r="Q224" t="n">
        <v>1</v>
      </c>
      <c r="R224" s="2" t="inlineStr">
        <is>
          <t>Grenigt kungsljus</t>
        </is>
      </c>
      <c r="S224">
        <f>HYPERLINK("https://klasma.github.io/Logging_0980/artfynd/A 65927-2021 artfynd.xlsx", "A 65927-2021")</f>
        <v/>
      </c>
      <c r="T224">
        <f>HYPERLINK("https://klasma.github.io/Logging_0980/kartor/A 65927-2021 karta.png", "A 65927-2021")</f>
        <v/>
      </c>
      <c r="V224">
        <f>HYPERLINK("https://klasma.github.io/Logging_0980/klagomål/A 65927-2021 FSC-klagomål.docx", "A 65927-2021")</f>
        <v/>
      </c>
      <c r="W224">
        <f>HYPERLINK("https://klasma.github.io/Logging_0980/klagomålsmail/A 65927-2021 FSC-klagomål mail.docx", "A 65927-2021")</f>
        <v/>
      </c>
      <c r="X224">
        <f>HYPERLINK("https://klasma.github.io/Logging_0980/tillsyn/A 65927-2021 tillsynsbegäran.docx", "A 65927-2021")</f>
        <v/>
      </c>
      <c r="Y224">
        <f>HYPERLINK("https://klasma.github.io/Logging_0980/tillsynsmail/A 65927-2021 tillsynsbegäran mail.docx", "A 65927-2021")</f>
        <v/>
      </c>
    </row>
    <row r="225" ht="15" customHeight="1">
      <c r="A225" t="inlineStr">
        <is>
          <t>A 66091-2021</t>
        </is>
      </c>
      <c r="B225" s="1" t="n">
        <v>44517</v>
      </c>
      <c r="C225" s="1" t="n">
        <v>45807</v>
      </c>
      <c r="D225" t="inlineStr">
        <is>
          <t>GOTLANDS LÄN</t>
        </is>
      </c>
      <c r="E225" t="inlineStr">
        <is>
          <t>GOTLAND</t>
        </is>
      </c>
      <c r="G225" t="n">
        <v>11.7</v>
      </c>
      <c r="H225" t="n">
        <v>1</v>
      </c>
      <c r="I225" t="n">
        <v>0</v>
      </c>
      <c r="J225" t="n">
        <v>0</v>
      </c>
      <c r="K225" t="n">
        <v>0</v>
      </c>
      <c r="L225" t="n">
        <v>0</v>
      </c>
      <c r="M225" t="n">
        <v>0</v>
      </c>
      <c r="N225" t="n">
        <v>0</v>
      </c>
      <c r="O225" t="n">
        <v>0</v>
      </c>
      <c r="P225" t="n">
        <v>0</v>
      </c>
      <c r="Q225" t="n">
        <v>1</v>
      </c>
      <c r="R225" s="2" t="inlineStr">
        <is>
          <t>Pärluggla</t>
        </is>
      </c>
      <c r="S225">
        <f>HYPERLINK("https://klasma.github.io/Logging_0980/artfynd/A 66091-2021 artfynd.xlsx", "A 66091-2021")</f>
        <v/>
      </c>
      <c r="T225">
        <f>HYPERLINK("https://klasma.github.io/Logging_0980/kartor/A 66091-2021 karta.png", "A 66091-2021")</f>
        <v/>
      </c>
      <c r="V225">
        <f>HYPERLINK("https://klasma.github.io/Logging_0980/klagomål/A 66091-2021 FSC-klagomål.docx", "A 66091-2021")</f>
        <v/>
      </c>
      <c r="W225">
        <f>HYPERLINK("https://klasma.github.io/Logging_0980/klagomålsmail/A 66091-2021 FSC-klagomål mail.docx", "A 66091-2021")</f>
        <v/>
      </c>
      <c r="X225">
        <f>HYPERLINK("https://klasma.github.io/Logging_0980/tillsyn/A 66091-2021 tillsynsbegäran.docx", "A 66091-2021")</f>
        <v/>
      </c>
      <c r="Y225">
        <f>HYPERLINK("https://klasma.github.io/Logging_0980/tillsynsmail/A 66091-2021 tillsynsbegäran mail.docx", "A 66091-2021")</f>
        <v/>
      </c>
      <c r="Z225">
        <f>HYPERLINK("https://klasma.github.io/Logging_0980/fåglar/A 66091-2021 prioriterade fågelarter.docx", "A 66091-2021")</f>
        <v/>
      </c>
    </row>
    <row r="226" ht="15" customHeight="1">
      <c r="A226" t="inlineStr">
        <is>
          <t>A 24245-2022</t>
        </is>
      </c>
      <c r="B226" s="1" t="n">
        <v>44725</v>
      </c>
      <c r="C226" s="1" t="n">
        <v>45807</v>
      </c>
      <c r="D226" t="inlineStr">
        <is>
          <t>GOTLANDS LÄN</t>
        </is>
      </c>
      <c r="E226" t="inlineStr">
        <is>
          <t>GOTLAND</t>
        </is>
      </c>
      <c r="G226" t="n">
        <v>4.9</v>
      </c>
      <c r="H226" t="n">
        <v>0</v>
      </c>
      <c r="I226" t="n">
        <v>0</v>
      </c>
      <c r="J226" t="n">
        <v>0</v>
      </c>
      <c r="K226" t="n">
        <v>0</v>
      </c>
      <c r="L226" t="n">
        <v>1</v>
      </c>
      <c r="M226" t="n">
        <v>0</v>
      </c>
      <c r="N226" t="n">
        <v>0</v>
      </c>
      <c r="O226" t="n">
        <v>1</v>
      </c>
      <c r="P226" t="n">
        <v>1</v>
      </c>
      <c r="Q226" t="n">
        <v>1</v>
      </c>
      <c r="R226" s="2" t="inlineStr">
        <is>
          <t>Slät taggsvamp</t>
        </is>
      </c>
      <c r="S226">
        <f>HYPERLINK("https://klasma.github.io/Logging_0980/artfynd/A 24245-2022 artfynd.xlsx", "A 24245-2022")</f>
        <v/>
      </c>
      <c r="T226">
        <f>HYPERLINK("https://klasma.github.io/Logging_0980/kartor/A 24245-2022 karta.png", "A 24245-2022")</f>
        <v/>
      </c>
      <c r="V226">
        <f>HYPERLINK("https://klasma.github.io/Logging_0980/klagomål/A 24245-2022 FSC-klagomål.docx", "A 24245-2022")</f>
        <v/>
      </c>
      <c r="W226">
        <f>HYPERLINK("https://klasma.github.io/Logging_0980/klagomålsmail/A 24245-2022 FSC-klagomål mail.docx", "A 24245-2022")</f>
        <v/>
      </c>
      <c r="X226">
        <f>HYPERLINK("https://klasma.github.io/Logging_0980/tillsyn/A 24245-2022 tillsynsbegäran.docx", "A 24245-2022")</f>
        <v/>
      </c>
      <c r="Y226">
        <f>HYPERLINK("https://klasma.github.io/Logging_0980/tillsynsmail/A 24245-2022 tillsynsbegäran mail.docx", "A 24245-2022")</f>
        <v/>
      </c>
    </row>
    <row r="227" ht="15" customHeight="1">
      <c r="A227" t="inlineStr">
        <is>
          <t>A 25783-2022</t>
        </is>
      </c>
      <c r="B227" s="1" t="n">
        <v>44733</v>
      </c>
      <c r="C227" s="1" t="n">
        <v>45807</v>
      </c>
      <c r="D227" t="inlineStr">
        <is>
          <t>GOTLANDS LÄN</t>
        </is>
      </c>
      <c r="E227" t="inlineStr">
        <is>
          <t>GOTLAND</t>
        </is>
      </c>
      <c r="G227" t="n">
        <v>1</v>
      </c>
      <c r="H227" t="n">
        <v>1</v>
      </c>
      <c r="I227" t="n">
        <v>1</v>
      </c>
      <c r="J227" t="n">
        <v>0</v>
      </c>
      <c r="K227" t="n">
        <v>0</v>
      </c>
      <c r="L227" t="n">
        <v>0</v>
      </c>
      <c r="M227" t="n">
        <v>0</v>
      </c>
      <c r="N227" t="n">
        <v>0</v>
      </c>
      <c r="O227" t="n">
        <v>0</v>
      </c>
      <c r="P227" t="n">
        <v>0</v>
      </c>
      <c r="Q227" t="n">
        <v>1</v>
      </c>
      <c r="R227" s="2" t="inlineStr">
        <is>
          <t>Vit skogslilja</t>
        </is>
      </c>
      <c r="S227">
        <f>HYPERLINK("https://klasma.github.io/Logging_0980/artfynd/A 25783-2022 artfynd.xlsx", "A 25783-2022")</f>
        <v/>
      </c>
      <c r="T227">
        <f>HYPERLINK("https://klasma.github.io/Logging_0980/kartor/A 25783-2022 karta.png", "A 25783-2022")</f>
        <v/>
      </c>
      <c r="V227">
        <f>HYPERLINK("https://klasma.github.io/Logging_0980/klagomål/A 25783-2022 FSC-klagomål.docx", "A 25783-2022")</f>
        <v/>
      </c>
      <c r="W227">
        <f>HYPERLINK("https://klasma.github.io/Logging_0980/klagomålsmail/A 25783-2022 FSC-klagomål mail.docx", "A 25783-2022")</f>
        <v/>
      </c>
      <c r="X227">
        <f>HYPERLINK("https://klasma.github.io/Logging_0980/tillsyn/A 25783-2022 tillsynsbegäran.docx", "A 25783-2022")</f>
        <v/>
      </c>
      <c r="Y227">
        <f>HYPERLINK("https://klasma.github.io/Logging_0980/tillsynsmail/A 25783-2022 tillsynsbegäran mail.docx", "A 25783-2022")</f>
        <v/>
      </c>
    </row>
    <row r="228" ht="15" customHeight="1">
      <c r="A228" t="inlineStr">
        <is>
          <t>A 27168-2022</t>
        </is>
      </c>
      <c r="B228" s="1" t="n">
        <v>44741</v>
      </c>
      <c r="C228" s="1" t="n">
        <v>45807</v>
      </c>
      <c r="D228" t="inlineStr">
        <is>
          <t>GOTLANDS LÄN</t>
        </is>
      </c>
      <c r="E228" t="inlineStr">
        <is>
          <t>GOTLAND</t>
        </is>
      </c>
      <c r="G228" t="n">
        <v>2.2</v>
      </c>
      <c r="H228" t="n">
        <v>1</v>
      </c>
      <c r="I228" t="n">
        <v>1</v>
      </c>
      <c r="J228" t="n">
        <v>0</v>
      </c>
      <c r="K228" t="n">
        <v>0</v>
      </c>
      <c r="L228" t="n">
        <v>0</v>
      </c>
      <c r="M228" t="n">
        <v>0</v>
      </c>
      <c r="N228" t="n">
        <v>0</v>
      </c>
      <c r="O228" t="n">
        <v>0</v>
      </c>
      <c r="P228" t="n">
        <v>0</v>
      </c>
      <c r="Q228" t="n">
        <v>1</v>
      </c>
      <c r="R228" s="2" t="inlineStr">
        <is>
          <t>Purpurknipprot</t>
        </is>
      </c>
      <c r="S228">
        <f>HYPERLINK("https://klasma.github.io/Logging_0980/artfynd/A 27168-2022 artfynd.xlsx", "A 27168-2022")</f>
        <v/>
      </c>
      <c r="T228">
        <f>HYPERLINK("https://klasma.github.io/Logging_0980/kartor/A 27168-2022 karta.png", "A 27168-2022")</f>
        <v/>
      </c>
      <c r="V228">
        <f>HYPERLINK("https://klasma.github.io/Logging_0980/klagomål/A 27168-2022 FSC-klagomål.docx", "A 27168-2022")</f>
        <v/>
      </c>
      <c r="W228">
        <f>HYPERLINK("https://klasma.github.io/Logging_0980/klagomålsmail/A 27168-2022 FSC-klagomål mail.docx", "A 27168-2022")</f>
        <v/>
      </c>
      <c r="X228">
        <f>HYPERLINK("https://klasma.github.io/Logging_0980/tillsyn/A 27168-2022 tillsynsbegäran.docx", "A 27168-2022")</f>
        <v/>
      </c>
      <c r="Y228">
        <f>HYPERLINK("https://klasma.github.io/Logging_0980/tillsynsmail/A 27168-2022 tillsynsbegäran mail.docx", "A 27168-2022")</f>
        <v/>
      </c>
    </row>
    <row r="229" ht="15" customHeight="1">
      <c r="A229" t="inlineStr">
        <is>
          <t>A 27814-2022</t>
        </is>
      </c>
      <c r="B229" s="1" t="n">
        <v>44743</v>
      </c>
      <c r="C229" s="1" t="n">
        <v>45807</v>
      </c>
      <c r="D229" t="inlineStr">
        <is>
          <t>GOTLANDS LÄN</t>
        </is>
      </c>
      <c r="E229" t="inlineStr">
        <is>
          <t>GOTLAND</t>
        </is>
      </c>
      <c r="G229" t="n">
        <v>25</v>
      </c>
      <c r="H229" t="n">
        <v>1</v>
      </c>
      <c r="I229" t="n">
        <v>0</v>
      </c>
      <c r="J229" t="n">
        <v>0</v>
      </c>
      <c r="K229" t="n">
        <v>0</v>
      </c>
      <c r="L229" t="n">
        <v>0</v>
      </c>
      <c r="M229" t="n">
        <v>0</v>
      </c>
      <c r="N229" t="n">
        <v>0</v>
      </c>
      <c r="O229" t="n">
        <v>0</v>
      </c>
      <c r="P229" t="n">
        <v>0</v>
      </c>
      <c r="Q229" t="n">
        <v>1</v>
      </c>
      <c r="R229" s="2" t="inlineStr">
        <is>
          <t>Mindre vattensalamander</t>
        </is>
      </c>
      <c r="S229">
        <f>HYPERLINK("https://klasma.github.io/Logging_0980/artfynd/A 27814-2022 artfynd.xlsx", "A 27814-2022")</f>
        <v/>
      </c>
      <c r="T229">
        <f>HYPERLINK("https://klasma.github.io/Logging_0980/kartor/A 27814-2022 karta.png", "A 27814-2022")</f>
        <v/>
      </c>
      <c r="V229">
        <f>HYPERLINK("https://klasma.github.io/Logging_0980/klagomål/A 27814-2022 FSC-klagomål.docx", "A 27814-2022")</f>
        <v/>
      </c>
      <c r="W229">
        <f>HYPERLINK("https://klasma.github.io/Logging_0980/klagomålsmail/A 27814-2022 FSC-klagomål mail.docx", "A 27814-2022")</f>
        <v/>
      </c>
      <c r="X229">
        <f>HYPERLINK("https://klasma.github.io/Logging_0980/tillsyn/A 27814-2022 tillsynsbegäran.docx", "A 27814-2022")</f>
        <v/>
      </c>
      <c r="Y229">
        <f>HYPERLINK("https://klasma.github.io/Logging_0980/tillsynsmail/A 27814-2022 tillsynsbegäran mail.docx", "A 27814-2022")</f>
        <v/>
      </c>
    </row>
    <row r="230" ht="15" customHeight="1">
      <c r="A230" t="inlineStr">
        <is>
          <t>A 44095-2022</t>
        </is>
      </c>
      <c r="B230" s="1" t="n">
        <v>44839</v>
      </c>
      <c r="C230" s="1" t="n">
        <v>45807</v>
      </c>
      <c r="D230" t="inlineStr">
        <is>
          <t>GOTLANDS LÄN</t>
        </is>
      </c>
      <c r="E230" t="inlineStr">
        <is>
          <t>GOTLAND</t>
        </is>
      </c>
      <c r="G230" t="n">
        <v>9</v>
      </c>
      <c r="H230" t="n">
        <v>0</v>
      </c>
      <c r="I230" t="n">
        <v>1</v>
      </c>
      <c r="J230" t="n">
        <v>0</v>
      </c>
      <c r="K230" t="n">
        <v>0</v>
      </c>
      <c r="L230" t="n">
        <v>0</v>
      </c>
      <c r="M230" t="n">
        <v>0</v>
      </c>
      <c r="N230" t="n">
        <v>0</v>
      </c>
      <c r="O230" t="n">
        <v>0</v>
      </c>
      <c r="P230" t="n">
        <v>0</v>
      </c>
      <c r="Q230" t="n">
        <v>1</v>
      </c>
      <c r="R230" s="2" t="inlineStr">
        <is>
          <t>Strävlosta</t>
        </is>
      </c>
      <c r="S230">
        <f>HYPERLINK("https://klasma.github.io/Logging_0980/artfynd/A 44095-2022 artfynd.xlsx", "A 44095-2022")</f>
        <v/>
      </c>
      <c r="T230">
        <f>HYPERLINK("https://klasma.github.io/Logging_0980/kartor/A 44095-2022 karta.png", "A 44095-2022")</f>
        <v/>
      </c>
      <c r="V230">
        <f>HYPERLINK("https://klasma.github.io/Logging_0980/klagomål/A 44095-2022 FSC-klagomål.docx", "A 44095-2022")</f>
        <v/>
      </c>
      <c r="W230">
        <f>HYPERLINK("https://klasma.github.io/Logging_0980/klagomålsmail/A 44095-2022 FSC-klagomål mail.docx", "A 44095-2022")</f>
        <v/>
      </c>
      <c r="X230">
        <f>HYPERLINK("https://klasma.github.io/Logging_0980/tillsyn/A 44095-2022 tillsynsbegäran.docx", "A 44095-2022")</f>
        <v/>
      </c>
      <c r="Y230">
        <f>HYPERLINK("https://klasma.github.io/Logging_0980/tillsynsmail/A 44095-2022 tillsynsbegäran mail.docx", "A 44095-2022")</f>
        <v/>
      </c>
    </row>
    <row r="231" ht="15" customHeight="1">
      <c r="A231" t="inlineStr">
        <is>
          <t>A 44088-2022</t>
        </is>
      </c>
      <c r="B231" s="1" t="n">
        <v>44839</v>
      </c>
      <c r="C231" s="1" t="n">
        <v>45807</v>
      </c>
      <c r="D231" t="inlineStr">
        <is>
          <t>GOTLANDS LÄN</t>
        </is>
      </c>
      <c r="E231" t="inlineStr">
        <is>
          <t>GOTLAND</t>
        </is>
      </c>
      <c r="G231" t="n">
        <v>1.5</v>
      </c>
      <c r="H231" t="n">
        <v>0</v>
      </c>
      <c r="I231" t="n">
        <v>1</v>
      </c>
      <c r="J231" t="n">
        <v>0</v>
      </c>
      <c r="K231" t="n">
        <v>0</v>
      </c>
      <c r="L231" t="n">
        <v>0</v>
      </c>
      <c r="M231" t="n">
        <v>0</v>
      </c>
      <c r="N231" t="n">
        <v>0</v>
      </c>
      <c r="O231" t="n">
        <v>0</v>
      </c>
      <c r="P231" t="n">
        <v>0</v>
      </c>
      <c r="Q231" t="n">
        <v>1</v>
      </c>
      <c r="R231" s="2" t="inlineStr">
        <is>
          <t>Strävlosta</t>
        </is>
      </c>
      <c r="S231">
        <f>HYPERLINK("https://klasma.github.io/Logging_0980/artfynd/A 44088-2022 artfynd.xlsx", "A 44088-2022")</f>
        <v/>
      </c>
      <c r="T231">
        <f>HYPERLINK("https://klasma.github.io/Logging_0980/kartor/A 44088-2022 karta.png", "A 44088-2022")</f>
        <v/>
      </c>
      <c r="V231">
        <f>HYPERLINK("https://klasma.github.io/Logging_0980/klagomål/A 44088-2022 FSC-klagomål.docx", "A 44088-2022")</f>
        <v/>
      </c>
      <c r="W231">
        <f>HYPERLINK("https://klasma.github.io/Logging_0980/klagomålsmail/A 44088-2022 FSC-klagomål mail.docx", "A 44088-2022")</f>
        <v/>
      </c>
      <c r="X231">
        <f>HYPERLINK("https://klasma.github.io/Logging_0980/tillsyn/A 44088-2022 tillsynsbegäran.docx", "A 44088-2022")</f>
        <v/>
      </c>
      <c r="Y231">
        <f>HYPERLINK("https://klasma.github.io/Logging_0980/tillsynsmail/A 44088-2022 tillsynsbegäran mail.docx", "A 44088-2022")</f>
        <v/>
      </c>
    </row>
    <row r="232" ht="15" customHeight="1">
      <c r="A232" t="inlineStr">
        <is>
          <t>A 61796-2022</t>
        </is>
      </c>
      <c r="B232" s="1" t="n">
        <v>44917</v>
      </c>
      <c r="C232" s="1" t="n">
        <v>45807</v>
      </c>
      <c r="D232" t="inlineStr">
        <is>
          <t>GOTLANDS LÄN</t>
        </is>
      </c>
      <c r="E232" t="inlineStr">
        <is>
          <t>GOTLAND</t>
        </is>
      </c>
      <c r="G232" t="n">
        <v>1.5</v>
      </c>
      <c r="H232" t="n">
        <v>1</v>
      </c>
      <c r="I232" t="n">
        <v>0</v>
      </c>
      <c r="J232" t="n">
        <v>0</v>
      </c>
      <c r="K232" t="n">
        <v>0</v>
      </c>
      <c r="L232" t="n">
        <v>0</v>
      </c>
      <c r="M232" t="n">
        <v>0</v>
      </c>
      <c r="N232" t="n">
        <v>0</v>
      </c>
      <c r="O232" t="n">
        <v>0</v>
      </c>
      <c r="P232" t="n">
        <v>0</v>
      </c>
      <c r="Q232" t="n">
        <v>1</v>
      </c>
      <c r="R232" s="2" t="inlineStr">
        <is>
          <t>Skogsduva</t>
        </is>
      </c>
      <c r="S232">
        <f>HYPERLINK("https://klasma.github.io/Logging_0980/artfynd/A 61796-2022 artfynd.xlsx", "A 61796-2022")</f>
        <v/>
      </c>
      <c r="T232">
        <f>HYPERLINK("https://klasma.github.io/Logging_0980/kartor/A 61796-2022 karta.png", "A 61796-2022")</f>
        <v/>
      </c>
      <c r="V232">
        <f>HYPERLINK("https://klasma.github.io/Logging_0980/klagomål/A 61796-2022 FSC-klagomål.docx", "A 61796-2022")</f>
        <v/>
      </c>
      <c r="W232">
        <f>HYPERLINK("https://klasma.github.io/Logging_0980/klagomålsmail/A 61796-2022 FSC-klagomål mail.docx", "A 61796-2022")</f>
        <v/>
      </c>
      <c r="X232">
        <f>HYPERLINK("https://klasma.github.io/Logging_0980/tillsyn/A 61796-2022 tillsynsbegäran.docx", "A 61796-2022")</f>
        <v/>
      </c>
      <c r="Y232">
        <f>HYPERLINK("https://klasma.github.io/Logging_0980/tillsynsmail/A 61796-2022 tillsynsbegäran mail.docx", "A 61796-2022")</f>
        <v/>
      </c>
      <c r="Z232">
        <f>HYPERLINK("https://klasma.github.io/Logging_0980/fåglar/A 61796-2022 prioriterade fågelarter.docx", "A 61796-2022")</f>
        <v/>
      </c>
    </row>
    <row r="233" ht="15" customHeight="1">
      <c r="A233" t="inlineStr">
        <is>
          <t>A 62552-2022</t>
        </is>
      </c>
      <c r="B233" s="1" t="n">
        <v>44924</v>
      </c>
      <c r="C233" s="1" t="n">
        <v>45807</v>
      </c>
      <c r="D233" t="inlineStr">
        <is>
          <t>GOTLANDS LÄN</t>
        </is>
      </c>
      <c r="E233" t="inlineStr">
        <is>
          <t>GOTLAND</t>
        </is>
      </c>
      <c r="G233" t="n">
        <v>1.6</v>
      </c>
      <c r="H233" t="n">
        <v>0</v>
      </c>
      <c r="I233" t="n">
        <v>0</v>
      </c>
      <c r="J233" t="n">
        <v>1</v>
      </c>
      <c r="K233" t="n">
        <v>0</v>
      </c>
      <c r="L233" t="n">
        <v>0</v>
      </c>
      <c r="M233" t="n">
        <v>0</v>
      </c>
      <c r="N233" t="n">
        <v>0</v>
      </c>
      <c r="O233" t="n">
        <v>1</v>
      </c>
      <c r="P233" t="n">
        <v>0</v>
      </c>
      <c r="Q233" t="n">
        <v>1</v>
      </c>
      <c r="R233" s="2" t="inlineStr">
        <is>
          <t>Äggspindling</t>
        </is>
      </c>
      <c r="S233">
        <f>HYPERLINK("https://klasma.github.io/Logging_0980/artfynd/A 62552-2022 artfynd.xlsx", "A 62552-2022")</f>
        <v/>
      </c>
      <c r="T233">
        <f>HYPERLINK("https://klasma.github.io/Logging_0980/kartor/A 62552-2022 karta.png", "A 62552-2022")</f>
        <v/>
      </c>
      <c r="V233">
        <f>HYPERLINK("https://klasma.github.io/Logging_0980/klagomål/A 62552-2022 FSC-klagomål.docx", "A 62552-2022")</f>
        <v/>
      </c>
      <c r="W233">
        <f>HYPERLINK("https://klasma.github.io/Logging_0980/klagomålsmail/A 62552-2022 FSC-klagomål mail.docx", "A 62552-2022")</f>
        <v/>
      </c>
      <c r="X233">
        <f>HYPERLINK("https://klasma.github.io/Logging_0980/tillsyn/A 62552-2022 tillsynsbegäran.docx", "A 62552-2022")</f>
        <v/>
      </c>
      <c r="Y233">
        <f>HYPERLINK("https://klasma.github.io/Logging_0980/tillsynsmail/A 62552-2022 tillsynsbegäran mail.docx", "A 62552-2022")</f>
        <v/>
      </c>
    </row>
    <row r="234" ht="15" customHeight="1">
      <c r="A234" t="inlineStr">
        <is>
          <t>A 447-2023</t>
        </is>
      </c>
      <c r="B234" s="1" t="n">
        <v>44929</v>
      </c>
      <c r="C234" s="1" t="n">
        <v>45807</v>
      </c>
      <c r="D234" t="inlineStr">
        <is>
          <t>GOTLANDS LÄN</t>
        </is>
      </c>
      <c r="E234" t="inlineStr">
        <is>
          <t>GOTLAND</t>
        </is>
      </c>
      <c r="G234" t="n">
        <v>5.1</v>
      </c>
      <c r="H234" t="n">
        <v>0</v>
      </c>
      <c r="I234" t="n">
        <v>0</v>
      </c>
      <c r="J234" t="n">
        <v>1</v>
      </c>
      <c r="K234" t="n">
        <v>0</v>
      </c>
      <c r="L234" t="n">
        <v>0</v>
      </c>
      <c r="M234" t="n">
        <v>0</v>
      </c>
      <c r="N234" t="n">
        <v>0</v>
      </c>
      <c r="O234" t="n">
        <v>1</v>
      </c>
      <c r="P234" t="n">
        <v>0</v>
      </c>
      <c r="Q234" t="n">
        <v>1</v>
      </c>
      <c r="R234" s="2" t="inlineStr">
        <is>
          <t>Äggspindling</t>
        </is>
      </c>
      <c r="S234">
        <f>HYPERLINK("https://klasma.github.io/Logging_0980/artfynd/A 447-2023 artfynd.xlsx", "A 447-2023")</f>
        <v/>
      </c>
      <c r="T234">
        <f>HYPERLINK("https://klasma.github.io/Logging_0980/kartor/A 447-2023 karta.png", "A 447-2023")</f>
        <v/>
      </c>
      <c r="V234">
        <f>HYPERLINK("https://klasma.github.io/Logging_0980/klagomål/A 447-2023 FSC-klagomål.docx", "A 447-2023")</f>
        <v/>
      </c>
      <c r="W234">
        <f>HYPERLINK("https://klasma.github.io/Logging_0980/klagomålsmail/A 447-2023 FSC-klagomål mail.docx", "A 447-2023")</f>
        <v/>
      </c>
      <c r="X234">
        <f>HYPERLINK("https://klasma.github.io/Logging_0980/tillsyn/A 447-2023 tillsynsbegäran.docx", "A 447-2023")</f>
        <v/>
      </c>
      <c r="Y234">
        <f>HYPERLINK("https://klasma.github.io/Logging_0980/tillsynsmail/A 447-2023 tillsynsbegäran mail.docx", "A 447-2023")</f>
        <v/>
      </c>
    </row>
    <row r="235" ht="15" customHeight="1">
      <c r="A235" t="inlineStr">
        <is>
          <t>A 947-2023</t>
        </is>
      </c>
      <c r="B235" s="1" t="n">
        <v>44934</v>
      </c>
      <c r="C235" s="1" t="n">
        <v>45807</v>
      </c>
      <c r="D235" t="inlineStr">
        <is>
          <t>GOTLANDS LÄN</t>
        </is>
      </c>
      <c r="E235" t="inlineStr">
        <is>
          <t>GOTLAND</t>
        </is>
      </c>
      <c r="G235" t="n">
        <v>0.7</v>
      </c>
      <c r="H235" t="n">
        <v>1</v>
      </c>
      <c r="I235" t="n">
        <v>0</v>
      </c>
      <c r="J235" t="n">
        <v>0</v>
      </c>
      <c r="K235" t="n">
        <v>1</v>
      </c>
      <c r="L235" t="n">
        <v>0</v>
      </c>
      <c r="M235" t="n">
        <v>0</v>
      </c>
      <c r="N235" t="n">
        <v>0</v>
      </c>
      <c r="O235" t="n">
        <v>1</v>
      </c>
      <c r="P235" t="n">
        <v>1</v>
      </c>
      <c r="Q235" t="n">
        <v>1</v>
      </c>
      <c r="R235" s="2" t="inlineStr">
        <is>
          <t>Garderönn</t>
        </is>
      </c>
      <c r="S235">
        <f>HYPERLINK("https://klasma.github.io/Logging_0980/artfynd/A 947-2023 artfynd.xlsx", "A 947-2023")</f>
        <v/>
      </c>
      <c r="T235">
        <f>HYPERLINK("https://klasma.github.io/Logging_0980/kartor/A 947-2023 karta.png", "A 947-2023")</f>
        <v/>
      </c>
      <c r="V235">
        <f>HYPERLINK("https://klasma.github.io/Logging_0980/klagomål/A 947-2023 FSC-klagomål.docx", "A 947-2023")</f>
        <v/>
      </c>
      <c r="W235">
        <f>HYPERLINK("https://klasma.github.io/Logging_0980/klagomålsmail/A 947-2023 FSC-klagomål mail.docx", "A 947-2023")</f>
        <v/>
      </c>
      <c r="X235">
        <f>HYPERLINK("https://klasma.github.io/Logging_0980/tillsyn/A 947-2023 tillsynsbegäran.docx", "A 947-2023")</f>
        <v/>
      </c>
      <c r="Y235">
        <f>HYPERLINK("https://klasma.github.io/Logging_0980/tillsynsmail/A 947-2023 tillsynsbegäran mail.docx", "A 947-2023")</f>
        <v/>
      </c>
    </row>
    <row r="236" ht="15" customHeight="1">
      <c r="A236" t="inlineStr">
        <is>
          <t>A 2213-2023</t>
        </is>
      </c>
      <c r="B236" s="1" t="n">
        <v>44942</v>
      </c>
      <c r="C236" s="1" t="n">
        <v>45807</v>
      </c>
      <c r="D236" t="inlineStr">
        <is>
          <t>GOTLANDS LÄN</t>
        </is>
      </c>
      <c r="E236" t="inlineStr">
        <is>
          <t>GOTLAND</t>
        </is>
      </c>
      <c r="G236" t="n">
        <v>2.7</v>
      </c>
      <c r="H236" t="n">
        <v>0</v>
      </c>
      <c r="I236" t="n">
        <v>0</v>
      </c>
      <c r="J236" t="n">
        <v>1</v>
      </c>
      <c r="K236" t="n">
        <v>0</v>
      </c>
      <c r="L236" t="n">
        <v>0</v>
      </c>
      <c r="M236" t="n">
        <v>0</v>
      </c>
      <c r="N236" t="n">
        <v>0</v>
      </c>
      <c r="O236" t="n">
        <v>1</v>
      </c>
      <c r="P236" t="n">
        <v>0</v>
      </c>
      <c r="Q236" t="n">
        <v>1</v>
      </c>
      <c r="R236" s="2" t="inlineStr">
        <is>
          <t>Odörspindling</t>
        </is>
      </c>
      <c r="S236">
        <f>HYPERLINK("https://klasma.github.io/Logging_0980/artfynd/A 2213-2023 artfynd.xlsx", "A 2213-2023")</f>
        <v/>
      </c>
      <c r="T236">
        <f>HYPERLINK("https://klasma.github.io/Logging_0980/kartor/A 2213-2023 karta.png", "A 2213-2023")</f>
        <v/>
      </c>
      <c r="V236">
        <f>HYPERLINK("https://klasma.github.io/Logging_0980/klagomål/A 2213-2023 FSC-klagomål.docx", "A 2213-2023")</f>
        <v/>
      </c>
      <c r="W236">
        <f>HYPERLINK("https://klasma.github.io/Logging_0980/klagomålsmail/A 2213-2023 FSC-klagomål mail.docx", "A 2213-2023")</f>
        <v/>
      </c>
      <c r="X236">
        <f>HYPERLINK("https://klasma.github.io/Logging_0980/tillsyn/A 2213-2023 tillsynsbegäran.docx", "A 2213-2023")</f>
        <v/>
      </c>
      <c r="Y236">
        <f>HYPERLINK("https://klasma.github.io/Logging_0980/tillsynsmail/A 2213-2023 tillsynsbegäran mail.docx", "A 2213-2023")</f>
        <v/>
      </c>
    </row>
    <row r="237" ht="15" customHeight="1">
      <c r="A237" t="inlineStr">
        <is>
          <t>A 10995-2023</t>
        </is>
      </c>
      <c r="B237" s="1" t="n">
        <v>44986</v>
      </c>
      <c r="C237" s="1" t="n">
        <v>45807</v>
      </c>
      <c r="D237" t="inlineStr">
        <is>
          <t>GOTLANDS LÄN</t>
        </is>
      </c>
      <c r="E237" t="inlineStr">
        <is>
          <t>GOTLAND</t>
        </is>
      </c>
      <c r="G237" t="n">
        <v>2.8</v>
      </c>
      <c r="H237" t="n">
        <v>0</v>
      </c>
      <c r="I237" t="n">
        <v>0</v>
      </c>
      <c r="J237" t="n">
        <v>0</v>
      </c>
      <c r="K237" t="n">
        <v>1</v>
      </c>
      <c r="L237" t="n">
        <v>0</v>
      </c>
      <c r="M237" t="n">
        <v>0</v>
      </c>
      <c r="N237" t="n">
        <v>0</v>
      </c>
      <c r="O237" t="n">
        <v>1</v>
      </c>
      <c r="P237" t="n">
        <v>1</v>
      </c>
      <c r="Q237" t="n">
        <v>1</v>
      </c>
      <c r="R237" s="2" t="inlineStr">
        <is>
          <t>Violettfläckig spindling</t>
        </is>
      </c>
      <c r="S237">
        <f>HYPERLINK("https://klasma.github.io/Logging_0980/artfynd/A 10995-2023 artfynd.xlsx", "A 10995-2023")</f>
        <v/>
      </c>
      <c r="T237">
        <f>HYPERLINK("https://klasma.github.io/Logging_0980/kartor/A 10995-2023 karta.png", "A 10995-2023")</f>
        <v/>
      </c>
      <c r="V237">
        <f>HYPERLINK("https://klasma.github.io/Logging_0980/klagomål/A 10995-2023 FSC-klagomål.docx", "A 10995-2023")</f>
        <v/>
      </c>
      <c r="W237">
        <f>HYPERLINK("https://klasma.github.io/Logging_0980/klagomålsmail/A 10995-2023 FSC-klagomål mail.docx", "A 10995-2023")</f>
        <v/>
      </c>
      <c r="X237">
        <f>HYPERLINK("https://klasma.github.io/Logging_0980/tillsyn/A 10995-2023 tillsynsbegäran.docx", "A 10995-2023")</f>
        <v/>
      </c>
      <c r="Y237">
        <f>HYPERLINK("https://klasma.github.io/Logging_0980/tillsynsmail/A 10995-2023 tillsynsbegäran mail.docx", "A 10995-2023")</f>
        <v/>
      </c>
    </row>
    <row r="238" ht="15" customHeight="1">
      <c r="A238" t="inlineStr">
        <is>
          <t>A 15212-2023</t>
        </is>
      </c>
      <c r="B238" s="1" t="n">
        <v>45019</v>
      </c>
      <c r="C238" s="1" t="n">
        <v>45807</v>
      </c>
      <c r="D238" t="inlineStr">
        <is>
          <t>GOTLANDS LÄN</t>
        </is>
      </c>
      <c r="E238" t="inlineStr">
        <is>
          <t>GOTLAND</t>
        </is>
      </c>
      <c r="G238" t="n">
        <v>3.1</v>
      </c>
      <c r="H238" t="n">
        <v>0</v>
      </c>
      <c r="I238" t="n">
        <v>0</v>
      </c>
      <c r="J238" t="n">
        <v>1</v>
      </c>
      <c r="K238" t="n">
        <v>0</v>
      </c>
      <c r="L238" t="n">
        <v>0</v>
      </c>
      <c r="M238" t="n">
        <v>0</v>
      </c>
      <c r="N238" t="n">
        <v>0</v>
      </c>
      <c r="O238" t="n">
        <v>1</v>
      </c>
      <c r="P238" t="n">
        <v>0</v>
      </c>
      <c r="Q238" t="n">
        <v>1</v>
      </c>
      <c r="R238" s="2" t="inlineStr">
        <is>
          <t>Grådådra</t>
        </is>
      </c>
      <c r="S238">
        <f>HYPERLINK("https://klasma.github.io/Logging_0980/artfynd/A 15212-2023 artfynd.xlsx", "A 15212-2023")</f>
        <v/>
      </c>
      <c r="T238">
        <f>HYPERLINK("https://klasma.github.io/Logging_0980/kartor/A 15212-2023 karta.png", "A 15212-2023")</f>
        <v/>
      </c>
      <c r="V238">
        <f>HYPERLINK("https://klasma.github.io/Logging_0980/klagomål/A 15212-2023 FSC-klagomål.docx", "A 15212-2023")</f>
        <v/>
      </c>
      <c r="W238">
        <f>HYPERLINK("https://klasma.github.io/Logging_0980/klagomålsmail/A 15212-2023 FSC-klagomål mail.docx", "A 15212-2023")</f>
        <v/>
      </c>
      <c r="X238">
        <f>HYPERLINK("https://klasma.github.io/Logging_0980/tillsyn/A 15212-2023 tillsynsbegäran.docx", "A 15212-2023")</f>
        <v/>
      </c>
      <c r="Y238">
        <f>HYPERLINK("https://klasma.github.io/Logging_0980/tillsynsmail/A 15212-2023 tillsynsbegäran mail.docx", "A 15212-2023")</f>
        <v/>
      </c>
    </row>
    <row r="239" ht="15" customHeight="1">
      <c r="A239" t="inlineStr">
        <is>
          <t>A 22782-2023</t>
        </is>
      </c>
      <c r="B239" s="1" t="n">
        <v>45072</v>
      </c>
      <c r="C239" s="1" t="n">
        <v>45807</v>
      </c>
      <c r="D239" t="inlineStr">
        <is>
          <t>GOTLANDS LÄN</t>
        </is>
      </c>
      <c r="E239" t="inlineStr">
        <is>
          <t>GOTLAND</t>
        </is>
      </c>
      <c r="F239" t="inlineStr">
        <is>
          <t>Kyrkan</t>
        </is>
      </c>
      <c r="G239" t="n">
        <v>3.1</v>
      </c>
      <c r="H239" t="n">
        <v>1</v>
      </c>
      <c r="I239" t="n">
        <v>0</v>
      </c>
      <c r="J239" t="n">
        <v>0</v>
      </c>
      <c r="K239" t="n">
        <v>0</v>
      </c>
      <c r="L239" t="n">
        <v>0</v>
      </c>
      <c r="M239" t="n">
        <v>0</v>
      </c>
      <c r="N239" t="n">
        <v>0</v>
      </c>
      <c r="O239" t="n">
        <v>0</v>
      </c>
      <c r="P239" t="n">
        <v>0</v>
      </c>
      <c r="Q239" t="n">
        <v>1</v>
      </c>
      <c r="R239" s="2" t="inlineStr">
        <is>
          <t>Ängsnycklar × skogsnycklar</t>
        </is>
      </c>
      <c r="S239">
        <f>HYPERLINK("https://klasma.github.io/Logging_0980/artfynd/A 22782-2023 artfynd.xlsx", "A 22782-2023")</f>
        <v/>
      </c>
      <c r="T239">
        <f>HYPERLINK("https://klasma.github.io/Logging_0980/kartor/A 22782-2023 karta.png", "A 22782-2023")</f>
        <v/>
      </c>
      <c r="V239">
        <f>HYPERLINK("https://klasma.github.io/Logging_0980/klagomål/A 22782-2023 FSC-klagomål.docx", "A 22782-2023")</f>
        <v/>
      </c>
      <c r="W239">
        <f>HYPERLINK("https://klasma.github.io/Logging_0980/klagomålsmail/A 22782-2023 FSC-klagomål mail.docx", "A 22782-2023")</f>
        <v/>
      </c>
      <c r="X239">
        <f>HYPERLINK("https://klasma.github.io/Logging_0980/tillsyn/A 22782-2023 tillsynsbegäran.docx", "A 22782-2023")</f>
        <v/>
      </c>
      <c r="Y239">
        <f>HYPERLINK("https://klasma.github.io/Logging_0980/tillsynsmail/A 22782-2023 tillsynsbegäran mail.docx", "A 22782-2023")</f>
        <v/>
      </c>
    </row>
    <row r="240" ht="15" customHeight="1">
      <c r="A240" t="inlineStr">
        <is>
          <t>A 24007-2023</t>
        </is>
      </c>
      <c r="B240" s="1" t="n">
        <v>45078</v>
      </c>
      <c r="C240" s="1" t="n">
        <v>45807</v>
      </c>
      <c r="D240" t="inlineStr">
        <is>
          <t>GOTLANDS LÄN</t>
        </is>
      </c>
      <c r="E240" t="inlineStr">
        <is>
          <t>GOTLAND</t>
        </is>
      </c>
      <c r="F240" t="inlineStr">
        <is>
          <t>Naturvårdsverket</t>
        </is>
      </c>
      <c r="G240" t="n">
        <v>2.5</v>
      </c>
      <c r="H240" t="n">
        <v>1</v>
      </c>
      <c r="I240" t="n">
        <v>1</v>
      </c>
      <c r="J240" t="n">
        <v>0</v>
      </c>
      <c r="K240" t="n">
        <v>0</v>
      </c>
      <c r="L240" t="n">
        <v>0</v>
      </c>
      <c r="M240" t="n">
        <v>0</v>
      </c>
      <c r="N240" t="n">
        <v>0</v>
      </c>
      <c r="O240" t="n">
        <v>0</v>
      </c>
      <c r="P240" t="n">
        <v>0</v>
      </c>
      <c r="Q240" t="n">
        <v>1</v>
      </c>
      <c r="R240" s="2" t="inlineStr">
        <is>
          <t>Nästrot</t>
        </is>
      </c>
      <c r="S240">
        <f>HYPERLINK("https://klasma.github.io/Logging_0980/artfynd/A 24007-2023 artfynd.xlsx", "A 24007-2023")</f>
        <v/>
      </c>
      <c r="T240">
        <f>HYPERLINK("https://klasma.github.io/Logging_0980/kartor/A 24007-2023 karta.png", "A 24007-2023")</f>
        <v/>
      </c>
      <c r="V240">
        <f>HYPERLINK("https://klasma.github.io/Logging_0980/klagomål/A 24007-2023 FSC-klagomål.docx", "A 24007-2023")</f>
        <v/>
      </c>
      <c r="W240">
        <f>HYPERLINK("https://klasma.github.io/Logging_0980/klagomålsmail/A 24007-2023 FSC-klagomål mail.docx", "A 24007-2023")</f>
        <v/>
      </c>
      <c r="X240">
        <f>HYPERLINK("https://klasma.github.io/Logging_0980/tillsyn/A 24007-2023 tillsynsbegäran.docx", "A 24007-2023")</f>
        <v/>
      </c>
      <c r="Y240">
        <f>HYPERLINK("https://klasma.github.io/Logging_0980/tillsynsmail/A 24007-2023 tillsynsbegäran mail.docx", "A 24007-2023")</f>
        <v/>
      </c>
    </row>
    <row r="241" ht="15" customHeight="1">
      <c r="A241" t="inlineStr">
        <is>
          <t>A 27589-2023</t>
        </is>
      </c>
      <c r="B241" s="1" t="n">
        <v>45097</v>
      </c>
      <c r="C241" s="1" t="n">
        <v>45807</v>
      </c>
      <c r="D241" t="inlineStr">
        <is>
          <t>GOTLANDS LÄN</t>
        </is>
      </c>
      <c r="E241" t="inlineStr">
        <is>
          <t>GOTLAND</t>
        </is>
      </c>
      <c r="G241" t="n">
        <v>5.4</v>
      </c>
      <c r="H241" t="n">
        <v>0</v>
      </c>
      <c r="I241" t="n">
        <v>0</v>
      </c>
      <c r="J241" t="n">
        <v>0</v>
      </c>
      <c r="K241" t="n">
        <v>0</v>
      </c>
      <c r="L241" t="n">
        <v>0</v>
      </c>
      <c r="M241" t="n">
        <v>1</v>
      </c>
      <c r="N241" t="n">
        <v>0</v>
      </c>
      <c r="O241" t="n">
        <v>1</v>
      </c>
      <c r="P241" t="n">
        <v>1</v>
      </c>
      <c r="Q241" t="n">
        <v>1</v>
      </c>
      <c r="R241" s="2" t="inlineStr">
        <is>
          <t>Skogsalm</t>
        </is>
      </c>
      <c r="S241">
        <f>HYPERLINK("https://klasma.github.io/Logging_0980/artfynd/A 27589-2023 artfynd.xlsx", "A 27589-2023")</f>
        <v/>
      </c>
      <c r="T241">
        <f>HYPERLINK("https://klasma.github.io/Logging_0980/kartor/A 27589-2023 karta.png", "A 27589-2023")</f>
        <v/>
      </c>
      <c r="V241">
        <f>HYPERLINK("https://klasma.github.io/Logging_0980/klagomål/A 27589-2023 FSC-klagomål.docx", "A 27589-2023")</f>
        <v/>
      </c>
      <c r="W241">
        <f>HYPERLINK("https://klasma.github.io/Logging_0980/klagomålsmail/A 27589-2023 FSC-klagomål mail.docx", "A 27589-2023")</f>
        <v/>
      </c>
      <c r="X241">
        <f>HYPERLINK("https://klasma.github.io/Logging_0980/tillsyn/A 27589-2023 tillsynsbegäran.docx", "A 27589-2023")</f>
        <v/>
      </c>
      <c r="Y241">
        <f>HYPERLINK("https://klasma.github.io/Logging_0980/tillsynsmail/A 27589-2023 tillsynsbegäran mail.docx", "A 27589-2023")</f>
        <v/>
      </c>
    </row>
    <row r="242" ht="15" customHeight="1">
      <c r="A242" t="inlineStr">
        <is>
          <t>A 28546-2023</t>
        </is>
      </c>
      <c r="B242" s="1" t="n">
        <v>45103</v>
      </c>
      <c r="C242" s="1" t="n">
        <v>45807</v>
      </c>
      <c r="D242" t="inlineStr">
        <is>
          <t>GOTLANDS LÄN</t>
        </is>
      </c>
      <c r="E242" t="inlineStr">
        <is>
          <t>GOTLAND</t>
        </is>
      </c>
      <c r="G242" t="n">
        <v>7.9</v>
      </c>
      <c r="H242" t="n">
        <v>1</v>
      </c>
      <c r="I242" t="n">
        <v>0</v>
      </c>
      <c r="J242" t="n">
        <v>0</v>
      </c>
      <c r="K242" t="n">
        <v>0</v>
      </c>
      <c r="L242" t="n">
        <v>0</v>
      </c>
      <c r="M242" t="n">
        <v>0</v>
      </c>
      <c r="N242" t="n">
        <v>0</v>
      </c>
      <c r="O242" t="n">
        <v>0</v>
      </c>
      <c r="P242" t="n">
        <v>0</v>
      </c>
      <c r="Q242" t="n">
        <v>1</v>
      </c>
      <c r="R242" s="2" t="inlineStr">
        <is>
          <t>Äkta lopplummer</t>
        </is>
      </c>
      <c r="S242">
        <f>HYPERLINK("https://klasma.github.io/Logging_0980/artfynd/A 28546-2023 artfynd.xlsx", "A 28546-2023")</f>
        <v/>
      </c>
      <c r="T242">
        <f>HYPERLINK("https://klasma.github.io/Logging_0980/kartor/A 28546-2023 karta.png", "A 28546-2023")</f>
        <v/>
      </c>
      <c r="V242">
        <f>HYPERLINK("https://klasma.github.io/Logging_0980/klagomål/A 28546-2023 FSC-klagomål.docx", "A 28546-2023")</f>
        <v/>
      </c>
      <c r="W242">
        <f>HYPERLINK("https://klasma.github.io/Logging_0980/klagomålsmail/A 28546-2023 FSC-klagomål mail.docx", "A 28546-2023")</f>
        <v/>
      </c>
      <c r="X242">
        <f>HYPERLINK("https://klasma.github.io/Logging_0980/tillsyn/A 28546-2023 tillsynsbegäran.docx", "A 28546-2023")</f>
        <v/>
      </c>
      <c r="Y242">
        <f>HYPERLINK("https://klasma.github.io/Logging_0980/tillsynsmail/A 28546-2023 tillsynsbegäran mail.docx", "A 28546-2023")</f>
        <v/>
      </c>
    </row>
    <row r="243" ht="15" customHeight="1">
      <c r="A243" t="inlineStr">
        <is>
          <t>A 35615-2023</t>
        </is>
      </c>
      <c r="B243" s="1" t="n">
        <v>45147</v>
      </c>
      <c r="C243" s="1" t="n">
        <v>45807</v>
      </c>
      <c r="D243" t="inlineStr">
        <is>
          <t>GOTLANDS LÄN</t>
        </is>
      </c>
      <c r="E243" t="inlineStr">
        <is>
          <t>GOTLAND</t>
        </is>
      </c>
      <c r="G243" t="n">
        <v>6.1</v>
      </c>
      <c r="H243" t="n">
        <v>0</v>
      </c>
      <c r="I243" t="n">
        <v>0</v>
      </c>
      <c r="J243" t="n">
        <v>1</v>
      </c>
      <c r="K243" t="n">
        <v>0</v>
      </c>
      <c r="L243" t="n">
        <v>0</v>
      </c>
      <c r="M243" t="n">
        <v>0</v>
      </c>
      <c r="N243" t="n">
        <v>0</v>
      </c>
      <c r="O243" t="n">
        <v>1</v>
      </c>
      <c r="P243" t="n">
        <v>0</v>
      </c>
      <c r="Q243" t="n">
        <v>1</v>
      </c>
      <c r="R243" s="2" t="inlineStr">
        <is>
          <t>Åkerranunkel</t>
        </is>
      </c>
      <c r="S243">
        <f>HYPERLINK("https://klasma.github.io/Logging_0980/artfynd/A 35615-2023 artfynd.xlsx", "A 35615-2023")</f>
        <v/>
      </c>
      <c r="T243">
        <f>HYPERLINK("https://klasma.github.io/Logging_0980/kartor/A 35615-2023 karta.png", "A 35615-2023")</f>
        <v/>
      </c>
      <c r="V243">
        <f>HYPERLINK("https://klasma.github.io/Logging_0980/klagomål/A 35615-2023 FSC-klagomål.docx", "A 35615-2023")</f>
        <v/>
      </c>
      <c r="W243">
        <f>HYPERLINK("https://klasma.github.io/Logging_0980/klagomålsmail/A 35615-2023 FSC-klagomål mail.docx", "A 35615-2023")</f>
        <v/>
      </c>
      <c r="X243">
        <f>HYPERLINK("https://klasma.github.io/Logging_0980/tillsyn/A 35615-2023 tillsynsbegäran.docx", "A 35615-2023")</f>
        <v/>
      </c>
      <c r="Y243">
        <f>HYPERLINK("https://klasma.github.io/Logging_0980/tillsynsmail/A 35615-2023 tillsynsbegäran mail.docx", "A 35615-2023")</f>
        <v/>
      </c>
    </row>
    <row r="244" ht="15" customHeight="1">
      <c r="A244" t="inlineStr">
        <is>
          <t>A 37584-2023</t>
        </is>
      </c>
      <c r="B244" s="1" t="n">
        <v>45159</v>
      </c>
      <c r="C244" s="1" t="n">
        <v>45807</v>
      </c>
      <c r="D244" t="inlineStr">
        <is>
          <t>GOTLANDS LÄN</t>
        </is>
      </c>
      <c r="E244" t="inlineStr">
        <is>
          <t>GOTLAND</t>
        </is>
      </c>
      <c r="G244" t="n">
        <v>5.4</v>
      </c>
      <c r="H244" t="n">
        <v>0</v>
      </c>
      <c r="I244" t="n">
        <v>1</v>
      </c>
      <c r="J244" t="n">
        <v>0</v>
      </c>
      <c r="K244" t="n">
        <v>0</v>
      </c>
      <c r="L244" t="n">
        <v>0</v>
      </c>
      <c r="M244" t="n">
        <v>0</v>
      </c>
      <c r="N244" t="n">
        <v>0</v>
      </c>
      <c r="O244" t="n">
        <v>0</v>
      </c>
      <c r="P244" t="n">
        <v>0</v>
      </c>
      <c r="Q244" t="n">
        <v>1</v>
      </c>
      <c r="R244" s="2" t="inlineStr">
        <is>
          <t>Myskmadra</t>
        </is>
      </c>
      <c r="S244">
        <f>HYPERLINK("https://klasma.github.io/Logging_0980/artfynd/A 37584-2023 artfynd.xlsx", "A 37584-2023")</f>
        <v/>
      </c>
      <c r="T244">
        <f>HYPERLINK("https://klasma.github.io/Logging_0980/kartor/A 37584-2023 karta.png", "A 37584-2023")</f>
        <v/>
      </c>
      <c r="V244">
        <f>HYPERLINK("https://klasma.github.io/Logging_0980/klagomål/A 37584-2023 FSC-klagomål.docx", "A 37584-2023")</f>
        <v/>
      </c>
      <c r="W244">
        <f>HYPERLINK("https://klasma.github.io/Logging_0980/klagomålsmail/A 37584-2023 FSC-klagomål mail.docx", "A 37584-2023")</f>
        <v/>
      </c>
      <c r="X244">
        <f>HYPERLINK("https://klasma.github.io/Logging_0980/tillsyn/A 37584-2023 tillsynsbegäran.docx", "A 37584-2023")</f>
        <v/>
      </c>
      <c r="Y244">
        <f>HYPERLINK("https://klasma.github.io/Logging_0980/tillsynsmail/A 37584-2023 tillsynsbegäran mail.docx", "A 37584-2023")</f>
        <v/>
      </c>
    </row>
    <row r="245" ht="15" customHeight="1">
      <c r="A245" t="inlineStr">
        <is>
          <t>A 42939-2023</t>
        </is>
      </c>
      <c r="B245" s="1" t="n">
        <v>45182</v>
      </c>
      <c r="C245" s="1" t="n">
        <v>45807</v>
      </c>
      <c r="D245" t="inlineStr">
        <is>
          <t>GOTLANDS LÄN</t>
        </is>
      </c>
      <c r="E245" t="inlineStr">
        <is>
          <t>GOTLAND</t>
        </is>
      </c>
      <c r="G245" t="n">
        <v>7.5</v>
      </c>
      <c r="H245" t="n">
        <v>0</v>
      </c>
      <c r="I245" t="n">
        <v>0</v>
      </c>
      <c r="J245" t="n">
        <v>0</v>
      </c>
      <c r="K245" t="n">
        <v>1</v>
      </c>
      <c r="L245" t="n">
        <v>0</v>
      </c>
      <c r="M245" t="n">
        <v>0</v>
      </c>
      <c r="N245" t="n">
        <v>0</v>
      </c>
      <c r="O245" t="n">
        <v>1</v>
      </c>
      <c r="P245" t="n">
        <v>1</v>
      </c>
      <c r="Q245" t="n">
        <v>1</v>
      </c>
      <c r="R245" s="2" t="inlineStr">
        <is>
          <t>Skogskorn</t>
        </is>
      </c>
      <c r="S245">
        <f>HYPERLINK("https://klasma.github.io/Logging_0980/artfynd/A 42939-2023 artfynd.xlsx", "A 42939-2023")</f>
        <v/>
      </c>
      <c r="T245">
        <f>HYPERLINK("https://klasma.github.io/Logging_0980/kartor/A 42939-2023 karta.png", "A 42939-2023")</f>
        <v/>
      </c>
      <c r="V245">
        <f>HYPERLINK("https://klasma.github.io/Logging_0980/klagomål/A 42939-2023 FSC-klagomål.docx", "A 42939-2023")</f>
        <v/>
      </c>
      <c r="W245">
        <f>HYPERLINK("https://klasma.github.io/Logging_0980/klagomålsmail/A 42939-2023 FSC-klagomål mail.docx", "A 42939-2023")</f>
        <v/>
      </c>
      <c r="X245">
        <f>HYPERLINK("https://klasma.github.io/Logging_0980/tillsyn/A 42939-2023 tillsynsbegäran.docx", "A 42939-2023")</f>
        <v/>
      </c>
      <c r="Y245">
        <f>HYPERLINK("https://klasma.github.io/Logging_0980/tillsynsmail/A 42939-2023 tillsynsbegäran mail.docx", "A 42939-2023")</f>
        <v/>
      </c>
    </row>
    <row r="246" ht="15" customHeight="1">
      <c r="A246" t="inlineStr">
        <is>
          <t>A 43219-2023</t>
        </is>
      </c>
      <c r="B246" s="1" t="n">
        <v>45183</v>
      </c>
      <c r="C246" s="1" t="n">
        <v>45807</v>
      </c>
      <c r="D246" t="inlineStr">
        <is>
          <t>GOTLANDS LÄN</t>
        </is>
      </c>
      <c r="E246" t="inlineStr">
        <is>
          <t>GOTLAND</t>
        </is>
      </c>
      <c r="G246" t="n">
        <v>3.6</v>
      </c>
      <c r="H246" t="n">
        <v>1</v>
      </c>
      <c r="I246" t="n">
        <v>0</v>
      </c>
      <c r="J246" t="n">
        <v>0</v>
      </c>
      <c r="K246" t="n">
        <v>0</v>
      </c>
      <c r="L246" t="n">
        <v>0</v>
      </c>
      <c r="M246" t="n">
        <v>0</v>
      </c>
      <c r="N246" t="n">
        <v>0</v>
      </c>
      <c r="O246" t="n">
        <v>0</v>
      </c>
      <c r="P246" t="n">
        <v>0</v>
      </c>
      <c r="Q246" t="n">
        <v>1</v>
      </c>
      <c r="R246" s="2" t="inlineStr">
        <is>
          <t>Skogsduva</t>
        </is>
      </c>
      <c r="S246">
        <f>HYPERLINK("https://klasma.github.io/Logging_0980/artfynd/A 43219-2023 artfynd.xlsx", "A 43219-2023")</f>
        <v/>
      </c>
      <c r="T246">
        <f>HYPERLINK("https://klasma.github.io/Logging_0980/kartor/A 43219-2023 karta.png", "A 43219-2023")</f>
        <v/>
      </c>
      <c r="V246">
        <f>HYPERLINK("https://klasma.github.io/Logging_0980/klagomål/A 43219-2023 FSC-klagomål.docx", "A 43219-2023")</f>
        <v/>
      </c>
      <c r="W246">
        <f>HYPERLINK("https://klasma.github.io/Logging_0980/klagomålsmail/A 43219-2023 FSC-klagomål mail.docx", "A 43219-2023")</f>
        <v/>
      </c>
      <c r="X246">
        <f>HYPERLINK("https://klasma.github.io/Logging_0980/tillsyn/A 43219-2023 tillsynsbegäran.docx", "A 43219-2023")</f>
        <v/>
      </c>
      <c r="Y246">
        <f>HYPERLINK("https://klasma.github.io/Logging_0980/tillsynsmail/A 43219-2023 tillsynsbegäran mail.docx", "A 43219-2023")</f>
        <v/>
      </c>
      <c r="Z246">
        <f>HYPERLINK("https://klasma.github.io/Logging_0980/fåglar/A 43219-2023 prioriterade fågelarter.docx", "A 43219-2023")</f>
        <v/>
      </c>
    </row>
    <row r="247" ht="15" customHeight="1">
      <c r="A247" t="inlineStr">
        <is>
          <t>A 46527-2023</t>
        </is>
      </c>
      <c r="B247" s="1" t="n">
        <v>45197</v>
      </c>
      <c r="C247" s="1" t="n">
        <v>45807</v>
      </c>
      <c r="D247" t="inlineStr">
        <is>
          <t>GOTLANDS LÄN</t>
        </is>
      </c>
      <c r="E247" t="inlineStr">
        <is>
          <t>GOTLAND</t>
        </is>
      </c>
      <c r="G247" t="n">
        <v>0.9</v>
      </c>
      <c r="H247" t="n">
        <v>0</v>
      </c>
      <c r="I247" t="n">
        <v>0</v>
      </c>
      <c r="J247" t="n">
        <v>1</v>
      </c>
      <c r="K247" t="n">
        <v>0</v>
      </c>
      <c r="L247" t="n">
        <v>0</v>
      </c>
      <c r="M247" t="n">
        <v>0</v>
      </c>
      <c r="N247" t="n">
        <v>0</v>
      </c>
      <c r="O247" t="n">
        <v>1</v>
      </c>
      <c r="P247" t="n">
        <v>0</v>
      </c>
      <c r="Q247" t="n">
        <v>1</v>
      </c>
      <c r="R247" s="2" t="inlineStr">
        <is>
          <t>Guldgräshoppa</t>
        </is>
      </c>
      <c r="S247">
        <f>HYPERLINK("https://klasma.github.io/Logging_0980/artfynd/A 46527-2023 artfynd.xlsx", "A 46527-2023")</f>
        <v/>
      </c>
      <c r="T247">
        <f>HYPERLINK("https://klasma.github.io/Logging_0980/kartor/A 46527-2023 karta.png", "A 46527-2023")</f>
        <v/>
      </c>
      <c r="V247">
        <f>HYPERLINK("https://klasma.github.io/Logging_0980/klagomål/A 46527-2023 FSC-klagomål.docx", "A 46527-2023")</f>
        <v/>
      </c>
      <c r="W247">
        <f>HYPERLINK("https://klasma.github.io/Logging_0980/klagomålsmail/A 46527-2023 FSC-klagomål mail.docx", "A 46527-2023")</f>
        <v/>
      </c>
      <c r="X247">
        <f>HYPERLINK("https://klasma.github.io/Logging_0980/tillsyn/A 46527-2023 tillsynsbegäran.docx", "A 46527-2023")</f>
        <v/>
      </c>
      <c r="Y247">
        <f>HYPERLINK("https://klasma.github.io/Logging_0980/tillsynsmail/A 46527-2023 tillsynsbegäran mail.docx", "A 46527-2023")</f>
        <v/>
      </c>
    </row>
    <row r="248" ht="15" customHeight="1">
      <c r="A248" t="inlineStr">
        <is>
          <t>A 49847-2023</t>
        </is>
      </c>
      <c r="B248" s="1" t="n">
        <v>45212</v>
      </c>
      <c r="C248" s="1" t="n">
        <v>45807</v>
      </c>
      <c r="D248" t="inlineStr">
        <is>
          <t>GOTLANDS LÄN</t>
        </is>
      </c>
      <c r="E248" t="inlineStr">
        <is>
          <t>GOTLAND</t>
        </is>
      </c>
      <c r="G248" t="n">
        <v>35.2</v>
      </c>
      <c r="H248" t="n">
        <v>0</v>
      </c>
      <c r="I248" t="n">
        <v>0</v>
      </c>
      <c r="J248" t="n">
        <v>0</v>
      </c>
      <c r="K248" t="n">
        <v>1</v>
      </c>
      <c r="L248" t="n">
        <v>0</v>
      </c>
      <c r="M248" t="n">
        <v>0</v>
      </c>
      <c r="N248" t="n">
        <v>0</v>
      </c>
      <c r="O248" t="n">
        <v>1</v>
      </c>
      <c r="P248" t="n">
        <v>1</v>
      </c>
      <c r="Q248" t="n">
        <v>1</v>
      </c>
      <c r="R248" s="2" t="inlineStr">
        <is>
          <t>Strandviol</t>
        </is>
      </c>
      <c r="S248">
        <f>HYPERLINK("https://klasma.github.io/Logging_0980/artfynd/A 49847-2023 artfynd.xlsx", "A 49847-2023")</f>
        <v/>
      </c>
      <c r="T248">
        <f>HYPERLINK("https://klasma.github.io/Logging_0980/kartor/A 49847-2023 karta.png", "A 49847-2023")</f>
        <v/>
      </c>
      <c r="V248">
        <f>HYPERLINK("https://klasma.github.io/Logging_0980/klagomål/A 49847-2023 FSC-klagomål.docx", "A 49847-2023")</f>
        <v/>
      </c>
      <c r="W248">
        <f>HYPERLINK("https://klasma.github.io/Logging_0980/klagomålsmail/A 49847-2023 FSC-klagomål mail.docx", "A 49847-2023")</f>
        <v/>
      </c>
      <c r="X248">
        <f>HYPERLINK("https://klasma.github.io/Logging_0980/tillsyn/A 49847-2023 tillsynsbegäran.docx", "A 49847-2023")</f>
        <v/>
      </c>
      <c r="Y248">
        <f>HYPERLINK("https://klasma.github.io/Logging_0980/tillsynsmail/A 49847-2023 tillsynsbegäran mail.docx", "A 49847-2023")</f>
        <v/>
      </c>
    </row>
    <row r="249" ht="15" customHeight="1">
      <c r="A249" t="inlineStr">
        <is>
          <t>A 53907-2023</t>
        </is>
      </c>
      <c r="B249" s="1" t="n">
        <v>45231</v>
      </c>
      <c r="C249" s="1" t="n">
        <v>45807</v>
      </c>
      <c r="D249" t="inlineStr">
        <is>
          <t>GOTLANDS LÄN</t>
        </is>
      </c>
      <c r="E249" t="inlineStr">
        <is>
          <t>GOTLAND</t>
        </is>
      </c>
      <c r="G249" t="n">
        <v>13.7</v>
      </c>
      <c r="H249" t="n">
        <v>0</v>
      </c>
      <c r="I249" t="n">
        <v>0</v>
      </c>
      <c r="J249" t="n">
        <v>0</v>
      </c>
      <c r="K249" t="n">
        <v>1</v>
      </c>
      <c r="L249" t="n">
        <v>0</v>
      </c>
      <c r="M249" t="n">
        <v>0</v>
      </c>
      <c r="N249" t="n">
        <v>0</v>
      </c>
      <c r="O249" t="n">
        <v>1</v>
      </c>
      <c r="P249" t="n">
        <v>1</v>
      </c>
      <c r="Q249" t="n">
        <v>1</v>
      </c>
      <c r="R249" s="2" t="inlineStr">
        <is>
          <t>Granrotsspindling</t>
        </is>
      </c>
      <c r="S249">
        <f>HYPERLINK("https://klasma.github.io/Logging_0980/artfynd/A 53907-2023 artfynd.xlsx", "A 53907-2023")</f>
        <v/>
      </c>
      <c r="T249">
        <f>HYPERLINK("https://klasma.github.io/Logging_0980/kartor/A 53907-2023 karta.png", "A 53907-2023")</f>
        <v/>
      </c>
      <c r="V249">
        <f>HYPERLINK("https://klasma.github.io/Logging_0980/klagomål/A 53907-2023 FSC-klagomål.docx", "A 53907-2023")</f>
        <v/>
      </c>
      <c r="W249">
        <f>HYPERLINK("https://klasma.github.io/Logging_0980/klagomålsmail/A 53907-2023 FSC-klagomål mail.docx", "A 53907-2023")</f>
        <v/>
      </c>
      <c r="X249">
        <f>HYPERLINK("https://klasma.github.io/Logging_0980/tillsyn/A 53907-2023 tillsynsbegäran.docx", "A 53907-2023")</f>
        <v/>
      </c>
      <c r="Y249">
        <f>HYPERLINK("https://klasma.github.io/Logging_0980/tillsynsmail/A 53907-2023 tillsynsbegäran mail.docx", "A 53907-2023")</f>
        <v/>
      </c>
    </row>
    <row r="250" ht="15" customHeight="1">
      <c r="A250" t="inlineStr">
        <is>
          <t>A 56304-2023</t>
        </is>
      </c>
      <c r="B250" s="1" t="n">
        <v>45242</v>
      </c>
      <c r="C250" s="1" t="n">
        <v>45807</v>
      </c>
      <c r="D250" t="inlineStr">
        <is>
          <t>GOTLANDS LÄN</t>
        </is>
      </c>
      <c r="E250" t="inlineStr">
        <is>
          <t>GOTLAND</t>
        </is>
      </c>
      <c r="G250" t="n">
        <v>0.9</v>
      </c>
      <c r="H250" t="n">
        <v>1</v>
      </c>
      <c r="I250" t="n">
        <v>0</v>
      </c>
      <c r="J250" t="n">
        <v>0</v>
      </c>
      <c r="K250" t="n">
        <v>1</v>
      </c>
      <c r="L250" t="n">
        <v>0</v>
      </c>
      <c r="M250" t="n">
        <v>0</v>
      </c>
      <c r="N250" t="n">
        <v>0</v>
      </c>
      <c r="O250" t="n">
        <v>1</v>
      </c>
      <c r="P250" t="n">
        <v>1</v>
      </c>
      <c r="Q250" t="n">
        <v>1</v>
      </c>
      <c r="R250" s="2" t="inlineStr">
        <is>
          <t>Garderönn</t>
        </is>
      </c>
      <c r="S250">
        <f>HYPERLINK("https://klasma.github.io/Logging_0980/artfynd/A 56304-2023 artfynd.xlsx", "A 56304-2023")</f>
        <v/>
      </c>
      <c r="T250">
        <f>HYPERLINK("https://klasma.github.io/Logging_0980/kartor/A 56304-2023 karta.png", "A 56304-2023")</f>
        <v/>
      </c>
      <c r="V250">
        <f>HYPERLINK("https://klasma.github.io/Logging_0980/klagomål/A 56304-2023 FSC-klagomål.docx", "A 56304-2023")</f>
        <v/>
      </c>
      <c r="W250">
        <f>HYPERLINK("https://klasma.github.io/Logging_0980/klagomålsmail/A 56304-2023 FSC-klagomål mail.docx", "A 56304-2023")</f>
        <v/>
      </c>
      <c r="X250">
        <f>HYPERLINK("https://klasma.github.io/Logging_0980/tillsyn/A 56304-2023 tillsynsbegäran.docx", "A 56304-2023")</f>
        <v/>
      </c>
      <c r="Y250">
        <f>HYPERLINK("https://klasma.github.io/Logging_0980/tillsynsmail/A 56304-2023 tillsynsbegäran mail.docx", "A 56304-2023")</f>
        <v/>
      </c>
    </row>
    <row r="251" ht="15" customHeight="1">
      <c r="A251" t="inlineStr">
        <is>
          <t>A 61561-2023</t>
        </is>
      </c>
      <c r="B251" s="1" t="n">
        <v>45265</v>
      </c>
      <c r="C251" s="1" t="n">
        <v>45807</v>
      </c>
      <c r="D251" t="inlineStr">
        <is>
          <t>GOTLANDS LÄN</t>
        </is>
      </c>
      <c r="E251" t="inlineStr">
        <is>
          <t>GOTLAND</t>
        </is>
      </c>
      <c r="G251" t="n">
        <v>7.4</v>
      </c>
      <c r="H251" t="n">
        <v>0</v>
      </c>
      <c r="I251" t="n">
        <v>0</v>
      </c>
      <c r="J251" t="n">
        <v>1</v>
      </c>
      <c r="K251" t="n">
        <v>0</v>
      </c>
      <c r="L251" t="n">
        <v>0</v>
      </c>
      <c r="M251" t="n">
        <v>0</v>
      </c>
      <c r="N251" t="n">
        <v>0</v>
      </c>
      <c r="O251" t="n">
        <v>1</v>
      </c>
      <c r="P251" t="n">
        <v>0</v>
      </c>
      <c r="Q251" t="n">
        <v>1</v>
      </c>
      <c r="R251" s="2" t="inlineStr">
        <is>
          <t>Loppstarr</t>
        </is>
      </c>
      <c r="S251">
        <f>HYPERLINK("https://klasma.github.io/Logging_0980/artfynd/A 61561-2023 artfynd.xlsx", "A 61561-2023")</f>
        <v/>
      </c>
      <c r="T251">
        <f>HYPERLINK("https://klasma.github.io/Logging_0980/kartor/A 61561-2023 karta.png", "A 61561-2023")</f>
        <v/>
      </c>
      <c r="V251">
        <f>HYPERLINK("https://klasma.github.io/Logging_0980/klagomål/A 61561-2023 FSC-klagomål.docx", "A 61561-2023")</f>
        <v/>
      </c>
      <c r="W251">
        <f>HYPERLINK("https://klasma.github.io/Logging_0980/klagomålsmail/A 61561-2023 FSC-klagomål mail.docx", "A 61561-2023")</f>
        <v/>
      </c>
      <c r="X251">
        <f>HYPERLINK("https://klasma.github.io/Logging_0980/tillsyn/A 61561-2023 tillsynsbegäran.docx", "A 61561-2023")</f>
        <v/>
      </c>
      <c r="Y251">
        <f>HYPERLINK("https://klasma.github.io/Logging_0980/tillsynsmail/A 61561-2023 tillsynsbegäran mail.docx", "A 61561-2023")</f>
        <v/>
      </c>
    </row>
    <row r="252" ht="15" customHeight="1">
      <c r="A252" t="inlineStr">
        <is>
          <t>A 61846-2023</t>
        </is>
      </c>
      <c r="B252" s="1" t="n">
        <v>45266</v>
      </c>
      <c r="C252" s="1" t="n">
        <v>45807</v>
      </c>
      <c r="D252" t="inlineStr">
        <is>
          <t>GOTLANDS LÄN</t>
        </is>
      </c>
      <c r="E252" t="inlineStr">
        <is>
          <t>GOTLAND</t>
        </is>
      </c>
      <c r="G252" t="n">
        <v>2.2</v>
      </c>
      <c r="H252" t="n">
        <v>1</v>
      </c>
      <c r="I252" t="n">
        <v>0</v>
      </c>
      <c r="J252" t="n">
        <v>1</v>
      </c>
      <c r="K252" t="n">
        <v>0</v>
      </c>
      <c r="L252" t="n">
        <v>0</v>
      </c>
      <c r="M252" t="n">
        <v>0</v>
      </c>
      <c r="N252" t="n">
        <v>0</v>
      </c>
      <c r="O252" t="n">
        <v>1</v>
      </c>
      <c r="P252" t="n">
        <v>0</v>
      </c>
      <c r="Q252" t="n">
        <v>1</v>
      </c>
      <c r="R252" s="2" t="inlineStr">
        <is>
          <t>Rosenfink</t>
        </is>
      </c>
      <c r="S252">
        <f>HYPERLINK("https://klasma.github.io/Logging_0980/artfynd/A 61846-2023 artfynd.xlsx", "A 61846-2023")</f>
        <v/>
      </c>
      <c r="T252">
        <f>HYPERLINK("https://klasma.github.io/Logging_0980/kartor/A 61846-2023 karta.png", "A 61846-2023")</f>
        <v/>
      </c>
      <c r="V252">
        <f>HYPERLINK("https://klasma.github.io/Logging_0980/klagomål/A 61846-2023 FSC-klagomål.docx", "A 61846-2023")</f>
        <v/>
      </c>
      <c r="W252">
        <f>HYPERLINK("https://klasma.github.io/Logging_0980/klagomålsmail/A 61846-2023 FSC-klagomål mail.docx", "A 61846-2023")</f>
        <v/>
      </c>
      <c r="X252">
        <f>HYPERLINK("https://klasma.github.io/Logging_0980/tillsyn/A 61846-2023 tillsynsbegäran.docx", "A 61846-2023")</f>
        <v/>
      </c>
      <c r="Y252">
        <f>HYPERLINK("https://klasma.github.io/Logging_0980/tillsynsmail/A 61846-2023 tillsynsbegäran mail.docx", "A 61846-2023")</f>
        <v/>
      </c>
      <c r="Z252">
        <f>HYPERLINK("https://klasma.github.io/Logging_0980/fåglar/A 61846-2023 prioriterade fågelarter.docx", "A 61846-2023")</f>
        <v/>
      </c>
    </row>
    <row r="253" ht="15" customHeight="1">
      <c r="A253" t="inlineStr">
        <is>
          <t>A 61994-2023</t>
        </is>
      </c>
      <c r="B253" s="1" t="n">
        <v>45266</v>
      </c>
      <c r="C253" s="1" t="n">
        <v>45807</v>
      </c>
      <c r="D253" t="inlineStr">
        <is>
          <t>GOTLANDS LÄN</t>
        </is>
      </c>
      <c r="E253" t="inlineStr">
        <is>
          <t>GOTLAND</t>
        </is>
      </c>
      <c r="G253" t="n">
        <v>2.9</v>
      </c>
      <c r="H253" t="n">
        <v>1</v>
      </c>
      <c r="I253" t="n">
        <v>0</v>
      </c>
      <c r="J253" t="n">
        <v>0</v>
      </c>
      <c r="K253" t="n">
        <v>0</v>
      </c>
      <c r="L253" t="n">
        <v>0</v>
      </c>
      <c r="M253" t="n">
        <v>0</v>
      </c>
      <c r="N253" t="n">
        <v>0</v>
      </c>
      <c r="O253" t="n">
        <v>0</v>
      </c>
      <c r="P253" t="n">
        <v>0</v>
      </c>
      <c r="Q253" t="n">
        <v>1</v>
      </c>
      <c r="R253" s="2" t="inlineStr">
        <is>
          <t>Revlummer</t>
        </is>
      </c>
      <c r="S253">
        <f>HYPERLINK("https://klasma.github.io/Logging_0980/artfynd/A 61994-2023 artfynd.xlsx", "A 61994-2023")</f>
        <v/>
      </c>
      <c r="T253">
        <f>HYPERLINK("https://klasma.github.io/Logging_0980/kartor/A 61994-2023 karta.png", "A 61994-2023")</f>
        <v/>
      </c>
      <c r="V253">
        <f>HYPERLINK("https://klasma.github.io/Logging_0980/klagomål/A 61994-2023 FSC-klagomål.docx", "A 61994-2023")</f>
        <v/>
      </c>
      <c r="W253">
        <f>HYPERLINK("https://klasma.github.io/Logging_0980/klagomålsmail/A 61994-2023 FSC-klagomål mail.docx", "A 61994-2023")</f>
        <v/>
      </c>
      <c r="X253">
        <f>HYPERLINK("https://klasma.github.io/Logging_0980/tillsyn/A 61994-2023 tillsynsbegäran.docx", "A 61994-2023")</f>
        <v/>
      </c>
      <c r="Y253">
        <f>HYPERLINK("https://klasma.github.io/Logging_0980/tillsynsmail/A 61994-2023 tillsynsbegäran mail.docx", "A 61994-2023")</f>
        <v/>
      </c>
    </row>
    <row r="254" ht="15" customHeight="1">
      <c r="A254" t="inlineStr">
        <is>
          <t>A 62376-2023</t>
        </is>
      </c>
      <c r="B254" s="1" t="n">
        <v>45268</v>
      </c>
      <c r="C254" s="1" t="n">
        <v>45807</v>
      </c>
      <c r="D254" t="inlineStr">
        <is>
          <t>GOTLANDS LÄN</t>
        </is>
      </c>
      <c r="E254" t="inlineStr">
        <is>
          <t>GOTLAND</t>
        </is>
      </c>
      <c r="G254" t="n">
        <v>4.2</v>
      </c>
      <c r="H254" t="n">
        <v>1</v>
      </c>
      <c r="I254" t="n">
        <v>0</v>
      </c>
      <c r="J254" t="n">
        <v>0</v>
      </c>
      <c r="K254" t="n">
        <v>0</v>
      </c>
      <c r="L254" t="n">
        <v>0</v>
      </c>
      <c r="M254" t="n">
        <v>0</v>
      </c>
      <c r="N254" t="n">
        <v>0</v>
      </c>
      <c r="O254" t="n">
        <v>0</v>
      </c>
      <c r="P254" t="n">
        <v>0</v>
      </c>
      <c r="Q254" t="n">
        <v>1</v>
      </c>
      <c r="R254" s="2" t="inlineStr">
        <is>
          <t>Fläcknycklar</t>
        </is>
      </c>
      <c r="S254">
        <f>HYPERLINK("https://klasma.github.io/Logging_0980/artfynd/A 62376-2023 artfynd.xlsx", "A 62376-2023")</f>
        <v/>
      </c>
      <c r="T254">
        <f>HYPERLINK("https://klasma.github.io/Logging_0980/kartor/A 62376-2023 karta.png", "A 62376-2023")</f>
        <v/>
      </c>
      <c r="V254">
        <f>HYPERLINK("https://klasma.github.io/Logging_0980/klagomål/A 62376-2023 FSC-klagomål.docx", "A 62376-2023")</f>
        <v/>
      </c>
      <c r="W254">
        <f>HYPERLINK("https://klasma.github.io/Logging_0980/klagomålsmail/A 62376-2023 FSC-klagomål mail.docx", "A 62376-2023")</f>
        <v/>
      </c>
      <c r="X254">
        <f>HYPERLINK("https://klasma.github.io/Logging_0980/tillsyn/A 62376-2023 tillsynsbegäran.docx", "A 62376-2023")</f>
        <v/>
      </c>
      <c r="Y254">
        <f>HYPERLINK("https://klasma.github.io/Logging_0980/tillsynsmail/A 62376-2023 tillsynsbegäran mail.docx", "A 62376-2023")</f>
        <v/>
      </c>
    </row>
    <row r="255" ht="15" customHeight="1">
      <c r="A255" t="inlineStr">
        <is>
          <t>A 63515-2023</t>
        </is>
      </c>
      <c r="B255" s="1" t="n">
        <v>45274</v>
      </c>
      <c r="C255" s="1" t="n">
        <v>45807</v>
      </c>
      <c r="D255" t="inlineStr">
        <is>
          <t>GOTLANDS LÄN</t>
        </is>
      </c>
      <c r="E255" t="inlineStr">
        <is>
          <t>GOTLAND</t>
        </is>
      </c>
      <c r="G255" t="n">
        <v>2.1</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63515-2023 artfynd.xlsx", "A 63515-2023")</f>
        <v/>
      </c>
      <c r="T255">
        <f>HYPERLINK("https://klasma.github.io/Logging_0980/kartor/A 63515-2023 karta.png", "A 63515-2023")</f>
        <v/>
      </c>
      <c r="V255">
        <f>HYPERLINK("https://klasma.github.io/Logging_0980/klagomål/A 63515-2023 FSC-klagomål.docx", "A 63515-2023")</f>
        <v/>
      </c>
      <c r="W255">
        <f>HYPERLINK("https://klasma.github.io/Logging_0980/klagomålsmail/A 63515-2023 FSC-klagomål mail.docx", "A 63515-2023")</f>
        <v/>
      </c>
      <c r="X255">
        <f>HYPERLINK("https://klasma.github.io/Logging_0980/tillsyn/A 63515-2023 tillsynsbegäran.docx", "A 63515-2023")</f>
        <v/>
      </c>
      <c r="Y255">
        <f>HYPERLINK("https://klasma.github.io/Logging_0980/tillsynsmail/A 63515-2023 tillsynsbegäran mail.docx", "A 63515-2023")</f>
        <v/>
      </c>
    </row>
    <row r="256" ht="15" customHeight="1">
      <c r="A256" t="inlineStr">
        <is>
          <t>A 63302-2023</t>
        </is>
      </c>
      <c r="B256" s="1" t="n">
        <v>45274</v>
      </c>
      <c r="C256" s="1" t="n">
        <v>45807</v>
      </c>
      <c r="D256" t="inlineStr">
        <is>
          <t>GOTLANDS LÄN</t>
        </is>
      </c>
      <c r="E256" t="inlineStr">
        <is>
          <t>GOTLAND</t>
        </is>
      </c>
      <c r="G256" t="n">
        <v>1.3</v>
      </c>
      <c r="H256" t="n">
        <v>1</v>
      </c>
      <c r="I256" t="n">
        <v>0</v>
      </c>
      <c r="J256" t="n">
        <v>0</v>
      </c>
      <c r="K256" t="n">
        <v>0</v>
      </c>
      <c r="L256" t="n">
        <v>0</v>
      </c>
      <c r="M256" t="n">
        <v>0</v>
      </c>
      <c r="N256" t="n">
        <v>0</v>
      </c>
      <c r="O256" t="n">
        <v>0</v>
      </c>
      <c r="P256" t="n">
        <v>0</v>
      </c>
      <c r="Q256" t="n">
        <v>1</v>
      </c>
      <c r="R256" s="2" t="inlineStr">
        <is>
          <t>Nattskärra</t>
        </is>
      </c>
      <c r="S256">
        <f>HYPERLINK("https://klasma.github.io/Logging_0980/artfynd/A 63302-2023 artfynd.xlsx", "A 63302-2023")</f>
        <v/>
      </c>
      <c r="T256">
        <f>HYPERLINK("https://klasma.github.io/Logging_0980/kartor/A 63302-2023 karta.png", "A 63302-2023")</f>
        <v/>
      </c>
      <c r="V256">
        <f>HYPERLINK("https://klasma.github.io/Logging_0980/klagomål/A 63302-2023 FSC-klagomål.docx", "A 63302-2023")</f>
        <v/>
      </c>
      <c r="W256">
        <f>HYPERLINK("https://klasma.github.io/Logging_0980/klagomålsmail/A 63302-2023 FSC-klagomål mail.docx", "A 63302-2023")</f>
        <v/>
      </c>
      <c r="X256">
        <f>HYPERLINK("https://klasma.github.io/Logging_0980/tillsyn/A 63302-2023 tillsynsbegäran.docx", "A 63302-2023")</f>
        <v/>
      </c>
      <c r="Y256">
        <f>HYPERLINK("https://klasma.github.io/Logging_0980/tillsynsmail/A 63302-2023 tillsynsbegäran mail.docx", "A 63302-2023")</f>
        <v/>
      </c>
      <c r="Z256">
        <f>HYPERLINK("https://klasma.github.io/Logging_0980/fåglar/A 63302-2023 prioriterade fågelarter.docx", "A 63302-2023")</f>
        <v/>
      </c>
    </row>
    <row r="257" ht="15" customHeight="1">
      <c r="A257" t="inlineStr">
        <is>
          <t>A 2534-2024</t>
        </is>
      </c>
      <c r="B257" s="1" t="n">
        <v>45313</v>
      </c>
      <c r="C257" s="1" t="n">
        <v>45807</v>
      </c>
      <c r="D257" t="inlineStr">
        <is>
          <t>GOTLANDS LÄN</t>
        </is>
      </c>
      <c r="E257" t="inlineStr">
        <is>
          <t>GOTLAND</t>
        </is>
      </c>
      <c r="G257" t="n">
        <v>1</v>
      </c>
      <c r="H257" t="n">
        <v>0</v>
      </c>
      <c r="I257" t="n">
        <v>0</v>
      </c>
      <c r="J257" t="n">
        <v>0</v>
      </c>
      <c r="K257" t="n">
        <v>0</v>
      </c>
      <c r="L257" t="n">
        <v>1</v>
      </c>
      <c r="M257" t="n">
        <v>0</v>
      </c>
      <c r="N257" t="n">
        <v>0</v>
      </c>
      <c r="O257" t="n">
        <v>1</v>
      </c>
      <c r="P257" t="n">
        <v>1</v>
      </c>
      <c r="Q257" t="n">
        <v>1</v>
      </c>
      <c r="R257" s="2" t="inlineStr">
        <is>
          <t>Ryl</t>
        </is>
      </c>
      <c r="S257">
        <f>HYPERLINK("https://klasma.github.io/Logging_0980/artfynd/A 2534-2024 artfynd.xlsx", "A 2534-2024")</f>
        <v/>
      </c>
      <c r="T257">
        <f>HYPERLINK("https://klasma.github.io/Logging_0980/kartor/A 2534-2024 karta.png", "A 2534-2024")</f>
        <v/>
      </c>
      <c r="V257">
        <f>HYPERLINK("https://klasma.github.io/Logging_0980/klagomål/A 2534-2024 FSC-klagomål.docx", "A 2534-2024")</f>
        <v/>
      </c>
      <c r="W257">
        <f>HYPERLINK("https://klasma.github.io/Logging_0980/klagomålsmail/A 2534-2024 FSC-klagomål mail.docx", "A 2534-2024")</f>
        <v/>
      </c>
      <c r="X257">
        <f>HYPERLINK("https://klasma.github.io/Logging_0980/tillsyn/A 2534-2024 tillsynsbegäran.docx", "A 2534-2024")</f>
        <v/>
      </c>
      <c r="Y257">
        <f>HYPERLINK("https://klasma.github.io/Logging_0980/tillsynsmail/A 2534-2024 tillsynsbegäran mail.docx", "A 2534-2024")</f>
        <v/>
      </c>
    </row>
    <row r="258" ht="15" customHeight="1">
      <c r="A258" t="inlineStr">
        <is>
          <t>A 6303-2024</t>
        </is>
      </c>
      <c r="B258" s="1" t="n">
        <v>45338</v>
      </c>
      <c r="C258" s="1" t="n">
        <v>45807</v>
      </c>
      <c r="D258" t="inlineStr">
        <is>
          <t>GOTLANDS LÄN</t>
        </is>
      </c>
      <c r="E258" t="inlineStr">
        <is>
          <t>GOTLAND</t>
        </is>
      </c>
      <c r="G258" t="n">
        <v>0.6</v>
      </c>
      <c r="H258" t="n">
        <v>0</v>
      </c>
      <c r="I258" t="n">
        <v>1</v>
      </c>
      <c r="J258" t="n">
        <v>0</v>
      </c>
      <c r="K258" t="n">
        <v>0</v>
      </c>
      <c r="L258" t="n">
        <v>0</v>
      </c>
      <c r="M258" t="n">
        <v>0</v>
      </c>
      <c r="N258" t="n">
        <v>0</v>
      </c>
      <c r="O258" t="n">
        <v>0</v>
      </c>
      <c r="P258" t="n">
        <v>0</v>
      </c>
      <c r="Q258" t="n">
        <v>1</v>
      </c>
      <c r="R258" s="2" t="inlineStr">
        <is>
          <t>Strävlosta</t>
        </is>
      </c>
      <c r="S258">
        <f>HYPERLINK("https://klasma.github.io/Logging_0980/artfynd/A 6303-2024 artfynd.xlsx", "A 6303-2024")</f>
        <v/>
      </c>
      <c r="T258">
        <f>HYPERLINK("https://klasma.github.io/Logging_0980/kartor/A 6303-2024 karta.png", "A 6303-2024")</f>
        <v/>
      </c>
      <c r="V258">
        <f>HYPERLINK("https://klasma.github.io/Logging_0980/klagomål/A 6303-2024 FSC-klagomål.docx", "A 6303-2024")</f>
        <v/>
      </c>
      <c r="W258">
        <f>HYPERLINK("https://klasma.github.io/Logging_0980/klagomålsmail/A 6303-2024 FSC-klagomål mail.docx", "A 6303-2024")</f>
        <v/>
      </c>
      <c r="X258">
        <f>HYPERLINK("https://klasma.github.io/Logging_0980/tillsyn/A 6303-2024 tillsynsbegäran.docx", "A 6303-2024")</f>
        <v/>
      </c>
      <c r="Y258">
        <f>HYPERLINK("https://klasma.github.io/Logging_0980/tillsynsmail/A 6303-2024 tillsynsbegäran mail.docx", "A 6303-2024")</f>
        <v/>
      </c>
    </row>
    <row r="259" ht="15" customHeight="1">
      <c r="A259" t="inlineStr">
        <is>
          <t>A 8291-2024</t>
        </is>
      </c>
      <c r="B259" s="1" t="n">
        <v>45352</v>
      </c>
      <c r="C259" s="1" t="n">
        <v>45807</v>
      </c>
      <c r="D259" t="inlineStr">
        <is>
          <t>GOTLANDS LÄN</t>
        </is>
      </c>
      <c r="E259" t="inlineStr">
        <is>
          <t>GOTLAND</t>
        </is>
      </c>
      <c r="G259" t="n">
        <v>5.4</v>
      </c>
      <c r="H259" t="n">
        <v>1</v>
      </c>
      <c r="I259" t="n">
        <v>0</v>
      </c>
      <c r="J259" t="n">
        <v>1</v>
      </c>
      <c r="K259" t="n">
        <v>0</v>
      </c>
      <c r="L259" t="n">
        <v>0</v>
      </c>
      <c r="M259" t="n">
        <v>0</v>
      </c>
      <c r="N259" t="n">
        <v>0</v>
      </c>
      <c r="O259" t="n">
        <v>1</v>
      </c>
      <c r="P259" t="n">
        <v>0</v>
      </c>
      <c r="Q259" t="n">
        <v>1</v>
      </c>
      <c r="R259" s="2" t="inlineStr">
        <is>
          <t>Ärtsångare</t>
        </is>
      </c>
      <c r="S259">
        <f>HYPERLINK("https://klasma.github.io/Logging_0980/artfynd/A 8291-2024 artfynd.xlsx", "A 8291-2024")</f>
        <v/>
      </c>
      <c r="T259">
        <f>HYPERLINK("https://klasma.github.io/Logging_0980/kartor/A 8291-2024 karta.png", "A 8291-2024")</f>
        <v/>
      </c>
      <c r="V259">
        <f>HYPERLINK("https://klasma.github.io/Logging_0980/klagomål/A 8291-2024 FSC-klagomål.docx", "A 8291-2024")</f>
        <v/>
      </c>
      <c r="W259">
        <f>HYPERLINK("https://klasma.github.io/Logging_0980/klagomålsmail/A 8291-2024 FSC-klagomål mail.docx", "A 8291-2024")</f>
        <v/>
      </c>
      <c r="X259">
        <f>HYPERLINK("https://klasma.github.io/Logging_0980/tillsyn/A 8291-2024 tillsynsbegäran.docx", "A 8291-2024")</f>
        <v/>
      </c>
      <c r="Y259">
        <f>HYPERLINK("https://klasma.github.io/Logging_0980/tillsynsmail/A 8291-2024 tillsynsbegäran mail.docx", "A 8291-2024")</f>
        <v/>
      </c>
      <c r="Z259">
        <f>HYPERLINK("https://klasma.github.io/Logging_0980/fåglar/A 8291-2024 prioriterade fågelarter.docx", "A 8291-2024")</f>
        <v/>
      </c>
    </row>
    <row r="260" ht="15" customHeight="1">
      <c r="A260" t="inlineStr">
        <is>
          <t>A 9862-2024</t>
        </is>
      </c>
      <c r="B260" s="1" t="n">
        <v>45363</v>
      </c>
      <c r="C260" s="1" t="n">
        <v>45807</v>
      </c>
      <c r="D260" t="inlineStr">
        <is>
          <t>GOTLANDS LÄN</t>
        </is>
      </c>
      <c r="E260" t="inlineStr">
        <is>
          <t>GOTLAND</t>
        </is>
      </c>
      <c r="G260" t="n">
        <v>3.5</v>
      </c>
      <c r="H260" t="n">
        <v>1</v>
      </c>
      <c r="I260" t="n">
        <v>0</v>
      </c>
      <c r="J260" t="n">
        <v>0</v>
      </c>
      <c r="K260" t="n">
        <v>0</v>
      </c>
      <c r="L260" t="n">
        <v>0</v>
      </c>
      <c r="M260" t="n">
        <v>0</v>
      </c>
      <c r="N260" t="n">
        <v>0</v>
      </c>
      <c r="O260" t="n">
        <v>0</v>
      </c>
      <c r="P260" t="n">
        <v>0</v>
      </c>
      <c r="Q260" t="n">
        <v>1</v>
      </c>
      <c r="R260" s="2" t="inlineStr">
        <is>
          <t>Nattviol</t>
        </is>
      </c>
      <c r="S260">
        <f>HYPERLINK("https://klasma.github.io/Logging_0980/artfynd/A 9862-2024 artfynd.xlsx", "A 9862-2024")</f>
        <v/>
      </c>
      <c r="T260">
        <f>HYPERLINK("https://klasma.github.io/Logging_0980/kartor/A 9862-2024 karta.png", "A 9862-2024")</f>
        <v/>
      </c>
      <c r="V260">
        <f>HYPERLINK("https://klasma.github.io/Logging_0980/klagomål/A 9862-2024 FSC-klagomål.docx", "A 9862-2024")</f>
        <v/>
      </c>
      <c r="W260">
        <f>HYPERLINK("https://klasma.github.io/Logging_0980/klagomålsmail/A 9862-2024 FSC-klagomål mail.docx", "A 9862-2024")</f>
        <v/>
      </c>
      <c r="X260">
        <f>HYPERLINK("https://klasma.github.io/Logging_0980/tillsyn/A 9862-2024 tillsynsbegäran.docx", "A 9862-2024")</f>
        <v/>
      </c>
      <c r="Y260">
        <f>HYPERLINK("https://klasma.github.io/Logging_0980/tillsynsmail/A 9862-2024 tillsynsbegäran mail.docx", "A 9862-2024")</f>
        <v/>
      </c>
    </row>
    <row r="261" ht="15" customHeight="1">
      <c r="A261" t="inlineStr">
        <is>
          <t>A 10440-2024</t>
        </is>
      </c>
      <c r="B261" s="1" t="n">
        <v>45366</v>
      </c>
      <c r="C261" s="1" t="n">
        <v>45807</v>
      </c>
      <c r="D261" t="inlineStr">
        <is>
          <t>GOTLANDS LÄN</t>
        </is>
      </c>
      <c r="E261" t="inlineStr">
        <is>
          <t>GOTLAND</t>
        </is>
      </c>
      <c r="G261" t="n">
        <v>2.5</v>
      </c>
      <c r="H261" t="n">
        <v>1</v>
      </c>
      <c r="I261" t="n">
        <v>0</v>
      </c>
      <c r="J261" t="n">
        <v>1</v>
      </c>
      <c r="K261" t="n">
        <v>0</v>
      </c>
      <c r="L261" t="n">
        <v>0</v>
      </c>
      <c r="M261" t="n">
        <v>0</v>
      </c>
      <c r="N261" t="n">
        <v>0</v>
      </c>
      <c r="O261" t="n">
        <v>1</v>
      </c>
      <c r="P261" t="n">
        <v>0</v>
      </c>
      <c r="Q261" t="n">
        <v>1</v>
      </c>
      <c r="R261" s="2" t="inlineStr">
        <is>
          <t>Mindre hackspett</t>
        </is>
      </c>
      <c r="S261">
        <f>HYPERLINK("https://klasma.github.io/Logging_0980/artfynd/A 10440-2024 artfynd.xlsx", "A 10440-2024")</f>
        <v/>
      </c>
      <c r="T261">
        <f>HYPERLINK("https://klasma.github.io/Logging_0980/kartor/A 10440-2024 karta.png", "A 10440-2024")</f>
        <v/>
      </c>
      <c r="V261">
        <f>HYPERLINK("https://klasma.github.io/Logging_0980/klagomål/A 10440-2024 FSC-klagomål.docx", "A 10440-2024")</f>
        <v/>
      </c>
      <c r="W261">
        <f>HYPERLINK("https://klasma.github.io/Logging_0980/klagomålsmail/A 10440-2024 FSC-klagomål mail.docx", "A 10440-2024")</f>
        <v/>
      </c>
      <c r="X261">
        <f>HYPERLINK("https://klasma.github.io/Logging_0980/tillsyn/A 10440-2024 tillsynsbegäran.docx", "A 10440-2024")</f>
        <v/>
      </c>
      <c r="Y261">
        <f>HYPERLINK("https://klasma.github.io/Logging_0980/tillsynsmail/A 10440-2024 tillsynsbegäran mail.docx", "A 10440-2024")</f>
        <v/>
      </c>
      <c r="Z261">
        <f>HYPERLINK("https://klasma.github.io/Logging_0980/fåglar/A 10440-2024 prioriterade fågelarter.docx", "A 10440-2024")</f>
        <v/>
      </c>
    </row>
    <row r="262" ht="15" customHeight="1">
      <c r="A262" t="inlineStr">
        <is>
          <t>A 12379-2024</t>
        </is>
      </c>
      <c r="B262" s="1" t="n">
        <v>45379</v>
      </c>
      <c r="C262" s="1" t="n">
        <v>45807</v>
      </c>
      <c r="D262" t="inlineStr">
        <is>
          <t>GOTLANDS LÄN</t>
        </is>
      </c>
      <c r="E262" t="inlineStr">
        <is>
          <t>GOTLAND</t>
        </is>
      </c>
      <c r="G262" t="n">
        <v>4.4</v>
      </c>
      <c r="H262" t="n">
        <v>0</v>
      </c>
      <c r="I262" t="n">
        <v>0</v>
      </c>
      <c r="J262" t="n">
        <v>1</v>
      </c>
      <c r="K262" t="n">
        <v>0</v>
      </c>
      <c r="L262" t="n">
        <v>0</v>
      </c>
      <c r="M262" t="n">
        <v>0</v>
      </c>
      <c r="N262" t="n">
        <v>0</v>
      </c>
      <c r="O262" t="n">
        <v>1</v>
      </c>
      <c r="P262" t="n">
        <v>0</v>
      </c>
      <c r="Q262" t="n">
        <v>1</v>
      </c>
      <c r="R262" s="2" t="inlineStr">
        <is>
          <t>Svinrot</t>
        </is>
      </c>
      <c r="S262">
        <f>HYPERLINK("https://klasma.github.io/Logging_0980/artfynd/A 12379-2024 artfynd.xlsx", "A 12379-2024")</f>
        <v/>
      </c>
      <c r="T262">
        <f>HYPERLINK("https://klasma.github.io/Logging_0980/kartor/A 12379-2024 karta.png", "A 12379-2024")</f>
        <v/>
      </c>
      <c r="V262">
        <f>HYPERLINK("https://klasma.github.io/Logging_0980/klagomål/A 12379-2024 FSC-klagomål.docx", "A 12379-2024")</f>
        <v/>
      </c>
      <c r="W262">
        <f>HYPERLINK("https://klasma.github.io/Logging_0980/klagomålsmail/A 12379-2024 FSC-klagomål mail.docx", "A 12379-2024")</f>
        <v/>
      </c>
      <c r="X262">
        <f>HYPERLINK("https://klasma.github.io/Logging_0980/tillsyn/A 12379-2024 tillsynsbegäran.docx", "A 12379-2024")</f>
        <v/>
      </c>
      <c r="Y262">
        <f>HYPERLINK("https://klasma.github.io/Logging_0980/tillsynsmail/A 12379-2024 tillsynsbegäran mail.docx", "A 12379-2024")</f>
        <v/>
      </c>
    </row>
    <row r="263" ht="15" customHeight="1">
      <c r="A263" t="inlineStr">
        <is>
          <t>A 15629-2024</t>
        </is>
      </c>
      <c r="B263" s="1" t="n">
        <v>45402</v>
      </c>
      <c r="C263" s="1" t="n">
        <v>45807</v>
      </c>
      <c r="D263" t="inlineStr">
        <is>
          <t>GOTLANDS LÄN</t>
        </is>
      </c>
      <c r="E263" t="inlineStr">
        <is>
          <t>GOTLAND</t>
        </is>
      </c>
      <c r="G263" t="n">
        <v>6.3</v>
      </c>
      <c r="H263" t="n">
        <v>1</v>
      </c>
      <c r="I263" t="n">
        <v>0</v>
      </c>
      <c r="J263" t="n">
        <v>1</v>
      </c>
      <c r="K263" t="n">
        <v>0</v>
      </c>
      <c r="L263" t="n">
        <v>0</v>
      </c>
      <c r="M263" t="n">
        <v>0</v>
      </c>
      <c r="N263" t="n">
        <v>0</v>
      </c>
      <c r="O263" t="n">
        <v>1</v>
      </c>
      <c r="P263" t="n">
        <v>0</v>
      </c>
      <c r="Q263" t="n">
        <v>1</v>
      </c>
      <c r="R263" s="2" t="inlineStr">
        <is>
          <t>Apollofjäril</t>
        </is>
      </c>
      <c r="S263">
        <f>HYPERLINK("https://klasma.github.io/Logging_0980/artfynd/A 15629-2024 artfynd.xlsx", "A 15629-2024")</f>
        <v/>
      </c>
      <c r="T263">
        <f>HYPERLINK("https://klasma.github.io/Logging_0980/kartor/A 15629-2024 karta.png", "A 15629-2024")</f>
        <v/>
      </c>
      <c r="V263">
        <f>HYPERLINK("https://klasma.github.io/Logging_0980/klagomål/A 15629-2024 FSC-klagomål.docx", "A 15629-2024")</f>
        <v/>
      </c>
      <c r="W263">
        <f>HYPERLINK("https://klasma.github.io/Logging_0980/klagomålsmail/A 15629-2024 FSC-klagomål mail.docx", "A 15629-2024")</f>
        <v/>
      </c>
      <c r="X263">
        <f>HYPERLINK("https://klasma.github.io/Logging_0980/tillsyn/A 15629-2024 tillsynsbegäran.docx", "A 15629-2024")</f>
        <v/>
      </c>
      <c r="Y263">
        <f>HYPERLINK("https://klasma.github.io/Logging_0980/tillsynsmail/A 15629-2024 tillsynsbegäran mail.docx", "A 15629-2024")</f>
        <v/>
      </c>
    </row>
    <row r="264" ht="15" customHeight="1">
      <c r="A264" t="inlineStr">
        <is>
          <t>A 15637-2024</t>
        </is>
      </c>
      <c r="B264" s="1" t="n">
        <v>45403</v>
      </c>
      <c r="C264" s="1" t="n">
        <v>45807</v>
      </c>
      <c r="D264" t="inlineStr">
        <is>
          <t>GOTLANDS LÄN</t>
        </is>
      </c>
      <c r="E264" t="inlineStr">
        <is>
          <t>GOTLAND</t>
        </is>
      </c>
      <c r="G264" t="n">
        <v>4.1</v>
      </c>
      <c r="H264" t="n">
        <v>1</v>
      </c>
      <c r="I264" t="n">
        <v>0</v>
      </c>
      <c r="J264" t="n">
        <v>0</v>
      </c>
      <c r="K264" t="n">
        <v>0</v>
      </c>
      <c r="L264" t="n">
        <v>0</v>
      </c>
      <c r="M264" t="n">
        <v>0</v>
      </c>
      <c r="N264" t="n">
        <v>0</v>
      </c>
      <c r="O264" t="n">
        <v>0</v>
      </c>
      <c r="P264" t="n">
        <v>0</v>
      </c>
      <c r="Q264" t="n">
        <v>1</v>
      </c>
      <c r="R264" s="2" t="inlineStr">
        <is>
          <t>Blåsippa</t>
        </is>
      </c>
      <c r="S264">
        <f>HYPERLINK("https://klasma.github.io/Logging_0980/artfynd/A 15637-2024 artfynd.xlsx", "A 15637-2024")</f>
        <v/>
      </c>
      <c r="T264">
        <f>HYPERLINK("https://klasma.github.io/Logging_0980/kartor/A 15637-2024 karta.png", "A 15637-2024")</f>
        <v/>
      </c>
      <c r="V264">
        <f>HYPERLINK("https://klasma.github.io/Logging_0980/klagomål/A 15637-2024 FSC-klagomål.docx", "A 15637-2024")</f>
        <v/>
      </c>
      <c r="W264">
        <f>HYPERLINK("https://klasma.github.io/Logging_0980/klagomålsmail/A 15637-2024 FSC-klagomål mail.docx", "A 15637-2024")</f>
        <v/>
      </c>
      <c r="X264">
        <f>HYPERLINK("https://klasma.github.io/Logging_0980/tillsyn/A 15637-2024 tillsynsbegäran.docx", "A 15637-2024")</f>
        <v/>
      </c>
      <c r="Y264">
        <f>HYPERLINK("https://klasma.github.io/Logging_0980/tillsynsmail/A 15637-2024 tillsynsbegäran mail.docx", "A 15637-2024")</f>
        <v/>
      </c>
    </row>
    <row r="265" ht="15" customHeight="1">
      <c r="A265" t="inlineStr">
        <is>
          <t>A 17681-2024</t>
        </is>
      </c>
      <c r="B265" s="1" t="n">
        <v>45418</v>
      </c>
      <c r="C265" s="1" t="n">
        <v>45807</v>
      </c>
      <c r="D265" t="inlineStr">
        <is>
          <t>GOTLANDS LÄN</t>
        </is>
      </c>
      <c r="E265" t="inlineStr">
        <is>
          <t>GOTLAND</t>
        </is>
      </c>
      <c r="G265" t="n">
        <v>1.9</v>
      </c>
      <c r="H265" t="n">
        <v>0</v>
      </c>
      <c r="I265" t="n">
        <v>0</v>
      </c>
      <c r="J265" t="n">
        <v>1</v>
      </c>
      <c r="K265" t="n">
        <v>0</v>
      </c>
      <c r="L265" t="n">
        <v>0</v>
      </c>
      <c r="M265" t="n">
        <v>0</v>
      </c>
      <c r="N265" t="n">
        <v>0</v>
      </c>
      <c r="O265" t="n">
        <v>1</v>
      </c>
      <c r="P265" t="n">
        <v>0</v>
      </c>
      <c r="Q265" t="n">
        <v>1</v>
      </c>
      <c r="R265" s="2" t="inlineStr">
        <is>
          <t>Igelkott</t>
        </is>
      </c>
      <c r="S265">
        <f>HYPERLINK("https://klasma.github.io/Logging_0980/artfynd/A 17681-2024 artfynd.xlsx", "A 17681-2024")</f>
        <v/>
      </c>
      <c r="T265">
        <f>HYPERLINK("https://klasma.github.io/Logging_0980/kartor/A 17681-2024 karta.png", "A 17681-2024")</f>
        <v/>
      </c>
      <c r="V265">
        <f>HYPERLINK("https://klasma.github.io/Logging_0980/klagomål/A 17681-2024 FSC-klagomål.docx", "A 17681-2024")</f>
        <v/>
      </c>
      <c r="W265">
        <f>HYPERLINK("https://klasma.github.io/Logging_0980/klagomålsmail/A 17681-2024 FSC-klagomål mail.docx", "A 17681-2024")</f>
        <v/>
      </c>
      <c r="X265">
        <f>HYPERLINK("https://klasma.github.io/Logging_0980/tillsyn/A 17681-2024 tillsynsbegäran.docx", "A 17681-2024")</f>
        <v/>
      </c>
      <c r="Y265">
        <f>HYPERLINK("https://klasma.github.io/Logging_0980/tillsynsmail/A 17681-2024 tillsynsbegäran mail.docx", "A 17681-2024")</f>
        <v/>
      </c>
    </row>
    <row r="266" ht="15" customHeight="1">
      <c r="A266" t="inlineStr">
        <is>
          <t>A 17727-2024</t>
        </is>
      </c>
      <c r="B266" s="1" t="n">
        <v>45418</v>
      </c>
      <c r="C266" s="1" t="n">
        <v>45807</v>
      </c>
      <c r="D266" t="inlineStr">
        <is>
          <t>GOTLANDS LÄN</t>
        </is>
      </c>
      <c r="E266" t="inlineStr">
        <is>
          <t>GOTLAND</t>
        </is>
      </c>
      <c r="G266" t="n">
        <v>1</v>
      </c>
      <c r="H266" t="n">
        <v>0</v>
      </c>
      <c r="I266" t="n">
        <v>0</v>
      </c>
      <c r="J266" t="n">
        <v>1</v>
      </c>
      <c r="K266" t="n">
        <v>0</v>
      </c>
      <c r="L266" t="n">
        <v>0</v>
      </c>
      <c r="M266" t="n">
        <v>0</v>
      </c>
      <c r="N266" t="n">
        <v>0</v>
      </c>
      <c r="O266" t="n">
        <v>1</v>
      </c>
      <c r="P266" t="n">
        <v>0</v>
      </c>
      <c r="Q266" t="n">
        <v>1</v>
      </c>
      <c r="R266" s="2" t="inlineStr">
        <is>
          <t>Åkerranunkel</t>
        </is>
      </c>
      <c r="S266">
        <f>HYPERLINK("https://klasma.github.io/Logging_0980/artfynd/A 17727-2024 artfynd.xlsx", "A 17727-2024")</f>
        <v/>
      </c>
      <c r="T266">
        <f>HYPERLINK("https://klasma.github.io/Logging_0980/kartor/A 17727-2024 karta.png", "A 17727-2024")</f>
        <v/>
      </c>
      <c r="V266">
        <f>HYPERLINK("https://klasma.github.io/Logging_0980/klagomål/A 17727-2024 FSC-klagomål.docx", "A 17727-2024")</f>
        <v/>
      </c>
      <c r="W266">
        <f>HYPERLINK("https://klasma.github.io/Logging_0980/klagomålsmail/A 17727-2024 FSC-klagomål mail.docx", "A 17727-2024")</f>
        <v/>
      </c>
      <c r="X266">
        <f>HYPERLINK("https://klasma.github.io/Logging_0980/tillsyn/A 17727-2024 tillsynsbegäran.docx", "A 17727-2024")</f>
        <v/>
      </c>
      <c r="Y266">
        <f>HYPERLINK("https://klasma.github.io/Logging_0980/tillsynsmail/A 17727-2024 tillsynsbegäran mail.docx", "A 17727-2024")</f>
        <v/>
      </c>
    </row>
    <row r="267" ht="15" customHeight="1">
      <c r="A267" t="inlineStr">
        <is>
          <t>A 20831-2024</t>
        </is>
      </c>
      <c r="B267" s="1" t="n">
        <v>45439</v>
      </c>
      <c r="C267" s="1" t="n">
        <v>45807</v>
      </c>
      <c r="D267" t="inlineStr">
        <is>
          <t>GOTLANDS LÄN</t>
        </is>
      </c>
      <c r="E267" t="inlineStr">
        <is>
          <t>GOTLAND</t>
        </is>
      </c>
      <c r="G267" t="n">
        <v>2.9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20831-2024 artfynd.xlsx", "A 20831-2024")</f>
        <v/>
      </c>
      <c r="T267">
        <f>HYPERLINK("https://klasma.github.io/Logging_0980/kartor/A 20831-2024 karta.png", "A 20831-2024")</f>
        <v/>
      </c>
      <c r="V267">
        <f>HYPERLINK("https://klasma.github.io/Logging_0980/klagomål/A 20831-2024 FSC-klagomål.docx", "A 20831-2024")</f>
        <v/>
      </c>
      <c r="W267">
        <f>HYPERLINK("https://klasma.github.io/Logging_0980/klagomålsmail/A 20831-2024 FSC-klagomål mail.docx", "A 20831-2024")</f>
        <v/>
      </c>
      <c r="X267">
        <f>HYPERLINK("https://klasma.github.io/Logging_0980/tillsyn/A 20831-2024 tillsynsbegäran.docx", "A 20831-2024")</f>
        <v/>
      </c>
      <c r="Y267">
        <f>HYPERLINK("https://klasma.github.io/Logging_0980/tillsynsmail/A 20831-2024 tillsynsbegäran mail.docx", "A 20831-2024")</f>
        <v/>
      </c>
    </row>
    <row r="268" ht="15" customHeight="1">
      <c r="A268" t="inlineStr">
        <is>
          <t>A 20838-2024</t>
        </is>
      </c>
      <c r="B268" s="1" t="n">
        <v>45439</v>
      </c>
      <c r="C268" s="1" t="n">
        <v>45807</v>
      </c>
      <c r="D268" t="inlineStr">
        <is>
          <t>GOTLANDS LÄN</t>
        </is>
      </c>
      <c r="E268" t="inlineStr">
        <is>
          <t>GOTLAND</t>
        </is>
      </c>
      <c r="G268" t="n">
        <v>0.7</v>
      </c>
      <c r="H268" t="n">
        <v>1</v>
      </c>
      <c r="I268" t="n">
        <v>1</v>
      </c>
      <c r="J268" t="n">
        <v>0</v>
      </c>
      <c r="K268" t="n">
        <v>0</v>
      </c>
      <c r="L268" t="n">
        <v>0</v>
      </c>
      <c r="M268" t="n">
        <v>0</v>
      </c>
      <c r="N268" t="n">
        <v>0</v>
      </c>
      <c r="O268" t="n">
        <v>0</v>
      </c>
      <c r="P268" t="n">
        <v>0</v>
      </c>
      <c r="Q268" t="n">
        <v>1</v>
      </c>
      <c r="R268" s="2" t="inlineStr">
        <is>
          <t>Skogsknipprot</t>
        </is>
      </c>
      <c r="S268">
        <f>HYPERLINK("https://klasma.github.io/Logging_0980/artfynd/A 20838-2024 artfynd.xlsx", "A 20838-2024")</f>
        <v/>
      </c>
      <c r="T268">
        <f>HYPERLINK("https://klasma.github.io/Logging_0980/kartor/A 20838-2024 karta.png", "A 20838-2024")</f>
        <v/>
      </c>
      <c r="V268">
        <f>HYPERLINK("https://klasma.github.io/Logging_0980/klagomål/A 20838-2024 FSC-klagomål.docx", "A 20838-2024")</f>
        <v/>
      </c>
      <c r="W268">
        <f>HYPERLINK("https://klasma.github.io/Logging_0980/klagomålsmail/A 20838-2024 FSC-klagomål mail.docx", "A 20838-2024")</f>
        <v/>
      </c>
      <c r="X268">
        <f>HYPERLINK("https://klasma.github.io/Logging_0980/tillsyn/A 20838-2024 tillsynsbegäran.docx", "A 20838-2024")</f>
        <v/>
      </c>
      <c r="Y268">
        <f>HYPERLINK("https://klasma.github.io/Logging_0980/tillsynsmail/A 20838-2024 tillsynsbegäran mail.docx", "A 20838-2024")</f>
        <v/>
      </c>
    </row>
    <row r="269" ht="15" customHeight="1">
      <c r="A269" t="inlineStr">
        <is>
          <t>A 20833-2024</t>
        </is>
      </c>
      <c r="B269" s="1" t="n">
        <v>45439</v>
      </c>
      <c r="C269" s="1" t="n">
        <v>45807</v>
      </c>
      <c r="D269" t="inlineStr">
        <is>
          <t>GOTLANDS LÄN</t>
        </is>
      </c>
      <c r="E269" t="inlineStr">
        <is>
          <t>GOTLAND</t>
        </is>
      </c>
      <c r="G269" t="n">
        <v>0.9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20833-2024 artfynd.xlsx", "A 20833-2024")</f>
        <v/>
      </c>
      <c r="T269">
        <f>HYPERLINK("https://klasma.github.io/Logging_0980/kartor/A 20833-2024 karta.png", "A 20833-2024")</f>
        <v/>
      </c>
      <c r="V269">
        <f>HYPERLINK("https://klasma.github.io/Logging_0980/klagomål/A 20833-2024 FSC-klagomål.docx", "A 20833-2024")</f>
        <v/>
      </c>
      <c r="W269">
        <f>HYPERLINK("https://klasma.github.io/Logging_0980/klagomålsmail/A 20833-2024 FSC-klagomål mail.docx", "A 20833-2024")</f>
        <v/>
      </c>
      <c r="X269">
        <f>HYPERLINK("https://klasma.github.io/Logging_0980/tillsyn/A 20833-2024 tillsynsbegäran.docx", "A 20833-2024")</f>
        <v/>
      </c>
      <c r="Y269">
        <f>HYPERLINK("https://klasma.github.io/Logging_0980/tillsynsmail/A 20833-2024 tillsynsbegäran mail.docx", "A 20833-2024")</f>
        <v/>
      </c>
    </row>
    <row r="270" ht="15" customHeight="1">
      <c r="A270" t="inlineStr">
        <is>
          <t>A 25977-2024</t>
        </is>
      </c>
      <c r="B270" s="1" t="n">
        <v>45467</v>
      </c>
      <c r="C270" s="1" t="n">
        <v>45807</v>
      </c>
      <c r="D270" t="inlineStr">
        <is>
          <t>GOTLANDS LÄN</t>
        </is>
      </c>
      <c r="E270" t="inlineStr">
        <is>
          <t>GOTLAND</t>
        </is>
      </c>
      <c r="G270" t="n">
        <v>3</v>
      </c>
      <c r="H270" t="n">
        <v>1</v>
      </c>
      <c r="I270" t="n">
        <v>0</v>
      </c>
      <c r="J270" t="n">
        <v>0</v>
      </c>
      <c r="K270" t="n">
        <v>0</v>
      </c>
      <c r="L270" t="n">
        <v>0</v>
      </c>
      <c r="M270" t="n">
        <v>0</v>
      </c>
      <c r="N270" t="n">
        <v>0</v>
      </c>
      <c r="O270" t="n">
        <v>0</v>
      </c>
      <c r="P270" t="n">
        <v>0</v>
      </c>
      <c r="Q270" t="n">
        <v>1</v>
      </c>
      <c r="R270" s="2" t="inlineStr">
        <is>
          <t>Nattviol</t>
        </is>
      </c>
      <c r="S270">
        <f>HYPERLINK("https://klasma.github.io/Logging_0980/artfynd/A 25977-2024 artfynd.xlsx", "A 25977-2024")</f>
        <v/>
      </c>
      <c r="T270">
        <f>HYPERLINK("https://klasma.github.io/Logging_0980/kartor/A 25977-2024 karta.png", "A 25977-2024")</f>
        <v/>
      </c>
      <c r="V270">
        <f>HYPERLINK("https://klasma.github.io/Logging_0980/klagomål/A 25977-2024 FSC-klagomål.docx", "A 25977-2024")</f>
        <v/>
      </c>
      <c r="W270">
        <f>HYPERLINK("https://klasma.github.io/Logging_0980/klagomålsmail/A 25977-2024 FSC-klagomål mail.docx", "A 25977-2024")</f>
        <v/>
      </c>
      <c r="X270">
        <f>HYPERLINK("https://klasma.github.io/Logging_0980/tillsyn/A 25977-2024 tillsynsbegäran.docx", "A 25977-2024")</f>
        <v/>
      </c>
      <c r="Y270">
        <f>HYPERLINK("https://klasma.github.io/Logging_0980/tillsynsmail/A 25977-2024 tillsynsbegäran mail.docx", "A 25977-2024")</f>
        <v/>
      </c>
    </row>
    <row r="271" ht="15" customHeight="1">
      <c r="A271" t="inlineStr">
        <is>
          <t>A 30892-2024</t>
        </is>
      </c>
      <c r="B271" s="1" t="n">
        <v>45491</v>
      </c>
      <c r="C271" s="1" t="n">
        <v>45807</v>
      </c>
      <c r="D271" t="inlineStr">
        <is>
          <t>GOTLANDS LÄN</t>
        </is>
      </c>
      <c r="E271" t="inlineStr">
        <is>
          <t>GOTLAND</t>
        </is>
      </c>
      <c r="G271" t="n">
        <v>16.3</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30892-2024 artfynd.xlsx", "A 30892-2024")</f>
        <v/>
      </c>
      <c r="T271">
        <f>HYPERLINK("https://klasma.github.io/Logging_0980/kartor/A 30892-2024 karta.png", "A 30892-2024")</f>
        <v/>
      </c>
      <c r="V271">
        <f>HYPERLINK("https://klasma.github.io/Logging_0980/klagomål/A 30892-2024 FSC-klagomål.docx", "A 30892-2024")</f>
        <v/>
      </c>
      <c r="W271">
        <f>HYPERLINK("https://klasma.github.io/Logging_0980/klagomålsmail/A 30892-2024 FSC-klagomål mail.docx", "A 30892-2024")</f>
        <v/>
      </c>
      <c r="X271">
        <f>HYPERLINK("https://klasma.github.io/Logging_0980/tillsyn/A 30892-2024 tillsynsbegäran.docx", "A 30892-2024")</f>
        <v/>
      </c>
      <c r="Y271">
        <f>HYPERLINK("https://klasma.github.io/Logging_0980/tillsynsmail/A 30892-2024 tillsynsbegäran mail.docx", "A 30892-2024")</f>
        <v/>
      </c>
    </row>
    <row r="272" ht="15" customHeight="1">
      <c r="A272" t="inlineStr">
        <is>
          <t>A 30410-2024</t>
        </is>
      </c>
      <c r="B272" s="1" t="n">
        <v>45491</v>
      </c>
      <c r="C272" s="1" t="n">
        <v>45807</v>
      </c>
      <c r="D272" t="inlineStr">
        <is>
          <t>GOTLANDS LÄN</t>
        </is>
      </c>
      <c r="E272" t="inlineStr">
        <is>
          <t>GOTLAND</t>
        </is>
      </c>
      <c r="G272" t="n">
        <v>4</v>
      </c>
      <c r="H272" t="n">
        <v>0</v>
      </c>
      <c r="I272" t="n">
        <v>0</v>
      </c>
      <c r="J272" t="n">
        <v>1</v>
      </c>
      <c r="K272" t="n">
        <v>0</v>
      </c>
      <c r="L272" t="n">
        <v>0</v>
      </c>
      <c r="M272" t="n">
        <v>0</v>
      </c>
      <c r="N272" t="n">
        <v>0</v>
      </c>
      <c r="O272" t="n">
        <v>1</v>
      </c>
      <c r="P272" t="n">
        <v>0</v>
      </c>
      <c r="Q272" t="n">
        <v>1</v>
      </c>
      <c r="R272" s="2" t="inlineStr">
        <is>
          <t>Granticka</t>
        </is>
      </c>
      <c r="S272">
        <f>HYPERLINK("https://klasma.github.io/Logging_0980/artfynd/A 30410-2024 artfynd.xlsx", "A 30410-2024")</f>
        <v/>
      </c>
      <c r="T272">
        <f>HYPERLINK("https://klasma.github.io/Logging_0980/kartor/A 30410-2024 karta.png", "A 30410-2024")</f>
        <v/>
      </c>
      <c r="V272">
        <f>HYPERLINK("https://klasma.github.io/Logging_0980/klagomål/A 30410-2024 FSC-klagomål.docx", "A 30410-2024")</f>
        <v/>
      </c>
      <c r="W272">
        <f>HYPERLINK("https://klasma.github.io/Logging_0980/klagomålsmail/A 30410-2024 FSC-klagomål mail.docx", "A 30410-2024")</f>
        <v/>
      </c>
      <c r="X272">
        <f>HYPERLINK("https://klasma.github.io/Logging_0980/tillsyn/A 30410-2024 tillsynsbegäran.docx", "A 30410-2024")</f>
        <v/>
      </c>
      <c r="Y272">
        <f>HYPERLINK("https://klasma.github.io/Logging_0980/tillsynsmail/A 30410-2024 tillsynsbegäran mail.docx", "A 30410-2024")</f>
        <v/>
      </c>
    </row>
    <row r="273" ht="15" customHeight="1">
      <c r="A273" t="inlineStr">
        <is>
          <t>A 31750-2024</t>
        </is>
      </c>
      <c r="B273" s="1" t="n">
        <v>45509</v>
      </c>
      <c r="C273" s="1" t="n">
        <v>45807</v>
      </c>
      <c r="D273" t="inlineStr">
        <is>
          <t>GOTLANDS LÄN</t>
        </is>
      </c>
      <c r="E273" t="inlineStr">
        <is>
          <t>GOTLAND</t>
        </is>
      </c>
      <c r="G273" t="n">
        <v>10.3</v>
      </c>
      <c r="H273" t="n">
        <v>1</v>
      </c>
      <c r="I273" t="n">
        <v>0</v>
      </c>
      <c r="J273" t="n">
        <v>1</v>
      </c>
      <c r="K273" t="n">
        <v>0</v>
      </c>
      <c r="L273" t="n">
        <v>0</v>
      </c>
      <c r="M273" t="n">
        <v>0</v>
      </c>
      <c r="N273" t="n">
        <v>0</v>
      </c>
      <c r="O273" t="n">
        <v>1</v>
      </c>
      <c r="P273" t="n">
        <v>0</v>
      </c>
      <c r="Q273" t="n">
        <v>1</v>
      </c>
      <c r="R273" s="2" t="inlineStr">
        <is>
          <t>Grönsångare</t>
        </is>
      </c>
      <c r="S273">
        <f>HYPERLINK("https://klasma.github.io/Logging_0980/artfynd/A 31750-2024 artfynd.xlsx", "A 31750-2024")</f>
        <v/>
      </c>
      <c r="T273">
        <f>HYPERLINK("https://klasma.github.io/Logging_0980/kartor/A 31750-2024 karta.png", "A 31750-2024")</f>
        <v/>
      </c>
      <c r="V273">
        <f>HYPERLINK("https://klasma.github.io/Logging_0980/klagomål/A 31750-2024 FSC-klagomål.docx", "A 31750-2024")</f>
        <v/>
      </c>
      <c r="W273">
        <f>HYPERLINK("https://klasma.github.io/Logging_0980/klagomålsmail/A 31750-2024 FSC-klagomål mail.docx", "A 31750-2024")</f>
        <v/>
      </c>
      <c r="X273">
        <f>HYPERLINK("https://klasma.github.io/Logging_0980/tillsyn/A 31750-2024 tillsynsbegäran.docx", "A 31750-2024")</f>
        <v/>
      </c>
      <c r="Y273">
        <f>HYPERLINK("https://klasma.github.io/Logging_0980/tillsynsmail/A 31750-2024 tillsynsbegäran mail.docx", "A 31750-2024")</f>
        <v/>
      </c>
      <c r="Z273">
        <f>HYPERLINK("https://klasma.github.io/Logging_0980/fåglar/A 31750-2024 prioriterade fågelarter.docx", "A 31750-2024")</f>
        <v/>
      </c>
    </row>
    <row r="274" ht="15" customHeight="1">
      <c r="A274" t="inlineStr">
        <is>
          <t>A 33081-2024</t>
        </is>
      </c>
      <c r="B274" s="1" t="n">
        <v>45517</v>
      </c>
      <c r="C274" s="1" t="n">
        <v>45807</v>
      </c>
      <c r="D274" t="inlineStr">
        <is>
          <t>GOTLANDS LÄN</t>
        </is>
      </c>
      <c r="E274" t="inlineStr">
        <is>
          <t>GOTLAND</t>
        </is>
      </c>
      <c r="G274" t="n">
        <v>1.4</v>
      </c>
      <c r="H274" t="n">
        <v>0</v>
      </c>
      <c r="I274" t="n">
        <v>0</v>
      </c>
      <c r="J274" t="n">
        <v>0</v>
      </c>
      <c r="K274" t="n">
        <v>1</v>
      </c>
      <c r="L274" t="n">
        <v>0</v>
      </c>
      <c r="M274" t="n">
        <v>0</v>
      </c>
      <c r="N274" t="n">
        <v>0</v>
      </c>
      <c r="O274" t="n">
        <v>1</v>
      </c>
      <c r="P274" t="n">
        <v>1</v>
      </c>
      <c r="Q274" t="n">
        <v>1</v>
      </c>
      <c r="R274" s="2" t="inlineStr">
        <is>
          <t>Gotlandsmåra</t>
        </is>
      </c>
      <c r="S274">
        <f>HYPERLINK("https://klasma.github.io/Logging_0980/artfynd/A 33081-2024 artfynd.xlsx", "A 33081-2024")</f>
        <v/>
      </c>
      <c r="T274">
        <f>HYPERLINK("https://klasma.github.io/Logging_0980/kartor/A 33081-2024 karta.png", "A 33081-2024")</f>
        <v/>
      </c>
      <c r="V274">
        <f>HYPERLINK("https://klasma.github.io/Logging_0980/klagomål/A 33081-2024 FSC-klagomål.docx", "A 33081-2024")</f>
        <v/>
      </c>
      <c r="W274">
        <f>HYPERLINK("https://klasma.github.io/Logging_0980/klagomålsmail/A 33081-2024 FSC-klagomål mail.docx", "A 33081-2024")</f>
        <v/>
      </c>
      <c r="X274">
        <f>HYPERLINK("https://klasma.github.io/Logging_0980/tillsyn/A 33081-2024 tillsynsbegäran.docx", "A 33081-2024")</f>
        <v/>
      </c>
      <c r="Y274">
        <f>HYPERLINK("https://klasma.github.io/Logging_0980/tillsynsmail/A 33081-2024 tillsynsbegäran mail.docx", "A 33081-2024")</f>
        <v/>
      </c>
    </row>
    <row r="275" ht="15" customHeight="1">
      <c r="A275" t="inlineStr">
        <is>
          <t>A 34141-2024</t>
        </is>
      </c>
      <c r="B275" s="1" t="n">
        <v>45524</v>
      </c>
      <c r="C275" s="1" t="n">
        <v>45807</v>
      </c>
      <c r="D275" t="inlineStr">
        <is>
          <t>GOTLANDS LÄN</t>
        </is>
      </c>
      <c r="E275" t="inlineStr">
        <is>
          <t>GOTLAND</t>
        </is>
      </c>
      <c r="G275" t="n">
        <v>0.9</v>
      </c>
      <c r="H275" t="n">
        <v>0</v>
      </c>
      <c r="I275" t="n">
        <v>1</v>
      </c>
      <c r="J275" t="n">
        <v>0</v>
      </c>
      <c r="K275" t="n">
        <v>0</v>
      </c>
      <c r="L275" t="n">
        <v>0</v>
      </c>
      <c r="M275" t="n">
        <v>0</v>
      </c>
      <c r="N275" t="n">
        <v>0</v>
      </c>
      <c r="O275" t="n">
        <v>0</v>
      </c>
      <c r="P275" t="n">
        <v>0</v>
      </c>
      <c r="Q275" t="n">
        <v>1</v>
      </c>
      <c r="R275" s="2" t="inlineStr">
        <is>
          <t>Strävlosta</t>
        </is>
      </c>
      <c r="S275">
        <f>HYPERLINK("https://klasma.github.io/Logging_0980/artfynd/A 34141-2024 artfynd.xlsx", "A 34141-2024")</f>
        <v/>
      </c>
      <c r="T275">
        <f>HYPERLINK("https://klasma.github.io/Logging_0980/kartor/A 34141-2024 karta.png", "A 34141-2024")</f>
        <v/>
      </c>
      <c r="V275">
        <f>HYPERLINK("https://klasma.github.io/Logging_0980/klagomål/A 34141-2024 FSC-klagomål.docx", "A 34141-2024")</f>
        <v/>
      </c>
      <c r="W275">
        <f>HYPERLINK("https://klasma.github.io/Logging_0980/klagomålsmail/A 34141-2024 FSC-klagomål mail.docx", "A 34141-2024")</f>
        <v/>
      </c>
      <c r="X275">
        <f>HYPERLINK("https://klasma.github.io/Logging_0980/tillsyn/A 34141-2024 tillsynsbegäran.docx", "A 34141-2024")</f>
        <v/>
      </c>
      <c r="Y275">
        <f>HYPERLINK("https://klasma.github.io/Logging_0980/tillsynsmail/A 34141-2024 tillsynsbegäran mail.docx", "A 34141-2024")</f>
        <v/>
      </c>
    </row>
    <row r="276" ht="15" customHeight="1">
      <c r="A276" t="inlineStr">
        <is>
          <t>A 34809-2024</t>
        </is>
      </c>
      <c r="B276" s="1" t="n">
        <v>45526</v>
      </c>
      <c r="C276" s="1" t="n">
        <v>45807</v>
      </c>
      <c r="D276" t="inlineStr">
        <is>
          <t>GOTLANDS LÄN</t>
        </is>
      </c>
      <c r="E276" t="inlineStr">
        <is>
          <t>GOTLAND</t>
        </is>
      </c>
      <c r="G276" t="n">
        <v>9.9</v>
      </c>
      <c r="H276" t="n">
        <v>1</v>
      </c>
      <c r="I276" t="n">
        <v>0</v>
      </c>
      <c r="J276" t="n">
        <v>1</v>
      </c>
      <c r="K276" t="n">
        <v>0</v>
      </c>
      <c r="L276" t="n">
        <v>0</v>
      </c>
      <c r="M276" t="n">
        <v>0</v>
      </c>
      <c r="N276" t="n">
        <v>0</v>
      </c>
      <c r="O276" t="n">
        <v>1</v>
      </c>
      <c r="P276" t="n">
        <v>0</v>
      </c>
      <c r="Q276" t="n">
        <v>1</v>
      </c>
      <c r="R276" s="2" t="inlineStr">
        <is>
          <t>Brun ögontröst</t>
        </is>
      </c>
      <c r="S276">
        <f>HYPERLINK("https://klasma.github.io/Logging_0980/artfynd/A 34809-2024 artfynd.xlsx", "A 34809-2024")</f>
        <v/>
      </c>
      <c r="T276">
        <f>HYPERLINK("https://klasma.github.io/Logging_0980/kartor/A 34809-2024 karta.png", "A 34809-2024")</f>
        <v/>
      </c>
      <c r="V276">
        <f>HYPERLINK("https://klasma.github.io/Logging_0980/klagomål/A 34809-2024 FSC-klagomål.docx", "A 34809-2024")</f>
        <v/>
      </c>
      <c r="W276">
        <f>HYPERLINK("https://klasma.github.io/Logging_0980/klagomålsmail/A 34809-2024 FSC-klagomål mail.docx", "A 34809-2024")</f>
        <v/>
      </c>
      <c r="X276">
        <f>HYPERLINK("https://klasma.github.io/Logging_0980/tillsyn/A 34809-2024 tillsynsbegäran.docx", "A 34809-2024")</f>
        <v/>
      </c>
      <c r="Y276">
        <f>HYPERLINK("https://klasma.github.io/Logging_0980/tillsynsmail/A 34809-2024 tillsynsbegäran mail.docx", "A 34809-2024")</f>
        <v/>
      </c>
    </row>
    <row r="277" ht="15" customHeight="1">
      <c r="A277" t="inlineStr">
        <is>
          <t>A 35574-2024</t>
        </is>
      </c>
      <c r="B277" s="1" t="n">
        <v>45531</v>
      </c>
      <c r="C277" s="1" t="n">
        <v>45807</v>
      </c>
      <c r="D277" t="inlineStr">
        <is>
          <t>GOTLANDS LÄN</t>
        </is>
      </c>
      <c r="E277" t="inlineStr">
        <is>
          <t>GOTLAND</t>
        </is>
      </c>
      <c r="G277" t="n">
        <v>5.7</v>
      </c>
      <c r="H277" t="n">
        <v>0</v>
      </c>
      <c r="I277" t="n">
        <v>1</v>
      </c>
      <c r="J277" t="n">
        <v>0</v>
      </c>
      <c r="K277" t="n">
        <v>0</v>
      </c>
      <c r="L277" t="n">
        <v>0</v>
      </c>
      <c r="M277" t="n">
        <v>0</v>
      </c>
      <c r="N277" t="n">
        <v>0</v>
      </c>
      <c r="O277" t="n">
        <v>0</v>
      </c>
      <c r="P277" t="n">
        <v>0</v>
      </c>
      <c r="Q277" t="n">
        <v>1</v>
      </c>
      <c r="R277" s="2" t="inlineStr">
        <is>
          <t>Murgröna</t>
        </is>
      </c>
      <c r="S277">
        <f>HYPERLINK("https://klasma.github.io/Logging_0980/artfynd/A 35574-2024 artfynd.xlsx", "A 35574-2024")</f>
        <v/>
      </c>
      <c r="T277">
        <f>HYPERLINK("https://klasma.github.io/Logging_0980/kartor/A 35574-2024 karta.png", "A 35574-2024")</f>
        <v/>
      </c>
      <c r="V277">
        <f>HYPERLINK("https://klasma.github.io/Logging_0980/klagomål/A 35574-2024 FSC-klagomål.docx", "A 35574-2024")</f>
        <v/>
      </c>
      <c r="W277">
        <f>HYPERLINK("https://klasma.github.io/Logging_0980/klagomålsmail/A 35574-2024 FSC-klagomål mail.docx", "A 35574-2024")</f>
        <v/>
      </c>
      <c r="X277">
        <f>HYPERLINK("https://klasma.github.io/Logging_0980/tillsyn/A 35574-2024 tillsynsbegäran.docx", "A 35574-2024")</f>
        <v/>
      </c>
      <c r="Y277">
        <f>HYPERLINK("https://klasma.github.io/Logging_0980/tillsynsmail/A 35574-2024 tillsynsbegäran mail.docx", "A 35574-2024")</f>
        <v/>
      </c>
    </row>
    <row r="278" ht="15" customHeight="1">
      <c r="A278" t="inlineStr">
        <is>
          <t>A 40805-2024</t>
        </is>
      </c>
      <c r="B278" s="1" t="n">
        <v>45558</v>
      </c>
      <c r="C278" s="1" t="n">
        <v>45807</v>
      </c>
      <c r="D278" t="inlineStr">
        <is>
          <t>GOTLANDS LÄN</t>
        </is>
      </c>
      <c r="E278" t="inlineStr">
        <is>
          <t>GOTLAND</t>
        </is>
      </c>
      <c r="G278" t="n">
        <v>13.2</v>
      </c>
      <c r="H278" t="n">
        <v>1</v>
      </c>
      <c r="I278" t="n">
        <v>1</v>
      </c>
      <c r="J278" t="n">
        <v>0</v>
      </c>
      <c r="K278" t="n">
        <v>0</v>
      </c>
      <c r="L278" t="n">
        <v>0</v>
      </c>
      <c r="M278" t="n">
        <v>0</v>
      </c>
      <c r="N278" t="n">
        <v>0</v>
      </c>
      <c r="O278" t="n">
        <v>0</v>
      </c>
      <c r="P278" t="n">
        <v>0</v>
      </c>
      <c r="Q278" t="n">
        <v>1</v>
      </c>
      <c r="R278" s="2" t="inlineStr">
        <is>
          <t>Skogsknipprot</t>
        </is>
      </c>
      <c r="S278">
        <f>HYPERLINK("https://klasma.github.io/Logging_0980/artfynd/A 40805-2024 artfynd.xlsx", "A 40805-2024")</f>
        <v/>
      </c>
      <c r="T278">
        <f>HYPERLINK("https://klasma.github.io/Logging_0980/kartor/A 40805-2024 karta.png", "A 40805-2024")</f>
        <v/>
      </c>
      <c r="V278">
        <f>HYPERLINK("https://klasma.github.io/Logging_0980/klagomål/A 40805-2024 FSC-klagomål.docx", "A 40805-2024")</f>
        <v/>
      </c>
      <c r="W278">
        <f>HYPERLINK("https://klasma.github.io/Logging_0980/klagomålsmail/A 40805-2024 FSC-klagomål mail.docx", "A 40805-2024")</f>
        <v/>
      </c>
      <c r="X278">
        <f>HYPERLINK("https://klasma.github.io/Logging_0980/tillsyn/A 40805-2024 tillsynsbegäran.docx", "A 40805-2024")</f>
        <v/>
      </c>
      <c r="Y278">
        <f>HYPERLINK("https://klasma.github.io/Logging_0980/tillsynsmail/A 40805-2024 tillsynsbegäran mail.docx", "A 40805-2024")</f>
        <v/>
      </c>
    </row>
    <row r="279" ht="15" customHeight="1">
      <c r="A279" t="inlineStr">
        <is>
          <t>A 44468-2024</t>
        </is>
      </c>
      <c r="B279" s="1" t="n">
        <v>45574</v>
      </c>
      <c r="C279" s="1" t="n">
        <v>45807</v>
      </c>
      <c r="D279" t="inlineStr">
        <is>
          <t>GOTLANDS LÄN</t>
        </is>
      </c>
      <c r="E279" t="inlineStr">
        <is>
          <t>GOTLAND</t>
        </is>
      </c>
      <c r="G279" t="n">
        <v>7</v>
      </c>
      <c r="H279" t="n">
        <v>0</v>
      </c>
      <c r="I279" t="n">
        <v>0</v>
      </c>
      <c r="J279" t="n">
        <v>0</v>
      </c>
      <c r="K279" t="n">
        <v>0</v>
      </c>
      <c r="L279" t="n">
        <v>0</v>
      </c>
      <c r="M279" t="n">
        <v>1</v>
      </c>
      <c r="N279" t="n">
        <v>0</v>
      </c>
      <c r="O279" t="n">
        <v>1</v>
      </c>
      <c r="P279" t="n">
        <v>1</v>
      </c>
      <c r="Q279" t="n">
        <v>1</v>
      </c>
      <c r="R279" s="2" t="inlineStr">
        <is>
          <t>Skogsalm</t>
        </is>
      </c>
      <c r="S279">
        <f>HYPERLINK("https://klasma.github.io/Logging_0980/artfynd/A 44468-2024 artfynd.xlsx", "A 44468-2024")</f>
        <v/>
      </c>
      <c r="T279">
        <f>HYPERLINK("https://klasma.github.io/Logging_0980/kartor/A 44468-2024 karta.png", "A 44468-2024")</f>
        <v/>
      </c>
      <c r="V279">
        <f>HYPERLINK("https://klasma.github.io/Logging_0980/klagomål/A 44468-2024 FSC-klagomål.docx", "A 44468-2024")</f>
        <v/>
      </c>
      <c r="W279">
        <f>HYPERLINK("https://klasma.github.io/Logging_0980/klagomålsmail/A 44468-2024 FSC-klagomål mail.docx", "A 44468-2024")</f>
        <v/>
      </c>
      <c r="X279">
        <f>HYPERLINK("https://klasma.github.io/Logging_0980/tillsyn/A 44468-2024 tillsynsbegäran.docx", "A 44468-2024")</f>
        <v/>
      </c>
      <c r="Y279">
        <f>HYPERLINK("https://klasma.github.io/Logging_0980/tillsynsmail/A 44468-2024 tillsynsbegäran mail.docx", "A 44468-2024")</f>
        <v/>
      </c>
    </row>
    <row r="280" ht="15" customHeight="1">
      <c r="A280" t="inlineStr">
        <is>
          <t>A 48155-2024</t>
        </is>
      </c>
      <c r="B280" s="1" t="n">
        <v>45589</v>
      </c>
      <c r="C280" s="1" t="n">
        <v>45807</v>
      </c>
      <c r="D280" t="inlineStr">
        <is>
          <t>GOTLANDS LÄN</t>
        </is>
      </c>
      <c r="E280" t="inlineStr">
        <is>
          <t>GOTLAND</t>
        </is>
      </c>
      <c r="G280" t="n">
        <v>2.4</v>
      </c>
      <c r="H280" t="n">
        <v>1</v>
      </c>
      <c r="I280" t="n">
        <v>0</v>
      </c>
      <c r="J280" t="n">
        <v>0</v>
      </c>
      <c r="K280" t="n">
        <v>0</v>
      </c>
      <c r="L280" t="n">
        <v>0</v>
      </c>
      <c r="M280" t="n">
        <v>0</v>
      </c>
      <c r="N280" t="n">
        <v>0</v>
      </c>
      <c r="O280" t="n">
        <v>0</v>
      </c>
      <c r="P280" t="n">
        <v>0</v>
      </c>
      <c r="Q280" t="n">
        <v>1</v>
      </c>
      <c r="R280" s="2" t="inlineStr">
        <is>
          <t>Gröngöling</t>
        </is>
      </c>
      <c r="S280">
        <f>HYPERLINK("https://klasma.github.io/Logging_0980/artfynd/A 48155-2024 artfynd.xlsx", "A 48155-2024")</f>
        <v/>
      </c>
      <c r="T280">
        <f>HYPERLINK("https://klasma.github.io/Logging_0980/kartor/A 48155-2024 karta.png", "A 48155-2024")</f>
        <v/>
      </c>
      <c r="V280">
        <f>HYPERLINK("https://klasma.github.io/Logging_0980/klagomål/A 48155-2024 FSC-klagomål.docx", "A 48155-2024")</f>
        <v/>
      </c>
      <c r="W280">
        <f>HYPERLINK("https://klasma.github.io/Logging_0980/klagomålsmail/A 48155-2024 FSC-klagomål mail.docx", "A 48155-2024")</f>
        <v/>
      </c>
      <c r="X280">
        <f>HYPERLINK("https://klasma.github.io/Logging_0980/tillsyn/A 48155-2024 tillsynsbegäran.docx", "A 48155-2024")</f>
        <v/>
      </c>
      <c r="Y280">
        <f>HYPERLINK("https://klasma.github.io/Logging_0980/tillsynsmail/A 48155-2024 tillsynsbegäran mail.docx", "A 48155-2024")</f>
        <v/>
      </c>
      <c r="Z280">
        <f>HYPERLINK("https://klasma.github.io/Logging_0980/fåglar/A 48155-2024 prioriterade fågelarter.docx", "A 48155-2024")</f>
        <v/>
      </c>
    </row>
    <row r="281" ht="15" customHeight="1">
      <c r="A281" t="inlineStr">
        <is>
          <t>A 49304-2024</t>
        </is>
      </c>
      <c r="B281" s="1" t="n">
        <v>45595</v>
      </c>
      <c r="C281" s="1" t="n">
        <v>45807</v>
      </c>
      <c r="D281" t="inlineStr">
        <is>
          <t>GOTLANDS LÄN</t>
        </is>
      </c>
      <c r="E281" t="inlineStr">
        <is>
          <t>GOTLAND</t>
        </is>
      </c>
      <c r="G281" t="n">
        <v>10.8</v>
      </c>
      <c r="H281" t="n">
        <v>0</v>
      </c>
      <c r="I281" t="n">
        <v>0</v>
      </c>
      <c r="J281" t="n">
        <v>1</v>
      </c>
      <c r="K281" t="n">
        <v>0</v>
      </c>
      <c r="L281" t="n">
        <v>0</v>
      </c>
      <c r="M281" t="n">
        <v>0</v>
      </c>
      <c r="N281" t="n">
        <v>0</v>
      </c>
      <c r="O281" t="n">
        <v>1</v>
      </c>
      <c r="P281" t="n">
        <v>0</v>
      </c>
      <c r="Q281" t="n">
        <v>1</v>
      </c>
      <c r="R281" s="2" t="inlineStr">
        <is>
          <t>Åkerranunkel</t>
        </is>
      </c>
      <c r="S281">
        <f>HYPERLINK("https://klasma.github.io/Logging_0980/artfynd/A 49304-2024 artfynd.xlsx", "A 49304-2024")</f>
        <v/>
      </c>
      <c r="T281">
        <f>HYPERLINK("https://klasma.github.io/Logging_0980/kartor/A 49304-2024 karta.png", "A 49304-2024")</f>
        <v/>
      </c>
      <c r="V281">
        <f>HYPERLINK("https://klasma.github.io/Logging_0980/klagomål/A 49304-2024 FSC-klagomål.docx", "A 49304-2024")</f>
        <v/>
      </c>
      <c r="W281">
        <f>HYPERLINK("https://klasma.github.io/Logging_0980/klagomålsmail/A 49304-2024 FSC-klagomål mail.docx", "A 49304-2024")</f>
        <v/>
      </c>
      <c r="X281">
        <f>HYPERLINK("https://klasma.github.io/Logging_0980/tillsyn/A 49304-2024 tillsynsbegäran.docx", "A 49304-2024")</f>
        <v/>
      </c>
      <c r="Y281">
        <f>HYPERLINK("https://klasma.github.io/Logging_0980/tillsynsmail/A 49304-2024 tillsynsbegäran mail.docx", "A 49304-2024")</f>
        <v/>
      </c>
    </row>
    <row r="282" ht="15" customHeight="1">
      <c r="A282" t="inlineStr">
        <is>
          <t>A 2476-2025</t>
        </is>
      </c>
      <c r="B282" s="1" t="n">
        <v>45673</v>
      </c>
      <c r="C282" s="1" t="n">
        <v>45807</v>
      </c>
      <c r="D282" t="inlineStr">
        <is>
          <t>GOTLANDS LÄN</t>
        </is>
      </c>
      <c r="E282" t="inlineStr">
        <is>
          <t>GOTLAND</t>
        </is>
      </c>
      <c r="G282" t="n">
        <v>3.1</v>
      </c>
      <c r="H282" t="n">
        <v>0</v>
      </c>
      <c r="I282" t="n">
        <v>1</v>
      </c>
      <c r="J282" t="n">
        <v>0</v>
      </c>
      <c r="K282" t="n">
        <v>0</v>
      </c>
      <c r="L282" t="n">
        <v>0</v>
      </c>
      <c r="M282" t="n">
        <v>0</v>
      </c>
      <c r="N282" t="n">
        <v>0</v>
      </c>
      <c r="O282" t="n">
        <v>0</v>
      </c>
      <c r="P282" t="n">
        <v>0</v>
      </c>
      <c r="Q282" t="n">
        <v>1</v>
      </c>
      <c r="R282" s="2" t="inlineStr">
        <is>
          <t>Kryddspindling</t>
        </is>
      </c>
      <c r="S282">
        <f>HYPERLINK("https://klasma.github.io/Logging_0980/artfynd/A 2476-2025 artfynd.xlsx", "A 2476-2025")</f>
        <v/>
      </c>
      <c r="T282">
        <f>HYPERLINK("https://klasma.github.io/Logging_0980/kartor/A 2476-2025 karta.png", "A 2476-2025")</f>
        <v/>
      </c>
      <c r="V282">
        <f>HYPERLINK("https://klasma.github.io/Logging_0980/klagomål/A 2476-2025 FSC-klagomål.docx", "A 2476-2025")</f>
        <v/>
      </c>
      <c r="W282">
        <f>HYPERLINK("https://klasma.github.io/Logging_0980/klagomålsmail/A 2476-2025 FSC-klagomål mail.docx", "A 2476-2025")</f>
        <v/>
      </c>
      <c r="X282">
        <f>HYPERLINK("https://klasma.github.io/Logging_0980/tillsyn/A 2476-2025 tillsynsbegäran.docx", "A 2476-2025")</f>
        <v/>
      </c>
      <c r="Y282">
        <f>HYPERLINK("https://klasma.github.io/Logging_0980/tillsynsmail/A 2476-2025 tillsynsbegäran mail.docx", "A 2476-2025")</f>
        <v/>
      </c>
    </row>
    <row r="283" ht="15" customHeight="1">
      <c r="A283" t="inlineStr">
        <is>
          <t>A 4984-2025</t>
        </is>
      </c>
      <c r="B283" s="1" t="n">
        <v>45691</v>
      </c>
      <c r="C283" s="1" t="n">
        <v>45807</v>
      </c>
      <c r="D283" t="inlineStr">
        <is>
          <t>GOTLANDS LÄN</t>
        </is>
      </c>
      <c r="E283" t="inlineStr">
        <is>
          <t>GOTLAND</t>
        </is>
      </c>
      <c r="G283" t="n">
        <v>1.3</v>
      </c>
      <c r="H283" t="n">
        <v>1</v>
      </c>
      <c r="I283" t="n">
        <v>0</v>
      </c>
      <c r="J283" t="n">
        <v>0</v>
      </c>
      <c r="K283" t="n">
        <v>0</v>
      </c>
      <c r="L283" t="n">
        <v>0</v>
      </c>
      <c r="M283" t="n">
        <v>0</v>
      </c>
      <c r="N283" t="n">
        <v>0</v>
      </c>
      <c r="O283" t="n">
        <v>0</v>
      </c>
      <c r="P283" t="n">
        <v>0</v>
      </c>
      <c r="Q283" t="n">
        <v>1</v>
      </c>
      <c r="R283" s="2" t="inlineStr">
        <is>
          <t>Kärrknipprot</t>
        </is>
      </c>
      <c r="S283">
        <f>HYPERLINK("https://klasma.github.io/Logging_0980/artfynd/A 4984-2025 artfynd.xlsx", "A 4984-2025")</f>
        <v/>
      </c>
      <c r="T283">
        <f>HYPERLINK("https://klasma.github.io/Logging_0980/kartor/A 4984-2025 karta.png", "A 4984-2025")</f>
        <v/>
      </c>
      <c r="V283">
        <f>HYPERLINK("https://klasma.github.io/Logging_0980/klagomål/A 4984-2025 FSC-klagomål.docx", "A 4984-2025")</f>
        <v/>
      </c>
      <c r="W283">
        <f>HYPERLINK("https://klasma.github.io/Logging_0980/klagomålsmail/A 4984-2025 FSC-klagomål mail.docx", "A 4984-2025")</f>
        <v/>
      </c>
      <c r="X283">
        <f>HYPERLINK("https://klasma.github.io/Logging_0980/tillsyn/A 4984-2025 tillsynsbegäran.docx", "A 4984-2025")</f>
        <v/>
      </c>
      <c r="Y283">
        <f>HYPERLINK("https://klasma.github.io/Logging_0980/tillsynsmail/A 4984-2025 tillsynsbegäran mail.docx", "A 4984-2025")</f>
        <v/>
      </c>
    </row>
    <row r="284" ht="15" customHeight="1">
      <c r="A284" t="inlineStr">
        <is>
          <t>A 7637-2025</t>
        </is>
      </c>
      <c r="B284" s="1" t="n">
        <v>45705</v>
      </c>
      <c r="C284" s="1" t="n">
        <v>45807</v>
      </c>
      <c r="D284" t="inlineStr">
        <is>
          <t>GOTLANDS LÄN</t>
        </is>
      </c>
      <c r="E284" t="inlineStr">
        <is>
          <t>GOTLAND</t>
        </is>
      </c>
      <c r="G284" t="n">
        <v>3.7</v>
      </c>
      <c r="H284" t="n">
        <v>0</v>
      </c>
      <c r="I284" t="n">
        <v>0</v>
      </c>
      <c r="J284" t="n">
        <v>0</v>
      </c>
      <c r="K284" t="n">
        <v>0</v>
      </c>
      <c r="L284" t="n">
        <v>0</v>
      </c>
      <c r="M284" t="n">
        <v>1</v>
      </c>
      <c r="N284" t="n">
        <v>0</v>
      </c>
      <c r="O284" t="n">
        <v>1</v>
      </c>
      <c r="P284" t="n">
        <v>1</v>
      </c>
      <c r="Q284" t="n">
        <v>1</v>
      </c>
      <c r="R284" s="2" t="inlineStr">
        <is>
          <t>Skogsalm</t>
        </is>
      </c>
      <c r="S284">
        <f>HYPERLINK("https://klasma.github.io/Logging_0980/artfynd/A 7637-2025 artfynd.xlsx", "A 7637-2025")</f>
        <v/>
      </c>
      <c r="T284">
        <f>HYPERLINK("https://klasma.github.io/Logging_0980/kartor/A 7637-2025 karta.png", "A 7637-2025")</f>
        <v/>
      </c>
      <c r="V284">
        <f>HYPERLINK("https://klasma.github.io/Logging_0980/klagomål/A 7637-2025 FSC-klagomål.docx", "A 7637-2025")</f>
        <v/>
      </c>
      <c r="W284">
        <f>HYPERLINK("https://klasma.github.io/Logging_0980/klagomålsmail/A 7637-2025 FSC-klagomål mail.docx", "A 7637-2025")</f>
        <v/>
      </c>
      <c r="X284">
        <f>HYPERLINK("https://klasma.github.io/Logging_0980/tillsyn/A 7637-2025 tillsynsbegäran.docx", "A 7637-2025")</f>
        <v/>
      </c>
      <c r="Y284">
        <f>HYPERLINK("https://klasma.github.io/Logging_0980/tillsynsmail/A 7637-2025 tillsynsbegäran mail.docx", "A 7637-2025")</f>
        <v/>
      </c>
    </row>
    <row r="285" ht="15" customHeight="1">
      <c r="A285" t="inlineStr">
        <is>
          <t>A 8725-2025</t>
        </is>
      </c>
      <c r="B285" s="1" t="n">
        <v>45712</v>
      </c>
      <c r="C285" s="1" t="n">
        <v>45807</v>
      </c>
      <c r="D285" t="inlineStr">
        <is>
          <t>GOTLANDS LÄN</t>
        </is>
      </c>
      <c r="E285" t="inlineStr">
        <is>
          <t>GOTLAND</t>
        </is>
      </c>
      <c r="G285" t="n">
        <v>4.4</v>
      </c>
      <c r="H285" t="n">
        <v>1</v>
      </c>
      <c r="I285" t="n">
        <v>0</v>
      </c>
      <c r="J285" t="n">
        <v>1</v>
      </c>
      <c r="K285" t="n">
        <v>0</v>
      </c>
      <c r="L285" t="n">
        <v>0</v>
      </c>
      <c r="M285" t="n">
        <v>0</v>
      </c>
      <c r="N285" t="n">
        <v>0</v>
      </c>
      <c r="O285" t="n">
        <v>1</v>
      </c>
      <c r="P285" t="n">
        <v>0</v>
      </c>
      <c r="Q285" t="n">
        <v>1</v>
      </c>
      <c r="R285" s="2" t="inlineStr">
        <is>
          <t>Spillkråka</t>
        </is>
      </c>
      <c r="S285">
        <f>HYPERLINK("https://klasma.github.io/Logging_0980/artfynd/A 8725-2025 artfynd.xlsx", "A 8725-2025")</f>
        <v/>
      </c>
      <c r="T285">
        <f>HYPERLINK("https://klasma.github.io/Logging_0980/kartor/A 8725-2025 karta.png", "A 8725-2025")</f>
        <v/>
      </c>
      <c r="V285">
        <f>HYPERLINK("https://klasma.github.io/Logging_0980/klagomål/A 8725-2025 FSC-klagomål.docx", "A 8725-2025")</f>
        <v/>
      </c>
      <c r="W285">
        <f>HYPERLINK("https://klasma.github.io/Logging_0980/klagomålsmail/A 8725-2025 FSC-klagomål mail.docx", "A 8725-2025")</f>
        <v/>
      </c>
      <c r="X285">
        <f>HYPERLINK("https://klasma.github.io/Logging_0980/tillsyn/A 8725-2025 tillsynsbegäran.docx", "A 8725-2025")</f>
        <v/>
      </c>
      <c r="Y285">
        <f>HYPERLINK("https://klasma.github.io/Logging_0980/tillsynsmail/A 8725-2025 tillsynsbegäran mail.docx", "A 8725-2025")</f>
        <v/>
      </c>
      <c r="Z285">
        <f>HYPERLINK("https://klasma.github.io/Logging_0980/fåglar/A 8725-2025 prioriterade fågelarter.docx", "A 8725-2025")</f>
        <v/>
      </c>
    </row>
    <row r="286" ht="15" customHeight="1">
      <c r="A286" t="inlineStr">
        <is>
          <t>A 10218-2025</t>
        </is>
      </c>
      <c r="B286" s="1" t="n">
        <v>45720</v>
      </c>
      <c r="C286" s="1" t="n">
        <v>45807</v>
      </c>
      <c r="D286" t="inlineStr">
        <is>
          <t>GOTLANDS LÄN</t>
        </is>
      </c>
      <c r="E286" t="inlineStr">
        <is>
          <t>GOTLAND</t>
        </is>
      </c>
      <c r="G286" t="n">
        <v>8.1</v>
      </c>
      <c r="H286" t="n">
        <v>0</v>
      </c>
      <c r="I286" t="n">
        <v>1</v>
      </c>
      <c r="J286" t="n">
        <v>0</v>
      </c>
      <c r="K286" t="n">
        <v>0</v>
      </c>
      <c r="L286" t="n">
        <v>0</v>
      </c>
      <c r="M286" t="n">
        <v>0</v>
      </c>
      <c r="N286" t="n">
        <v>0</v>
      </c>
      <c r="O286" t="n">
        <v>0</v>
      </c>
      <c r="P286" t="n">
        <v>0</v>
      </c>
      <c r="Q286" t="n">
        <v>1</v>
      </c>
      <c r="R286" s="2" t="inlineStr">
        <is>
          <t>Kalktallört</t>
        </is>
      </c>
      <c r="S286">
        <f>HYPERLINK("https://klasma.github.io/Logging_090980/artfynd/A 10218-2025 artfynd.xlsx", "A 10218-2025")</f>
        <v/>
      </c>
      <c r="T286">
        <f>HYPERLINK("https://klasma.github.io/Logging_090980/kartor/A 10218-2025 karta.png", "A 10218-2025")</f>
        <v/>
      </c>
      <c r="V286">
        <f>HYPERLINK("https://klasma.github.io/Logging_090980/klagomål/A 10218-2025 FSC-klagomål.docx", "A 10218-2025")</f>
        <v/>
      </c>
      <c r="W286">
        <f>HYPERLINK("https://klasma.github.io/Logging_090980/klagomålsmail/A 10218-2025 FSC-klagomål mail.docx", "A 10218-2025")</f>
        <v/>
      </c>
      <c r="X286">
        <f>HYPERLINK("https://klasma.github.io/Logging_090980/tillsyn/A 10218-2025 tillsynsbegäran.docx", "A 10218-2025")</f>
        <v/>
      </c>
      <c r="Y286">
        <f>HYPERLINK("https://klasma.github.io/Logging_090980/tillsynsmail/A 10218-2025 tillsynsbegäran mail.docx", "A 10218-2025")</f>
        <v/>
      </c>
    </row>
    <row r="287" ht="15" customHeight="1">
      <c r="A287" t="inlineStr">
        <is>
          <t>A 10780-2025</t>
        </is>
      </c>
      <c r="B287" s="1" t="n">
        <v>45722</v>
      </c>
      <c r="C287" s="1" t="n">
        <v>45807</v>
      </c>
      <c r="D287" t="inlineStr">
        <is>
          <t>GOTLANDS LÄN</t>
        </is>
      </c>
      <c r="E287" t="inlineStr">
        <is>
          <t>GOTLAND</t>
        </is>
      </c>
      <c r="G287" t="n">
        <v>6.1</v>
      </c>
      <c r="H287" t="n">
        <v>1</v>
      </c>
      <c r="I287" t="n">
        <v>0</v>
      </c>
      <c r="J287" t="n">
        <v>0</v>
      </c>
      <c r="K287" t="n">
        <v>1</v>
      </c>
      <c r="L287" t="n">
        <v>0</v>
      </c>
      <c r="M287" t="n">
        <v>0</v>
      </c>
      <c r="N287" t="n">
        <v>0</v>
      </c>
      <c r="O287" t="n">
        <v>1</v>
      </c>
      <c r="P287" t="n">
        <v>1</v>
      </c>
      <c r="Q287" t="n">
        <v>1</v>
      </c>
      <c r="R287" s="2" t="inlineStr">
        <is>
          <t>Knärot</t>
        </is>
      </c>
      <c r="S287">
        <f>HYPERLINK("https://klasma.github.io/Logging_090980/artfynd/A 10780-2025 artfynd.xlsx", "A 10780-2025")</f>
        <v/>
      </c>
      <c r="T287">
        <f>HYPERLINK("https://klasma.github.io/Logging_090980/kartor/A 10780-2025 karta.png", "A 10780-2025")</f>
        <v/>
      </c>
      <c r="U287">
        <f>HYPERLINK("https://klasma.github.io/Logging_090980/knärot/A 10780-2025 karta knärot.png", "A 10780-2025")</f>
        <v/>
      </c>
      <c r="V287">
        <f>HYPERLINK("https://klasma.github.io/Logging_090980/klagomål/A 10780-2025 FSC-klagomål.docx", "A 10780-2025")</f>
        <v/>
      </c>
      <c r="W287">
        <f>HYPERLINK("https://klasma.github.io/Logging_090980/klagomålsmail/A 10780-2025 FSC-klagomål mail.docx", "A 10780-2025")</f>
        <v/>
      </c>
      <c r="X287">
        <f>HYPERLINK("https://klasma.github.io/Logging_090980/tillsyn/A 10780-2025 tillsynsbegäran.docx", "A 10780-2025")</f>
        <v/>
      </c>
      <c r="Y287">
        <f>HYPERLINK("https://klasma.github.io/Logging_090980/tillsynsmail/A 10780-2025 tillsynsbegäran mail.docx", "A 10780-2025")</f>
        <v/>
      </c>
    </row>
    <row r="288" ht="15" customHeight="1">
      <c r="A288" t="inlineStr">
        <is>
          <t>A 12324-2025</t>
        </is>
      </c>
      <c r="B288" s="1" t="n">
        <v>45730</v>
      </c>
      <c r="C288" s="1" t="n">
        <v>45807</v>
      </c>
      <c r="D288" t="inlineStr">
        <is>
          <t>GOTLANDS LÄN</t>
        </is>
      </c>
      <c r="E288" t="inlineStr">
        <is>
          <t>GOTLAND</t>
        </is>
      </c>
      <c r="G288" t="n">
        <v>5</v>
      </c>
      <c r="H288" t="n">
        <v>0</v>
      </c>
      <c r="I288" t="n">
        <v>0</v>
      </c>
      <c r="J288" t="n">
        <v>0</v>
      </c>
      <c r="K288" t="n">
        <v>1</v>
      </c>
      <c r="L288" t="n">
        <v>0</v>
      </c>
      <c r="M288" t="n">
        <v>0</v>
      </c>
      <c r="N288" t="n">
        <v>0</v>
      </c>
      <c r="O288" t="n">
        <v>1</v>
      </c>
      <c r="P288" t="n">
        <v>1</v>
      </c>
      <c r="Q288" t="n">
        <v>1</v>
      </c>
      <c r="R288" s="2" t="inlineStr">
        <is>
          <t>Sommarklynne</t>
        </is>
      </c>
      <c r="S288">
        <f>HYPERLINK("https://klasma.github.io/Logging_090980/artfynd/A 12324-2025 artfynd.xlsx", "A 12324-2025")</f>
        <v/>
      </c>
      <c r="T288">
        <f>HYPERLINK("https://klasma.github.io/Logging_090980/kartor/A 12324-2025 karta.png", "A 12324-2025")</f>
        <v/>
      </c>
      <c r="V288">
        <f>HYPERLINK("https://klasma.github.io/Logging_090980/klagomål/A 12324-2025 FSC-klagomål.docx", "A 12324-2025")</f>
        <v/>
      </c>
      <c r="W288">
        <f>HYPERLINK("https://klasma.github.io/Logging_090980/klagomålsmail/A 12324-2025 FSC-klagomål mail.docx", "A 12324-2025")</f>
        <v/>
      </c>
      <c r="X288">
        <f>HYPERLINK("https://klasma.github.io/Logging_090980/tillsyn/A 12324-2025 tillsynsbegäran.docx", "A 12324-2025")</f>
        <v/>
      </c>
      <c r="Y288">
        <f>HYPERLINK("https://klasma.github.io/Logging_090980/tillsynsmail/A 12324-2025 tillsynsbegäran mail.docx", "A 12324-2025")</f>
        <v/>
      </c>
    </row>
    <row r="289" ht="15" customHeight="1">
      <c r="A289" t="inlineStr">
        <is>
          <t>A 12924-2025</t>
        </is>
      </c>
      <c r="B289" s="1" t="n">
        <v>45734</v>
      </c>
      <c r="C289" s="1" t="n">
        <v>45807</v>
      </c>
      <c r="D289" t="inlineStr">
        <is>
          <t>GOTLANDS LÄN</t>
        </is>
      </c>
      <c r="E289" t="inlineStr">
        <is>
          <t>GOTLAND</t>
        </is>
      </c>
      <c r="G289" t="n">
        <v>11.7</v>
      </c>
      <c r="H289" t="n">
        <v>0</v>
      </c>
      <c r="I289" t="n">
        <v>0</v>
      </c>
      <c r="J289" t="n">
        <v>0</v>
      </c>
      <c r="K289" t="n">
        <v>1</v>
      </c>
      <c r="L289" t="n">
        <v>0</v>
      </c>
      <c r="M289" t="n">
        <v>0</v>
      </c>
      <c r="N289" t="n">
        <v>0</v>
      </c>
      <c r="O289" t="n">
        <v>1</v>
      </c>
      <c r="P289" t="n">
        <v>1</v>
      </c>
      <c r="Q289" t="n">
        <v>1</v>
      </c>
      <c r="R289" s="2" t="inlineStr">
        <is>
          <t>Gotlandsmåra</t>
        </is>
      </c>
      <c r="S289">
        <f>HYPERLINK("https://klasma.github.io/Logging_090980/artfynd/A 12924-2025 artfynd.xlsx", "A 12924-2025")</f>
        <v/>
      </c>
      <c r="T289">
        <f>HYPERLINK("https://klasma.github.io/Logging_090980/kartor/A 12924-2025 karta.png", "A 12924-2025")</f>
        <v/>
      </c>
      <c r="V289">
        <f>HYPERLINK("https://klasma.github.io/Logging_090980/klagomål/A 12924-2025 FSC-klagomål.docx", "A 12924-2025")</f>
        <v/>
      </c>
      <c r="W289">
        <f>HYPERLINK("https://klasma.github.io/Logging_090980/klagomålsmail/A 12924-2025 FSC-klagomål mail.docx", "A 12924-2025")</f>
        <v/>
      </c>
      <c r="X289">
        <f>HYPERLINK("https://klasma.github.io/Logging_090980/tillsyn/A 12924-2025 tillsynsbegäran.docx", "A 12924-2025")</f>
        <v/>
      </c>
      <c r="Y289">
        <f>HYPERLINK("https://klasma.github.io/Logging_090980/tillsynsmail/A 12924-2025 tillsynsbegäran mail.docx", "A 12924-2025")</f>
        <v/>
      </c>
    </row>
    <row r="290" ht="15" customHeight="1">
      <c r="A290" t="inlineStr">
        <is>
          <t>A 20429-2025</t>
        </is>
      </c>
      <c r="B290" s="1" t="n">
        <v>45775</v>
      </c>
      <c r="C290" s="1" t="n">
        <v>45807</v>
      </c>
      <c r="D290" t="inlineStr">
        <is>
          <t>GOTLANDS LÄN</t>
        </is>
      </c>
      <c r="E290" t="inlineStr">
        <is>
          <t>GOTLAND</t>
        </is>
      </c>
      <c r="G290" t="n">
        <v>1.4</v>
      </c>
      <c r="H290" t="n">
        <v>1</v>
      </c>
      <c r="I290" t="n">
        <v>0</v>
      </c>
      <c r="J290" t="n">
        <v>0</v>
      </c>
      <c r="K290" t="n">
        <v>0</v>
      </c>
      <c r="L290" t="n">
        <v>0</v>
      </c>
      <c r="M290" t="n">
        <v>0</v>
      </c>
      <c r="N290" t="n">
        <v>0</v>
      </c>
      <c r="O290" t="n">
        <v>0</v>
      </c>
      <c r="P290" t="n">
        <v>0</v>
      </c>
      <c r="Q290" t="n">
        <v>1</v>
      </c>
      <c r="R290" s="2" t="inlineStr">
        <is>
          <t>Äkta lopplummer</t>
        </is>
      </c>
      <c r="S290">
        <f>HYPERLINK("https://klasma.github.io/Logging_090980/artfynd/A 20429-2025 artfynd.xlsx", "A 20429-2025")</f>
        <v/>
      </c>
      <c r="T290">
        <f>HYPERLINK("https://klasma.github.io/Logging_090980/kartor/A 20429-2025 karta.png", "A 20429-2025")</f>
        <v/>
      </c>
      <c r="V290">
        <f>HYPERLINK("https://klasma.github.io/Logging_090980/klagomål/A 20429-2025 FSC-klagomål.docx", "A 20429-2025")</f>
        <v/>
      </c>
      <c r="W290">
        <f>HYPERLINK("https://klasma.github.io/Logging_090980/klagomålsmail/A 20429-2025 FSC-klagomål mail.docx", "A 20429-2025")</f>
        <v/>
      </c>
      <c r="X290">
        <f>HYPERLINK("https://klasma.github.io/Logging_090980/tillsyn/A 20429-2025 tillsynsbegäran.docx", "A 20429-2025")</f>
        <v/>
      </c>
      <c r="Y290">
        <f>HYPERLINK("https://klasma.github.io/Logging_090980/tillsynsmail/A 20429-2025 tillsynsbegäran mail.docx", "A 20429-2025")</f>
        <v/>
      </c>
    </row>
    <row r="291" ht="15" customHeight="1">
      <c r="A291" t="inlineStr">
        <is>
          <t>A 21466-2025</t>
        </is>
      </c>
      <c r="B291" s="1" t="n">
        <v>45782</v>
      </c>
      <c r="C291" s="1" t="n">
        <v>45807</v>
      </c>
      <c r="D291" t="inlineStr">
        <is>
          <t>GOTLANDS LÄN</t>
        </is>
      </c>
      <c r="E291" t="inlineStr">
        <is>
          <t>GOTLAND</t>
        </is>
      </c>
      <c r="F291" t="inlineStr">
        <is>
          <t>Övriga statliga verk och myndigheter</t>
        </is>
      </c>
      <c r="G291" t="n">
        <v>1.7</v>
      </c>
      <c r="H291" t="n">
        <v>1</v>
      </c>
      <c r="I291" t="n">
        <v>0</v>
      </c>
      <c r="J291" t="n">
        <v>0</v>
      </c>
      <c r="K291" t="n">
        <v>0</v>
      </c>
      <c r="L291" t="n">
        <v>0</v>
      </c>
      <c r="M291" t="n">
        <v>0</v>
      </c>
      <c r="N291" t="n">
        <v>0</v>
      </c>
      <c r="O291" t="n">
        <v>0</v>
      </c>
      <c r="P291" t="n">
        <v>0</v>
      </c>
      <c r="Q291" t="n">
        <v>1</v>
      </c>
      <c r="R291" s="2" t="inlineStr">
        <is>
          <t>Blåsippa</t>
        </is>
      </c>
      <c r="S291">
        <f>HYPERLINK("https://klasma.github.io/Logging_090980/artfynd/A 21466-2025 artfynd.xlsx", "A 21466-2025")</f>
        <v/>
      </c>
      <c r="T291">
        <f>HYPERLINK("https://klasma.github.io/Logging_090980/kartor/A 21466-2025 karta.png", "A 21466-2025")</f>
        <v/>
      </c>
      <c r="V291">
        <f>HYPERLINK("https://klasma.github.io/Logging_090980/klagomål/A 21466-2025 FSC-klagomål.docx", "A 21466-2025")</f>
        <v/>
      </c>
      <c r="W291">
        <f>HYPERLINK("https://klasma.github.io/Logging_090980/klagomålsmail/A 21466-2025 FSC-klagomål mail.docx", "A 21466-2025")</f>
        <v/>
      </c>
      <c r="X291">
        <f>HYPERLINK("https://klasma.github.io/Logging_090980/tillsyn/A 21466-2025 tillsynsbegäran.docx", "A 21466-2025")</f>
        <v/>
      </c>
      <c r="Y291">
        <f>HYPERLINK("https://klasma.github.io/Logging_090980/tillsynsmail/A 21466-2025 tillsynsbegäran mail.docx", "A 21466-2025")</f>
        <v/>
      </c>
    </row>
    <row r="292" ht="15" customHeight="1">
      <c r="A292" t="inlineStr">
        <is>
          <t>A 24575-2025</t>
        </is>
      </c>
      <c r="B292" s="1" t="n">
        <v>45798</v>
      </c>
      <c r="C292" s="1" t="n">
        <v>45807</v>
      </c>
      <c r="D292" t="inlineStr">
        <is>
          <t>GOTLANDS LÄN</t>
        </is>
      </c>
      <c r="E292" t="inlineStr">
        <is>
          <t>GOTLAND</t>
        </is>
      </c>
      <c r="G292" t="n">
        <v>6.7</v>
      </c>
      <c r="H292" t="n">
        <v>1</v>
      </c>
      <c r="I292" t="n">
        <v>0</v>
      </c>
      <c r="J292" t="n">
        <v>0</v>
      </c>
      <c r="K292" t="n">
        <v>1</v>
      </c>
      <c r="L292" t="n">
        <v>0</v>
      </c>
      <c r="M292" t="n">
        <v>0</v>
      </c>
      <c r="N292" t="n">
        <v>0</v>
      </c>
      <c r="O292" t="n">
        <v>1</v>
      </c>
      <c r="P292" t="n">
        <v>1</v>
      </c>
      <c r="Q292" t="n">
        <v>1</v>
      </c>
      <c r="R292" s="2" t="inlineStr">
        <is>
          <t>Knärot</t>
        </is>
      </c>
      <c r="S292">
        <f>HYPERLINK("https://klasma.github.io/Logging_090980/artfynd/A 24575-2025 artfynd.xlsx", "A 24575-2025")</f>
        <v/>
      </c>
      <c r="T292">
        <f>HYPERLINK("https://klasma.github.io/Logging_090980/kartor/A 24575-2025 karta.png", "A 24575-2025")</f>
        <v/>
      </c>
      <c r="U292">
        <f>HYPERLINK("https://klasma.github.io/Logging_090980/knärot/A 24575-2025 karta knärot.png", "A 24575-2025")</f>
        <v/>
      </c>
      <c r="V292">
        <f>HYPERLINK("https://klasma.github.io/Logging_090980/klagomål/A 24575-2025 FSC-klagomål.docx", "A 24575-2025")</f>
        <v/>
      </c>
      <c r="W292">
        <f>HYPERLINK("https://klasma.github.io/Logging_090980/klagomålsmail/A 24575-2025 FSC-klagomål mail.docx", "A 24575-2025")</f>
        <v/>
      </c>
      <c r="X292">
        <f>HYPERLINK("https://klasma.github.io/Logging_090980/tillsyn/A 24575-2025 tillsynsbegäran.docx", "A 24575-2025")</f>
        <v/>
      </c>
      <c r="Y292">
        <f>HYPERLINK("https://klasma.github.io/Logging_090980/tillsynsmail/A 24575-2025 tillsynsbegäran mail.docx", "A 24575-2025")</f>
        <v/>
      </c>
    </row>
    <row r="293" ht="15" customHeight="1">
      <c r="A293" t="inlineStr">
        <is>
          <t>A 19159-2019</t>
        </is>
      </c>
      <c r="B293" s="1" t="n">
        <v>43564</v>
      </c>
      <c r="C293" s="1" t="n">
        <v>45807</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21380-2019</t>
        </is>
      </c>
      <c r="B294" s="1" t="n">
        <v>43579</v>
      </c>
      <c r="C294" s="1" t="n">
        <v>45807</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21894-2019</t>
        </is>
      </c>
      <c r="B295" s="1" t="n">
        <v>43584</v>
      </c>
      <c r="C295" s="1" t="n">
        <v>45807</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21925-2019</t>
        </is>
      </c>
      <c r="B296" s="1" t="n">
        <v>43584</v>
      </c>
      <c r="C296" s="1" t="n">
        <v>45807</v>
      </c>
      <c r="D296" t="inlineStr">
        <is>
          <t>GOTLANDS LÄN</t>
        </is>
      </c>
      <c r="E296" t="inlineStr">
        <is>
          <t>GOTLAND</t>
        </is>
      </c>
      <c r="G296" t="n">
        <v>2.1</v>
      </c>
      <c r="H296" t="n">
        <v>0</v>
      </c>
      <c r="I296" t="n">
        <v>0</v>
      </c>
      <c r="J296" t="n">
        <v>0</v>
      </c>
      <c r="K296" t="n">
        <v>0</v>
      </c>
      <c r="L296" t="n">
        <v>0</v>
      </c>
      <c r="M296" t="n">
        <v>0</v>
      </c>
      <c r="N296" t="n">
        <v>0</v>
      </c>
      <c r="O296" t="n">
        <v>0</v>
      </c>
      <c r="P296" t="n">
        <v>0</v>
      </c>
      <c r="Q296" t="n">
        <v>0</v>
      </c>
      <c r="R296" s="2" t="inlineStr"/>
    </row>
    <row r="297" ht="15" customHeight="1">
      <c r="A297" t="inlineStr">
        <is>
          <t>A 22457-2019</t>
        </is>
      </c>
      <c r="B297" s="1" t="n">
        <v>43587</v>
      </c>
      <c r="C297" s="1" t="n">
        <v>45807</v>
      </c>
      <c r="D297" t="inlineStr">
        <is>
          <t>GOTLANDS LÄN</t>
        </is>
      </c>
      <c r="E297" t="inlineStr">
        <is>
          <t>GOTLAND</t>
        </is>
      </c>
      <c r="G297" t="n">
        <v>0.3</v>
      </c>
      <c r="H297" t="n">
        <v>0</v>
      </c>
      <c r="I297" t="n">
        <v>0</v>
      </c>
      <c r="J297" t="n">
        <v>0</v>
      </c>
      <c r="K297" t="n">
        <v>0</v>
      </c>
      <c r="L297" t="n">
        <v>0</v>
      </c>
      <c r="M297" t="n">
        <v>0</v>
      </c>
      <c r="N297" t="n">
        <v>0</v>
      </c>
      <c r="O297" t="n">
        <v>0</v>
      </c>
      <c r="P297" t="n">
        <v>0</v>
      </c>
      <c r="Q297" t="n">
        <v>0</v>
      </c>
      <c r="R297" s="2" t="inlineStr"/>
    </row>
    <row r="298" ht="15" customHeight="1">
      <c r="A298" t="inlineStr">
        <is>
          <t>A 23044-2019</t>
        </is>
      </c>
      <c r="B298" s="1" t="n">
        <v>43591</v>
      </c>
      <c r="C298" s="1" t="n">
        <v>45807</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26595-2019</t>
        </is>
      </c>
      <c r="B299" s="1" t="n">
        <v>43612</v>
      </c>
      <c r="C299" s="1" t="n">
        <v>45807</v>
      </c>
      <c r="D299" t="inlineStr">
        <is>
          <t>GOTLANDS LÄN</t>
        </is>
      </c>
      <c r="E299" t="inlineStr">
        <is>
          <t>GOTLAND</t>
        </is>
      </c>
      <c r="G299" t="n">
        <v>0.2</v>
      </c>
      <c r="H299" t="n">
        <v>0</v>
      </c>
      <c r="I299" t="n">
        <v>0</v>
      </c>
      <c r="J299" t="n">
        <v>0</v>
      </c>
      <c r="K299" t="n">
        <v>0</v>
      </c>
      <c r="L299" t="n">
        <v>0</v>
      </c>
      <c r="M299" t="n">
        <v>0</v>
      </c>
      <c r="N299" t="n">
        <v>0</v>
      </c>
      <c r="O299" t="n">
        <v>0</v>
      </c>
      <c r="P299" t="n">
        <v>0</v>
      </c>
      <c r="Q299" t="n">
        <v>0</v>
      </c>
      <c r="R299" s="2" t="inlineStr"/>
    </row>
    <row r="300" ht="15" customHeight="1">
      <c r="A300" t="inlineStr">
        <is>
          <t>A 27795-2019</t>
        </is>
      </c>
      <c r="B300" s="1" t="n">
        <v>43612</v>
      </c>
      <c r="C300" s="1" t="n">
        <v>45807</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28977-2019</t>
        </is>
      </c>
      <c r="B301" s="1" t="n">
        <v>43628</v>
      </c>
      <c r="C301" s="1" t="n">
        <v>45807</v>
      </c>
      <c r="D301" t="inlineStr">
        <is>
          <t>GOTLANDS LÄN</t>
        </is>
      </c>
      <c r="E301" t="inlineStr">
        <is>
          <t>GOTLAND</t>
        </is>
      </c>
      <c r="G301" t="n">
        <v>4.6</v>
      </c>
      <c r="H301" t="n">
        <v>0</v>
      </c>
      <c r="I301" t="n">
        <v>0</v>
      </c>
      <c r="J301" t="n">
        <v>0</v>
      </c>
      <c r="K301" t="n">
        <v>0</v>
      </c>
      <c r="L301" t="n">
        <v>0</v>
      </c>
      <c r="M301" t="n">
        <v>0</v>
      </c>
      <c r="N301" t="n">
        <v>0</v>
      </c>
      <c r="O301" t="n">
        <v>0</v>
      </c>
      <c r="P301" t="n">
        <v>0</v>
      </c>
      <c r="Q301" t="n">
        <v>0</v>
      </c>
      <c r="R301" s="2" t="inlineStr"/>
    </row>
    <row r="302" ht="15" customHeight="1">
      <c r="A302" t="inlineStr">
        <is>
          <t>A 29470-2019</t>
        </is>
      </c>
      <c r="B302" s="1" t="n">
        <v>43629</v>
      </c>
      <c r="C302" s="1" t="n">
        <v>45807</v>
      </c>
      <c r="D302" t="inlineStr">
        <is>
          <t>GOTLANDS LÄN</t>
        </is>
      </c>
      <c r="E302" t="inlineStr">
        <is>
          <t>GOTLAND</t>
        </is>
      </c>
      <c r="G302" t="n">
        <v>2.7</v>
      </c>
      <c r="H302" t="n">
        <v>0</v>
      </c>
      <c r="I302" t="n">
        <v>0</v>
      </c>
      <c r="J302" t="n">
        <v>0</v>
      </c>
      <c r="K302" t="n">
        <v>0</v>
      </c>
      <c r="L302" t="n">
        <v>0</v>
      </c>
      <c r="M302" t="n">
        <v>0</v>
      </c>
      <c r="N302" t="n">
        <v>0</v>
      </c>
      <c r="O302" t="n">
        <v>0</v>
      </c>
      <c r="P302" t="n">
        <v>0</v>
      </c>
      <c r="Q302" t="n">
        <v>0</v>
      </c>
      <c r="R302" s="2" t="inlineStr"/>
    </row>
    <row r="303" ht="15" customHeight="1">
      <c r="A303" t="inlineStr">
        <is>
          <t>A 29469-2019</t>
        </is>
      </c>
      <c r="B303" s="1" t="n">
        <v>43629</v>
      </c>
      <c r="C303" s="1" t="n">
        <v>45807</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30033-2019</t>
        </is>
      </c>
      <c r="B304" s="1" t="n">
        <v>43630</v>
      </c>
      <c r="C304" s="1" t="n">
        <v>45807</v>
      </c>
      <c r="D304" t="inlineStr">
        <is>
          <t>GOTLANDS LÄN</t>
        </is>
      </c>
      <c r="E304" t="inlineStr">
        <is>
          <t>GOTLAND</t>
        </is>
      </c>
      <c r="G304" t="n">
        <v>3.3</v>
      </c>
      <c r="H304" t="n">
        <v>0</v>
      </c>
      <c r="I304" t="n">
        <v>0</v>
      </c>
      <c r="J304" t="n">
        <v>0</v>
      </c>
      <c r="K304" t="n">
        <v>0</v>
      </c>
      <c r="L304" t="n">
        <v>0</v>
      </c>
      <c r="M304" t="n">
        <v>0</v>
      </c>
      <c r="N304" t="n">
        <v>0</v>
      </c>
      <c r="O304" t="n">
        <v>0</v>
      </c>
      <c r="P304" t="n">
        <v>0</v>
      </c>
      <c r="Q304" t="n">
        <v>0</v>
      </c>
      <c r="R304" s="2" t="inlineStr"/>
    </row>
    <row r="305" ht="15" customHeight="1">
      <c r="A305" t="inlineStr">
        <is>
          <t>A 31396-2019</t>
        </is>
      </c>
      <c r="B305" s="1" t="n">
        <v>43636</v>
      </c>
      <c r="C305" s="1" t="n">
        <v>45807</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32061-2019</t>
        </is>
      </c>
      <c r="B306" s="1" t="n">
        <v>43643</v>
      </c>
      <c r="C306" s="1" t="n">
        <v>45807</v>
      </c>
      <c r="D306" t="inlineStr">
        <is>
          <t>GOTLANDS LÄN</t>
        </is>
      </c>
      <c r="E306" t="inlineStr">
        <is>
          <t>GOTLAND</t>
        </is>
      </c>
      <c r="G306" t="n">
        <v>7.5</v>
      </c>
      <c r="H306" t="n">
        <v>0</v>
      </c>
      <c r="I306" t="n">
        <v>0</v>
      </c>
      <c r="J306" t="n">
        <v>0</v>
      </c>
      <c r="K306" t="n">
        <v>0</v>
      </c>
      <c r="L306" t="n">
        <v>0</v>
      </c>
      <c r="M306" t="n">
        <v>0</v>
      </c>
      <c r="N306" t="n">
        <v>0</v>
      </c>
      <c r="O306" t="n">
        <v>0</v>
      </c>
      <c r="P306" t="n">
        <v>0</v>
      </c>
      <c r="Q306" t="n">
        <v>0</v>
      </c>
      <c r="R306" s="2" t="inlineStr"/>
    </row>
    <row r="307" ht="15" customHeight="1">
      <c r="A307" t="inlineStr">
        <is>
          <t>A 32949-2019</t>
        </is>
      </c>
      <c r="B307" s="1" t="n">
        <v>43648</v>
      </c>
      <c r="C307" s="1" t="n">
        <v>45807</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32964-2019</t>
        </is>
      </c>
      <c r="B308" s="1" t="n">
        <v>43648</v>
      </c>
      <c r="C308" s="1" t="n">
        <v>45807</v>
      </c>
      <c r="D308" t="inlineStr">
        <is>
          <t>GOTLANDS LÄN</t>
        </is>
      </c>
      <c r="E308" t="inlineStr">
        <is>
          <t>GOTLAND</t>
        </is>
      </c>
      <c r="G308" t="n">
        <v>8.9</v>
      </c>
      <c r="H308" t="n">
        <v>0</v>
      </c>
      <c r="I308" t="n">
        <v>0</v>
      </c>
      <c r="J308" t="n">
        <v>0</v>
      </c>
      <c r="K308" t="n">
        <v>0</v>
      </c>
      <c r="L308" t="n">
        <v>0</v>
      </c>
      <c r="M308" t="n">
        <v>0</v>
      </c>
      <c r="N308" t="n">
        <v>0</v>
      </c>
      <c r="O308" t="n">
        <v>0</v>
      </c>
      <c r="P308" t="n">
        <v>0</v>
      </c>
      <c r="Q308" t="n">
        <v>0</v>
      </c>
      <c r="R308" s="2" t="inlineStr"/>
    </row>
    <row r="309" ht="15" customHeight="1">
      <c r="A309" t="inlineStr">
        <is>
          <t>A 32970-2019</t>
        </is>
      </c>
      <c r="B309" s="1" t="n">
        <v>43648</v>
      </c>
      <c r="C309" s="1" t="n">
        <v>45807</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33673-2019</t>
        </is>
      </c>
      <c r="B310" s="1" t="n">
        <v>43651</v>
      </c>
      <c r="C310" s="1" t="n">
        <v>45807</v>
      </c>
      <c r="D310" t="inlineStr">
        <is>
          <t>GOTLANDS LÄN</t>
        </is>
      </c>
      <c r="E310" t="inlineStr">
        <is>
          <t>GOTLAND</t>
        </is>
      </c>
      <c r="G310" t="n">
        <v>3.8</v>
      </c>
      <c r="H310" t="n">
        <v>0</v>
      </c>
      <c r="I310" t="n">
        <v>0</v>
      </c>
      <c r="J310" t="n">
        <v>0</v>
      </c>
      <c r="K310" t="n">
        <v>0</v>
      </c>
      <c r="L310" t="n">
        <v>0</v>
      </c>
      <c r="M310" t="n">
        <v>0</v>
      </c>
      <c r="N310" t="n">
        <v>0</v>
      </c>
      <c r="O310" t="n">
        <v>0</v>
      </c>
      <c r="P310" t="n">
        <v>0</v>
      </c>
      <c r="Q310" t="n">
        <v>0</v>
      </c>
      <c r="R310" s="2" t="inlineStr"/>
    </row>
    <row r="311" ht="15" customHeight="1">
      <c r="A311" t="inlineStr">
        <is>
          <t>A 33668-2019</t>
        </is>
      </c>
      <c r="B311" s="1" t="n">
        <v>43651</v>
      </c>
      <c r="C311" s="1" t="n">
        <v>45807</v>
      </c>
      <c r="D311" t="inlineStr">
        <is>
          <t>GOTLANDS LÄN</t>
        </is>
      </c>
      <c r="E311" t="inlineStr">
        <is>
          <t>GOTLAND</t>
        </is>
      </c>
      <c r="G311" t="n">
        <v>9.4</v>
      </c>
      <c r="H311" t="n">
        <v>0</v>
      </c>
      <c r="I311" t="n">
        <v>0</v>
      </c>
      <c r="J311" t="n">
        <v>0</v>
      </c>
      <c r="K311" t="n">
        <v>0</v>
      </c>
      <c r="L311" t="n">
        <v>0</v>
      </c>
      <c r="M311" t="n">
        <v>0</v>
      </c>
      <c r="N311" t="n">
        <v>0</v>
      </c>
      <c r="O311" t="n">
        <v>0</v>
      </c>
      <c r="P311" t="n">
        <v>0</v>
      </c>
      <c r="Q311" t="n">
        <v>0</v>
      </c>
      <c r="R311" s="2" t="inlineStr"/>
    </row>
    <row r="312" ht="15" customHeight="1">
      <c r="A312" t="inlineStr">
        <is>
          <t>A 33674-2019</t>
        </is>
      </c>
      <c r="B312" s="1" t="n">
        <v>43651</v>
      </c>
      <c r="C312" s="1" t="n">
        <v>45807</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33646-2019</t>
        </is>
      </c>
      <c r="B313" s="1" t="n">
        <v>43651</v>
      </c>
      <c r="C313" s="1" t="n">
        <v>45807</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34790-2019</t>
        </is>
      </c>
      <c r="B314" s="1" t="n">
        <v>43658</v>
      </c>
      <c r="C314" s="1" t="n">
        <v>45807</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36344-2019</t>
        </is>
      </c>
      <c r="B315" s="1" t="n">
        <v>43661</v>
      </c>
      <c r="C315" s="1" t="n">
        <v>45807</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36072-2019</t>
        </is>
      </c>
      <c r="B316" s="1" t="n">
        <v>43668</v>
      </c>
      <c r="C316" s="1" t="n">
        <v>45807</v>
      </c>
      <c r="D316" t="inlineStr">
        <is>
          <t>GOTLANDS LÄN</t>
        </is>
      </c>
      <c r="E316" t="inlineStr">
        <is>
          <t>GOTLAND</t>
        </is>
      </c>
      <c r="F316" t="inlineStr">
        <is>
          <t>Kyrkan</t>
        </is>
      </c>
      <c r="G316" t="n">
        <v>0.5</v>
      </c>
      <c r="H316" t="n">
        <v>0</v>
      </c>
      <c r="I316" t="n">
        <v>0</v>
      </c>
      <c r="J316" t="n">
        <v>0</v>
      </c>
      <c r="K316" t="n">
        <v>0</v>
      </c>
      <c r="L316" t="n">
        <v>0</v>
      </c>
      <c r="M316" t="n">
        <v>0</v>
      </c>
      <c r="N316" t="n">
        <v>0</v>
      </c>
      <c r="O316" t="n">
        <v>0</v>
      </c>
      <c r="P316" t="n">
        <v>0</v>
      </c>
      <c r="Q316" t="n">
        <v>0</v>
      </c>
      <c r="R316" s="2" t="inlineStr"/>
    </row>
    <row r="317" ht="15" customHeight="1">
      <c r="A317" t="inlineStr">
        <is>
          <t>A 37028-2019</t>
        </is>
      </c>
      <c r="B317" s="1" t="n">
        <v>43675</v>
      </c>
      <c r="C317" s="1" t="n">
        <v>45807</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40205-2019</t>
        </is>
      </c>
      <c r="B318" s="1" t="n">
        <v>43693</v>
      </c>
      <c r="C318" s="1" t="n">
        <v>45807</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46423-2019</t>
        </is>
      </c>
      <c r="B319" s="1" t="n">
        <v>43719</v>
      </c>
      <c r="C319" s="1" t="n">
        <v>45807</v>
      </c>
      <c r="D319" t="inlineStr">
        <is>
          <t>GOTLANDS LÄN</t>
        </is>
      </c>
      <c r="E319" t="inlineStr">
        <is>
          <t>GOTLAND</t>
        </is>
      </c>
      <c r="F319" t="inlineStr">
        <is>
          <t>Kyrkan</t>
        </is>
      </c>
      <c r="G319" t="n">
        <v>1.6</v>
      </c>
      <c r="H319" t="n">
        <v>0</v>
      </c>
      <c r="I319" t="n">
        <v>0</v>
      </c>
      <c r="J319" t="n">
        <v>0</v>
      </c>
      <c r="K319" t="n">
        <v>0</v>
      </c>
      <c r="L319" t="n">
        <v>0</v>
      </c>
      <c r="M319" t="n">
        <v>0</v>
      </c>
      <c r="N319" t="n">
        <v>0</v>
      </c>
      <c r="O319" t="n">
        <v>0</v>
      </c>
      <c r="P319" t="n">
        <v>0</v>
      </c>
      <c r="Q319" t="n">
        <v>0</v>
      </c>
      <c r="R319" s="2" t="inlineStr"/>
    </row>
    <row r="320" ht="15" customHeight="1">
      <c r="A320" t="inlineStr">
        <is>
          <t>A 47141-2019</t>
        </is>
      </c>
      <c r="B320" s="1" t="n">
        <v>43721</v>
      </c>
      <c r="C320" s="1" t="n">
        <v>45807</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48459-2019</t>
        </is>
      </c>
      <c r="B321" s="1" t="n">
        <v>43727</v>
      </c>
      <c r="C321" s="1" t="n">
        <v>45807</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49769-2019</t>
        </is>
      </c>
      <c r="B322" s="1" t="n">
        <v>43733</v>
      </c>
      <c r="C322" s="1" t="n">
        <v>45807</v>
      </c>
      <c r="D322" t="inlineStr">
        <is>
          <t>GOTLANDS LÄN</t>
        </is>
      </c>
      <c r="E322" t="inlineStr">
        <is>
          <t>GOTLAND</t>
        </is>
      </c>
      <c r="G322" t="n">
        <v>22.3</v>
      </c>
      <c r="H322" t="n">
        <v>0</v>
      </c>
      <c r="I322" t="n">
        <v>0</v>
      </c>
      <c r="J322" t="n">
        <v>0</v>
      </c>
      <c r="K322" t="n">
        <v>0</v>
      </c>
      <c r="L322" t="n">
        <v>0</v>
      </c>
      <c r="M322" t="n">
        <v>0</v>
      </c>
      <c r="N322" t="n">
        <v>0</v>
      </c>
      <c r="O322" t="n">
        <v>0</v>
      </c>
      <c r="P322" t="n">
        <v>0</v>
      </c>
      <c r="Q322" t="n">
        <v>0</v>
      </c>
      <c r="R322" s="2" t="inlineStr"/>
    </row>
    <row r="323" ht="15" customHeight="1">
      <c r="A323" t="inlineStr">
        <is>
          <t>A 50463-2019</t>
        </is>
      </c>
      <c r="B323" s="1" t="n">
        <v>43735</v>
      </c>
      <c r="C323" s="1" t="n">
        <v>45807</v>
      </c>
      <c r="D323" t="inlineStr">
        <is>
          <t>GOTLANDS LÄN</t>
        </is>
      </c>
      <c r="E323" t="inlineStr">
        <is>
          <t>GOTLAND</t>
        </is>
      </c>
      <c r="F323" t="inlineStr">
        <is>
          <t>Kyrkan</t>
        </is>
      </c>
      <c r="G323" t="n">
        <v>1.3</v>
      </c>
      <c r="H323" t="n">
        <v>0</v>
      </c>
      <c r="I323" t="n">
        <v>0</v>
      </c>
      <c r="J323" t="n">
        <v>0</v>
      </c>
      <c r="K323" t="n">
        <v>0</v>
      </c>
      <c r="L323" t="n">
        <v>0</v>
      </c>
      <c r="M323" t="n">
        <v>0</v>
      </c>
      <c r="N323" t="n">
        <v>0</v>
      </c>
      <c r="O323" t="n">
        <v>0</v>
      </c>
      <c r="P323" t="n">
        <v>0</v>
      </c>
      <c r="Q323" t="n">
        <v>0</v>
      </c>
      <c r="R323" s="2" t="inlineStr"/>
    </row>
    <row r="324" ht="15" customHeight="1">
      <c r="A324" t="inlineStr">
        <is>
          <t>A 50632-2019</t>
        </is>
      </c>
      <c r="B324" s="1" t="n">
        <v>43737</v>
      </c>
      <c r="C324" s="1" t="n">
        <v>45807</v>
      </c>
      <c r="D324" t="inlineStr">
        <is>
          <t>GOTLANDS LÄN</t>
        </is>
      </c>
      <c r="E324" t="inlineStr">
        <is>
          <t>GOTLAND</t>
        </is>
      </c>
      <c r="G324" t="n">
        <v>7.7</v>
      </c>
      <c r="H324" t="n">
        <v>0</v>
      </c>
      <c r="I324" t="n">
        <v>0</v>
      </c>
      <c r="J324" t="n">
        <v>0</v>
      </c>
      <c r="K324" t="n">
        <v>0</v>
      </c>
      <c r="L324" t="n">
        <v>0</v>
      </c>
      <c r="M324" t="n">
        <v>0</v>
      </c>
      <c r="N324" t="n">
        <v>0</v>
      </c>
      <c r="O324" t="n">
        <v>0</v>
      </c>
      <c r="P324" t="n">
        <v>0</v>
      </c>
      <c r="Q324" t="n">
        <v>0</v>
      </c>
      <c r="R324" s="2" t="inlineStr"/>
    </row>
    <row r="325" ht="15" customHeight="1">
      <c r="A325" t="inlineStr">
        <is>
          <t>A 51577-2019</t>
        </is>
      </c>
      <c r="B325" s="1" t="n">
        <v>43740</v>
      </c>
      <c r="C325" s="1" t="n">
        <v>45807</v>
      </c>
      <c r="D325" t="inlineStr">
        <is>
          <t>GOTLANDS LÄN</t>
        </is>
      </c>
      <c r="E325" t="inlineStr">
        <is>
          <t>GOTLAND</t>
        </is>
      </c>
      <c r="G325" t="n">
        <v>6.5</v>
      </c>
      <c r="H325" t="n">
        <v>0</v>
      </c>
      <c r="I325" t="n">
        <v>0</v>
      </c>
      <c r="J325" t="n">
        <v>0</v>
      </c>
      <c r="K325" t="n">
        <v>0</v>
      </c>
      <c r="L325" t="n">
        <v>0</v>
      </c>
      <c r="M325" t="n">
        <v>0</v>
      </c>
      <c r="N325" t="n">
        <v>0</v>
      </c>
      <c r="O325" t="n">
        <v>0</v>
      </c>
      <c r="P325" t="n">
        <v>0</v>
      </c>
      <c r="Q325" t="n">
        <v>0</v>
      </c>
      <c r="R325" s="2" t="inlineStr"/>
    </row>
    <row r="326" ht="15" customHeight="1">
      <c r="A326" t="inlineStr">
        <is>
          <t>A 53783-2019</t>
        </is>
      </c>
      <c r="B326" s="1" t="n">
        <v>43750</v>
      </c>
      <c r="C326" s="1" t="n">
        <v>45807</v>
      </c>
      <c r="D326" t="inlineStr">
        <is>
          <t>GOTLANDS LÄN</t>
        </is>
      </c>
      <c r="E326" t="inlineStr">
        <is>
          <t>GOTLAND</t>
        </is>
      </c>
      <c r="G326" t="n">
        <v>3.1</v>
      </c>
      <c r="H326" t="n">
        <v>0</v>
      </c>
      <c r="I326" t="n">
        <v>0</v>
      </c>
      <c r="J326" t="n">
        <v>0</v>
      </c>
      <c r="K326" t="n">
        <v>0</v>
      </c>
      <c r="L326" t="n">
        <v>0</v>
      </c>
      <c r="M326" t="n">
        <v>0</v>
      </c>
      <c r="N326" t="n">
        <v>0</v>
      </c>
      <c r="O326" t="n">
        <v>0</v>
      </c>
      <c r="P326" t="n">
        <v>0</v>
      </c>
      <c r="Q326" t="n">
        <v>0</v>
      </c>
      <c r="R326" s="2" t="inlineStr"/>
    </row>
    <row r="327" ht="15" customHeight="1">
      <c r="A327" t="inlineStr">
        <is>
          <t>A 56238-2019</t>
        </is>
      </c>
      <c r="B327" s="1" t="n">
        <v>43762</v>
      </c>
      <c r="C327" s="1" t="n">
        <v>45807</v>
      </c>
      <c r="D327" t="inlineStr">
        <is>
          <t>GOTLANDS LÄN</t>
        </is>
      </c>
      <c r="E327" t="inlineStr">
        <is>
          <t>GOTLAND</t>
        </is>
      </c>
      <c r="G327" t="n">
        <v>5.8</v>
      </c>
      <c r="H327" t="n">
        <v>0</v>
      </c>
      <c r="I327" t="n">
        <v>0</v>
      </c>
      <c r="J327" t="n">
        <v>0</v>
      </c>
      <c r="K327" t="n">
        <v>0</v>
      </c>
      <c r="L327" t="n">
        <v>0</v>
      </c>
      <c r="M327" t="n">
        <v>0</v>
      </c>
      <c r="N327" t="n">
        <v>0</v>
      </c>
      <c r="O327" t="n">
        <v>0</v>
      </c>
      <c r="P327" t="n">
        <v>0</v>
      </c>
      <c r="Q327" t="n">
        <v>0</v>
      </c>
      <c r="R327" s="2" t="inlineStr"/>
    </row>
    <row r="328" ht="15" customHeight="1">
      <c r="A328" t="inlineStr">
        <is>
          <t>A 56845-2019</t>
        </is>
      </c>
      <c r="B328" s="1" t="n">
        <v>43765</v>
      </c>
      <c r="C328" s="1" t="n">
        <v>45807</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62212-2019</t>
        </is>
      </c>
      <c r="B329" s="1" t="n">
        <v>43788</v>
      </c>
      <c r="C329" s="1" t="n">
        <v>45807</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62209-2019</t>
        </is>
      </c>
      <c r="B330" s="1" t="n">
        <v>43788</v>
      </c>
      <c r="C330" s="1" t="n">
        <v>45807</v>
      </c>
      <c r="D330" t="inlineStr">
        <is>
          <t>GOTLANDS LÄN</t>
        </is>
      </c>
      <c r="E330" t="inlineStr">
        <is>
          <t>GOTLAND</t>
        </is>
      </c>
      <c r="G330" t="n">
        <v>4.8</v>
      </c>
      <c r="H330" t="n">
        <v>0</v>
      </c>
      <c r="I330" t="n">
        <v>0</v>
      </c>
      <c r="J330" t="n">
        <v>0</v>
      </c>
      <c r="K330" t="n">
        <v>0</v>
      </c>
      <c r="L330" t="n">
        <v>0</v>
      </c>
      <c r="M330" t="n">
        <v>0</v>
      </c>
      <c r="N330" t="n">
        <v>0</v>
      </c>
      <c r="O330" t="n">
        <v>0</v>
      </c>
      <c r="P330" t="n">
        <v>0</v>
      </c>
      <c r="Q330" t="n">
        <v>0</v>
      </c>
      <c r="R330" s="2" t="inlineStr"/>
    </row>
    <row r="331" ht="15" customHeight="1">
      <c r="A331" t="inlineStr">
        <is>
          <t>A 62218-2019</t>
        </is>
      </c>
      <c r="B331" s="1" t="n">
        <v>43788</v>
      </c>
      <c r="C331" s="1" t="n">
        <v>45807</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63366-2019</t>
        </is>
      </c>
      <c r="B332" s="1" t="n">
        <v>43794</v>
      </c>
      <c r="C332" s="1" t="n">
        <v>45807</v>
      </c>
      <c r="D332" t="inlineStr">
        <is>
          <t>GOTLANDS LÄN</t>
        </is>
      </c>
      <c r="E332" t="inlineStr">
        <is>
          <t>GOTLAND</t>
        </is>
      </c>
      <c r="G332" t="n">
        <v>16.4</v>
      </c>
      <c r="H332" t="n">
        <v>0</v>
      </c>
      <c r="I332" t="n">
        <v>0</v>
      </c>
      <c r="J332" t="n">
        <v>0</v>
      </c>
      <c r="K332" t="n">
        <v>0</v>
      </c>
      <c r="L332" t="n">
        <v>0</v>
      </c>
      <c r="M332" t="n">
        <v>0</v>
      </c>
      <c r="N332" t="n">
        <v>0</v>
      </c>
      <c r="O332" t="n">
        <v>0</v>
      </c>
      <c r="P332" t="n">
        <v>0</v>
      </c>
      <c r="Q332" t="n">
        <v>0</v>
      </c>
      <c r="R332" s="2" t="inlineStr"/>
    </row>
    <row r="333" ht="15" customHeight="1">
      <c r="A333" t="inlineStr">
        <is>
          <t>A 63747-2019</t>
        </is>
      </c>
      <c r="B333" s="1" t="n">
        <v>43795</v>
      </c>
      <c r="C333" s="1" t="n">
        <v>45807</v>
      </c>
      <c r="D333" t="inlineStr">
        <is>
          <t>GOTLANDS LÄN</t>
        </is>
      </c>
      <c r="E333" t="inlineStr">
        <is>
          <t>GOTLAND</t>
        </is>
      </c>
      <c r="G333" t="n">
        <v>4.5</v>
      </c>
      <c r="H333" t="n">
        <v>0</v>
      </c>
      <c r="I333" t="n">
        <v>0</v>
      </c>
      <c r="J333" t="n">
        <v>0</v>
      </c>
      <c r="K333" t="n">
        <v>0</v>
      </c>
      <c r="L333" t="n">
        <v>0</v>
      </c>
      <c r="M333" t="n">
        <v>0</v>
      </c>
      <c r="N333" t="n">
        <v>0</v>
      </c>
      <c r="O333" t="n">
        <v>0</v>
      </c>
      <c r="P333" t="n">
        <v>0</v>
      </c>
      <c r="Q333" t="n">
        <v>0</v>
      </c>
      <c r="R333" s="2" t="inlineStr"/>
    </row>
    <row r="334" ht="15" customHeight="1">
      <c r="A334" t="inlineStr">
        <is>
          <t>A 63751-2019</t>
        </is>
      </c>
      <c r="B334" s="1" t="n">
        <v>43795</v>
      </c>
      <c r="C334" s="1" t="n">
        <v>45807</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66960-2019</t>
        </is>
      </c>
      <c r="B335" s="1" t="n">
        <v>43810</v>
      </c>
      <c r="C335" s="1" t="n">
        <v>45807</v>
      </c>
      <c r="D335" t="inlineStr">
        <is>
          <t>GOTLANDS LÄN</t>
        </is>
      </c>
      <c r="E335" t="inlineStr">
        <is>
          <t>GOTLAND</t>
        </is>
      </c>
      <c r="G335" t="n">
        <v>4.6</v>
      </c>
      <c r="H335" t="n">
        <v>0</v>
      </c>
      <c r="I335" t="n">
        <v>0</v>
      </c>
      <c r="J335" t="n">
        <v>0</v>
      </c>
      <c r="K335" t="n">
        <v>0</v>
      </c>
      <c r="L335" t="n">
        <v>0</v>
      </c>
      <c r="M335" t="n">
        <v>0</v>
      </c>
      <c r="N335" t="n">
        <v>0</v>
      </c>
      <c r="O335" t="n">
        <v>0</v>
      </c>
      <c r="P335" t="n">
        <v>0</v>
      </c>
      <c r="Q335" t="n">
        <v>0</v>
      </c>
      <c r="R335" s="2" t="inlineStr"/>
    </row>
    <row r="336" ht="15" customHeight="1">
      <c r="A336" t="inlineStr">
        <is>
          <t>A 67079-2019</t>
        </is>
      </c>
      <c r="B336" s="1" t="n">
        <v>43811</v>
      </c>
      <c r="C336" s="1" t="n">
        <v>45807</v>
      </c>
      <c r="D336" t="inlineStr">
        <is>
          <t>GOTLANDS LÄN</t>
        </is>
      </c>
      <c r="E336" t="inlineStr">
        <is>
          <t>GOTLAND</t>
        </is>
      </c>
      <c r="G336" t="n">
        <v>18.7</v>
      </c>
      <c r="H336" t="n">
        <v>0</v>
      </c>
      <c r="I336" t="n">
        <v>0</v>
      </c>
      <c r="J336" t="n">
        <v>0</v>
      </c>
      <c r="K336" t="n">
        <v>0</v>
      </c>
      <c r="L336" t="n">
        <v>0</v>
      </c>
      <c r="M336" t="n">
        <v>0</v>
      </c>
      <c r="N336" t="n">
        <v>0</v>
      </c>
      <c r="O336" t="n">
        <v>0</v>
      </c>
      <c r="P336" t="n">
        <v>0</v>
      </c>
      <c r="Q336" t="n">
        <v>0</v>
      </c>
      <c r="R336" s="2" t="inlineStr"/>
    </row>
    <row r="337" ht="15" customHeight="1">
      <c r="A337" t="inlineStr">
        <is>
          <t>A 67737-2019</t>
        </is>
      </c>
      <c r="B337" s="1" t="n">
        <v>43815</v>
      </c>
      <c r="C337" s="1" t="n">
        <v>45807</v>
      </c>
      <c r="D337" t="inlineStr">
        <is>
          <t>GOTLANDS LÄN</t>
        </is>
      </c>
      <c r="E337" t="inlineStr">
        <is>
          <t>GOTLAND</t>
        </is>
      </c>
      <c r="G337" t="n">
        <v>22.1</v>
      </c>
      <c r="H337" t="n">
        <v>0</v>
      </c>
      <c r="I337" t="n">
        <v>0</v>
      </c>
      <c r="J337" t="n">
        <v>0</v>
      </c>
      <c r="K337" t="n">
        <v>0</v>
      </c>
      <c r="L337" t="n">
        <v>0</v>
      </c>
      <c r="M337" t="n">
        <v>0</v>
      </c>
      <c r="N337" t="n">
        <v>0</v>
      </c>
      <c r="O337" t="n">
        <v>0</v>
      </c>
      <c r="P337" t="n">
        <v>0</v>
      </c>
      <c r="Q337" t="n">
        <v>0</v>
      </c>
      <c r="R337" s="2" t="inlineStr"/>
    </row>
    <row r="338" ht="15" customHeight="1">
      <c r="A338" t="inlineStr">
        <is>
          <t>A 67791-2019</t>
        </is>
      </c>
      <c r="B338" s="1" t="n">
        <v>43815</v>
      </c>
      <c r="C338" s="1" t="n">
        <v>45807</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67743-2019</t>
        </is>
      </c>
      <c r="B339" s="1" t="n">
        <v>43815</v>
      </c>
      <c r="C339" s="1" t="n">
        <v>45807</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972-2020</t>
        </is>
      </c>
      <c r="B340" s="1" t="n">
        <v>43819</v>
      </c>
      <c r="C340" s="1" t="n">
        <v>45807</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68750-2019</t>
        </is>
      </c>
      <c r="B341" s="1" t="n">
        <v>43819</v>
      </c>
      <c r="C341" s="1" t="n">
        <v>45807</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164-2020</t>
        </is>
      </c>
      <c r="B342" s="1" t="n">
        <v>43833</v>
      </c>
      <c r="C342" s="1" t="n">
        <v>45807</v>
      </c>
      <c r="D342" t="inlineStr">
        <is>
          <t>GOTLANDS LÄN</t>
        </is>
      </c>
      <c r="E342" t="inlineStr">
        <is>
          <t>GOTLAND</t>
        </is>
      </c>
      <c r="F342" t="inlineStr">
        <is>
          <t>Kyrkan</t>
        </is>
      </c>
      <c r="G342" t="n">
        <v>6.2</v>
      </c>
      <c r="H342" t="n">
        <v>0</v>
      </c>
      <c r="I342" t="n">
        <v>0</v>
      </c>
      <c r="J342" t="n">
        <v>0</v>
      </c>
      <c r="K342" t="n">
        <v>0</v>
      </c>
      <c r="L342" t="n">
        <v>0</v>
      </c>
      <c r="M342" t="n">
        <v>0</v>
      </c>
      <c r="N342" t="n">
        <v>0</v>
      </c>
      <c r="O342" t="n">
        <v>0</v>
      </c>
      <c r="P342" t="n">
        <v>0</v>
      </c>
      <c r="Q342" t="n">
        <v>0</v>
      </c>
      <c r="R342" s="2" t="inlineStr"/>
    </row>
    <row r="343" ht="15" customHeight="1">
      <c r="A343" t="inlineStr">
        <is>
          <t>A 768-2020</t>
        </is>
      </c>
      <c r="B343" s="1" t="n">
        <v>43838</v>
      </c>
      <c r="C343" s="1" t="n">
        <v>45807</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1384-2020</t>
        </is>
      </c>
      <c r="B344" s="1" t="n">
        <v>43843</v>
      </c>
      <c r="C344" s="1" t="n">
        <v>45807</v>
      </c>
      <c r="D344" t="inlineStr">
        <is>
          <t>GOTLANDS LÄN</t>
        </is>
      </c>
      <c r="E344" t="inlineStr">
        <is>
          <t>GOTLAND</t>
        </is>
      </c>
      <c r="G344" t="n">
        <v>6</v>
      </c>
      <c r="H344" t="n">
        <v>0</v>
      </c>
      <c r="I344" t="n">
        <v>0</v>
      </c>
      <c r="J344" t="n">
        <v>0</v>
      </c>
      <c r="K344" t="n">
        <v>0</v>
      </c>
      <c r="L344" t="n">
        <v>0</v>
      </c>
      <c r="M344" t="n">
        <v>0</v>
      </c>
      <c r="N344" t="n">
        <v>0</v>
      </c>
      <c r="O344" t="n">
        <v>0</v>
      </c>
      <c r="P344" t="n">
        <v>0</v>
      </c>
      <c r="Q344" t="n">
        <v>0</v>
      </c>
      <c r="R344" s="2" t="inlineStr"/>
    </row>
    <row r="345" ht="15" customHeight="1">
      <c r="A345" t="inlineStr">
        <is>
          <t>A 1541-2020</t>
        </is>
      </c>
      <c r="B345" s="1" t="n">
        <v>43843</v>
      </c>
      <c r="C345" s="1" t="n">
        <v>45807</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2675-2020</t>
        </is>
      </c>
      <c r="B346" s="1" t="n">
        <v>43849</v>
      </c>
      <c r="C346" s="1" t="n">
        <v>45807</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4409-2020</t>
        </is>
      </c>
      <c r="B347" s="1" t="n">
        <v>43850</v>
      </c>
      <c r="C347" s="1" t="n">
        <v>45807</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5724-2020</t>
        </is>
      </c>
      <c r="B348" s="1" t="n">
        <v>43862</v>
      </c>
      <c r="C348" s="1" t="n">
        <v>45807</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5731-2020</t>
        </is>
      </c>
      <c r="B349" s="1" t="n">
        <v>43862</v>
      </c>
      <c r="C349" s="1" t="n">
        <v>45807</v>
      </c>
      <c r="D349" t="inlineStr">
        <is>
          <t>GOTLANDS LÄN</t>
        </is>
      </c>
      <c r="E349" t="inlineStr">
        <is>
          <t>GOTLAND</t>
        </is>
      </c>
      <c r="G349" t="n">
        <v>2.2</v>
      </c>
      <c r="H349" t="n">
        <v>0</v>
      </c>
      <c r="I349" t="n">
        <v>0</v>
      </c>
      <c r="J349" t="n">
        <v>0</v>
      </c>
      <c r="K349" t="n">
        <v>0</v>
      </c>
      <c r="L349" t="n">
        <v>0</v>
      </c>
      <c r="M349" t="n">
        <v>0</v>
      </c>
      <c r="N349" t="n">
        <v>0</v>
      </c>
      <c r="O349" t="n">
        <v>0</v>
      </c>
      <c r="P349" t="n">
        <v>0</v>
      </c>
      <c r="Q349" t="n">
        <v>0</v>
      </c>
      <c r="R349" s="2" t="inlineStr"/>
    </row>
    <row r="350" ht="15" customHeight="1">
      <c r="A350" t="inlineStr">
        <is>
          <t>A 5723-2020</t>
        </is>
      </c>
      <c r="B350" s="1" t="n">
        <v>43862</v>
      </c>
      <c r="C350" s="1" t="n">
        <v>45807</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5727-2020</t>
        </is>
      </c>
      <c r="B351" s="1" t="n">
        <v>43862</v>
      </c>
      <c r="C351" s="1" t="n">
        <v>45807</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6226-2020</t>
        </is>
      </c>
      <c r="B352" s="1" t="n">
        <v>43865</v>
      </c>
      <c r="C352" s="1" t="n">
        <v>45807</v>
      </c>
      <c r="D352" t="inlineStr">
        <is>
          <t>GOTLANDS LÄN</t>
        </is>
      </c>
      <c r="E352" t="inlineStr">
        <is>
          <t>GOTLAND</t>
        </is>
      </c>
      <c r="G352" t="n">
        <v>3.1</v>
      </c>
      <c r="H352" t="n">
        <v>0</v>
      </c>
      <c r="I352" t="n">
        <v>0</v>
      </c>
      <c r="J352" t="n">
        <v>0</v>
      </c>
      <c r="K352" t="n">
        <v>0</v>
      </c>
      <c r="L352" t="n">
        <v>0</v>
      </c>
      <c r="M352" t="n">
        <v>0</v>
      </c>
      <c r="N352" t="n">
        <v>0</v>
      </c>
      <c r="O352" t="n">
        <v>0</v>
      </c>
      <c r="P352" t="n">
        <v>0</v>
      </c>
      <c r="Q352" t="n">
        <v>0</v>
      </c>
      <c r="R352" s="2" t="inlineStr"/>
    </row>
    <row r="353" ht="15" customHeight="1">
      <c r="A353" t="inlineStr">
        <is>
          <t>A 6611-2020</t>
        </is>
      </c>
      <c r="B353" s="1" t="n">
        <v>43867</v>
      </c>
      <c r="C353" s="1" t="n">
        <v>45807</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8217-2020</t>
        </is>
      </c>
      <c r="B354" s="1" t="n">
        <v>43874</v>
      </c>
      <c r="C354" s="1" t="n">
        <v>45807</v>
      </c>
      <c r="D354" t="inlineStr">
        <is>
          <t>GOTLANDS LÄN</t>
        </is>
      </c>
      <c r="E354" t="inlineStr">
        <is>
          <t>GOTLAND</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8872-2020</t>
        </is>
      </c>
      <c r="B355" s="1" t="n">
        <v>43878</v>
      </c>
      <c r="C355" s="1" t="n">
        <v>45807</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9502-2020</t>
        </is>
      </c>
      <c r="B356" s="1" t="n">
        <v>43880</v>
      </c>
      <c r="C356" s="1" t="n">
        <v>45807</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10932-2020</t>
        </is>
      </c>
      <c r="B357" s="1" t="n">
        <v>43889</v>
      </c>
      <c r="C357" s="1" t="n">
        <v>45807</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10931-2020</t>
        </is>
      </c>
      <c r="B358" s="1" t="n">
        <v>43889</v>
      </c>
      <c r="C358" s="1" t="n">
        <v>45807</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12309-2020</t>
        </is>
      </c>
      <c r="B359" s="1" t="n">
        <v>43895</v>
      </c>
      <c r="C359" s="1" t="n">
        <v>45807</v>
      </c>
      <c r="D359" t="inlineStr">
        <is>
          <t>GOTLANDS LÄN</t>
        </is>
      </c>
      <c r="E359" t="inlineStr">
        <is>
          <t>GOTLAND</t>
        </is>
      </c>
      <c r="G359" t="n">
        <v>0.9</v>
      </c>
      <c r="H359" t="n">
        <v>0</v>
      </c>
      <c r="I359" t="n">
        <v>0</v>
      </c>
      <c r="J359" t="n">
        <v>0</v>
      </c>
      <c r="K359" t="n">
        <v>0</v>
      </c>
      <c r="L359" t="n">
        <v>0</v>
      </c>
      <c r="M359" t="n">
        <v>0</v>
      </c>
      <c r="N359" t="n">
        <v>0</v>
      </c>
      <c r="O359" t="n">
        <v>0</v>
      </c>
      <c r="P359" t="n">
        <v>0</v>
      </c>
      <c r="Q359" t="n">
        <v>0</v>
      </c>
      <c r="R359" s="2" t="inlineStr"/>
    </row>
    <row r="360" ht="15" customHeight="1">
      <c r="A360" t="inlineStr">
        <is>
          <t>A 13940-2020</t>
        </is>
      </c>
      <c r="B360" s="1" t="n">
        <v>43903</v>
      </c>
      <c r="C360" s="1" t="n">
        <v>45807</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13930-2020</t>
        </is>
      </c>
      <c r="B361" s="1" t="n">
        <v>43906</v>
      </c>
      <c r="C361" s="1" t="n">
        <v>45807</v>
      </c>
      <c r="D361" t="inlineStr">
        <is>
          <t>GOTLANDS LÄN</t>
        </is>
      </c>
      <c r="E361" t="inlineStr">
        <is>
          <t>GOTLAND</t>
        </is>
      </c>
      <c r="G361" t="n">
        <v>4</v>
      </c>
      <c r="H361" t="n">
        <v>0</v>
      </c>
      <c r="I361" t="n">
        <v>0</v>
      </c>
      <c r="J361" t="n">
        <v>0</v>
      </c>
      <c r="K361" t="n">
        <v>0</v>
      </c>
      <c r="L361" t="n">
        <v>0</v>
      </c>
      <c r="M361" t="n">
        <v>0</v>
      </c>
      <c r="N361" t="n">
        <v>0</v>
      </c>
      <c r="O361" t="n">
        <v>0</v>
      </c>
      <c r="P361" t="n">
        <v>0</v>
      </c>
      <c r="Q361" t="n">
        <v>0</v>
      </c>
      <c r="R361" s="2" t="inlineStr"/>
    </row>
    <row r="362" ht="15" customHeight="1">
      <c r="A362" t="inlineStr">
        <is>
          <t>A 13995-2020</t>
        </is>
      </c>
      <c r="B362" s="1" t="n">
        <v>43906</v>
      </c>
      <c r="C362" s="1" t="n">
        <v>45807</v>
      </c>
      <c r="D362" t="inlineStr">
        <is>
          <t>GOTLANDS LÄN</t>
        </is>
      </c>
      <c r="E362" t="inlineStr">
        <is>
          <t>GOTLAND</t>
        </is>
      </c>
      <c r="G362" t="n">
        <v>1.4</v>
      </c>
      <c r="H362" t="n">
        <v>0</v>
      </c>
      <c r="I362" t="n">
        <v>0</v>
      </c>
      <c r="J362" t="n">
        <v>0</v>
      </c>
      <c r="K362" t="n">
        <v>0</v>
      </c>
      <c r="L362" t="n">
        <v>0</v>
      </c>
      <c r="M362" t="n">
        <v>0</v>
      </c>
      <c r="N362" t="n">
        <v>0</v>
      </c>
      <c r="O362" t="n">
        <v>0</v>
      </c>
      <c r="P362" t="n">
        <v>0</v>
      </c>
      <c r="Q362" t="n">
        <v>0</v>
      </c>
      <c r="R362" s="2" t="inlineStr"/>
    </row>
    <row r="363" ht="15" customHeight="1">
      <c r="A363" t="inlineStr">
        <is>
          <t>A 13987-2020</t>
        </is>
      </c>
      <c r="B363" s="1" t="n">
        <v>43906</v>
      </c>
      <c r="C363" s="1" t="n">
        <v>45807</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14073-2020</t>
        </is>
      </c>
      <c r="B364" s="1" t="n">
        <v>43907</v>
      </c>
      <c r="C364" s="1" t="n">
        <v>45807</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14074-2020</t>
        </is>
      </c>
      <c r="B365" s="1" t="n">
        <v>43907</v>
      </c>
      <c r="C365" s="1" t="n">
        <v>45807</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16452-2020</t>
        </is>
      </c>
      <c r="B366" s="1" t="n">
        <v>43909</v>
      </c>
      <c r="C366" s="1" t="n">
        <v>45807</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14995-2020</t>
        </is>
      </c>
      <c r="B367" s="1" t="n">
        <v>43910</v>
      </c>
      <c r="C367" s="1" t="n">
        <v>45807</v>
      </c>
      <c r="D367" t="inlineStr">
        <is>
          <t>GOTLANDS LÄN</t>
        </is>
      </c>
      <c r="E367" t="inlineStr">
        <is>
          <t>GOTLAND</t>
        </is>
      </c>
      <c r="G367" t="n">
        <v>6.3</v>
      </c>
      <c r="H367" t="n">
        <v>0</v>
      </c>
      <c r="I367" t="n">
        <v>0</v>
      </c>
      <c r="J367" t="n">
        <v>0</v>
      </c>
      <c r="K367" t="n">
        <v>0</v>
      </c>
      <c r="L367" t="n">
        <v>0</v>
      </c>
      <c r="M367" t="n">
        <v>0</v>
      </c>
      <c r="N367" t="n">
        <v>0</v>
      </c>
      <c r="O367" t="n">
        <v>0</v>
      </c>
      <c r="P367" t="n">
        <v>0</v>
      </c>
      <c r="Q367" t="n">
        <v>0</v>
      </c>
      <c r="R367" s="2" t="inlineStr"/>
    </row>
    <row r="368" ht="15" customHeight="1">
      <c r="A368" t="inlineStr">
        <is>
          <t>A 15202-2020</t>
        </is>
      </c>
      <c r="B368" s="1" t="n">
        <v>43913</v>
      </c>
      <c r="C368" s="1" t="n">
        <v>45807</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15197-2020</t>
        </is>
      </c>
      <c r="B369" s="1" t="n">
        <v>43913</v>
      </c>
      <c r="C369" s="1" t="n">
        <v>45807</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15888-2020</t>
        </is>
      </c>
      <c r="B370" s="1" t="n">
        <v>43915</v>
      </c>
      <c r="C370" s="1" t="n">
        <v>45807</v>
      </c>
      <c r="D370" t="inlineStr">
        <is>
          <t>GOTLANDS LÄN</t>
        </is>
      </c>
      <c r="E370" t="inlineStr">
        <is>
          <t>GOTLAND</t>
        </is>
      </c>
      <c r="G370" t="n">
        <v>1.8</v>
      </c>
      <c r="H370" t="n">
        <v>0</v>
      </c>
      <c r="I370" t="n">
        <v>0</v>
      </c>
      <c r="J370" t="n">
        <v>0</v>
      </c>
      <c r="K370" t="n">
        <v>0</v>
      </c>
      <c r="L370" t="n">
        <v>0</v>
      </c>
      <c r="M370" t="n">
        <v>0</v>
      </c>
      <c r="N370" t="n">
        <v>0</v>
      </c>
      <c r="O370" t="n">
        <v>0</v>
      </c>
      <c r="P370" t="n">
        <v>0</v>
      </c>
      <c r="Q370" t="n">
        <v>0</v>
      </c>
      <c r="R370" s="2" t="inlineStr"/>
    </row>
    <row r="371" ht="15" customHeight="1">
      <c r="A371" t="inlineStr">
        <is>
          <t>A 16133-2020</t>
        </is>
      </c>
      <c r="B371" s="1" t="n">
        <v>43916</v>
      </c>
      <c r="C371" s="1" t="n">
        <v>45807</v>
      </c>
      <c r="D371" t="inlineStr">
        <is>
          <t>GOTLANDS LÄN</t>
        </is>
      </c>
      <c r="E371" t="inlineStr">
        <is>
          <t>GOTLAND</t>
        </is>
      </c>
      <c r="G371" t="n">
        <v>6.7</v>
      </c>
      <c r="H371" t="n">
        <v>0</v>
      </c>
      <c r="I371" t="n">
        <v>0</v>
      </c>
      <c r="J371" t="n">
        <v>0</v>
      </c>
      <c r="K371" t="n">
        <v>0</v>
      </c>
      <c r="L371" t="n">
        <v>0</v>
      </c>
      <c r="M371" t="n">
        <v>0</v>
      </c>
      <c r="N371" t="n">
        <v>0</v>
      </c>
      <c r="O371" t="n">
        <v>0</v>
      </c>
      <c r="P371" t="n">
        <v>0</v>
      </c>
      <c r="Q371" t="n">
        <v>0</v>
      </c>
      <c r="R371" s="2" t="inlineStr"/>
    </row>
    <row r="372" ht="15" customHeight="1">
      <c r="A372" t="inlineStr">
        <is>
          <t>A 17403-2020</t>
        </is>
      </c>
      <c r="B372" s="1" t="n">
        <v>43917</v>
      </c>
      <c r="C372" s="1" t="n">
        <v>45807</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17869-2020</t>
        </is>
      </c>
      <c r="B373" s="1" t="n">
        <v>43924</v>
      </c>
      <c r="C373" s="1" t="n">
        <v>45807</v>
      </c>
      <c r="D373" t="inlineStr">
        <is>
          <t>GOTLANDS LÄN</t>
        </is>
      </c>
      <c r="E373" t="inlineStr">
        <is>
          <t>GOTLAND</t>
        </is>
      </c>
      <c r="G373" t="n">
        <v>2.7</v>
      </c>
      <c r="H373" t="n">
        <v>0</v>
      </c>
      <c r="I373" t="n">
        <v>0</v>
      </c>
      <c r="J373" t="n">
        <v>0</v>
      </c>
      <c r="K373" t="n">
        <v>0</v>
      </c>
      <c r="L373" t="n">
        <v>0</v>
      </c>
      <c r="M373" t="n">
        <v>0</v>
      </c>
      <c r="N373" t="n">
        <v>0</v>
      </c>
      <c r="O373" t="n">
        <v>0</v>
      </c>
      <c r="P373" t="n">
        <v>0</v>
      </c>
      <c r="Q373" t="n">
        <v>0</v>
      </c>
      <c r="R373" s="2" t="inlineStr"/>
    </row>
    <row r="374" ht="15" customHeight="1">
      <c r="A374" t="inlineStr">
        <is>
          <t>A 19900-2020</t>
        </is>
      </c>
      <c r="B374" s="1" t="n">
        <v>43942</v>
      </c>
      <c r="C374" s="1" t="n">
        <v>45807</v>
      </c>
      <c r="D374" t="inlineStr">
        <is>
          <t>GOTLANDS LÄN</t>
        </is>
      </c>
      <c r="E374" t="inlineStr">
        <is>
          <t>GOTLAND</t>
        </is>
      </c>
      <c r="G374" t="n">
        <v>3.5</v>
      </c>
      <c r="H374" t="n">
        <v>0</v>
      </c>
      <c r="I374" t="n">
        <v>0</v>
      </c>
      <c r="J374" t="n">
        <v>0</v>
      </c>
      <c r="K374" t="n">
        <v>0</v>
      </c>
      <c r="L374" t="n">
        <v>0</v>
      </c>
      <c r="M374" t="n">
        <v>0</v>
      </c>
      <c r="N374" t="n">
        <v>0</v>
      </c>
      <c r="O374" t="n">
        <v>0</v>
      </c>
      <c r="P374" t="n">
        <v>0</v>
      </c>
      <c r="Q374" t="n">
        <v>0</v>
      </c>
      <c r="R374" s="2" t="inlineStr"/>
    </row>
    <row r="375" ht="15" customHeight="1">
      <c r="A375" t="inlineStr">
        <is>
          <t>A 21568-2020</t>
        </is>
      </c>
      <c r="B375" s="1" t="n">
        <v>43956</v>
      </c>
      <c r="C375" s="1" t="n">
        <v>45807</v>
      </c>
      <c r="D375" t="inlineStr">
        <is>
          <t>GOTLANDS LÄN</t>
        </is>
      </c>
      <c r="E375" t="inlineStr">
        <is>
          <t>GOTLAND</t>
        </is>
      </c>
      <c r="G375" t="n">
        <v>2.8</v>
      </c>
      <c r="H375" t="n">
        <v>0</v>
      </c>
      <c r="I375" t="n">
        <v>0</v>
      </c>
      <c r="J375" t="n">
        <v>0</v>
      </c>
      <c r="K375" t="n">
        <v>0</v>
      </c>
      <c r="L375" t="n">
        <v>0</v>
      </c>
      <c r="M375" t="n">
        <v>0</v>
      </c>
      <c r="N375" t="n">
        <v>0</v>
      </c>
      <c r="O375" t="n">
        <v>0</v>
      </c>
      <c r="P375" t="n">
        <v>0</v>
      </c>
      <c r="Q375" t="n">
        <v>0</v>
      </c>
      <c r="R375" s="2" t="inlineStr"/>
    </row>
    <row r="376" ht="15" customHeight="1">
      <c r="A376" t="inlineStr">
        <is>
          <t>A 22093-2020</t>
        </is>
      </c>
      <c r="B376" s="1" t="n">
        <v>43959</v>
      </c>
      <c r="C376" s="1" t="n">
        <v>45807</v>
      </c>
      <c r="D376" t="inlineStr">
        <is>
          <t>GOTLANDS LÄN</t>
        </is>
      </c>
      <c r="E376" t="inlineStr">
        <is>
          <t>GOTLAND</t>
        </is>
      </c>
      <c r="F376" t="inlineStr">
        <is>
          <t>Kommuner</t>
        </is>
      </c>
      <c r="G376" t="n">
        <v>0.6</v>
      </c>
      <c r="H376" t="n">
        <v>0</v>
      </c>
      <c r="I376" t="n">
        <v>0</v>
      </c>
      <c r="J376" t="n">
        <v>0</v>
      </c>
      <c r="K376" t="n">
        <v>0</v>
      </c>
      <c r="L376" t="n">
        <v>0</v>
      </c>
      <c r="M376" t="n">
        <v>0</v>
      </c>
      <c r="N376" t="n">
        <v>0</v>
      </c>
      <c r="O376" t="n">
        <v>0</v>
      </c>
      <c r="P376" t="n">
        <v>0</v>
      </c>
      <c r="Q376" t="n">
        <v>0</v>
      </c>
      <c r="R376" s="2" t="inlineStr"/>
    </row>
    <row r="377" ht="15" customHeight="1">
      <c r="A377" t="inlineStr">
        <is>
          <t>A 22329-2020</t>
        </is>
      </c>
      <c r="B377" s="1" t="n">
        <v>43962</v>
      </c>
      <c r="C377" s="1" t="n">
        <v>45807</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22333-2020</t>
        </is>
      </c>
      <c r="B378" s="1" t="n">
        <v>43962</v>
      </c>
      <c r="C378" s="1" t="n">
        <v>45807</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23498-2020</t>
        </is>
      </c>
      <c r="B379" s="1" t="n">
        <v>43969</v>
      </c>
      <c r="C379" s="1" t="n">
        <v>45807</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23728-2020</t>
        </is>
      </c>
      <c r="B380" s="1" t="n">
        <v>43970</v>
      </c>
      <c r="C380" s="1" t="n">
        <v>45807</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24537-2020</t>
        </is>
      </c>
      <c r="B381" s="1" t="n">
        <v>43977</v>
      </c>
      <c r="C381" s="1" t="n">
        <v>45807</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25039-2020</t>
        </is>
      </c>
      <c r="B382" s="1" t="n">
        <v>43979</v>
      </c>
      <c r="C382" s="1" t="n">
        <v>45807</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26117-2020</t>
        </is>
      </c>
      <c r="B383" s="1" t="n">
        <v>43985</v>
      </c>
      <c r="C383" s="1" t="n">
        <v>45807</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27322-2020</t>
        </is>
      </c>
      <c r="B384" s="1" t="n">
        <v>43992</v>
      </c>
      <c r="C384" s="1" t="n">
        <v>45807</v>
      </c>
      <c r="D384" t="inlineStr">
        <is>
          <t>GOTLANDS LÄN</t>
        </is>
      </c>
      <c r="E384" t="inlineStr">
        <is>
          <t>GOTLAND</t>
        </is>
      </c>
      <c r="F384" t="inlineStr">
        <is>
          <t>Övriga statliga verk och myndigheter</t>
        </is>
      </c>
      <c r="G384" t="n">
        <v>7.4</v>
      </c>
      <c r="H384" t="n">
        <v>0</v>
      </c>
      <c r="I384" t="n">
        <v>0</v>
      </c>
      <c r="J384" t="n">
        <v>0</v>
      </c>
      <c r="K384" t="n">
        <v>0</v>
      </c>
      <c r="L384" t="n">
        <v>0</v>
      </c>
      <c r="M384" t="n">
        <v>0</v>
      </c>
      <c r="N384" t="n">
        <v>0</v>
      </c>
      <c r="O384" t="n">
        <v>0</v>
      </c>
      <c r="P384" t="n">
        <v>0</v>
      </c>
      <c r="Q384" t="n">
        <v>0</v>
      </c>
      <c r="R384" s="2" t="inlineStr"/>
    </row>
    <row r="385" ht="15" customHeight="1">
      <c r="A385" t="inlineStr">
        <is>
          <t>A 27334-2020</t>
        </is>
      </c>
      <c r="B385" s="1" t="n">
        <v>43992</v>
      </c>
      <c r="C385" s="1" t="n">
        <v>45807</v>
      </c>
      <c r="D385" t="inlineStr">
        <is>
          <t>GOTLANDS LÄN</t>
        </is>
      </c>
      <c r="E385" t="inlineStr">
        <is>
          <t>GOTLAND</t>
        </is>
      </c>
      <c r="F385" t="inlineStr">
        <is>
          <t>Övriga statliga verk och myndigheter</t>
        </is>
      </c>
      <c r="G385" t="n">
        <v>5.4</v>
      </c>
      <c r="H385" t="n">
        <v>0</v>
      </c>
      <c r="I385" t="n">
        <v>0</v>
      </c>
      <c r="J385" t="n">
        <v>0</v>
      </c>
      <c r="K385" t="n">
        <v>0</v>
      </c>
      <c r="L385" t="n">
        <v>0</v>
      </c>
      <c r="M385" t="n">
        <v>0</v>
      </c>
      <c r="N385" t="n">
        <v>0</v>
      </c>
      <c r="O385" t="n">
        <v>0</v>
      </c>
      <c r="P385" t="n">
        <v>0</v>
      </c>
      <c r="Q385" t="n">
        <v>0</v>
      </c>
      <c r="R385" s="2" t="inlineStr"/>
    </row>
    <row r="386" ht="15" customHeight="1">
      <c r="A386" t="inlineStr">
        <is>
          <t>A 27723-2020</t>
        </is>
      </c>
      <c r="B386" s="1" t="n">
        <v>43994</v>
      </c>
      <c r="C386" s="1" t="n">
        <v>45807</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27719-2020</t>
        </is>
      </c>
      <c r="B387" s="1" t="n">
        <v>43994</v>
      </c>
      <c r="C387" s="1" t="n">
        <v>45807</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27713-2020</t>
        </is>
      </c>
      <c r="B388" s="1" t="n">
        <v>43994</v>
      </c>
      <c r="C388" s="1" t="n">
        <v>45807</v>
      </c>
      <c r="D388" t="inlineStr">
        <is>
          <t>GOTLANDS LÄN</t>
        </is>
      </c>
      <c r="E388" t="inlineStr">
        <is>
          <t>GOTLAND</t>
        </is>
      </c>
      <c r="F388" t="inlineStr">
        <is>
          <t>Övriga statliga verk och myndigheter</t>
        </is>
      </c>
      <c r="G388" t="n">
        <v>0.8</v>
      </c>
      <c r="H388" t="n">
        <v>0</v>
      </c>
      <c r="I388" t="n">
        <v>0</v>
      </c>
      <c r="J388" t="n">
        <v>0</v>
      </c>
      <c r="K388" t="n">
        <v>0</v>
      </c>
      <c r="L388" t="n">
        <v>0</v>
      </c>
      <c r="M388" t="n">
        <v>0</v>
      </c>
      <c r="N388" t="n">
        <v>0</v>
      </c>
      <c r="O388" t="n">
        <v>0</v>
      </c>
      <c r="P388" t="n">
        <v>0</v>
      </c>
      <c r="Q388" t="n">
        <v>0</v>
      </c>
      <c r="R388" s="2" t="inlineStr"/>
    </row>
    <row r="389" ht="15" customHeight="1">
      <c r="A389" t="inlineStr">
        <is>
          <t>A 29529-2020</t>
        </is>
      </c>
      <c r="B389" s="1" t="n">
        <v>44005</v>
      </c>
      <c r="C389" s="1" t="n">
        <v>45807</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29915-2020</t>
        </is>
      </c>
      <c r="B390" s="1" t="n">
        <v>44006</v>
      </c>
      <c r="C390" s="1" t="n">
        <v>45807</v>
      </c>
      <c r="D390" t="inlineStr">
        <is>
          <t>GOTLANDS LÄN</t>
        </is>
      </c>
      <c r="E390" t="inlineStr">
        <is>
          <t>GOTLAND</t>
        </is>
      </c>
      <c r="F390" t="inlineStr">
        <is>
          <t>Kommuner</t>
        </is>
      </c>
      <c r="G390" t="n">
        <v>5.8</v>
      </c>
      <c r="H390" t="n">
        <v>0</v>
      </c>
      <c r="I390" t="n">
        <v>0</v>
      </c>
      <c r="J390" t="n">
        <v>0</v>
      </c>
      <c r="K390" t="n">
        <v>0</v>
      </c>
      <c r="L390" t="n">
        <v>0</v>
      </c>
      <c r="M390" t="n">
        <v>0</v>
      </c>
      <c r="N390" t="n">
        <v>0</v>
      </c>
      <c r="O390" t="n">
        <v>0</v>
      </c>
      <c r="P390" t="n">
        <v>0</v>
      </c>
      <c r="Q390" t="n">
        <v>0</v>
      </c>
      <c r="R390" s="2" t="inlineStr"/>
    </row>
    <row r="391" ht="15" customHeight="1">
      <c r="A391" t="inlineStr">
        <is>
          <t>A 30980-2020</t>
        </is>
      </c>
      <c r="B391" s="1" t="n">
        <v>44011</v>
      </c>
      <c r="C391" s="1" t="n">
        <v>45807</v>
      </c>
      <c r="D391" t="inlineStr">
        <is>
          <t>GOTLANDS LÄN</t>
        </is>
      </c>
      <c r="E391" t="inlineStr">
        <is>
          <t>GOTLAND</t>
        </is>
      </c>
      <c r="G391" t="n">
        <v>17.9</v>
      </c>
      <c r="H391" t="n">
        <v>0</v>
      </c>
      <c r="I391" t="n">
        <v>0</v>
      </c>
      <c r="J391" t="n">
        <v>0</v>
      </c>
      <c r="K391" t="n">
        <v>0</v>
      </c>
      <c r="L391" t="n">
        <v>0</v>
      </c>
      <c r="M391" t="n">
        <v>0</v>
      </c>
      <c r="N391" t="n">
        <v>0</v>
      </c>
      <c r="O391" t="n">
        <v>0</v>
      </c>
      <c r="P391" t="n">
        <v>0</v>
      </c>
      <c r="Q391" t="n">
        <v>0</v>
      </c>
      <c r="R391" s="2" t="inlineStr"/>
    </row>
    <row r="392" ht="15" customHeight="1">
      <c r="A392" t="inlineStr">
        <is>
          <t>A 32804-2020</t>
        </is>
      </c>
      <c r="B392" s="1" t="n">
        <v>44018</v>
      </c>
      <c r="C392" s="1" t="n">
        <v>45807</v>
      </c>
      <c r="D392" t="inlineStr">
        <is>
          <t>GOTLANDS LÄN</t>
        </is>
      </c>
      <c r="E392" t="inlineStr">
        <is>
          <t>GOTLAND</t>
        </is>
      </c>
      <c r="G392" t="n">
        <v>19.3</v>
      </c>
      <c r="H392" t="n">
        <v>0</v>
      </c>
      <c r="I392" t="n">
        <v>0</v>
      </c>
      <c r="J392" t="n">
        <v>0</v>
      </c>
      <c r="K392" t="n">
        <v>0</v>
      </c>
      <c r="L392" t="n">
        <v>0</v>
      </c>
      <c r="M392" t="n">
        <v>0</v>
      </c>
      <c r="N392" t="n">
        <v>0</v>
      </c>
      <c r="O392" t="n">
        <v>0</v>
      </c>
      <c r="P392" t="n">
        <v>0</v>
      </c>
      <c r="Q392" t="n">
        <v>0</v>
      </c>
      <c r="R392" s="2" t="inlineStr"/>
    </row>
    <row r="393" ht="15" customHeight="1">
      <c r="A393" t="inlineStr">
        <is>
          <t>A 32974-2020</t>
        </is>
      </c>
      <c r="B393" s="1" t="n">
        <v>44020</v>
      </c>
      <c r="C393" s="1" t="n">
        <v>45807</v>
      </c>
      <c r="D393" t="inlineStr">
        <is>
          <t>GOTLANDS LÄN</t>
        </is>
      </c>
      <c r="E393" t="inlineStr">
        <is>
          <t>GOTLAND</t>
        </is>
      </c>
      <c r="F393" t="inlineStr">
        <is>
          <t>Kyrkan</t>
        </is>
      </c>
      <c r="G393" t="n">
        <v>0.7</v>
      </c>
      <c r="H393" t="n">
        <v>0</v>
      </c>
      <c r="I393" t="n">
        <v>0</v>
      </c>
      <c r="J393" t="n">
        <v>0</v>
      </c>
      <c r="K393" t="n">
        <v>0</v>
      </c>
      <c r="L393" t="n">
        <v>0</v>
      </c>
      <c r="M393" t="n">
        <v>0</v>
      </c>
      <c r="N393" t="n">
        <v>0</v>
      </c>
      <c r="O393" t="n">
        <v>0</v>
      </c>
      <c r="P393" t="n">
        <v>0</v>
      </c>
      <c r="Q393" t="n">
        <v>0</v>
      </c>
      <c r="R393" s="2" t="inlineStr"/>
    </row>
    <row r="394" ht="15" customHeight="1">
      <c r="A394" t="inlineStr">
        <is>
          <t>A 35074-2020</t>
        </is>
      </c>
      <c r="B394" s="1" t="n">
        <v>44039</v>
      </c>
      <c r="C394" s="1" t="n">
        <v>45807</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36073-2020</t>
        </is>
      </c>
      <c r="B395" s="1" t="n">
        <v>44048</v>
      </c>
      <c r="C395" s="1" t="n">
        <v>45807</v>
      </c>
      <c r="D395" t="inlineStr">
        <is>
          <t>GOTLANDS LÄN</t>
        </is>
      </c>
      <c r="E395" t="inlineStr">
        <is>
          <t>GOTLAND</t>
        </is>
      </c>
      <c r="G395" t="n">
        <v>10.1</v>
      </c>
      <c r="H395" t="n">
        <v>0</v>
      </c>
      <c r="I395" t="n">
        <v>0</v>
      </c>
      <c r="J395" t="n">
        <v>0</v>
      </c>
      <c r="K395" t="n">
        <v>0</v>
      </c>
      <c r="L395" t="n">
        <v>0</v>
      </c>
      <c r="M395" t="n">
        <v>0</v>
      </c>
      <c r="N395" t="n">
        <v>0</v>
      </c>
      <c r="O395" t="n">
        <v>0</v>
      </c>
      <c r="P395" t="n">
        <v>0</v>
      </c>
      <c r="Q395" t="n">
        <v>0</v>
      </c>
      <c r="R395" s="2" t="inlineStr"/>
    </row>
    <row r="396" ht="15" customHeight="1">
      <c r="A396" t="inlineStr">
        <is>
          <t>A 36076-2020</t>
        </is>
      </c>
      <c r="B396" s="1" t="n">
        <v>44048</v>
      </c>
      <c r="C396" s="1" t="n">
        <v>45807</v>
      </c>
      <c r="D396" t="inlineStr">
        <is>
          <t>GOTLANDS LÄN</t>
        </is>
      </c>
      <c r="E396" t="inlineStr">
        <is>
          <t>GOTLAND</t>
        </is>
      </c>
      <c r="G396" t="n">
        <v>0.8</v>
      </c>
      <c r="H396" t="n">
        <v>0</v>
      </c>
      <c r="I396" t="n">
        <v>0</v>
      </c>
      <c r="J396" t="n">
        <v>0</v>
      </c>
      <c r="K396" t="n">
        <v>0</v>
      </c>
      <c r="L396" t="n">
        <v>0</v>
      </c>
      <c r="M396" t="n">
        <v>0</v>
      </c>
      <c r="N396" t="n">
        <v>0</v>
      </c>
      <c r="O396" t="n">
        <v>0</v>
      </c>
      <c r="P396" t="n">
        <v>0</v>
      </c>
      <c r="Q396" t="n">
        <v>0</v>
      </c>
      <c r="R396" s="2" t="inlineStr"/>
    </row>
    <row r="397" ht="15" customHeight="1">
      <c r="A397" t="inlineStr">
        <is>
          <t>A 36284-2020</t>
        </is>
      </c>
      <c r="B397" s="1" t="n">
        <v>44049</v>
      </c>
      <c r="C397" s="1" t="n">
        <v>45807</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37204-2020</t>
        </is>
      </c>
      <c r="B398" s="1" t="n">
        <v>44054</v>
      </c>
      <c r="C398" s="1" t="n">
        <v>45807</v>
      </c>
      <c r="D398" t="inlineStr">
        <is>
          <t>GOTLANDS LÄN</t>
        </is>
      </c>
      <c r="E398" t="inlineStr">
        <is>
          <t>GOTLAND</t>
        </is>
      </c>
      <c r="G398" t="n">
        <v>2.6</v>
      </c>
      <c r="H398" t="n">
        <v>0</v>
      </c>
      <c r="I398" t="n">
        <v>0</v>
      </c>
      <c r="J398" t="n">
        <v>0</v>
      </c>
      <c r="K398" t="n">
        <v>0</v>
      </c>
      <c r="L398" t="n">
        <v>0</v>
      </c>
      <c r="M398" t="n">
        <v>0</v>
      </c>
      <c r="N398" t="n">
        <v>0</v>
      </c>
      <c r="O398" t="n">
        <v>0</v>
      </c>
      <c r="P398" t="n">
        <v>0</v>
      </c>
      <c r="Q398" t="n">
        <v>0</v>
      </c>
      <c r="R398" s="2" t="inlineStr"/>
    </row>
    <row r="399" ht="15" customHeight="1">
      <c r="A399" t="inlineStr">
        <is>
          <t>A 38709-2020</t>
        </is>
      </c>
      <c r="B399" s="1" t="n">
        <v>44061</v>
      </c>
      <c r="C399" s="1" t="n">
        <v>45807</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39477-2020</t>
        </is>
      </c>
      <c r="B400" s="1" t="n">
        <v>44064</v>
      </c>
      <c r="C400" s="1" t="n">
        <v>45807</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41109-2020</t>
        </is>
      </c>
      <c r="B401" s="1" t="n">
        <v>44069</v>
      </c>
      <c r="C401" s="1" t="n">
        <v>45807</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41576-2020</t>
        </is>
      </c>
      <c r="B402" s="1" t="n">
        <v>44074</v>
      </c>
      <c r="C402" s="1" t="n">
        <v>45807</v>
      </c>
      <c r="D402" t="inlineStr">
        <is>
          <t>GOTLANDS LÄN</t>
        </is>
      </c>
      <c r="E402" t="inlineStr">
        <is>
          <t>GOTLAND</t>
        </is>
      </c>
      <c r="G402" t="n">
        <v>8.4</v>
      </c>
      <c r="H402" t="n">
        <v>0</v>
      </c>
      <c r="I402" t="n">
        <v>0</v>
      </c>
      <c r="J402" t="n">
        <v>0</v>
      </c>
      <c r="K402" t="n">
        <v>0</v>
      </c>
      <c r="L402" t="n">
        <v>0</v>
      </c>
      <c r="M402" t="n">
        <v>0</v>
      </c>
      <c r="N402" t="n">
        <v>0</v>
      </c>
      <c r="O402" t="n">
        <v>0</v>
      </c>
      <c r="P402" t="n">
        <v>0</v>
      </c>
      <c r="Q402" t="n">
        <v>0</v>
      </c>
      <c r="R402" s="2" t="inlineStr"/>
    </row>
    <row r="403" ht="15" customHeight="1">
      <c r="A403" t="inlineStr">
        <is>
          <t>A 45921-2020</t>
        </is>
      </c>
      <c r="B403" s="1" t="n">
        <v>44088</v>
      </c>
      <c r="C403" s="1" t="n">
        <v>45807</v>
      </c>
      <c r="D403" t="inlineStr">
        <is>
          <t>GOTLANDS LÄN</t>
        </is>
      </c>
      <c r="E403" t="inlineStr">
        <is>
          <t>GOTLAND</t>
        </is>
      </c>
      <c r="G403" t="n">
        <v>6.5</v>
      </c>
      <c r="H403" t="n">
        <v>0</v>
      </c>
      <c r="I403" t="n">
        <v>0</v>
      </c>
      <c r="J403" t="n">
        <v>0</v>
      </c>
      <c r="K403" t="n">
        <v>0</v>
      </c>
      <c r="L403" t="n">
        <v>0</v>
      </c>
      <c r="M403" t="n">
        <v>0</v>
      </c>
      <c r="N403" t="n">
        <v>0</v>
      </c>
      <c r="O403" t="n">
        <v>0</v>
      </c>
      <c r="P403" t="n">
        <v>0</v>
      </c>
      <c r="Q403" t="n">
        <v>0</v>
      </c>
      <c r="R403" s="2" t="inlineStr"/>
    </row>
    <row r="404" ht="15" customHeight="1">
      <c r="A404" t="inlineStr">
        <is>
          <t>A 46019-2020</t>
        </is>
      </c>
      <c r="B404" s="1" t="n">
        <v>44091</v>
      </c>
      <c r="C404" s="1" t="n">
        <v>45807</v>
      </c>
      <c r="D404" t="inlineStr">
        <is>
          <t>GOTLANDS LÄN</t>
        </is>
      </c>
      <c r="E404" t="inlineStr">
        <is>
          <t>GOTLAND</t>
        </is>
      </c>
      <c r="G404" t="n">
        <v>1.8</v>
      </c>
      <c r="H404" t="n">
        <v>0</v>
      </c>
      <c r="I404" t="n">
        <v>0</v>
      </c>
      <c r="J404" t="n">
        <v>0</v>
      </c>
      <c r="K404" t="n">
        <v>0</v>
      </c>
      <c r="L404" t="n">
        <v>0</v>
      </c>
      <c r="M404" t="n">
        <v>0</v>
      </c>
      <c r="N404" t="n">
        <v>0</v>
      </c>
      <c r="O404" t="n">
        <v>0</v>
      </c>
      <c r="P404" t="n">
        <v>0</v>
      </c>
      <c r="Q404" t="n">
        <v>0</v>
      </c>
      <c r="R404" s="2" t="inlineStr"/>
    </row>
    <row r="405" ht="15" customHeight="1">
      <c r="A405" t="inlineStr">
        <is>
          <t>A 46778-2020</t>
        </is>
      </c>
      <c r="B405" s="1" t="n">
        <v>44096</v>
      </c>
      <c r="C405" s="1" t="n">
        <v>45807</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53641-2020</t>
        </is>
      </c>
      <c r="B406" s="1" t="n">
        <v>44124</v>
      </c>
      <c r="C406" s="1" t="n">
        <v>45807</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53665-2020</t>
        </is>
      </c>
      <c r="B407" s="1" t="n">
        <v>44124</v>
      </c>
      <c r="C407" s="1" t="n">
        <v>45807</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59052-2020</t>
        </is>
      </c>
      <c r="B408" s="1" t="n">
        <v>44147</v>
      </c>
      <c r="C408" s="1" t="n">
        <v>45807</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59630-2020</t>
        </is>
      </c>
      <c r="B409" s="1" t="n">
        <v>44150</v>
      </c>
      <c r="C409" s="1" t="n">
        <v>45807</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60356-2020</t>
        </is>
      </c>
      <c r="B410" s="1" t="n">
        <v>44152</v>
      </c>
      <c r="C410" s="1" t="n">
        <v>45807</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62120-2020</t>
        </is>
      </c>
      <c r="B411" s="1" t="n">
        <v>44158</v>
      </c>
      <c r="C411" s="1" t="n">
        <v>45807</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64380-2020</t>
        </is>
      </c>
      <c r="B412" s="1" t="n">
        <v>44168</v>
      </c>
      <c r="C412" s="1" t="n">
        <v>45807</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65126-2020</t>
        </is>
      </c>
      <c r="B413" s="1" t="n">
        <v>44168</v>
      </c>
      <c r="C413" s="1" t="n">
        <v>45807</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65537-2020</t>
        </is>
      </c>
      <c r="B414" s="1" t="n">
        <v>44173</v>
      </c>
      <c r="C414" s="1" t="n">
        <v>45807</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69643-2020</t>
        </is>
      </c>
      <c r="B415" s="1" t="n">
        <v>44195</v>
      </c>
      <c r="C415" s="1" t="n">
        <v>45807</v>
      </c>
      <c r="D415" t="inlineStr">
        <is>
          <t>GOTLANDS LÄN</t>
        </is>
      </c>
      <c r="E415" t="inlineStr">
        <is>
          <t>GOTLAND</t>
        </is>
      </c>
      <c r="G415" t="n">
        <v>1.5</v>
      </c>
      <c r="H415" t="n">
        <v>0</v>
      </c>
      <c r="I415" t="n">
        <v>0</v>
      </c>
      <c r="J415" t="n">
        <v>0</v>
      </c>
      <c r="K415" t="n">
        <v>0</v>
      </c>
      <c r="L415" t="n">
        <v>0</v>
      </c>
      <c r="M415" t="n">
        <v>0</v>
      </c>
      <c r="N415" t="n">
        <v>0</v>
      </c>
      <c r="O415" t="n">
        <v>0</v>
      </c>
      <c r="P415" t="n">
        <v>0</v>
      </c>
      <c r="Q415" t="n">
        <v>0</v>
      </c>
      <c r="R415" s="2" t="inlineStr"/>
    </row>
    <row r="416" ht="15" customHeight="1">
      <c r="A416" t="inlineStr">
        <is>
          <t>A 14-2021</t>
        </is>
      </c>
      <c r="B416" s="1" t="n">
        <v>44197</v>
      </c>
      <c r="C416" s="1" t="n">
        <v>45807</v>
      </c>
      <c r="D416" t="inlineStr">
        <is>
          <t>GOTLANDS LÄN</t>
        </is>
      </c>
      <c r="E416" t="inlineStr">
        <is>
          <t>GOTLAND</t>
        </is>
      </c>
      <c r="F416" t="inlineStr">
        <is>
          <t>Kyrkan</t>
        </is>
      </c>
      <c r="G416" t="n">
        <v>1.3</v>
      </c>
      <c r="H416" t="n">
        <v>0</v>
      </c>
      <c r="I416" t="n">
        <v>0</v>
      </c>
      <c r="J416" t="n">
        <v>0</v>
      </c>
      <c r="K416" t="n">
        <v>0</v>
      </c>
      <c r="L416" t="n">
        <v>0</v>
      </c>
      <c r="M416" t="n">
        <v>0</v>
      </c>
      <c r="N416" t="n">
        <v>0</v>
      </c>
      <c r="O416" t="n">
        <v>0</v>
      </c>
      <c r="P416" t="n">
        <v>0</v>
      </c>
      <c r="Q416" t="n">
        <v>0</v>
      </c>
      <c r="R416" s="2" t="inlineStr"/>
    </row>
    <row r="417" ht="15" customHeight="1">
      <c r="A417" t="inlineStr">
        <is>
          <t>A 1229-2021</t>
        </is>
      </c>
      <c r="B417" s="1" t="n">
        <v>44208</v>
      </c>
      <c r="C417" s="1" t="n">
        <v>45807</v>
      </c>
      <c r="D417" t="inlineStr">
        <is>
          <t>GOTLANDS LÄN</t>
        </is>
      </c>
      <c r="E417" t="inlineStr">
        <is>
          <t>GOTLAND</t>
        </is>
      </c>
      <c r="G417" t="n">
        <v>5.3</v>
      </c>
      <c r="H417" t="n">
        <v>0</v>
      </c>
      <c r="I417" t="n">
        <v>0</v>
      </c>
      <c r="J417" t="n">
        <v>0</v>
      </c>
      <c r="K417" t="n">
        <v>0</v>
      </c>
      <c r="L417" t="n">
        <v>0</v>
      </c>
      <c r="M417" t="n">
        <v>0</v>
      </c>
      <c r="N417" t="n">
        <v>0</v>
      </c>
      <c r="O417" t="n">
        <v>0</v>
      </c>
      <c r="P417" t="n">
        <v>0</v>
      </c>
      <c r="Q417" t="n">
        <v>0</v>
      </c>
      <c r="R417" s="2" t="inlineStr"/>
    </row>
    <row r="418" ht="15" customHeight="1">
      <c r="A418" t="inlineStr">
        <is>
          <t>A 2292-2021</t>
        </is>
      </c>
      <c r="B418" s="1" t="n">
        <v>44212</v>
      </c>
      <c r="C418" s="1" t="n">
        <v>45807</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2608-2021</t>
        </is>
      </c>
      <c r="B419" s="1" t="n">
        <v>44214</v>
      </c>
      <c r="C419" s="1" t="n">
        <v>45807</v>
      </c>
      <c r="D419" t="inlineStr">
        <is>
          <t>GOTLANDS LÄN</t>
        </is>
      </c>
      <c r="E419" t="inlineStr">
        <is>
          <t>GOTLAND</t>
        </is>
      </c>
      <c r="G419" t="n">
        <v>3.9</v>
      </c>
      <c r="H419" t="n">
        <v>0</v>
      </c>
      <c r="I419" t="n">
        <v>0</v>
      </c>
      <c r="J419" t="n">
        <v>0</v>
      </c>
      <c r="K419" t="n">
        <v>0</v>
      </c>
      <c r="L419" t="n">
        <v>0</v>
      </c>
      <c r="M419" t="n">
        <v>0</v>
      </c>
      <c r="N419" t="n">
        <v>0</v>
      </c>
      <c r="O419" t="n">
        <v>0</v>
      </c>
      <c r="P419" t="n">
        <v>0</v>
      </c>
      <c r="Q419" t="n">
        <v>0</v>
      </c>
      <c r="R419" s="2" t="inlineStr"/>
    </row>
    <row r="420" ht="15" customHeight="1">
      <c r="A420" t="inlineStr">
        <is>
          <t>A 3319-2021</t>
        </is>
      </c>
      <c r="B420" s="1" t="n">
        <v>44216</v>
      </c>
      <c r="C420" s="1" t="n">
        <v>45807</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3172-2021</t>
        </is>
      </c>
      <c r="B421" s="1" t="n">
        <v>44217</v>
      </c>
      <c r="C421" s="1" t="n">
        <v>45807</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3271-2021</t>
        </is>
      </c>
      <c r="B422" s="1" t="n">
        <v>44217</v>
      </c>
      <c r="C422" s="1" t="n">
        <v>45807</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8329-2021</t>
        </is>
      </c>
      <c r="B423" s="1" t="n">
        <v>44244</v>
      </c>
      <c r="C423" s="1" t="n">
        <v>45807</v>
      </c>
      <c r="D423" t="inlineStr">
        <is>
          <t>GOTLANDS LÄN</t>
        </is>
      </c>
      <c r="E423" t="inlineStr">
        <is>
          <t>GOTLAND</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8700-2021</t>
        </is>
      </c>
      <c r="B424" s="1" t="n">
        <v>44246</v>
      </c>
      <c r="C424" s="1" t="n">
        <v>45807</v>
      </c>
      <c r="D424" t="inlineStr">
        <is>
          <t>GOTLANDS LÄN</t>
        </is>
      </c>
      <c r="E424" t="inlineStr">
        <is>
          <t>GOTLAND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11400-2021</t>
        </is>
      </c>
      <c r="B425" s="1" t="n">
        <v>44263</v>
      </c>
      <c r="C425" s="1" t="n">
        <v>45807</v>
      </c>
      <c r="D425" t="inlineStr">
        <is>
          <t>GOTLANDS LÄN</t>
        </is>
      </c>
      <c r="E425" t="inlineStr">
        <is>
          <t>GOTLAND</t>
        </is>
      </c>
      <c r="G425" t="n">
        <v>5.6</v>
      </c>
      <c r="H425" t="n">
        <v>0</v>
      </c>
      <c r="I425" t="n">
        <v>0</v>
      </c>
      <c r="J425" t="n">
        <v>0</v>
      </c>
      <c r="K425" t="n">
        <v>0</v>
      </c>
      <c r="L425" t="n">
        <v>0</v>
      </c>
      <c r="M425" t="n">
        <v>0</v>
      </c>
      <c r="N425" t="n">
        <v>0</v>
      </c>
      <c r="O425" t="n">
        <v>0</v>
      </c>
      <c r="P425" t="n">
        <v>0</v>
      </c>
      <c r="Q425" t="n">
        <v>0</v>
      </c>
      <c r="R425" s="2" t="inlineStr"/>
    </row>
    <row r="426" ht="15" customHeight="1">
      <c r="A426" t="inlineStr">
        <is>
          <t>A 11402-2021</t>
        </is>
      </c>
      <c r="B426" s="1" t="n">
        <v>44263</v>
      </c>
      <c r="C426" s="1" t="n">
        <v>45807</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12318-2021</t>
        </is>
      </c>
      <c r="B427" s="1" t="n">
        <v>44266</v>
      </c>
      <c r="C427" s="1" t="n">
        <v>45807</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13274-2021</t>
        </is>
      </c>
      <c r="B428" s="1" t="n">
        <v>44272</v>
      </c>
      <c r="C428" s="1" t="n">
        <v>45807</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14536-2021</t>
        </is>
      </c>
      <c r="B429" s="1" t="n">
        <v>44279</v>
      </c>
      <c r="C429" s="1" t="n">
        <v>45807</v>
      </c>
      <c r="D429" t="inlineStr">
        <is>
          <t>GOTLANDS LÄN</t>
        </is>
      </c>
      <c r="E429" t="inlineStr">
        <is>
          <t>GOTLAND</t>
        </is>
      </c>
      <c r="G429" t="n">
        <v>8.5</v>
      </c>
      <c r="H429" t="n">
        <v>0</v>
      </c>
      <c r="I429" t="n">
        <v>0</v>
      </c>
      <c r="J429" t="n">
        <v>0</v>
      </c>
      <c r="K429" t="n">
        <v>0</v>
      </c>
      <c r="L429" t="n">
        <v>0</v>
      </c>
      <c r="M429" t="n">
        <v>0</v>
      </c>
      <c r="N429" t="n">
        <v>0</v>
      </c>
      <c r="O429" t="n">
        <v>0</v>
      </c>
      <c r="P429" t="n">
        <v>0</v>
      </c>
      <c r="Q429" t="n">
        <v>0</v>
      </c>
      <c r="R429" s="2" t="inlineStr"/>
    </row>
    <row r="430" ht="15" customHeight="1">
      <c r="A430" t="inlineStr">
        <is>
          <t>A 14804-2021</t>
        </is>
      </c>
      <c r="B430" s="1" t="n">
        <v>44280</v>
      </c>
      <c r="C430" s="1" t="n">
        <v>45807</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15127-2021</t>
        </is>
      </c>
      <c r="B431" s="1" t="n">
        <v>44283</v>
      </c>
      <c r="C431" s="1" t="n">
        <v>45807</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16435-2021</t>
        </is>
      </c>
      <c r="B432" s="1" t="n">
        <v>44293</v>
      </c>
      <c r="C432" s="1" t="n">
        <v>45807</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17254-2021</t>
        </is>
      </c>
      <c r="B433" s="1" t="n">
        <v>44298</v>
      </c>
      <c r="C433" s="1" t="n">
        <v>45807</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17227-2021</t>
        </is>
      </c>
      <c r="B434" s="1" t="n">
        <v>44298</v>
      </c>
      <c r="C434" s="1" t="n">
        <v>45807</v>
      </c>
      <c r="D434" t="inlineStr">
        <is>
          <t>GOTLANDS LÄN</t>
        </is>
      </c>
      <c r="E434" t="inlineStr">
        <is>
          <t>GOTLAND</t>
        </is>
      </c>
      <c r="G434" t="n">
        <v>6.2</v>
      </c>
      <c r="H434" t="n">
        <v>0</v>
      </c>
      <c r="I434" t="n">
        <v>0</v>
      </c>
      <c r="J434" t="n">
        <v>0</v>
      </c>
      <c r="K434" t="n">
        <v>0</v>
      </c>
      <c r="L434" t="n">
        <v>0</v>
      </c>
      <c r="M434" t="n">
        <v>0</v>
      </c>
      <c r="N434" t="n">
        <v>0</v>
      </c>
      <c r="O434" t="n">
        <v>0</v>
      </c>
      <c r="P434" t="n">
        <v>0</v>
      </c>
      <c r="Q434" t="n">
        <v>0</v>
      </c>
      <c r="R434" s="2" t="inlineStr"/>
    </row>
    <row r="435" ht="15" customHeight="1">
      <c r="A435" t="inlineStr">
        <is>
          <t>A 17199-2021</t>
        </is>
      </c>
      <c r="B435" s="1" t="n">
        <v>44298</v>
      </c>
      <c r="C435" s="1" t="n">
        <v>45807</v>
      </c>
      <c r="D435" t="inlineStr">
        <is>
          <t>GOTLANDS LÄN</t>
        </is>
      </c>
      <c r="E435" t="inlineStr">
        <is>
          <t>GOTLAND</t>
        </is>
      </c>
      <c r="G435" t="n">
        <v>9.6</v>
      </c>
      <c r="H435" t="n">
        <v>0</v>
      </c>
      <c r="I435" t="n">
        <v>0</v>
      </c>
      <c r="J435" t="n">
        <v>0</v>
      </c>
      <c r="K435" t="n">
        <v>0</v>
      </c>
      <c r="L435" t="n">
        <v>0</v>
      </c>
      <c r="M435" t="n">
        <v>0</v>
      </c>
      <c r="N435" t="n">
        <v>0</v>
      </c>
      <c r="O435" t="n">
        <v>0</v>
      </c>
      <c r="P435" t="n">
        <v>0</v>
      </c>
      <c r="Q435" t="n">
        <v>0</v>
      </c>
      <c r="R435" s="2" t="inlineStr"/>
    </row>
    <row r="436" ht="15" customHeight="1">
      <c r="A436" t="inlineStr">
        <is>
          <t>A 17585-2021</t>
        </is>
      </c>
      <c r="B436" s="1" t="n">
        <v>44299</v>
      </c>
      <c r="C436" s="1" t="n">
        <v>45807</v>
      </c>
      <c r="D436" t="inlineStr">
        <is>
          <t>GOTLANDS LÄN</t>
        </is>
      </c>
      <c r="E436" t="inlineStr">
        <is>
          <t>GOTLAND</t>
        </is>
      </c>
      <c r="G436" t="n">
        <v>5.4</v>
      </c>
      <c r="H436" t="n">
        <v>0</v>
      </c>
      <c r="I436" t="n">
        <v>0</v>
      </c>
      <c r="J436" t="n">
        <v>0</v>
      </c>
      <c r="K436" t="n">
        <v>0</v>
      </c>
      <c r="L436" t="n">
        <v>0</v>
      </c>
      <c r="M436" t="n">
        <v>0</v>
      </c>
      <c r="N436" t="n">
        <v>0</v>
      </c>
      <c r="O436" t="n">
        <v>0</v>
      </c>
      <c r="P436" t="n">
        <v>0</v>
      </c>
      <c r="Q436" t="n">
        <v>0</v>
      </c>
      <c r="R436" s="2" t="inlineStr"/>
    </row>
    <row r="437" ht="15" customHeight="1">
      <c r="A437" t="inlineStr">
        <is>
          <t>A 17920-2021</t>
        </is>
      </c>
      <c r="B437" s="1" t="n">
        <v>44301</v>
      </c>
      <c r="C437" s="1" t="n">
        <v>45807</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18038-2021</t>
        </is>
      </c>
      <c r="B438" s="1" t="n">
        <v>44302</v>
      </c>
      <c r="C438" s="1" t="n">
        <v>45807</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19447-2021</t>
        </is>
      </c>
      <c r="B439" s="1" t="n">
        <v>44310</v>
      </c>
      <c r="C439" s="1" t="n">
        <v>45807</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19448-2021</t>
        </is>
      </c>
      <c r="B440" s="1" t="n">
        <v>44310</v>
      </c>
      <c r="C440" s="1" t="n">
        <v>45807</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19892-2021</t>
        </is>
      </c>
      <c r="B441" s="1" t="n">
        <v>44312</v>
      </c>
      <c r="C441" s="1" t="n">
        <v>45807</v>
      </c>
      <c r="D441" t="inlineStr">
        <is>
          <t>GOTLANDS LÄN</t>
        </is>
      </c>
      <c r="E441" t="inlineStr">
        <is>
          <t>GOTLAND</t>
        </is>
      </c>
      <c r="G441" t="n">
        <v>5.3</v>
      </c>
      <c r="H441" t="n">
        <v>0</v>
      </c>
      <c r="I441" t="n">
        <v>0</v>
      </c>
      <c r="J441" t="n">
        <v>0</v>
      </c>
      <c r="K441" t="n">
        <v>0</v>
      </c>
      <c r="L441" t="n">
        <v>0</v>
      </c>
      <c r="M441" t="n">
        <v>0</v>
      </c>
      <c r="N441" t="n">
        <v>0</v>
      </c>
      <c r="O441" t="n">
        <v>0</v>
      </c>
      <c r="P441" t="n">
        <v>0</v>
      </c>
      <c r="Q441" t="n">
        <v>0</v>
      </c>
      <c r="R441" s="2" t="inlineStr"/>
    </row>
    <row r="442" ht="15" customHeight="1">
      <c r="A442" t="inlineStr">
        <is>
          <t>A 19901-2021</t>
        </is>
      </c>
      <c r="B442" s="1" t="n">
        <v>44312</v>
      </c>
      <c r="C442" s="1" t="n">
        <v>45807</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19939-2021</t>
        </is>
      </c>
      <c r="B443" s="1" t="n">
        <v>44313</v>
      </c>
      <c r="C443" s="1" t="n">
        <v>45807</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20111-2021</t>
        </is>
      </c>
      <c r="B444" s="1" t="n">
        <v>44314</v>
      </c>
      <c r="C444" s="1" t="n">
        <v>45807</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21507-2021</t>
        </is>
      </c>
      <c r="B445" s="1" t="n">
        <v>44321</v>
      </c>
      <c r="C445" s="1" t="n">
        <v>45807</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22155-2021</t>
        </is>
      </c>
      <c r="B446" s="1" t="n">
        <v>44325</v>
      </c>
      <c r="C446" s="1" t="n">
        <v>45807</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23910-2021</t>
        </is>
      </c>
      <c r="B447" s="1" t="n">
        <v>44335</v>
      </c>
      <c r="C447" s="1" t="n">
        <v>45807</v>
      </c>
      <c r="D447" t="inlineStr">
        <is>
          <t>GOTLANDS LÄN</t>
        </is>
      </c>
      <c r="E447" t="inlineStr">
        <is>
          <t>GOTLAND</t>
        </is>
      </c>
      <c r="G447" t="n">
        <v>1.5</v>
      </c>
      <c r="H447" t="n">
        <v>0</v>
      </c>
      <c r="I447" t="n">
        <v>0</v>
      </c>
      <c r="J447" t="n">
        <v>0</v>
      </c>
      <c r="K447" t="n">
        <v>0</v>
      </c>
      <c r="L447" t="n">
        <v>0</v>
      </c>
      <c r="M447" t="n">
        <v>0</v>
      </c>
      <c r="N447" t="n">
        <v>0</v>
      </c>
      <c r="O447" t="n">
        <v>0</v>
      </c>
      <c r="P447" t="n">
        <v>0</v>
      </c>
      <c r="Q447" t="n">
        <v>0</v>
      </c>
      <c r="R447" s="2" t="inlineStr"/>
    </row>
    <row r="448" ht="15" customHeight="1">
      <c r="A448" t="inlineStr">
        <is>
          <t>A 24001-2021</t>
        </is>
      </c>
      <c r="B448" s="1" t="n">
        <v>44335</v>
      </c>
      <c r="C448" s="1" t="n">
        <v>45807</v>
      </c>
      <c r="D448" t="inlineStr">
        <is>
          <t>GOTLANDS LÄN</t>
        </is>
      </c>
      <c r="E448" t="inlineStr">
        <is>
          <t>GOTLAND</t>
        </is>
      </c>
      <c r="G448" t="n">
        <v>3.4</v>
      </c>
      <c r="H448" t="n">
        <v>0</v>
      </c>
      <c r="I448" t="n">
        <v>0</v>
      </c>
      <c r="J448" t="n">
        <v>0</v>
      </c>
      <c r="K448" t="n">
        <v>0</v>
      </c>
      <c r="L448" t="n">
        <v>0</v>
      </c>
      <c r="M448" t="n">
        <v>0</v>
      </c>
      <c r="N448" t="n">
        <v>0</v>
      </c>
      <c r="O448" t="n">
        <v>0</v>
      </c>
      <c r="P448" t="n">
        <v>0</v>
      </c>
      <c r="Q448" t="n">
        <v>0</v>
      </c>
      <c r="R448" s="2" t="inlineStr"/>
    </row>
    <row r="449" ht="15" customHeight="1">
      <c r="A449" t="inlineStr">
        <is>
          <t>A 26810-2021</t>
        </is>
      </c>
      <c r="B449" s="1" t="n">
        <v>44349</v>
      </c>
      <c r="C449" s="1" t="n">
        <v>45807</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26857-2021</t>
        </is>
      </c>
      <c r="B450" s="1" t="n">
        <v>44349</v>
      </c>
      <c r="C450" s="1" t="n">
        <v>45807</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26867-2021</t>
        </is>
      </c>
      <c r="B451" s="1" t="n">
        <v>44349</v>
      </c>
      <c r="C451" s="1" t="n">
        <v>45807</v>
      </c>
      <c r="D451" t="inlineStr">
        <is>
          <t>GOTLANDS LÄN</t>
        </is>
      </c>
      <c r="E451" t="inlineStr">
        <is>
          <t>GOTLAND</t>
        </is>
      </c>
      <c r="G451" t="n">
        <v>5.7</v>
      </c>
      <c r="H451" t="n">
        <v>0</v>
      </c>
      <c r="I451" t="n">
        <v>0</v>
      </c>
      <c r="J451" t="n">
        <v>0</v>
      </c>
      <c r="K451" t="n">
        <v>0</v>
      </c>
      <c r="L451" t="n">
        <v>0</v>
      </c>
      <c r="M451" t="n">
        <v>0</v>
      </c>
      <c r="N451" t="n">
        <v>0</v>
      </c>
      <c r="O451" t="n">
        <v>0</v>
      </c>
      <c r="P451" t="n">
        <v>0</v>
      </c>
      <c r="Q451" t="n">
        <v>0</v>
      </c>
      <c r="R451" s="2" t="inlineStr"/>
    </row>
    <row r="452" ht="15" customHeight="1">
      <c r="A452" t="inlineStr">
        <is>
          <t>A 27930-2021</t>
        </is>
      </c>
      <c r="B452" s="1" t="n">
        <v>44354</v>
      </c>
      <c r="C452" s="1" t="n">
        <v>45807</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30055-2021</t>
        </is>
      </c>
      <c r="B453" s="1" t="n">
        <v>44363</v>
      </c>
      <c r="C453" s="1" t="n">
        <v>45807</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31264-2021</t>
        </is>
      </c>
      <c r="B454" s="1" t="n">
        <v>44368</v>
      </c>
      <c r="C454" s="1" t="n">
        <v>45807</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31981-2021</t>
        </is>
      </c>
      <c r="B455" s="1" t="n">
        <v>44370</v>
      </c>
      <c r="C455" s="1" t="n">
        <v>45807</v>
      </c>
      <c r="D455" t="inlineStr">
        <is>
          <t>GOTLANDS LÄN</t>
        </is>
      </c>
      <c r="E455" t="inlineStr">
        <is>
          <t>GOTLAND</t>
        </is>
      </c>
      <c r="G455" t="n">
        <v>6.1</v>
      </c>
      <c r="H455" t="n">
        <v>0</v>
      </c>
      <c r="I455" t="n">
        <v>0</v>
      </c>
      <c r="J455" t="n">
        <v>0</v>
      </c>
      <c r="K455" t="n">
        <v>0</v>
      </c>
      <c r="L455" t="n">
        <v>0</v>
      </c>
      <c r="M455" t="n">
        <v>0</v>
      </c>
      <c r="N455" t="n">
        <v>0</v>
      </c>
      <c r="O455" t="n">
        <v>0</v>
      </c>
      <c r="P455" t="n">
        <v>0</v>
      </c>
      <c r="Q455" t="n">
        <v>0</v>
      </c>
      <c r="R455" s="2" t="inlineStr"/>
    </row>
    <row r="456" ht="15" customHeight="1">
      <c r="A456" t="inlineStr">
        <is>
          <t>A 32647-2021</t>
        </is>
      </c>
      <c r="B456" s="1" t="n">
        <v>44375</v>
      </c>
      <c r="C456" s="1" t="n">
        <v>45807</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32691-2021</t>
        </is>
      </c>
      <c r="B457" s="1" t="n">
        <v>44375</v>
      </c>
      <c r="C457" s="1" t="n">
        <v>45807</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32958-2021</t>
        </is>
      </c>
      <c r="B458" s="1" t="n">
        <v>44376</v>
      </c>
      <c r="C458" s="1" t="n">
        <v>45807</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36313-2021</t>
        </is>
      </c>
      <c r="B459" s="1" t="n">
        <v>44390</v>
      </c>
      <c r="C459" s="1" t="n">
        <v>45807</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37037-2021</t>
        </is>
      </c>
      <c r="B460" s="1" t="n">
        <v>44393</v>
      </c>
      <c r="C460" s="1" t="n">
        <v>45807</v>
      </c>
      <c r="D460" t="inlineStr">
        <is>
          <t>GOTLANDS LÄN</t>
        </is>
      </c>
      <c r="E460" t="inlineStr">
        <is>
          <t>GOTLAND</t>
        </is>
      </c>
      <c r="G460" t="n">
        <v>10.2</v>
      </c>
      <c r="H460" t="n">
        <v>0</v>
      </c>
      <c r="I460" t="n">
        <v>0</v>
      </c>
      <c r="J460" t="n">
        <v>0</v>
      </c>
      <c r="K460" t="n">
        <v>0</v>
      </c>
      <c r="L460" t="n">
        <v>0</v>
      </c>
      <c r="M460" t="n">
        <v>0</v>
      </c>
      <c r="N460" t="n">
        <v>0</v>
      </c>
      <c r="O460" t="n">
        <v>0</v>
      </c>
      <c r="P460" t="n">
        <v>0</v>
      </c>
      <c r="Q460" t="n">
        <v>0</v>
      </c>
      <c r="R460" s="2" t="inlineStr"/>
    </row>
    <row r="461" ht="15" customHeight="1">
      <c r="A461" t="inlineStr">
        <is>
          <t>A 37222-2021</t>
        </is>
      </c>
      <c r="B461" s="1" t="n">
        <v>44396</v>
      </c>
      <c r="C461" s="1" t="n">
        <v>45807</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42688-2021</t>
        </is>
      </c>
      <c r="B462" s="1" t="n">
        <v>44428</v>
      </c>
      <c r="C462" s="1" t="n">
        <v>45807</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44304-2021</t>
        </is>
      </c>
      <c r="B463" s="1" t="n">
        <v>44434</v>
      </c>
      <c r="C463" s="1" t="n">
        <v>45807</v>
      </c>
      <c r="D463" t="inlineStr">
        <is>
          <t>GOTLANDS LÄN</t>
        </is>
      </c>
      <c r="E463" t="inlineStr">
        <is>
          <t>GOTLAND</t>
        </is>
      </c>
      <c r="G463" t="n">
        <v>5.8</v>
      </c>
      <c r="H463" t="n">
        <v>0</v>
      </c>
      <c r="I463" t="n">
        <v>0</v>
      </c>
      <c r="J463" t="n">
        <v>0</v>
      </c>
      <c r="K463" t="n">
        <v>0</v>
      </c>
      <c r="L463" t="n">
        <v>0</v>
      </c>
      <c r="M463" t="n">
        <v>0</v>
      </c>
      <c r="N463" t="n">
        <v>0</v>
      </c>
      <c r="O463" t="n">
        <v>0</v>
      </c>
      <c r="P463" t="n">
        <v>0</v>
      </c>
      <c r="Q463" t="n">
        <v>0</v>
      </c>
      <c r="R463" s="2" t="inlineStr"/>
    </row>
    <row r="464" ht="15" customHeight="1">
      <c r="A464" t="inlineStr">
        <is>
          <t>A 44649-2021</t>
        </is>
      </c>
      <c r="B464" s="1" t="n">
        <v>44437</v>
      </c>
      <c r="C464" s="1" t="n">
        <v>45807</v>
      </c>
      <c r="D464" t="inlineStr">
        <is>
          <t>GOTLANDS LÄN</t>
        </is>
      </c>
      <c r="E464" t="inlineStr">
        <is>
          <t>GOTLAND</t>
        </is>
      </c>
      <c r="G464" t="n">
        <v>8.1</v>
      </c>
      <c r="H464" t="n">
        <v>0</v>
      </c>
      <c r="I464" t="n">
        <v>0</v>
      </c>
      <c r="J464" t="n">
        <v>0</v>
      </c>
      <c r="K464" t="n">
        <v>0</v>
      </c>
      <c r="L464" t="n">
        <v>0</v>
      </c>
      <c r="M464" t="n">
        <v>0</v>
      </c>
      <c r="N464" t="n">
        <v>0</v>
      </c>
      <c r="O464" t="n">
        <v>0</v>
      </c>
      <c r="P464" t="n">
        <v>0</v>
      </c>
      <c r="Q464" t="n">
        <v>0</v>
      </c>
      <c r="R464" s="2" t="inlineStr"/>
    </row>
    <row r="465" ht="15" customHeight="1">
      <c r="A465" t="inlineStr">
        <is>
          <t>A 46362-2021</t>
        </is>
      </c>
      <c r="B465" s="1" t="n">
        <v>44442</v>
      </c>
      <c r="C465" s="1" t="n">
        <v>45807</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46389-2021</t>
        </is>
      </c>
      <c r="B466" s="1" t="n">
        <v>44443</v>
      </c>
      <c r="C466" s="1" t="n">
        <v>45807</v>
      </c>
      <c r="D466" t="inlineStr">
        <is>
          <t>GOTLANDS LÄN</t>
        </is>
      </c>
      <c r="E466" t="inlineStr">
        <is>
          <t>GOTLAND</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47369-2021</t>
        </is>
      </c>
      <c r="B467" s="1" t="n">
        <v>44447</v>
      </c>
      <c r="C467" s="1" t="n">
        <v>45807</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50892-2021</t>
        </is>
      </c>
      <c r="B468" s="1" t="n">
        <v>44459</v>
      </c>
      <c r="C468" s="1" t="n">
        <v>45807</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52892-2021</t>
        </is>
      </c>
      <c r="B469" s="1" t="n">
        <v>44467</v>
      </c>
      <c r="C469" s="1" t="n">
        <v>45807</v>
      </c>
      <c r="D469" t="inlineStr">
        <is>
          <t>GOTLANDS LÄN</t>
        </is>
      </c>
      <c r="E469" t="inlineStr">
        <is>
          <t>GOTLAND</t>
        </is>
      </c>
      <c r="G469" t="n">
        <v>2</v>
      </c>
      <c r="H469" t="n">
        <v>0</v>
      </c>
      <c r="I469" t="n">
        <v>0</v>
      </c>
      <c r="J469" t="n">
        <v>0</v>
      </c>
      <c r="K469" t="n">
        <v>0</v>
      </c>
      <c r="L469" t="n">
        <v>0</v>
      </c>
      <c r="M469" t="n">
        <v>0</v>
      </c>
      <c r="N469" t="n">
        <v>0</v>
      </c>
      <c r="O469" t="n">
        <v>0</v>
      </c>
      <c r="P469" t="n">
        <v>0</v>
      </c>
      <c r="Q469" t="n">
        <v>0</v>
      </c>
      <c r="R469" s="2" t="inlineStr"/>
    </row>
    <row r="470" ht="15" customHeight="1">
      <c r="A470" t="inlineStr">
        <is>
          <t>A 53479-2021</t>
        </is>
      </c>
      <c r="B470" s="1" t="n">
        <v>44468</v>
      </c>
      <c r="C470" s="1" t="n">
        <v>45807</v>
      </c>
      <c r="D470" t="inlineStr">
        <is>
          <t>GOTLANDS LÄN</t>
        </is>
      </c>
      <c r="E470" t="inlineStr">
        <is>
          <t>GOTLAND</t>
        </is>
      </c>
      <c r="G470" t="n">
        <v>8</v>
      </c>
      <c r="H470" t="n">
        <v>0</v>
      </c>
      <c r="I470" t="n">
        <v>0</v>
      </c>
      <c r="J470" t="n">
        <v>0</v>
      </c>
      <c r="K470" t="n">
        <v>0</v>
      </c>
      <c r="L470" t="n">
        <v>0</v>
      </c>
      <c r="M470" t="n">
        <v>0</v>
      </c>
      <c r="N470" t="n">
        <v>0</v>
      </c>
      <c r="O470" t="n">
        <v>0</v>
      </c>
      <c r="P470" t="n">
        <v>0</v>
      </c>
      <c r="Q470" t="n">
        <v>0</v>
      </c>
      <c r="R470" s="2" t="inlineStr"/>
    </row>
    <row r="471" ht="15" customHeight="1">
      <c r="A471" t="inlineStr">
        <is>
          <t>A 56951-2021</t>
        </is>
      </c>
      <c r="B471" s="1" t="n">
        <v>44482</v>
      </c>
      <c r="C471" s="1" t="n">
        <v>45807</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57219-2021</t>
        </is>
      </c>
      <c r="B472" s="1" t="n">
        <v>44483</v>
      </c>
      <c r="C472" s="1" t="n">
        <v>45807</v>
      </c>
      <c r="D472" t="inlineStr">
        <is>
          <t>GOTLANDS LÄN</t>
        </is>
      </c>
      <c r="E472" t="inlineStr">
        <is>
          <t>GOTLAND</t>
        </is>
      </c>
      <c r="F472" t="inlineStr">
        <is>
          <t>Kyrkan</t>
        </is>
      </c>
      <c r="G472" t="n">
        <v>4</v>
      </c>
      <c r="H472" t="n">
        <v>0</v>
      </c>
      <c r="I472" t="n">
        <v>0</v>
      </c>
      <c r="J472" t="n">
        <v>0</v>
      </c>
      <c r="K472" t="n">
        <v>0</v>
      </c>
      <c r="L472" t="n">
        <v>0</v>
      </c>
      <c r="M472" t="n">
        <v>0</v>
      </c>
      <c r="N472" t="n">
        <v>0</v>
      </c>
      <c r="O472" t="n">
        <v>0</v>
      </c>
      <c r="P472" t="n">
        <v>0</v>
      </c>
      <c r="Q472" t="n">
        <v>0</v>
      </c>
      <c r="R472" s="2" t="inlineStr"/>
    </row>
    <row r="473" ht="15" customHeight="1">
      <c r="A473" t="inlineStr">
        <is>
          <t>A 58224-2021</t>
        </is>
      </c>
      <c r="B473" s="1" t="n">
        <v>44487</v>
      </c>
      <c r="C473" s="1" t="n">
        <v>45807</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58600-2021</t>
        </is>
      </c>
      <c r="B474" s="1" t="n">
        <v>44488</v>
      </c>
      <c r="C474" s="1" t="n">
        <v>45807</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58815-2021</t>
        </is>
      </c>
      <c r="B475" s="1" t="n">
        <v>44489</v>
      </c>
      <c r="C475" s="1" t="n">
        <v>45807</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60607-2021</t>
        </is>
      </c>
      <c r="B476" s="1" t="n">
        <v>44496</v>
      </c>
      <c r="C476" s="1" t="n">
        <v>45807</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60675-2021</t>
        </is>
      </c>
      <c r="B477" s="1" t="n">
        <v>44496</v>
      </c>
      <c r="C477" s="1" t="n">
        <v>45807</v>
      </c>
      <c r="D477" t="inlineStr">
        <is>
          <t>GOTLANDS LÄN</t>
        </is>
      </c>
      <c r="E477" t="inlineStr">
        <is>
          <t>GOTLAND</t>
        </is>
      </c>
      <c r="G477" t="n">
        <v>4.6</v>
      </c>
      <c r="H477" t="n">
        <v>0</v>
      </c>
      <c r="I477" t="n">
        <v>0</v>
      </c>
      <c r="J477" t="n">
        <v>0</v>
      </c>
      <c r="K477" t="n">
        <v>0</v>
      </c>
      <c r="L477" t="n">
        <v>0</v>
      </c>
      <c r="M477" t="n">
        <v>0</v>
      </c>
      <c r="N477" t="n">
        <v>0</v>
      </c>
      <c r="O477" t="n">
        <v>0</v>
      </c>
      <c r="P477" t="n">
        <v>0</v>
      </c>
      <c r="Q477" t="n">
        <v>0</v>
      </c>
      <c r="R477" s="2" t="inlineStr"/>
    </row>
    <row r="478" ht="15" customHeight="1">
      <c r="A478" t="inlineStr">
        <is>
          <t>A 62915-2021</t>
        </is>
      </c>
      <c r="B478" s="1" t="n">
        <v>44504</v>
      </c>
      <c r="C478" s="1" t="n">
        <v>45807</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63229-2021</t>
        </is>
      </c>
      <c r="B479" s="1" t="n">
        <v>44508</v>
      </c>
      <c r="C479" s="1" t="n">
        <v>45807</v>
      </c>
      <c r="D479" t="inlineStr">
        <is>
          <t>GOTLANDS LÄN</t>
        </is>
      </c>
      <c r="E479" t="inlineStr">
        <is>
          <t>GOTLAND</t>
        </is>
      </c>
      <c r="F479" t="inlineStr">
        <is>
          <t>Kyrkan</t>
        </is>
      </c>
      <c r="G479" t="n">
        <v>3.8</v>
      </c>
      <c r="H479" t="n">
        <v>0</v>
      </c>
      <c r="I479" t="n">
        <v>0</v>
      </c>
      <c r="J479" t="n">
        <v>0</v>
      </c>
      <c r="K479" t="n">
        <v>0</v>
      </c>
      <c r="L479" t="n">
        <v>0</v>
      </c>
      <c r="M479" t="n">
        <v>0</v>
      </c>
      <c r="N479" t="n">
        <v>0</v>
      </c>
      <c r="O479" t="n">
        <v>0</v>
      </c>
      <c r="P479" t="n">
        <v>0</v>
      </c>
      <c r="Q479" t="n">
        <v>0</v>
      </c>
      <c r="R479" s="2" t="inlineStr"/>
    </row>
    <row r="480" ht="15" customHeight="1">
      <c r="A480" t="inlineStr">
        <is>
          <t>A 64208-2021</t>
        </is>
      </c>
      <c r="B480" s="1" t="n">
        <v>44510</v>
      </c>
      <c r="C480" s="1" t="n">
        <v>45807</v>
      </c>
      <c r="D480" t="inlineStr">
        <is>
          <t>GOTLANDS LÄN</t>
        </is>
      </c>
      <c r="E480" t="inlineStr">
        <is>
          <t>GOTLAND</t>
        </is>
      </c>
      <c r="G480" t="n">
        <v>4.7</v>
      </c>
      <c r="H480" t="n">
        <v>0</v>
      </c>
      <c r="I480" t="n">
        <v>0</v>
      </c>
      <c r="J480" t="n">
        <v>0</v>
      </c>
      <c r="K480" t="n">
        <v>0</v>
      </c>
      <c r="L480" t="n">
        <v>0</v>
      </c>
      <c r="M480" t="n">
        <v>0</v>
      </c>
      <c r="N480" t="n">
        <v>0</v>
      </c>
      <c r="O480" t="n">
        <v>0</v>
      </c>
      <c r="P480" t="n">
        <v>0</v>
      </c>
      <c r="Q480" t="n">
        <v>0</v>
      </c>
      <c r="R480" s="2" t="inlineStr"/>
    </row>
    <row r="481" ht="15" customHeight="1">
      <c r="A481" t="inlineStr">
        <is>
          <t>A 65393-2021</t>
        </is>
      </c>
      <c r="B481" s="1" t="n">
        <v>44515</v>
      </c>
      <c r="C481" s="1" t="n">
        <v>45807</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65901-2021</t>
        </is>
      </c>
      <c r="B482" s="1" t="n">
        <v>44516</v>
      </c>
      <c r="C482" s="1" t="n">
        <v>45807</v>
      </c>
      <c r="D482" t="inlineStr">
        <is>
          <t>GOTLANDS LÄN</t>
        </is>
      </c>
      <c r="E482" t="inlineStr">
        <is>
          <t>GOTLAND</t>
        </is>
      </c>
      <c r="G482" t="n">
        <v>4.9</v>
      </c>
      <c r="H482" t="n">
        <v>0</v>
      </c>
      <c r="I482" t="n">
        <v>0</v>
      </c>
      <c r="J482" t="n">
        <v>0</v>
      </c>
      <c r="K482" t="n">
        <v>0</v>
      </c>
      <c r="L482" t="n">
        <v>0</v>
      </c>
      <c r="M482" t="n">
        <v>0</v>
      </c>
      <c r="N482" t="n">
        <v>0</v>
      </c>
      <c r="O482" t="n">
        <v>0</v>
      </c>
      <c r="P482" t="n">
        <v>0</v>
      </c>
      <c r="Q482" t="n">
        <v>0</v>
      </c>
      <c r="R482" s="2" t="inlineStr"/>
    </row>
    <row r="483" ht="15" customHeight="1">
      <c r="A483" t="inlineStr">
        <is>
          <t>A 69112-2021</t>
        </is>
      </c>
      <c r="B483" s="1" t="n">
        <v>44530</v>
      </c>
      <c r="C483" s="1" t="n">
        <v>45807</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70997-2021</t>
        </is>
      </c>
      <c r="B484" s="1" t="n">
        <v>44538</v>
      </c>
      <c r="C484" s="1" t="n">
        <v>45807</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71010-2021</t>
        </is>
      </c>
      <c r="B485" s="1" t="n">
        <v>44538</v>
      </c>
      <c r="C485" s="1" t="n">
        <v>45807</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71620-2021</t>
        </is>
      </c>
      <c r="B486" s="1" t="n">
        <v>44542</v>
      </c>
      <c r="C486" s="1" t="n">
        <v>45807</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72626-2021</t>
        </is>
      </c>
      <c r="B487" s="1" t="n">
        <v>44546</v>
      </c>
      <c r="C487" s="1" t="n">
        <v>45807</v>
      </c>
      <c r="D487" t="inlineStr">
        <is>
          <t>GOTLANDS LÄN</t>
        </is>
      </c>
      <c r="E487" t="inlineStr">
        <is>
          <t>GOTLAND</t>
        </is>
      </c>
      <c r="G487" t="n">
        <v>7.3</v>
      </c>
      <c r="H487" t="n">
        <v>0</v>
      </c>
      <c r="I487" t="n">
        <v>0</v>
      </c>
      <c r="J487" t="n">
        <v>0</v>
      </c>
      <c r="K487" t="n">
        <v>0</v>
      </c>
      <c r="L487" t="n">
        <v>0</v>
      </c>
      <c r="M487" t="n">
        <v>0</v>
      </c>
      <c r="N487" t="n">
        <v>0</v>
      </c>
      <c r="O487" t="n">
        <v>0</v>
      </c>
      <c r="P487" t="n">
        <v>0</v>
      </c>
      <c r="Q487" t="n">
        <v>0</v>
      </c>
      <c r="R487" s="2" t="inlineStr"/>
    </row>
    <row r="488" ht="15" customHeight="1">
      <c r="A488" t="inlineStr">
        <is>
          <t>A 411-2022</t>
        </is>
      </c>
      <c r="B488" s="1" t="n">
        <v>44565</v>
      </c>
      <c r="C488" s="1" t="n">
        <v>45807</v>
      </c>
      <c r="D488" t="inlineStr">
        <is>
          <t>GOTLANDS LÄN</t>
        </is>
      </c>
      <c r="E488" t="inlineStr">
        <is>
          <t>GOTLAND</t>
        </is>
      </c>
      <c r="G488" t="n">
        <v>3.9</v>
      </c>
      <c r="H488" t="n">
        <v>0</v>
      </c>
      <c r="I488" t="n">
        <v>0</v>
      </c>
      <c r="J488" t="n">
        <v>0</v>
      </c>
      <c r="K488" t="n">
        <v>0</v>
      </c>
      <c r="L488" t="n">
        <v>0</v>
      </c>
      <c r="M488" t="n">
        <v>0</v>
      </c>
      <c r="N488" t="n">
        <v>0</v>
      </c>
      <c r="O488" t="n">
        <v>0</v>
      </c>
      <c r="P488" t="n">
        <v>0</v>
      </c>
      <c r="Q488" t="n">
        <v>0</v>
      </c>
      <c r="R488" s="2" t="inlineStr"/>
    </row>
    <row r="489" ht="15" customHeight="1">
      <c r="A489" t="inlineStr">
        <is>
          <t>A 4262-2022</t>
        </is>
      </c>
      <c r="B489" s="1" t="n">
        <v>44588</v>
      </c>
      <c r="C489" s="1" t="n">
        <v>45807</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8055-2022</t>
        </is>
      </c>
      <c r="B490" s="1" t="n">
        <v>44609</v>
      </c>
      <c r="C490" s="1" t="n">
        <v>45807</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8036-2022</t>
        </is>
      </c>
      <c r="B491" s="1" t="n">
        <v>44609</v>
      </c>
      <c r="C491" s="1" t="n">
        <v>45807</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45807</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10650-2022</t>
        </is>
      </c>
      <c r="B493" s="1" t="n">
        <v>44624</v>
      </c>
      <c r="C493" s="1" t="n">
        <v>45807</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11029-2022</t>
        </is>
      </c>
      <c r="B494" s="1" t="n">
        <v>44628</v>
      </c>
      <c r="C494" s="1" t="n">
        <v>45807</v>
      </c>
      <c r="D494" t="inlineStr">
        <is>
          <t>GOTLANDS LÄN</t>
        </is>
      </c>
      <c r="E494" t="inlineStr">
        <is>
          <t>GOTLAND</t>
        </is>
      </c>
      <c r="G494" t="n">
        <v>1.8</v>
      </c>
      <c r="H494" t="n">
        <v>0</v>
      </c>
      <c r="I494" t="n">
        <v>0</v>
      </c>
      <c r="J494" t="n">
        <v>0</v>
      </c>
      <c r="K494" t="n">
        <v>0</v>
      </c>
      <c r="L494" t="n">
        <v>0</v>
      </c>
      <c r="M494" t="n">
        <v>0</v>
      </c>
      <c r="N494" t="n">
        <v>0</v>
      </c>
      <c r="O494" t="n">
        <v>0</v>
      </c>
      <c r="P494" t="n">
        <v>0</v>
      </c>
      <c r="Q494" t="n">
        <v>0</v>
      </c>
      <c r="R494" s="2" t="inlineStr"/>
    </row>
    <row r="495" ht="15" customHeight="1">
      <c r="A495" t="inlineStr">
        <is>
          <t>A 13498-2022</t>
        </is>
      </c>
      <c r="B495" s="1" t="n">
        <v>44647</v>
      </c>
      <c r="C495" s="1" t="n">
        <v>45807</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13500-2022</t>
        </is>
      </c>
      <c r="B496" s="1" t="n">
        <v>44647</v>
      </c>
      <c r="C496" s="1" t="n">
        <v>45807</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13643-2022</t>
        </is>
      </c>
      <c r="B497" s="1" t="n">
        <v>44648</v>
      </c>
      <c r="C497" s="1" t="n">
        <v>45807</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14413-2022</t>
        </is>
      </c>
      <c r="B498" s="1" t="n">
        <v>44652</v>
      </c>
      <c r="C498" s="1" t="n">
        <v>45807</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15713-2022</t>
        </is>
      </c>
      <c r="B499" s="1" t="n">
        <v>44663</v>
      </c>
      <c r="C499" s="1" t="n">
        <v>45807</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15710-2022</t>
        </is>
      </c>
      <c r="B500" s="1" t="n">
        <v>44663</v>
      </c>
      <c r="C500" s="1" t="n">
        <v>45807</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16858-2022</t>
        </is>
      </c>
      <c r="B501" s="1" t="n">
        <v>44674</v>
      </c>
      <c r="C501" s="1" t="n">
        <v>45807</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17147-2022</t>
        </is>
      </c>
      <c r="B502" s="1" t="n">
        <v>44677</v>
      </c>
      <c r="C502" s="1" t="n">
        <v>45807</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17354-2022</t>
        </is>
      </c>
      <c r="B503" s="1" t="n">
        <v>44678</v>
      </c>
      <c r="C503" s="1" t="n">
        <v>45807</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17381-2022</t>
        </is>
      </c>
      <c r="B504" s="1" t="n">
        <v>44678</v>
      </c>
      <c r="C504" s="1" t="n">
        <v>45807</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v>
      </c>
      <c r="C505" s="1" t="n">
        <v>45807</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20165-2022</t>
        </is>
      </c>
      <c r="B506" s="1" t="n">
        <v>44698</v>
      </c>
      <c r="C506" s="1" t="n">
        <v>45807</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20356-2022</t>
        </is>
      </c>
      <c r="B507" s="1" t="n">
        <v>44699</v>
      </c>
      <c r="C507" s="1" t="n">
        <v>45807</v>
      </c>
      <c r="D507" t="inlineStr">
        <is>
          <t>GOTLANDS LÄN</t>
        </is>
      </c>
      <c r="E507" t="inlineStr">
        <is>
          <t>GOTLAND</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20990-2022</t>
        </is>
      </c>
      <c r="B508" s="1" t="n">
        <v>44703</v>
      </c>
      <c r="C508" s="1" t="n">
        <v>45807</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20993-2022</t>
        </is>
      </c>
      <c r="B509" s="1" t="n">
        <v>44703</v>
      </c>
      <c r="C509" s="1" t="n">
        <v>45807</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21247-2022</t>
        </is>
      </c>
      <c r="B510" s="1" t="n">
        <v>44705</v>
      </c>
      <c r="C510" s="1" t="n">
        <v>45807</v>
      </c>
      <c r="D510" t="inlineStr">
        <is>
          <t>GOTLANDS LÄN</t>
        </is>
      </c>
      <c r="E510" t="inlineStr">
        <is>
          <t>GOTLAND</t>
        </is>
      </c>
      <c r="G510" t="n">
        <v>16.2</v>
      </c>
      <c r="H510" t="n">
        <v>0</v>
      </c>
      <c r="I510" t="n">
        <v>0</v>
      </c>
      <c r="J510" t="n">
        <v>0</v>
      </c>
      <c r="K510" t="n">
        <v>0</v>
      </c>
      <c r="L510" t="n">
        <v>0</v>
      </c>
      <c r="M510" t="n">
        <v>0</v>
      </c>
      <c r="N510" t="n">
        <v>0</v>
      </c>
      <c r="O510" t="n">
        <v>0</v>
      </c>
      <c r="P510" t="n">
        <v>0</v>
      </c>
      <c r="Q510" t="n">
        <v>0</v>
      </c>
      <c r="R510" s="2" t="inlineStr"/>
    </row>
    <row r="511" ht="15" customHeight="1">
      <c r="A511" t="inlineStr">
        <is>
          <t>A 22287-2022</t>
        </is>
      </c>
      <c r="B511" s="1" t="n">
        <v>44712</v>
      </c>
      <c r="C511" s="1" t="n">
        <v>45807</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22498-2022</t>
        </is>
      </c>
      <c r="B512" s="1" t="n">
        <v>44713</v>
      </c>
      <c r="C512" s="1" t="n">
        <v>45807</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22495-2022</t>
        </is>
      </c>
      <c r="B513" s="1" t="n">
        <v>44713</v>
      </c>
      <c r="C513" s="1" t="n">
        <v>45807</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24123-2022</t>
        </is>
      </c>
      <c r="B514" s="1" t="n">
        <v>44725</v>
      </c>
      <c r="C514" s="1" t="n">
        <v>45807</v>
      </c>
      <c r="D514" t="inlineStr">
        <is>
          <t>GOTLANDS LÄN</t>
        </is>
      </c>
      <c r="E514" t="inlineStr">
        <is>
          <t>GOTLAND</t>
        </is>
      </c>
      <c r="G514" t="n">
        <v>6</v>
      </c>
      <c r="H514" t="n">
        <v>0</v>
      </c>
      <c r="I514" t="n">
        <v>0</v>
      </c>
      <c r="J514" t="n">
        <v>0</v>
      </c>
      <c r="K514" t="n">
        <v>0</v>
      </c>
      <c r="L514" t="n">
        <v>0</v>
      </c>
      <c r="M514" t="n">
        <v>0</v>
      </c>
      <c r="N514" t="n">
        <v>0</v>
      </c>
      <c r="O514" t="n">
        <v>0</v>
      </c>
      <c r="P514" t="n">
        <v>0</v>
      </c>
      <c r="Q514" t="n">
        <v>0</v>
      </c>
      <c r="R514" s="2" t="inlineStr"/>
    </row>
    <row r="515" ht="15" customHeight="1">
      <c r="A515" t="inlineStr">
        <is>
          <t>A 24235-2022</t>
        </is>
      </c>
      <c r="B515" s="1" t="n">
        <v>44725</v>
      </c>
      <c r="C515" s="1" t="n">
        <v>45807</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25866-2022</t>
        </is>
      </c>
      <c r="B516" s="1" t="n">
        <v>44733</v>
      </c>
      <c r="C516" s="1" t="n">
        <v>45807</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27095-2022</t>
        </is>
      </c>
      <c r="B517" s="1" t="n">
        <v>44741</v>
      </c>
      <c r="C517" s="1" t="n">
        <v>45807</v>
      </c>
      <c r="D517" t="inlineStr">
        <is>
          <t>GOTLANDS LÄN</t>
        </is>
      </c>
      <c r="E517" t="inlineStr">
        <is>
          <t>GOTLAND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29809-2022</t>
        </is>
      </c>
      <c r="B518" s="1" t="n">
        <v>44755</v>
      </c>
      <c r="C518" s="1" t="n">
        <v>45807</v>
      </c>
      <c r="D518" t="inlineStr">
        <is>
          <t>GOTLANDS LÄN</t>
        </is>
      </c>
      <c r="E518" t="inlineStr">
        <is>
          <t>GOTLAND</t>
        </is>
      </c>
      <c r="G518" t="n">
        <v>11.5</v>
      </c>
      <c r="H518" t="n">
        <v>0</v>
      </c>
      <c r="I518" t="n">
        <v>0</v>
      </c>
      <c r="J518" t="n">
        <v>0</v>
      </c>
      <c r="K518" t="n">
        <v>0</v>
      </c>
      <c r="L518" t="n">
        <v>0</v>
      </c>
      <c r="M518" t="n">
        <v>0</v>
      </c>
      <c r="N518" t="n">
        <v>0</v>
      </c>
      <c r="O518" t="n">
        <v>0</v>
      </c>
      <c r="P518" t="n">
        <v>0</v>
      </c>
      <c r="Q518" t="n">
        <v>0</v>
      </c>
      <c r="R518" s="2" t="inlineStr"/>
    </row>
    <row r="519" ht="15" customHeight="1">
      <c r="A519" t="inlineStr">
        <is>
          <t>A 30282-2022</t>
        </is>
      </c>
      <c r="B519" s="1" t="n">
        <v>44760</v>
      </c>
      <c r="C519" s="1" t="n">
        <v>45807</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31239-2022</t>
        </is>
      </c>
      <c r="B520" s="1" t="n">
        <v>44771</v>
      </c>
      <c r="C520" s="1" t="n">
        <v>45807</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37569-2022</t>
        </is>
      </c>
      <c r="B521" s="1" t="n">
        <v>44809</v>
      </c>
      <c r="C521" s="1" t="n">
        <v>45807</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39302-2022</t>
        </is>
      </c>
      <c r="B522" s="1" t="n">
        <v>44817</v>
      </c>
      <c r="C522" s="1" t="n">
        <v>45807</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39496-2022</t>
        </is>
      </c>
      <c r="B523" s="1" t="n">
        <v>44818</v>
      </c>
      <c r="C523" s="1" t="n">
        <v>45807</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45807</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39764-2022</t>
        </is>
      </c>
      <c r="B525" s="1" t="n">
        <v>44819</v>
      </c>
      <c r="C525" s="1" t="n">
        <v>45807</v>
      </c>
      <c r="D525" t="inlineStr">
        <is>
          <t>GOTLANDS LÄN</t>
        </is>
      </c>
      <c r="E525" t="inlineStr">
        <is>
          <t>GOTLAND</t>
        </is>
      </c>
      <c r="F525" t="inlineStr">
        <is>
          <t>Kyrkan</t>
        </is>
      </c>
      <c r="G525" t="n">
        <v>3.7</v>
      </c>
      <c r="H525" t="n">
        <v>0</v>
      </c>
      <c r="I525" t="n">
        <v>0</v>
      </c>
      <c r="J525" t="n">
        <v>0</v>
      </c>
      <c r="K525" t="n">
        <v>0</v>
      </c>
      <c r="L525" t="n">
        <v>0</v>
      </c>
      <c r="M525" t="n">
        <v>0</v>
      </c>
      <c r="N525" t="n">
        <v>0</v>
      </c>
      <c r="O525" t="n">
        <v>0</v>
      </c>
      <c r="P525" t="n">
        <v>0</v>
      </c>
      <c r="Q525" t="n">
        <v>0</v>
      </c>
      <c r="R525" s="2" t="inlineStr"/>
    </row>
    <row r="526" ht="15" customHeight="1">
      <c r="A526" t="inlineStr">
        <is>
          <t>A 40294-2022</t>
        </is>
      </c>
      <c r="B526" s="1" t="n">
        <v>44821</v>
      </c>
      <c r="C526" s="1" t="n">
        <v>45807</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40478-2022</t>
        </is>
      </c>
      <c r="B527" s="1" t="n">
        <v>44823</v>
      </c>
      <c r="C527" s="1" t="n">
        <v>45807</v>
      </c>
      <c r="D527" t="inlineStr">
        <is>
          <t>GOTLANDS LÄN</t>
        </is>
      </c>
      <c r="E527" t="inlineStr">
        <is>
          <t>GOTLAND</t>
        </is>
      </c>
      <c r="G527" t="n">
        <v>6.3</v>
      </c>
      <c r="H527" t="n">
        <v>0</v>
      </c>
      <c r="I527" t="n">
        <v>0</v>
      </c>
      <c r="J527" t="n">
        <v>0</v>
      </c>
      <c r="K527" t="n">
        <v>0</v>
      </c>
      <c r="L527" t="n">
        <v>0</v>
      </c>
      <c r="M527" t="n">
        <v>0</v>
      </c>
      <c r="N527" t="n">
        <v>0</v>
      </c>
      <c r="O527" t="n">
        <v>0</v>
      </c>
      <c r="P527" t="n">
        <v>0</v>
      </c>
      <c r="Q527" t="n">
        <v>0</v>
      </c>
      <c r="R527" s="2" t="inlineStr"/>
    </row>
    <row r="528" ht="15" customHeight="1">
      <c r="A528" t="inlineStr">
        <is>
          <t>A 43081-2022</t>
        </is>
      </c>
      <c r="B528" s="1" t="n">
        <v>44833</v>
      </c>
      <c r="C528" s="1" t="n">
        <v>45807</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44102-2022</t>
        </is>
      </c>
      <c r="B529" s="1" t="n">
        <v>44839</v>
      </c>
      <c r="C529" s="1" t="n">
        <v>45807</v>
      </c>
      <c r="D529" t="inlineStr">
        <is>
          <t>GOTLANDS LÄN</t>
        </is>
      </c>
      <c r="E529" t="inlineStr">
        <is>
          <t>GOTLAND</t>
        </is>
      </c>
      <c r="G529" t="n">
        <v>4.2</v>
      </c>
      <c r="H529" t="n">
        <v>0</v>
      </c>
      <c r="I529" t="n">
        <v>0</v>
      </c>
      <c r="J529" t="n">
        <v>0</v>
      </c>
      <c r="K529" t="n">
        <v>0</v>
      </c>
      <c r="L529" t="n">
        <v>0</v>
      </c>
      <c r="M529" t="n">
        <v>0</v>
      </c>
      <c r="N529" t="n">
        <v>0</v>
      </c>
      <c r="O529" t="n">
        <v>0</v>
      </c>
      <c r="P529" t="n">
        <v>0</v>
      </c>
      <c r="Q529" t="n">
        <v>0</v>
      </c>
      <c r="R529" s="2" t="inlineStr"/>
    </row>
    <row r="530" ht="15" customHeight="1">
      <c r="A530" t="inlineStr">
        <is>
          <t>A 44108-2022</t>
        </is>
      </c>
      <c r="B530" s="1" t="n">
        <v>44839</v>
      </c>
      <c r="C530" s="1" t="n">
        <v>45807</v>
      </c>
      <c r="D530" t="inlineStr">
        <is>
          <t>GOTLANDS LÄN</t>
        </is>
      </c>
      <c r="E530" t="inlineStr">
        <is>
          <t>GOTLAND</t>
        </is>
      </c>
      <c r="G530" t="n">
        <v>12.9</v>
      </c>
      <c r="H530" t="n">
        <v>0</v>
      </c>
      <c r="I530" t="n">
        <v>0</v>
      </c>
      <c r="J530" t="n">
        <v>0</v>
      </c>
      <c r="K530" t="n">
        <v>0</v>
      </c>
      <c r="L530" t="n">
        <v>0</v>
      </c>
      <c r="M530" t="n">
        <v>0</v>
      </c>
      <c r="N530" t="n">
        <v>0</v>
      </c>
      <c r="O530" t="n">
        <v>0</v>
      </c>
      <c r="P530" t="n">
        <v>0</v>
      </c>
      <c r="Q530" t="n">
        <v>0</v>
      </c>
      <c r="R530" s="2" t="inlineStr"/>
    </row>
    <row r="531" ht="15" customHeight="1">
      <c r="A531" t="inlineStr">
        <is>
          <t>A 44207-2022</t>
        </is>
      </c>
      <c r="B531" s="1" t="n">
        <v>44839</v>
      </c>
      <c r="C531" s="1" t="n">
        <v>45807</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44204-2022</t>
        </is>
      </c>
      <c r="B532" s="1" t="n">
        <v>44839</v>
      </c>
      <c r="C532" s="1" t="n">
        <v>45807</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44228-2022</t>
        </is>
      </c>
      <c r="B533" s="1" t="n">
        <v>44839</v>
      </c>
      <c r="C533" s="1" t="n">
        <v>45807</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44878-2022</t>
        </is>
      </c>
      <c r="B534" s="1" t="n">
        <v>44839</v>
      </c>
      <c r="C534" s="1" t="n">
        <v>45807</v>
      </c>
      <c r="D534" t="inlineStr">
        <is>
          <t>GOTLANDS LÄN</t>
        </is>
      </c>
      <c r="E534" t="inlineStr">
        <is>
          <t>GOTLAND</t>
        </is>
      </c>
      <c r="G534" t="n">
        <v>4</v>
      </c>
      <c r="H534" t="n">
        <v>0</v>
      </c>
      <c r="I534" t="n">
        <v>0</v>
      </c>
      <c r="J534" t="n">
        <v>0</v>
      </c>
      <c r="K534" t="n">
        <v>0</v>
      </c>
      <c r="L534" t="n">
        <v>0</v>
      </c>
      <c r="M534" t="n">
        <v>0</v>
      </c>
      <c r="N534" t="n">
        <v>0</v>
      </c>
      <c r="O534" t="n">
        <v>0</v>
      </c>
      <c r="P534" t="n">
        <v>0</v>
      </c>
      <c r="Q534" t="n">
        <v>0</v>
      </c>
      <c r="R534" s="2" t="inlineStr"/>
    </row>
    <row r="535" ht="15" customHeight="1">
      <c r="A535" t="inlineStr">
        <is>
          <t>A 44919-2022</t>
        </is>
      </c>
      <c r="B535" s="1" t="n">
        <v>44841</v>
      </c>
      <c r="C535" s="1" t="n">
        <v>45807</v>
      </c>
      <c r="D535" t="inlineStr">
        <is>
          <t>GOTLANDS LÄN</t>
        </is>
      </c>
      <c r="E535" t="inlineStr">
        <is>
          <t>GOTLAND</t>
        </is>
      </c>
      <c r="G535" t="n">
        <v>2.2</v>
      </c>
      <c r="H535" t="n">
        <v>0</v>
      </c>
      <c r="I535" t="n">
        <v>0</v>
      </c>
      <c r="J535" t="n">
        <v>0</v>
      </c>
      <c r="K535" t="n">
        <v>0</v>
      </c>
      <c r="L535" t="n">
        <v>0</v>
      </c>
      <c r="M535" t="n">
        <v>0</v>
      </c>
      <c r="N535" t="n">
        <v>0</v>
      </c>
      <c r="O535" t="n">
        <v>0</v>
      </c>
      <c r="P535" t="n">
        <v>0</v>
      </c>
      <c r="Q535" t="n">
        <v>0</v>
      </c>
      <c r="R535" s="2" t="inlineStr"/>
    </row>
    <row r="536" ht="15" customHeight="1">
      <c r="A536" t="inlineStr">
        <is>
          <t>A 44942-2022</t>
        </is>
      </c>
      <c r="B536" s="1" t="n">
        <v>44841</v>
      </c>
      <c r="C536" s="1" t="n">
        <v>45807</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46189-2022</t>
        </is>
      </c>
      <c r="B537" s="1" t="n">
        <v>44847</v>
      </c>
      <c r="C537" s="1" t="n">
        <v>45807</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47231-2022</t>
        </is>
      </c>
      <c r="B538" s="1" t="n">
        <v>44852</v>
      </c>
      <c r="C538" s="1" t="n">
        <v>45807</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48734-2022</t>
        </is>
      </c>
      <c r="B539" s="1" t="n">
        <v>44855</v>
      </c>
      <c r="C539" s="1" t="n">
        <v>45807</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49812-2022</t>
        </is>
      </c>
      <c r="B540" s="1" t="n">
        <v>44862</v>
      </c>
      <c r="C540" s="1" t="n">
        <v>45807</v>
      </c>
      <c r="D540" t="inlineStr">
        <is>
          <t>GOTLANDS LÄN</t>
        </is>
      </c>
      <c r="E540" t="inlineStr">
        <is>
          <t>GOTLAND</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50810-2022</t>
        </is>
      </c>
      <c r="B541" s="1" t="n">
        <v>44867</v>
      </c>
      <c r="C541" s="1" t="n">
        <v>45807</v>
      </c>
      <c r="D541" t="inlineStr">
        <is>
          <t>GOTLANDS LÄN</t>
        </is>
      </c>
      <c r="E541" t="inlineStr">
        <is>
          <t>GOTLAND</t>
        </is>
      </c>
      <c r="G541" t="n">
        <v>3.1</v>
      </c>
      <c r="H541" t="n">
        <v>0</v>
      </c>
      <c r="I541" t="n">
        <v>0</v>
      </c>
      <c r="J541" t="n">
        <v>0</v>
      </c>
      <c r="K541" t="n">
        <v>0</v>
      </c>
      <c r="L541" t="n">
        <v>0</v>
      </c>
      <c r="M541" t="n">
        <v>0</v>
      </c>
      <c r="N541" t="n">
        <v>0</v>
      </c>
      <c r="O541" t="n">
        <v>0</v>
      </c>
      <c r="P541" t="n">
        <v>0</v>
      </c>
      <c r="Q541" t="n">
        <v>0</v>
      </c>
      <c r="R541" s="2" t="inlineStr"/>
    </row>
    <row r="542" ht="15" customHeight="1">
      <c r="A542" t="inlineStr">
        <is>
          <t>A 51591-2022</t>
        </is>
      </c>
      <c r="B542" s="1" t="n">
        <v>44871</v>
      </c>
      <c r="C542" s="1" t="n">
        <v>45807</v>
      </c>
      <c r="D542" t="inlineStr">
        <is>
          <t>GOTLANDS LÄN</t>
        </is>
      </c>
      <c r="E542" t="inlineStr">
        <is>
          <t>GOTLAND</t>
        </is>
      </c>
      <c r="G542" t="n">
        <v>1.5</v>
      </c>
      <c r="H542" t="n">
        <v>0</v>
      </c>
      <c r="I542" t="n">
        <v>0</v>
      </c>
      <c r="J542" t="n">
        <v>0</v>
      </c>
      <c r="K542" t="n">
        <v>0</v>
      </c>
      <c r="L542" t="n">
        <v>0</v>
      </c>
      <c r="M542" t="n">
        <v>0</v>
      </c>
      <c r="N542" t="n">
        <v>0</v>
      </c>
      <c r="O542" t="n">
        <v>0</v>
      </c>
      <c r="P542" t="n">
        <v>0</v>
      </c>
      <c r="Q542" t="n">
        <v>0</v>
      </c>
      <c r="R542" s="2" t="inlineStr"/>
    </row>
    <row r="543" ht="15" customHeight="1">
      <c r="A543" t="inlineStr">
        <is>
          <t>A 53725-2022</t>
        </is>
      </c>
      <c r="B543" s="1" t="n">
        <v>44875</v>
      </c>
      <c r="C543" s="1" t="n">
        <v>45807</v>
      </c>
      <c r="D543" t="inlineStr">
        <is>
          <t>GOTLANDS LÄN</t>
        </is>
      </c>
      <c r="E543" t="inlineStr">
        <is>
          <t>GOTLAND</t>
        </is>
      </c>
      <c r="F543" t="inlineStr">
        <is>
          <t>Övriga statliga verk och myndigheter</t>
        </is>
      </c>
      <c r="G543" t="n">
        <v>6.2</v>
      </c>
      <c r="H543" t="n">
        <v>0</v>
      </c>
      <c r="I543" t="n">
        <v>0</v>
      </c>
      <c r="J543" t="n">
        <v>0</v>
      </c>
      <c r="K543" t="n">
        <v>0</v>
      </c>
      <c r="L543" t="n">
        <v>0</v>
      </c>
      <c r="M543" t="n">
        <v>0</v>
      </c>
      <c r="N543" t="n">
        <v>0</v>
      </c>
      <c r="O543" t="n">
        <v>0</v>
      </c>
      <c r="P543" t="n">
        <v>0</v>
      </c>
      <c r="Q543" t="n">
        <v>0</v>
      </c>
      <c r="R543" s="2" t="inlineStr"/>
    </row>
    <row r="544" ht="15" customHeight="1">
      <c r="A544" t="inlineStr">
        <is>
          <t>A 53722-2022</t>
        </is>
      </c>
      <c r="B544" s="1" t="n">
        <v>44875</v>
      </c>
      <c r="C544" s="1" t="n">
        <v>45807</v>
      </c>
      <c r="D544" t="inlineStr">
        <is>
          <t>GOTLANDS LÄN</t>
        </is>
      </c>
      <c r="E544" t="inlineStr">
        <is>
          <t>GOTLAND</t>
        </is>
      </c>
      <c r="F544" t="inlineStr">
        <is>
          <t>Övriga statliga verk och myndigheter</t>
        </is>
      </c>
      <c r="G544" t="n">
        <v>8</v>
      </c>
      <c r="H544" t="n">
        <v>0</v>
      </c>
      <c r="I544" t="n">
        <v>0</v>
      </c>
      <c r="J544" t="n">
        <v>0</v>
      </c>
      <c r="K544" t="n">
        <v>0</v>
      </c>
      <c r="L544" t="n">
        <v>0</v>
      </c>
      <c r="M544" t="n">
        <v>0</v>
      </c>
      <c r="N544" t="n">
        <v>0</v>
      </c>
      <c r="O544" t="n">
        <v>0</v>
      </c>
      <c r="P544" t="n">
        <v>0</v>
      </c>
      <c r="Q544" t="n">
        <v>0</v>
      </c>
      <c r="R544" s="2" t="inlineStr"/>
    </row>
    <row r="545" ht="15" customHeight="1">
      <c r="A545" t="inlineStr">
        <is>
          <t>A 53727-2022</t>
        </is>
      </c>
      <c r="B545" s="1" t="n">
        <v>44875</v>
      </c>
      <c r="C545" s="1" t="n">
        <v>45807</v>
      </c>
      <c r="D545" t="inlineStr">
        <is>
          <t>GOTLANDS LÄN</t>
        </is>
      </c>
      <c r="E545" t="inlineStr">
        <is>
          <t>GOTLAND</t>
        </is>
      </c>
      <c r="F545" t="inlineStr">
        <is>
          <t>Övriga statliga verk och myndigheter</t>
        </is>
      </c>
      <c r="G545" t="n">
        <v>3.6</v>
      </c>
      <c r="H545" t="n">
        <v>0</v>
      </c>
      <c r="I545" t="n">
        <v>0</v>
      </c>
      <c r="J545" t="n">
        <v>0</v>
      </c>
      <c r="K545" t="n">
        <v>0</v>
      </c>
      <c r="L545" t="n">
        <v>0</v>
      </c>
      <c r="M545" t="n">
        <v>0</v>
      </c>
      <c r="N545" t="n">
        <v>0</v>
      </c>
      <c r="O545" t="n">
        <v>0</v>
      </c>
      <c r="P545" t="n">
        <v>0</v>
      </c>
      <c r="Q545" t="n">
        <v>0</v>
      </c>
      <c r="R545" s="2" t="inlineStr"/>
    </row>
    <row r="546" ht="15" customHeight="1">
      <c r="A546" t="inlineStr">
        <is>
          <t>A 53225-2022</t>
        </is>
      </c>
      <c r="B546" s="1" t="n">
        <v>44876</v>
      </c>
      <c r="C546" s="1" t="n">
        <v>45807</v>
      </c>
      <c r="D546" t="inlineStr">
        <is>
          <t>GOTLANDS LÄN</t>
        </is>
      </c>
      <c r="E546" t="inlineStr">
        <is>
          <t>GOTLAND</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54074-2022</t>
        </is>
      </c>
      <c r="B547" s="1" t="n">
        <v>44881</v>
      </c>
      <c r="C547" s="1" t="n">
        <v>45807</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54073-2022</t>
        </is>
      </c>
      <c r="B548" s="1" t="n">
        <v>44881</v>
      </c>
      <c r="C548" s="1" t="n">
        <v>45807</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54268-2022</t>
        </is>
      </c>
      <c r="B549" s="1" t="n">
        <v>44882</v>
      </c>
      <c r="C549" s="1" t="n">
        <v>45807</v>
      </c>
      <c r="D549" t="inlineStr">
        <is>
          <t>GOTLANDS LÄN</t>
        </is>
      </c>
      <c r="E549" t="inlineStr">
        <is>
          <t>GOTLAND</t>
        </is>
      </c>
      <c r="G549" t="n">
        <v>2.7</v>
      </c>
      <c r="H549" t="n">
        <v>0</v>
      </c>
      <c r="I549" t="n">
        <v>0</v>
      </c>
      <c r="J549" t="n">
        <v>0</v>
      </c>
      <c r="K549" t="n">
        <v>0</v>
      </c>
      <c r="L549" t="n">
        <v>0</v>
      </c>
      <c r="M549" t="n">
        <v>0</v>
      </c>
      <c r="N549" t="n">
        <v>0</v>
      </c>
      <c r="O549" t="n">
        <v>0</v>
      </c>
      <c r="P549" t="n">
        <v>0</v>
      </c>
      <c r="Q549" t="n">
        <v>0</v>
      </c>
      <c r="R549" s="2" t="inlineStr"/>
    </row>
    <row r="550" ht="15" customHeight="1">
      <c r="A550" t="inlineStr">
        <is>
          <t>A 55866-2022</t>
        </is>
      </c>
      <c r="B550" s="1" t="n">
        <v>44888</v>
      </c>
      <c r="C550" s="1" t="n">
        <v>45807</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56928-2022</t>
        </is>
      </c>
      <c r="B551" s="1" t="n">
        <v>44894</v>
      </c>
      <c r="C551" s="1" t="n">
        <v>45807</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58388-2022</t>
        </is>
      </c>
      <c r="B552" s="1" t="n">
        <v>44894</v>
      </c>
      <c r="C552" s="1" t="n">
        <v>45807</v>
      </c>
      <c r="D552" t="inlineStr">
        <is>
          <t>GOTLANDS LÄN</t>
        </is>
      </c>
      <c r="E552" t="inlineStr">
        <is>
          <t>GOTLAND</t>
        </is>
      </c>
      <c r="F552" t="inlineStr">
        <is>
          <t>Övriga statliga verk och myndigheter</t>
        </is>
      </c>
      <c r="G552" t="n">
        <v>3.1</v>
      </c>
      <c r="H552" t="n">
        <v>0</v>
      </c>
      <c r="I552" t="n">
        <v>0</v>
      </c>
      <c r="J552" t="n">
        <v>0</v>
      </c>
      <c r="K552" t="n">
        <v>0</v>
      </c>
      <c r="L552" t="n">
        <v>0</v>
      </c>
      <c r="M552" t="n">
        <v>0</v>
      </c>
      <c r="N552" t="n">
        <v>0</v>
      </c>
      <c r="O552" t="n">
        <v>0</v>
      </c>
      <c r="P552" t="n">
        <v>0</v>
      </c>
      <c r="Q552" t="n">
        <v>0</v>
      </c>
      <c r="R552" s="2" t="inlineStr"/>
    </row>
    <row r="553" ht="15" customHeight="1">
      <c r="A553" t="inlineStr">
        <is>
          <t>A 57534-2022</t>
        </is>
      </c>
      <c r="B553" s="1" t="n">
        <v>44896</v>
      </c>
      <c r="C553" s="1" t="n">
        <v>45807</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57522-2022</t>
        </is>
      </c>
      <c r="B554" s="1" t="n">
        <v>44896</v>
      </c>
      <c r="C554" s="1" t="n">
        <v>45807</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57685-2022</t>
        </is>
      </c>
      <c r="B555" s="1" t="n">
        <v>44897</v>
      </c>
      <c r="C555" s="1" t="n">
        <v>45807</v>
      </c>
      <c r="D555" t="inlineStr">
        <is>
          <t>GOTLANDS LÄN</t>
        </is>
      </c>
      <c r="E555" t="inlineStr">
        <is>
          <t>GOTLAND</t>
        </is>
      </c>
      <c r="G555" t="n">
        <v>3.7</v>
      </c>
      <c r="H555" t="n">
        <v>0</v>
      </c>
      <c r="I555" t="n">
        <v>0</v>
      </c>
      <c r="J555" t="n">
        <v>0</v>
      </c>
      <c r="K555" t="n">
        <v>0</v>
      </c>
      <c r="L555" t="n">
        <v>0</v>
      </c>
      <c r="M555" t="n">
        <v>0</v>
      </c>
      <c r="N555" t="n">
        <v>0</v>
      </c>
      <c r="O555" t="n">
        <v>0</v>
      </c>
      <c r="P555" t="n">
        <v>0</v>
      </c>
      <c r="Q555" t="n">
        <v>0</v>
      </c>
      <c r="R555" s="2" t="inlineStr"/>
    </row>
    <row r="556" ht="15" customHeight="1">
      <c r="A556" t="inlineStr">
        <is>
          <t>A 57947-2022</t>
        </is>
      </c>
      <c r="B556" s="1" t="n">
        <v>44900</v>
      </c>
      <c r="C556" s="1" t="n">
        <v>45807</v>
      </c>
      <c r="D556" t="inlineStr">
        <is>
          <t>GOTLANDS LÄN</t>
        </is>
      </c>
      <c r="E556" t="inlineStr">
        <is>
          <t>GOTLAND</t>
        </is>
      </c>
      <c r="G556" t="n">
        <v>4.3</v>
      </c>
      <c r="H556" t="n">
        <v>0</v>
      </c>
      <c r="I556" t="n">
        <v>0</v>
      </c>
      <c r="J556" t="n">
        <v>0</v>
      </c>
      <c r="K556" t="n">
        <v>0</v>
      </c>
      <c r="L556" t="n">
        <v>0</v>
      </c>
      <c r="M556" t="n">
        <v>0</v>
      </c>
      <c r="N556" t="n">
        <v>0</v>
      </c>
      <c r="O556" t="n">
        <v>0</v>
      </c>
      <c r="P556" t="n">
        <v>0</v>
      </c>
      <c r="Q556" t="n">
        <v>0</v>
      </c>
      <c r="R556" s="2" t="inlineStr"/>
    </row>
    <row r="557" ht="15" customHeight="1">
      <c r="A557" t="inlineStr">
        <is>
          <t>A 58479-2022</t>
        </is>
      </c>
      <c r="B557" s="1" t="n">
        <v>44902</v>
      </c>
      <c r="C557" s="1" t="n">
        <v>45807</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45807</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59874-2022</t>
        </is>
      </c>
      <c r="B559" s="1" t="n">
        <v>44908</v>
      </c>
      <c r="C559" s="1" t="n">
        <v>45807</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60086-2022</t>
        </is>
      </c>
      <c r="B560" s="1" t="n">
        <v>44909</v>
      </c>
      <c r="C560" s="1" t="n">
        <v>45807</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59986-2022</t>
        </is>
      </c>
      <c r="B561" s="1" t="n">
        <v>44909</v>
      </c>
      <c r="C561" s="1" t="n">
        <v>45807</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60372-2022</t>
        </is>
      </c>
      <c r="B562" s="1" t="n">
        <v>44910</v>
      </c>
      <c r="C562" s="1" t="n">
        <v>45807</v>
      </c>
      <c r="D562" t="inlineStr">
        <is>
          <t>GOTLANDS LÄN</t>
        </is>
      </c>
      <c r="E562" t="inlineStr">
        <is>
          <t>GOTLAND</t>
        </is>
      </c>
      <c r="G562" t="n">
        <v>3.9</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45807</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61570-2022</t>
        </is>
      </c>
      <c r="B564" s="1" t="n">
        <v>44916</v>
      </c>
      <c r="C564" s="1" t="n">
        <v>45807</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61563-2022</t>
        </is>
      </c>
      <c r="B565" s="1" t="n">
        <v>44916</v>
      </c>
      <c r="C565" s="1" t="n">
        <v>45807</v>
      </c>
      <c r="D565" t="inlineStr">
        <is>
          <t>GOTLANDS LÄN</t>
        </is>
      </c>
      <c r="E565" t="inlineStr">
        <is>
          <t>GOTLAND</t>
        </is>
      </c>
      <c r="G565" t="n">
        <v>3.4</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45807</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45807</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45807</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62151-2022</t>
        </is>
      </c>
      <c r="B569" s="1" t="n">
        <v>44922</v>
      </c>
      <c r="C569" s="1" t="n">
        <v>45807</v>
      </c>
      <c r="D569" t="inlineStr">
        <is>
          <t>GOTLANDS LÄN</t>
        </is>
      </c>
      <c r="E569" t="inlineStr">
        <is>
          <t>GOTLAND</t>
        </is>
      </c>
      <c r="G569" t="n">
        <v>6.5</v>
      </c>
      <c r="H569" t="n">
        <v>0</v>
      </c>
      <c r="I569" t="n">
        <v>0</v>
      </c>
      <c r="J569" t="n">
        <v>0</v>
      </c>
      <c r="K569" t="n">
        <v>0</v>
      </c>
      <c r="L569" t="n">
        <v>0</v>
      </c>
      <c r="M569" t="n">
        <v>0</v>
      </c>
      <c r="N569" t="n">
        <v>0</v>
      </c>
      <c r="O569" t="n">
        <v>0</v>
      </c>
      <c r="P569" t="n">
        <v>0</v>
      </c>
      <c r="Q569" t="n">
        <v>0</v>
      </c>
      <c r="R569" s="2" t="inlineStr"/>
    </row>
    <row r="570" ht="15" customHeight="1">
      <c r="A570" t="inlineStr">
        <is>
          <t>A 62186-2022</t>
        </is>
      </c>
      <c r="B570" s="1" t="n">
        <v>44922</v>
      </c>
      <c r="C570" s="1" t="n">
        <v>45807</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62184-2022</t>
        </is>
      </c>
      <c r="B571" s="1" t="n">
        <v>44922</v>
      </c>
      <c r="C571" s="1" t="n">
        <v>45807</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163-2023</t>
        </is>
      </c>
      <c r="B572" s="1" t="n">
        <v>44928</v>
      </c>
      <c r="C572" s="1" t="n">
        <v>45807</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45807</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457-2023</t>
        </is>
      </c>
      <c r="B574" s="1" t="n">
        <v>44929</v>
      </c>
      <c r="C574" s="1" t="n">
        <v>45807</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456-2023</t>
        </is>
      </c>
      <c r="B575" s="1" t="n">
        <v>44929</v>
      </c>
      <c r="C575" s="1" t="n">
        <v>45807</v>
      </c>
      <c r="D575" t="inlineStr">
        <is>
          <t>GOTLANDS LÄN</t>
        </is>
      </c>
      <c r="E575" t="inlineStr">
        <is>
          <t>GOTLAND</t>
        </is>
      </c>
      <c r="G575" t="n">
        <v>3.2</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v>
      </c>
      <c r="C576" s="1" t="n">
        <v>45807</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45807</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45807</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45807</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1284-2023</t>
        </is>
      </c>
      <c r="B580" s="1" t="n">
        <v>44936</v>
      </c>
      <c r="C580" s="1" t="n">
        <v>45807</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1273-2023</t>
        </is>
      </c>
      <c r="B581" s="1" t="n">
        <v>44936</v>
      </c>
      <c r="C581" s="1" t="n">
        <v>45807</v>
      </c>
      <c r="D581" t="inlineStr">
        <is>
          <t>GOTLANDS LÄN</t>
        </is>
      </c>
      <c r="E581" t="inlineStr">
        <is>
          <t>GOTLAND</t>
        </is>
      </c>
      <c r="G581" t="n">
        <v>4.5</v>
      </c>
      <c r="H581" t="n">
        <v>0</v>
      </c>
      <c r="I581" t="n">
        <v>0</v>
      </c>
      <c r="J581" t="n">
        <v>0</v>
      </c>
      <c r="K581" t="n">
        <v>0</v>
      </c>
      <c r="L581" t="n">
        <v>0</v>
      </c>
      <c r="M581" t="n">
        <v>0</v>
      </c>
      <c r="N581" t="n">
        <v>0</v>
      </c>
      <c r="O581" t="n">
        <v>0</v>
      </c>
      <c r="P581" t="n">
        <v>0</v>
      </c>
      <c r="Q581" t="n">
        <v>0</v>
      </c>
      <c r="R581" s="2" t="inlineStr"/>
    </row>
    <row r="582" ht="15" customHeight="1">
      <c r="A582" t="inlineStr">
        <is>
          <t>A 1291-2023</t>
        </is>
      </c>
      <c r="B582" s="1" t="n">
        <v>44936</v>
      </c>
      <c r="C582" s="1" t="n">
        <v>45807</v>
      </c>
      <c r="D582" t="inlineStr">
        <is>
          <t>GOTLANDS LÄN</t>
        </is>
      </c>
      <c r="E582" t="inlineStr">
        <is>
          <t>GOTLAND</t>
        </is>
      </c>
      <c r="G582" t="n">
        <v>7.4</v>
      </c>
      <c r="H582" t="n">
        <v>0</v>
      </c>
      <c r="I582" t="n">
        <v>0</v>
      </c>
      <c r="J582" t="n">
        <v>0</v>
      </c>
      <c r="K582" t="n">
        <v>0</v>
      </c>
      <c r="L582" t="n">
        <v>0</v>
      </c>
      <c r="M582" t="n">
        <v>0</v>
      </c>
      <c r="N582" t="n">
        <v>0</v>
      </c>
      <c r="O582" t="n">
        <v>0</v>
      </c>
      <c r="P582" t="n">
        <v>0</v>
      </c>
      <c r="Q582" t="n">
        <v>0</v>
      </c>
      <c r="R582" s="2" t="inlineStr"/>
    </row>
    <row r="583" ht="15" customHeight="1">
      <c r="A583" t="inlineStr">
        <is>
          <t>A 1394-2023</t>
        </is>
      </c>
      <c r="B583" s="1" t="n">
        <v>44936</v>
      </c>
      <c r="C583" s="1" t="n">
        <v>45807</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1677-2023</t>
        </is>
      </c>
      <c r="B584" s="1" t="n">
        <v>44938</v>
      </c>
      <c r="C584" s="1" t="n">
        <v>45807</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v>
      </c>
      <c r="C585" s="1" t="n">
        <v>45807</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45807</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2676-2023</t>
        </is>
      </c>
      <c r="B587" s="1" t="n">
        <v>44944</v>
      </c>
      <c r="C587" s="1" t="n">
        <v>45807</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2714-2023</t>
        </is>
      </c>
      <c r="B588" s="1" t="n">
        <v>44944</v>
      </c>
      <c r="C588" s="1" t="n">
        <v>45807</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2727-2023</t>
        </is>
      </c>
      <c r="B589" s="1" t="n">
        <v>44944</v>
      </c>
      <c r="C589" s="1" t="n">
        <v>45807</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2719-2023</t>
        </is>
      </c>
      <c r="B590" s="1" t="n">
        <v>44944</v>
      </c>
      <c r="C590" s="1" t="n">
        <v>45807</v>
      </c>
      <c r="D590" t="inlineStr">
        <is>
          <t>GOTLANDS LÄN</t>
        </is>
      </c>
      <c r="E590" t="inlineStr">
        <is>
          <t>GOTLAND</t>
        </is>
      </c>
      <c r="G590" t="n">
        <v>0.5</v>
      </c>
      <c r="H590" t="n">
        <v>0</v>
      </c>
      <c r="I590" t="n">
        <v>0</v>
      </c>
      <c r="J590" t="n">
        <v>0</v>
      </c>
      <c r="K590" t="n">
        <v>0</v>
      </c>
      <c r="L590" t="n">
        <v>0</v>
      </c>
      <c r="M590" t="n">
        <v>0</v>
      </c>
      <c r="N590" t="n">
        <v>0</v>
      </c>
      <c r="O590" t="n">
        <v>0</v>
      </c>
      <c r="P590" t="n">
        <v>0</v>
      </c>
      <c r="Q590" t="n">
        <v>0</v>
      </c>
      <c r="R590" s="2" t="inlineStr"/>
    </row>
    <row r="591" ht="15" customHeight="1">
      <c r="A591" t="inlineStr">
        <is>
          <t>A 2805-2023</t>
        </is>
      </c>
      <c r="B591" s="1" t="n">
        <v>44944</v>
      </c>
      <c r="C591" s="1" t="n">
        <v>45807</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2815-2023</t>
        </is>
      </c>
      <c r="B592" s="1" t="n">
        <v>44944</v>
      </c>
      <c r="C592" s="1" t="n">
        <v>45807</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3230-2023</t>
        </is>
      </c>
      <c r="B593" s="1" t="n">
        <v>44946</v>
      </c>
      <c r="C593" s="1" t="n">
        <v>45807</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4378-2023</t>
        </is>
      </c>
      <c r="B594" s="1" t="n">
        <v>44955</v>
      </c>
      <c r="C594" s="1" t="n">
        <v>45807</v>
      </c>
      <c r="D594" t="inlineStr">
        <is>
          <t>GOTLANDS LÄN</t>
        </is>
      </c>
      <c r="E594" t="inlineStr">
        <is>
          <t>GOTLAND</t>
        </is>
      </c>
      <c r="F594" t="inlineStr">
        <is>
          <t>Kyrkan</t>
        </is>
      </c>
      <c r="G594" t="n">
        <v>1.5</v>
      </c>
      <c r="H594" t="n">
        <v>0</v>
      </c>
      <c r="I594" t="n">
        <v>0</v>
      </c>
      <c r="J594" t="n">
        <v>0</v>
      </c>
      <c r="K594" t="n">
        <v>0</v>
      </c>
      <c r="L594" t="n">
        <v>0</v>
      </c>
      <c r="M594" t="n">
        <v>0</v>
      </c>
      <c r="N594" t="n">
        <v>0</v>
      </c>
      <c r="O594" t="n">
        <v>0</v>
      </c>
      <c r="P594" t="n">
        <v>0</v>
      </c>
      <c r="Q594" t="n">
        <v>0</v>
      </c>
      <c r="R594" s="2" t="inlineStr"/>
    </row>
    <row r="595" ht="15" customHeight="1">
      <c r="A595" t="inlineStr">
        <is>
          <t>A 4377-2023</t>
        </is>
      </c>
      <c r="B595" s="1" t="n">
        <v>44955</v>
      </c>
      <c r="C595" s="1" t="n">
        <v>45807</v>
      </c>
      <c r="D595" t="inlineStr">
        <is>
          <t>GOTLANDS LÄN</t>
        </is>
      </c>
      <c r="E595" t="inlineStr">
        <is>
          <t>GOTLAND</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4387-2023</t>
        </is>
      </c>
      <c r="B596" s="1" t="n">
        <v>44955</v>
      </c>
      <c r="C596" s="1" t="n">
        <v>45807</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4565-2023</t>
        </is>
      </c>
      <c r="B597" s="1" t="n">
        <v>44956</v>
      </c>
      <c r="C597" s="1" t="n">
        <v>45807</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5217-2023</t>
        </is>
      </c>
      <c r="B598" s="1" t="n">
        <v>44959</v>
      </c>
      <c r="C598" s="1" t="n">
        <v>45807</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5379-2023</t>
        </is>
      </c>
      <c r="B599" s="1" t="n">
        <v>44959</v>
      </c>
      <c r="C599" s="1" t="n">
        <v>45807</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45807</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5923-2023</t>
        </is>
      </c>
      <c r="B601" s="1" t="n">
        <v>44963</v>
      </c>
      <c r="C601" s="1" t="n">
        <v>45807</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6721-2023</t>
        </is>
      </c>
      <c r="B602" s="1" t="n">
        <v>44966</v>
      </c>
      <c r="C602" s="1" t="n">
        <v>45807</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6717-2023</t>
        </is>
      </c>
      <c r="B603" s="1" t="n">
        <v>44966</v>
      </c>
      <c r="C603" s="1" t="n">
        <v>45807</v>
      </c>
      <c r="D603" t="inlineStr">
        <is>
          <t>GOTLANDS LÄN</t>
        </is>
      </c>
      <c r="E603" t="inlineStr">
        <is>
          <t>GOTLAND</t>
        </is>
      </c>
      <c r="F603" t="inlineStr">
        <is>
          <t>Naturvårdsverket</t>
        </is>
      </c>
      <c r="G603" t="n">
        <v>1.4</v>
      </c>
      <c r="H603" t="n">
        <v>0</v>
      </c>
      <c r="I603" t="n">
        <v>0</v>
      </c>
      <c r="J603" t="n">
        <v>0</v>
      </c>
      <c r="K603" t="n">
        <v>0</v>
      </c>
      <c r="L603" t="n">
        <v>0</v>
      </c>
      <c r="M603" t="n">
        <v>0</v>
      </c>
      <c r="N603" t="n">
        <v>0</v>
      </c>
      <c r="O603" t="n">
        <v>0</v>
      </c>
      <c r="P603" t="n">
        <v>0</v>
      </c>
      <c r="Q603" t="n">
        <v>0</v>
      </c>
      <c r="R603" s="2" t="inlineStr"/>
    </row>
    <row r="604" ht="15" customHeight="1">
      <c r="A604" t="inlineStr">
        <is>
          <t>A 7041-2023</t>
        </is>
      </c>
      <c r="B604" s="1" t="n">
        <v>44968</v>
      </c>
      <c r="C604" s="1" t="n">
        <v>45807</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7026-2023</t>
        </is>
      </c>
      <c r="B605" s="1" t="n">
        <v>44968</v>
      </c>
      <c r="C605" s="1" t="n">
        <v>45807</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7034-2023</t>
        </is>
      </c>
      <c r="B606" s="1" t="n">
        <v>44968</v>
      </c>
      <c r="C606" s="1" t="n">
        <v>45807</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7040-2023</t>
        </is>
      </c>
      <c r="B607" s="1" t="n">
        <v>44968</v>
      </c>
      <c r="C607" s="1" t="n">
        <v>45807</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7042-2023</t>
        </is>
      </c>
      <c r="B608" s="1" t="n">
        <v>44968</v>
      </c>
      <c r="C608" s="1" t="n">
        <v>45807</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8260-2023</t>
        </is>
      </c>
      <c r="B609" s="1" t="n">
        <v>44974</v>
      </c>
      <c r="C609" s="1" t="n">
        <v>45807</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8962-2023</t>
        </is>
      </c>
      <c r="B610" s="1" t="n">
        <v>44979</v>
      </c>
      <c r="C610" s="1" t="n">
        <v>45807</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10492-2023</t>
        </is>
      </c>
      <c r="B611" s="1" t="n">
        <v>44987</v>
      </c>
      <c r="C611" s="1" t="n">
        <v>45807</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10655-2023</t>
        </is>
      </c>
      <c r="B612" s="1" t="n">
        <v>44988</v>
      </c>
      <c r="C612" s="1" t="n">
        <v>45807</v>
      </c>
      <c r="D612" t="inlineStr">
        <is>
          <t>GOTLANDS LÄN</t>
        </is>
      </c>
      <c r="E612" t="inlineStr">
        <is>
          <t>GOTLAND</t>
        </is>
      </c>
      <c r="F612" t="inlineStr">
        <is>
          <t>Kyrkan</t>
        </is>
      </c>
      <c r="G612" t="n">
        <v>2</v>
      </c>
      <c r="H612" t="n">
        <v>0</v>
      </c>
      <c r="I612" t="n">
        <v>0</v>
      </c>
      <c r="J612" t="n">
        <v>0</v>
      </c>
      <c r="K612" t="n">
        <v>0</v>
      </c>
      <c r="L612" t="n">
        <v>0</v>
      </c>
      <c r="M612" t="n">
        <v>0</v>
      </c>
      <c r="N612" t="n">
        <v>0</v>
      </c>
      <c r="O612" t="n">
        <v>0</v>
      </c>
      <c r="P612" t="n">
        <v>0</v>
      </c>
      <c r="Q612" t="n">
        <v>0</v>
      </c>
      <c r="R612" s="2" t="inlineStr"/>
    </row>
    <row r="613" ht="15" customHeight="1">
      <c r="A613" t="inlineStr">
        <is>
          <t>A 10657-2023</t>
        </is>
      </c>
      <c r="B613" s="1" t="n">
        <v>44988</v>
      </c>
      <c r="C613" s="1" t="n">
        <v>45807</v>
      </c>
      <c r="D613" t="inlineStr">
        <is>
          <t>GOTLANDS LÄN</t>
        </is>
      </c>
      <c r="E613" t="inlineStr">
        <is>
          <t>GOTLAND</t>
        </is>
      </c>
      <c r="F613" t="inlineStr">
        <is>
          <t>Kyrkan</t>
        </is>
      </c>
      <c r="G613" t="n">
        <v>1</v>
      </c>
      <c r="H613" t="n">
        <v>0</v>
      </c>
      <c r="I613" t="n">
        <v>0</v>
      </c>
      <c r="J613" t="n">
        <v>0</v>
      </c>
      <c r="K613" t="n">
        <v>0</v>
      </c>
      <c r="L613" t="n">
        <v>0</v>
      </c>
      <c r="M613" t="n">
        <v>0</v>
      </c>
      <c r="N613" t="n">
        <v>0</v>
      </c>
      <c r="O613" t="n">
        <v>0</v>
      </c>
      <c r="P613" t="n">
        <v>0</v>
      </c>
      <c r="Q613" t="n">
        <v>0</v>
      </c>
      <c r="R613" s="2" t="inlineStr"/>
    </row>
    <row r="614" ht="15" customHeight="1">
      <c r="A614" t="inlineStr">
        <is>
          <t>A 10653-2023</t>
        </is>
      </c>
      <c r="B614" s="1" t="n">
        <v>44988</v>
      </c>
      <c r="C614" s="1" t="n">
        <v>45807</v>
      </c>
      <c r="D614" t="inlineStr">
        <is>
          <t>GOTLANDS LÄN</t>
        </is>
      </c>
      <c r="E614" t="inlineStr">
        <is>
          <t>GOTLAND</t>
        </is>
      </c>
      <c r="F614" t="inlineStr">
        <is>
          <t>Kyrkan</t>
        </is>
      </c>
      <c r="G614" t="n">
        <v>3</v>
      </c>
      <c r="H614" t="n">
        <v>0</v>
      </c>
      <c r="I614" t="n">
        <v>0</v>
      </c>
      <c r="J614" t="n">
        <v>0</v>
      </c>
      <c r="K614" t="n">
        <v>0</v>
      </c>
      <c r="L614" t="n">
        <v>0</v>
      </c>
      <c r="M614" t="n">
        <v>0</v>
      </c>
      <c r="N614" t="n">
        <v>0</v>
      </c>
      <c r="O614" t="n">
        <v>0</v>
      </c>
      <c r="P614" t="n">
        <v>0</v>
      </c>
      <c r="Q614" t="n">
        <v>0</v>
      </c>
      <c r="R614" s="2" t="inlineStr"/>
    </row>
    <row r="615" ht="15" customHeight="1">
      <c r="A615" t="inlineStr">
        <is>
          <t>A 11115-2023</t>
        </is>
      </c>
      <c r="B615" s="1" t="n">
        <v>44992</v>
      </c>
      <c r="C615" s="1" t="n">
        <v>45807</v>
      </c>
      <c r="D615" t="inlineStr">
        <is>
          <t>GOTLANDS LÄN</t>
        </is>
      </c>
      <c r="E615" t="inlineStr">
        <is>
          <t>GOTLAND</t>
        </is>
      </c>
      <c r="G615" t="n">
        <v>3.5</v>
      </c>
      <c r="H615" t="n">
        <v>0</v>
      </c>
      <c r="I615" t="n">
        <v>0</v>
      </c>
      <c r="J615" t="n">
        <v>0</v>
      </c>
      <c r="K615" t="n">
        <v>0</v>
      </c>
      <c r="L615" t="n">
        <v>0</v>
      </c>
      <c r="M615" t="n">
        <v>0</v>
      </c>
      <c r="N615" t="n">
        <v>0</v>
      </c>
      <c r="O615" t="n">
        <v>0</v>
      </c>
      <c r="P615" t="n">
        <v>0</v>
      </c>
      <c r="Q615" t="n">
        <v>0</v>
      </c>
      <c r="R615" s="2" t="inlineStr"/>
    </row>
    <row r="616" ht="15" customHeight="1">
      <c r="A616" t="inlineStr">
        <is>
          <t>A 12161-2023</t>
        </is>
      </c>
      <c r="B616" s="1" t="n">
        <v>44998</v>
      </c>
      <c r="C616" s="1" t="n">
        <v>45807</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12155-2023</t>
        </is>
      </c>
      <c r="B617" s="1" t="n">
        <v>44998</v>
      </c>
      <c r="C617" s="1" t="n">
        <v>45807</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12596-2023</t>
        </is>
      </c>
      <c r="B618" s="1" t="n">
        <v>45000</v>
      </c>
      <c r="C618" s="1" t="n">
        <v>45807</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13627-2023</t>
        </is>
      </c>
      <c r="B619" s="1" t="n">
        <v>45006</v>
      </c>
      <c r="C619" s="1" t="n">
        <v>45807</v>
      </c>
      <c r="D619" t="inlineStr">
        <is>
          <t>GOTLANDS LÄN</t>
        </is>
      </c>
      <c r="E619" t="inlineStr">
        <is>
          <t>GOTLAND</t>
        </is>
      </c>
      <c r="G619" t="n">
        <v>10.7</v>
      </c>
      <c r="H619" t="n">
        <v>0</v>
      </c>
      <c r="I619" t="n">
        <v>0</v>
      </c>
      <c r="J619" t="n">
        <v>0</v>
      </c>
      <c r="K619" t="n">
        <v>0</v>
      </c>
      <c r="L619" t="n">
        <v>0</v>
      </c>
      <c r="M619" t="n">
        <v>0</v>
      </c>
      <c r="N619" t="n">
        <v>0</v>
      </c>
      <c r="O619" t="n">
        <v>0</v>
      </c>
      <c r="P619" t="n">
        <v>0</v>
      </c>
      <c r="Q619" t="n">
        <v>0</v>
      </c>
      <c r="R619" s="2" t="inlineStr"/>
    </row>
    <row r="620" ht="15" customHeight="1">
      <c r="A620" t="inlineStr">
        <is>
          <t>A 13910-2023</t>
        </is>
      </c>
      <c r="B620" s="1" t="n">
        <v>45008</v>
      </c>
      <c r="C620" s="1" t="n">
        <v>45807</v>
      </c>
      <c r="D620" t="inlineStr">
        <is>
          <t>GOTLANDS LÄN</t>
        </is>
      </c>
      <c r="E620" t="inlineStr">
        <is>
          <t>GOTLAND</t>
        </is>
      </c>
      <c r="G620" t="n">
        <v>1.6</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v>
      </c>
      <c r="C621" s="1" t="n">
        <v>45807</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14704-2023</t>
        </is>
      </c>
      <c r="B622" s="1" t="n">
        <v>45014</v>
      </c>
      <c r="C622" s="1" t="n">
        <v>45807</v>
      </c>
      <c r="D622" t="inlineStr">
        <is>
          <t>GOTLANDS LÄN</t>
        </is>
      </c>
      <c r="E622" t="inlineStr">
        <is>
          <t>GOTLAND</t>
        </is>
      </c>
      <c r="G622" t="n">
        <v>4.4</v>
      </c>
      <c r="H622" t="n">
        <v>0</v>
      </c>
      <c r="I622" t="n">
        <v>0</v>
      </c>
      <c r="J622" t="n">
        <v>0</v>
      </c>
      <c r="K622" t="n">
        <v>0</v>
      </c>
      <c r="L622" t="n">
        <v>0</v>
      </c>
      <c r="M622" t="n">
        <v>0</v>
      </c>
      <c r="N622" t="n">
        <v>0</v>
      </c>
      <c r="O622" t="n">
        <v>0</v>
      </c>
      <c r="P622" t="n">
        <v>0</v>
      </c>
      <c r="Q622" t="n">
        <v>0</v>
      </c>
      <c r="R622" s="2" t="inlineStr"/>
    </row>
    <row r="623" ht="15" customHeight="1">
      <c r="A623" t="inlineStr">
        <is>
          <t>A 15182-2023</t>
        </is>
      </c>
      <c r="B623" s="1" t="n">
        <v>45016</v>
      </c>
      <c r="C623" s="1" t="n">
        <v>45807</v>
      </c>
      <c r="D623" t="inlineStr">
        <is>
          <t>GOTLANDS LÄN</t>
        </is>
      </c>
      <c r="E623" t="inlineStr">
        <is>
          <t>GOTLAND</t>
        </is>
      </c>
      <c r="G623" t="n">
        <v>3.9</v>
      </c>
      <c r="H623" t="n">
        <v>0</v>
      </c>
      <c r="I623" t="n">
        <v>0</v>
      </c>
      <c r="J623" t="n">
        <v>0</v>
      </c>
      <c r="K623" t="n">
        <v>0</v>
      </c>
      <c r="L623" t="n">
        <v>0</v>
      </c>
      <c r="M623" t="n">
        <v>0</v>
      </c>
      <c r="N623" t="n">
        <v>0</v>
      </c>
      <c r="O623" t="n">
        <v>0</v>
      </c>
      <c r="P623" t="n">
        <v>0</v>
      </c>
      <c r="Q623" t="n">
        <v>0</v>
      </c>
      <c r="R623" s="2" t="inlineStr"/>
    </row>
    <row r="624" ht="15" customHeight="1">
      <c r="A624" t="inlineStr">
        <is>
          <t>A 15216-2023</t>
        </is>
      </c>
      <c r="B624" s="1" t="n">
        <v>45019</v>
      </c>
      <c r="C624" s="1" t="n">
        <v>45807</v>
      </c>
      <c r="D624" t="inlineStr">
        <is>
          <t>GOTLANDS LÄN</t>
        </is>
      </c>
      <c r="E624" t="inlineStr">
        <is>
          <t>GOTLAND</t>
        </is>
      </c>
      <c r="G624" t="n">
        <v>5</v>
      </c>
      <c r="H624" t="n">
        <v>0</v>
      </c>
      <c r="I624" t="n">
        <v>0</v>
      </c>
      <c r="J624" t="n">
        <v>0</v>
      </c>
      <c r="K624" t="n">
        <v>0</v>
      </c>
      <c r="L624" t="n">
        <v>0</v>
      </c>
      <c r="M624" t="n">
        <v>0</v>
      </c>
      <c r="N624" t="n">
        <v>0</v>
      </c>
      <c r="O624" t="n">
        <v>0</v>
      </c>
      <c r="P624" t="n">
        <v>0</v>
      </c>
      <c r="Q624" t="n">
        <v>0</v>
      </c>
      <c r="R624" s="2" t="inlineStr"/>
    </row>
    <row r="625" ht="15" customHeight="1">
      <c r="A625" t="inlineStr">
        <is>
          <t>A 15617-2023</t>
        </is>
      </c>
      <c r="B625" s="1" t="n">
        <v>45020</v>
      </c>
      <c r="C625" s="1" t="n">
        <v>45807</v>
      </c>
      <c r="D625" t="inlineStr">
        <is>
          <t>GOTLANDS LÄN</t>
        </is>
      </c>
      <c r="E625" t="inlineStr">
        <is>
          <t>GOTLAND</t>
        </is>
      </c>
      <c r="G625" t="n">
        <v>6.1</v>
      </c>
      <c r="H625" t="n">
        <v>0</v>
      </c>
      <c r="I625" t="n">
        <v>0</v>
      </c>
      <c r="J625" t="n">
        <v>0</v>
      </c>
      <c r="K625" t="n">
        <v>0</v>
      </c>
      <c r="L625" t="n">
        <v>0</v>
      </c>
      <c r="M625" t="n">
        <v>0</v>
      </c>
      <c r="N625" t="n">
        <v>0</v>
      </c>
      <c r="O625" t="n">
        <v>0</v>
      </c>
      <c r="P625" t="n">
        <v>0</v>
      </c>
      <c r="Q625" t="n">
        <v>0</v>
      </c>
      <c r="R625" s="2" t="inlineStr"/>
    </row>
    <row r="626" ht="15" customHeight="1">
      <c r="A626" t="inlineStr">
        <is>
          <t>A 16501-2023</t>
        </is>
      </c>
      <c r="B626" s="1" t="n">
        <v>45029</v>
      </c>
      <c r="C626" s="1" t="n">
        <v>45807</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17080-2023</t>
        </is>
      </c>
      <c r="B627" s="1" t="n">
        <v>45033</v>
      </c>
      <c r="C627" s="1" t="n">
        <v>45807</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17901-2023</t>
        </is>
      </c>
      <c r="B628" s="1" t="n">
        <v>45039</v>
      </c>
      <c r="C628" s="1" t="n">
        <v>45807</v>
      </c>
      <c r="D628" t="inlineStr">
        <is>
          <t>GOTLANDS LÄN</t>
        </is>
      </c>
      <c r="E628" t="inlineStr">
        <is>
          <t>GOTLAND</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18889-2023</t>
        </is>
      </c>
      <c r="B629" s="1" t="n">
        <v>45044</v>
      </c>
      <c r="C629" s="1" t="n">
        <v>45807</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20993-2023</t>
        </is>
      </c>
      <c r="B630" s="1" t="n">
        <v>45056</v>
      </c>
      <c r="C630" s="1" t="n">
        <v>45807</v>
      </c>
      <c r="D630" t="inlineStr">
        <is>
          <t>GOTLANDS LÄN</t>
        </is>
      </c>
      <c r="E630" t="inlineStr">
        <is>
          <t>GOTLAND</t>
        </is>
      </c>
      <c r="G630" t="n">
        <v>7.1</v>
      </c>
      <c r="H630" t="n">
        <v>0</v>
      </c>
      <c r="I630" t="n">
        <v>0</v>
      </c>
      <c r="J630" t="n">
        <v>0</v>
      </c>
      <c r="K630" t="n">
        <v>0</v>
      </c>
      <c r="L630" t="n">
        <v>0</v>
      </c>
      <c r="M630" t="n">
        <v>0</v>
      </c>
      <c r="N630" t="n">
        <v>0</v>
      </c>
      <c r="O630" t="n">
        <v>0</v>
      </c>
      <c r="P630" t="n">
        <v>0</v>
      </c>
      <c r="Q630" t="n">
        <v>0</v>
      </c>
      <c r="R630" s="2" t="inlineStr"/>
    </row>
    <row r="631" ht="15" customHeight="1">
      <c r="A631" t="inlineStr">
        <is>
          <t>A 20855-2023</t>
        </is>
      </c>
      <c r="B631" s="1" t="n">
        <v>45058</v>
      </c>
      <c r="C631" s="1" t="n">
        <v>45807</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20856-2023</t>
        </is>
      </c>
      <c r="B632" s="1" t="n">
        <v>45058</v>
      </c>
      <c r="C632" s="1" t="n">
        <v>45807</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20857-2023</t>
        </is>
      </c>
      <c r="B633" s="1" t="n">
        <v>45058</v>
      </c>
      <c r="C633" s="1" t="n">
        <v>45807</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20854-2023</t>
        </is>
      </c>
      <c r="B634" s="1" t="n">
        <v>45058</v>
      </c>
      <c r="C634" s="1" t="n">
        <v>45807</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22275-2023</t>
        </is>
      </c>
      <c r="B635" s="1" t="n">
        <v>45070</v>
      </c>
      <c r="C635" s="1" t="n">
        <v>45807</v>
      </c>
      <c r="D635" t="inlineStr">
        <is>
          <t>GOTLANDS LÄN</t>
        </is>
      </c>
      <c r="E635" t="inlineStr">
        <is>
          <t>GOTLAND</t>
        </is>
      </c>
      <c r="G635" t="n">
        <v>7.2</v>
      </c>
      <c r="H635" t="n">
        <v>0</v>
      </c>
      <c r="I635" t="n">
        <v>0</v>
      </c>
      <c r="J635" t="n">
        <v>0</v>
      </c>
      <c r="K635" t="n">
        <v>0</v>
      </c>
      <c r="L635" t="n">
        <v>0</v>
      </c>
      <c r="M635" t="n">
        <v>0</v>
      </c>
      <c r="N635" t="n">
        <v>0</v>
      </c>
      <c r="O635" t="n">
        <v>0</v>
      </c>
      <c r="P635" t="n">
        <v>0</v>
      </c>
      <c r="Q635" t="n">
        <v>0</v>
      </c>
      <c r="R635" s="2" t="inlineStr"/>
    </row>
    <row r="636" ht="15" customHeight="1">
      <c r="A636" t="inlineStr">
        <is>
          <t>A 22412-2023</t>
        </is>
      </c>
      <c r="B636" s="1" t="n">
        <v>45070</v>
      </c>
      <c r="C636" s="1" t="n">
        <v>45807</v>
      </c>
      <c r="D636" t="inlineStr">
        <is>
          <t>GOTLANDS LÄN</t>
        </is>
      </c>
      <c r="E636" t="inlineStr">
        <is>
          <t>GOTLAND</t>
        </is>
      </c>
      <c r="G636" t="n">
        <v>7.3</v>
      </c>
      <c r="H636" t="n">
        <v>0</v>
      </c>
      <c r="I636" t="n">
        <v>0</v>
      </c>
      <c r="J636" t="n">
        <v>0</v>
      </c>
      <c r="K636" t="n">
        <v>0</v>
      </c>
      <c r="L636" t="n">
        <v>0</v>
      </c>
      <c r="M636" t="n">
        <v>0</v>
      </c>
      <c r="N636" t="n">
        <v>0</v>
      </c>
      <c r="O636" t="n">
        <v>0</v>
      </c>
      <c r="P636" t="n">
        <v>0</v>
      </c>
      <c r="Q636" t="n">
        <v>0</v>
      </c>
      <c r="R636" s="2" t="inlineStr"/>
    </row>
    <row r="637" ht="15" customHeight="1">
      <c r="A637" t="inlineStr">
        <is>
          <t>A 22709-2023</t>
        </is>
      </c>
      <c r="B637" s="1" t="n">
        <v>45071</v>
      </c>
      <c r="C637" s="1" t="n">
        <v>45807</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22704-2023</t>
        </is>
      </c>
      <c r="B638" s="1" t="n">
        <v>45071</v>
      </c>
      <c r="C638" s="1" t="n">
        <v>45807</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22708-2023</t>
        </is>
      </c>
      <c r="B639" s="1" t="n">
        <v>45071</v>
      </c>
      <c r="C639" s="1" t="n">
        <v>45807</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22707-2023</t>
        </is>
      </c>
      <c r="B640" s="1" t="n">
        <v>45071</v>
      </c>
      <c r="C640" s="1" t="n">
        <v>45807</v>
      </c>
      <c r="D640" t="inlineStr">
        <is>
          <t>GOTLANDS LÄN</t>
        </is>
      </c>
      <c r="E640" t="inlineStr">
        <is>
          <t>GOTLAND</t>
        </is>
      </c>
      <c r="G640" t="n">
        <v>2.2</v>
      </c>
      <c r="H640" t="n">
        <v>0</v>
      </c>
      <c r="I640" t="n">
        <v>0</v>
      </c>
      <c r="J640" t="n">
        <v>0</v>
      </c>
      <c r="K640" t="n">
        <v>0</v>
      </c>
      <c r="L640" t="n">
        <v>0</v>
      </c>
      <c r="M640" t="n">
        <v>0</v>
      </c>
      <c r="N640" t="n">
        <v>0</v>
      </c>
      <c r="O640" t="n">
        <v>0</v>
      </c>
      <c r="P640" t="n">
        <v>0</v>
      </c>
      <c r="Q640" t="n">
        <v>0</v>
      </c>
      <c r="R640" s="2" t="inlineStr"/>
    </row>
    <row r="641" ht="15" customHeight="1">
      <c r="A641" t="inlineStr">
        <is>
          <t>A 22723-2023</t>
        </is>
      </c>
      <c r="B641" s="1" t="n">
        <v>45071</v>
      </c>
      <c r="C641" s="1" t="n">
        <v>45807</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22706-2023</t>
        </is>
      </c>
      <c r="B642" s="1" t="n">
        <v>45071</v>
      </c>
      <c r="C642" s="1" t="n">
        <v>45807</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22890-2023</t>
        </is>
      </c>
      <c r="B643" s="1" t="n">
        <v>45072</v>
      </c>
      <c r="C643" s="1" t="n">
        <v>45807</v>
      </c>
      <c r="D643" t="inlineStr">
        <is>
          <t>GOTLANDS LÄN</t>
        </is>
      </c>
      <c r="E643" t="inlineStr">
        <is>
          <t>GOTLAND</t>
        </is>
      </c>
      <c r="G643" t="n">
        <v>7.5</v>
      </c>
      <c r="H643" t="n">
        <v>0</v>
      </c>
      <c r="I643" t="n">
        <v>0</v>
      </c>
      <c r="J643" t="n">
        <v>0</v>
      </c>
      <c r="K643" t="n">
        <v>0</v>
      </c>
      <c r="L643" t="n">
        <v>0</v>
      </c>
      <c r="M643" t="n">
        <v>0</v>
      </c>
      <c r="N643" t="n">
        <v>0</v>
      </c>
      <c r="O643" t="n">
        <v>0</v>
      </c>
      <c r="P643" t="n">
        <v>0</v>
      </c>
      <c r="Q643" t="n">
        <v>0</v>
      </c>
      <c r="R643" s="2" t="inlineStr"/>
    </row>
    <row r="644" ht="15" customHeight="1">
      <c r="A644" t="inlineStr">
        <is>
          <t>A 22899-2023</t>
        </is>
      </c>
      <c r="B644" s="1" t="n">
        <v>45072</v>
      </c>
      <c r="C644" s="1" t="n">
        <v>45807</v>
      </c>
      <c r="D644" t="inlineStr">
        <is>
          <t>GOTLANDS LÄN</t>
        </is>
      </c>
      <c r="E644" t="inlineStr">
        <is>
          <t>GOTLAND</t>
        </is>
      </c>
      <c r="G644" t="n">
        <v>0.7</v>
      </c>
      <c r="H644" t="n">
        <v>0</v>
      </c>
      <c r="I644" t="n">
        <v>0</v>
      </c>
      <c r="J644" t="n">
        <v>0</v>
      </c>
      <c r="K644" t="n">
        <v>0</v>
      </c>
      <c r="L644" t="n">
        <v>0</v>
      </c>
      <c r="M644" t="n">
        <v>0</v>
      </c>
      <c r="N644" t="n">
        <v>0</v>
      </c>
      <c r="O644" t="n">
        <v>0</v>
      </c>
      <c r="P644" t="n">
        <v>0</v>
      </c>
      <c r="Q644" t="n">
        <v>0</v>
      </c>
      <c r="R644" s="2" t="inlineStr"/>
    </row>
    <row r="645" ht="15" customHeight="1">
      <c r="A645" t="inlineStr">
        <is>
          <t>A 22903-2023</t>
        </is>
      </c>
      <c r="B645" s="1" t="n">
        <v>45072</v>
      </c>
      <c r="C645" s="1" t="n">
        <v>45807</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22897-2023</t>
        </is>
      </c>
      <c r="B646" s="1" t="n">
        <v>45072</v>
      </c>
      <c r="C646" s="1" t="n">
        <v>45807</v>
      </c>
      <c r="D646" t="inlineStr">
        <is>
          <t>GOTLANDS LÄN</t>
        </is>
      </c>
      <c r="E646" t="inlineStr">
        <is>
          <t>GOTLAND</t>
        </is>
      </c>
      <c r="G646" t="n">
        <v>1.1</v>
      </c>
      <c r="H646" t="n">
        <v>0</v>
      </c>
      <c r="I646" t="n">
        <v>0</v>
      </c>
      <c r="J646" t="n">
        <v>0</v>
      </c>
      <c r="K646" t="n">
        <v>0</v>
      </c>
      <c r="L646" t="n">
        <v>0</v>
      </c>
      <c r="M646" t="n">
        <v>0</v>
      </c>
      <c r="N646" t="n">
        <v>0</v>
      </c>
      <c r="O646" t="n">
        <v>0</v>
      </c>
      <c r="P646" t="n">
        <v>0</v>
      </c>
      <c r="Q646" t="n">
        <v>0</v>
      </c>
      <c r="R646" s="2" t="inlineStr"/>
    </row>
    <row r="647" ht="15" customHeight="1">
      <c r="A647" t="inlineStr">
        <is>
          <t>A 23511-2023</t>
        </is>
      </c>
      <c r="B647" s="1" t="n">
        <v>45077</v>
      </c>
      <c r="C647" s="1" t="n">
        <v>45807</v>
      </c>
      <c r="D647" t="inlineStr">
        <is>
          <t>GOTLANDS LÄN</t>
        </is>
      </c>
      <c r="E647" t="inlineStr">
        <is>
          <t>GOTLAND</t>
        </is>
      </c>
      <c r="G647" t="n">
        <v>11.2</v>
      </c>
      <c r="H647" t="n">
        <v>0</v>
      </c>
      <c r="I647" t="n">
        <v>0</v>
      </c>
      <c r="J647" t="n">
        <v>0</v>
      </c>
      <c r="K647" t="n">
        <v>0</v>
      </c>
      <c r="L647" t="n">
        <v>0</v>
      </c>
      <c r="M647" t="n">
        <v>0</v>
      </c>
      <c r="N647" t="n">
        <v>0</v>
      </c>
      <c r="O647" t="n">
        <v>0</v>
      </c>
      <c r="P647" t="n">
        <v>0</v>
      </c>
      <c r="Q647" t="n">
        <v>0</v>
      </c>
      <c r="R647" s="2" t="inlineStr"/>
    </row>
    <row r="648" ht="15" customHeight="1">
      <c r="A648" t="inlineStr">
        <is>
          <t>A 23516-2023</t>
        </is>
      </c>
      <c r="B648" s="1" t="n">
        <v>45077</v>
      </c>
      <c r="C648" s="1" t="n">
        <v>45807</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23858-2023</t>
        </is>
      </c>
      <c r="B649" s="1" t="n">
        <v>45078</v>
      </c>
      <c r="C649" s="1" t="n">
        <v>45807</v>
      </c>
      <c r="D649" t="inlineStr">
        <is>
          <t>GOTLANDS LÄN</t>
        </is>
      </c>
      <c r="E649" t="inlineStr">
        <is>
          <t>GOTLAND</t>
        </is>
      </c>
      <c r="F649" t="inlineStr">
        <is>
          <t>Naturvårdsverket</t>
        </is>
      </c>
      <c r="G649" t="n">
        <v>4.2</v>
      </c>
      <c r="H649" t="n">
        <v>0</v>
      </c>
      <c r="I649" t="n">
        <v>0</v>
      </c>
      <c r="J649" t="n">
        <v>0</v>
      </c>
      <c r="K649" t="n">
        <v>0</v>
      </c>
      <c r="L649" t="n">
        <v>0</v>
      </c>
      <c r="M649" t="n">
        <v>0</v>
      </c>
      <c r="N649" t="n">
        <v>0</v>
      </c>
      <c r="O649" t="n">
        <v>0</v>
      </c>
      <c r="P649" t="n">
        <v>0</v>
      </c>
      <c r="Q649" t="n">
        <v>0</v>
      </c>
      <c r="R649" s="2" t="inlineStr"/>
    </row>
    <row r="650" ht="15" customHeight="1">
      <c r="A650" t="inlineStr">
        <is>
          <t>A 23966-2023</t>
        </is>
      </c>
      <c r="B650" s="1" t="n">
        <v>45078</v>
      </c>
      <c r="C650" s="1" t="n">
        <v>45807</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23978-2023</t>
        </is>
      </c>
      <c r="B651" s="1" t="n">
        <v>45078</v>
      </c>
      <c r="C651" s="1" t="n">
        <v>45807</v>
      </c>
      <c r="D651" t="inlineStr">
        <is>
          <t>GOTLANDS LÄN</t>
        </is>
      </c>
      <c r="E651" t="inlineStr">
        <is>
          <t>GOTLAND</t>
        </is>
      </c>
      <c r="F651" t="inlineStr">
        <is>
          <t>Naturvårdsverket</t>
        </is>
      </c>
      <c r="G651" t="n">
        <v>1.7</v>
      </c>
      <c r="H651" t="n">
        <v>0</v>
      </c>
      <c r="I651" t="n">
        <v>0</v>
      </c>
      <c r="J651" t="n">
        <v>0</v>
      </c>
      <c r="K651" t="n">
        <v>0</v>
      </c>
      <c r="L651" t="n">
        <v>0</v>
      </c>
      <c r="M651" t="n">
        <v>0</v>
      </c>
      <c r="N651" t="n">
        <v>0</v>
      </c>
      <c r="O651" t="n">
        <v>0</v>
      </c>
      <c r="P651" t="n">
        <v>0</v>
      </c>
      <c r="Q651" t="n">
        <v>0</v>
      </c>
      <c r="R651" s="2" t="inlineStr"/>
    </row>
    <row r="652" ht="15" customHeight="1">
      <c r="A652" t="inlineStr">
        <is>
          <t>A 24192-2023</t>
        </is>
      </c>
      <c r="B652" s="1" t="n">
        <v>45079</v>
      </c>
      <c r="C652" s="1" t="n">
        <v>45807</v>
      </c>
      <c r="D652" t="inlineStr">
        <is>
          <t>GOTLANDS LÄN</t>
        </is>
      </c>
      <c r="E652" t="inlineStr">
        <is>
          <t>GOTLAND</t>
        </is>
      </c>
      <c r="G652" t="n">
        <v>2.1</v>
      </c>
      <c r="H652" t="n">
        <v>0</v>
      </c>
      <c r="I652" t="n">
        <v>0</v>
      </c>
      <c r="J652" t="n">
        <v>0</v>
      </c>
      <c r="K652" t="n">
        <v>0</v>
      </c>
      <c r="L652" t="n">
        <v>0</v>
      </c>
      <c r="M652" t="n">
        <v>0</v>
      </c>
      <c r="N652" t="n">
        <v>0</v>
      </c>
      <c r="O652" t="n">
        <v>0</v>
      </c>
      <c r="P652" t="n">
        <v>0</v>
      </c>
      <c r="Q652" t="n">
        <v>0</v>
      </c>
      <c r="R652" s="2" t="inlineStr"/>
    </row>
    <row r="653" ht="15" customHeight="1">
      <c r="A653" t="inlineStr">
        <is>
          <t>A 24719-2023</t>
        </is>
      </c>
      <c r="B653" s="1" t="n">
        <v>45084</v>
      </c>
      <c r="C653" s="1" t="n">
        <v>45807</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24966-2023</t>
        </is>
      </c>
      <c r="B654" s="1" t="n">
        <v>45085</v>
      </c>
      <c r="C654" s="1" t="n">
        <v>45807</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25129-2023</t>
        </is>
      </c>
      <c r="B655" s="1" t="n">
        <v>45086</v>
      </c>
      <c r="C655" s="1" t="n">
        <v>45807</v>
      </c>
      <c r="D655" t="inlineStr">
        <is>
          <t>GOTLANDS LÄN</t>
        </is>
      </c>
      <c r="E655" t="inlineStr">
        <is>
          <t>GOTLAND</t>
        </is>
      </c>
      <c r="G655" t="n">
        <v>1.5</v>
      </c>
      <c r="H655" t="n">
        <v>0</v>
      </c>
      <c r="I655" t="n">
        <v>0</v>
      </c>
      <c r="J655" t="n">
        <v>0</v>
      </c>
      <c r="K655" t="n">
        <v>0</v>
      </c>
      <c r="L655" t="n">
        <v>0</v>
      </c>
      <c r="M655" t="n">
        <v>0</v>
      </c>
      <c r="N655" t="n">
        <v>0</v>
      </c>
      <c r="O655" t="n">
        <v>0</v>
      </c>
      <c r="P655" t="n">
        <v>0</v>
      </c>
      <c r="Q655" t="n">
        <v>0</v>
      </c>
      <c r="R655" s="2" t="inlineStr"/>
    </row>
    <row r="656" ht="15" customHeight="1">
      <c r="A656" t="inlineStr">
        <is>
          <t>A 27593-2023</t>
        </is>
      </c>
      <c r="B656" s="1" t="n">
        <v>45097</v>
      </c>
      <c r="C656" s="1" t="n">
        <v>45807</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27597-2023</t>
        </is>
      </c>
      <c r="B657" s="1" t="n">
        <v>45097</v>
      </c>
      <c r="C657" s="1" t="n">
        <v>45807</v>
      </c>
      <c r="D657" t="inlineStr">
        <is>
          <t>GOTLANDS LÄN</t>
        </is>
      </c>
      <c r="E657" t="inlineStr">
        <is>
          <t>GOTLAND</t>
        </is>
      </c>
      <c r="G657" t="n">
        <v>1.9</v>
      </c>
      <c r="H657" t="n">
        <v>0</v>
      </c>
      <c r="I657" t="n">
        <v>0</v>
      </c>
      <c r="J657" t="n">
        <v>0</v>
      </c>
      <c r="K657" t="n">
        <v>0</v>
      </c>
      <c r="L657" t="n">
        <v>0</v>
      </c>
      <c r="M657" t="n">
        <v>0</v>
      </c>
      <c r="N657" t="n">
        <v>0</v>
      </c>
      <c r="O657" t="n">
        <v>0</v>
      </c>
      <c r="P657" t="n">
        <v>0</v>
      </c>
      <c r="Q657" t="n">
        <v>0</v>
      </c>
      <c r="R657" s="2" t="inlineStr"/>
    </row>
    <row r="658" ht="15" customHeight="1">
      <c r="A658" t="inlineStr">
        <is>
          <t>A 27602-2023</t>
        </is>
      </c>
      <c r="B658" s="1" t="n">
        <v>45097</v>
      </c>
      <c r="C658" s="1" t="n">
        <v>45807</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27596-2023</t>
        </is>
      </c>
      <c r="B659" s="1" t="n">
        <v>45097</v>
      </c>
      <c r="C659" s="1" t="n">
        <v>45807</v>
      </c>
      <c r="D659" t="inlineStr">
        <is>
          <t>GOTLANDS LÄN</t>
        </is>
      </c>
      <c r="E659" t="inlineStr">
        <is>
          <t>GOTLAND</t>
        </is>
      </c>
      <c r="G659" t="n">
        <v>3.6</v>
      </c>
      <c r="H659" t="n">
        <v>0</v>
      </c>
      <c r="I659" t="n">
        <v>0</v>
      </c>
      <c r="J659" t="n">
        <v>0</v>
      </c>
      <c r="K659" t="n">
        <v>0</v>
      </c>
      <c r="L659" t="n">
        <v>0</v>
      </c>
      <c r="M659" t="n">
        <v>0</v>
      </c>
      <c r="N659" t="n">
        <v>0</v>
      </c>
      <c r="O659" t="n">
        <v>0</v>
      </c>
      <c r="P659" t="n">
        <v>0</v>
      </c>
      <c r="Q659" t="n">
        <v>0</v>
      </c>
      <c r="R659" s="2" t="inlineStr"/>
    </row>
    <row r="660" ht="15" customHeight="1">
      <c r="A660" t="inlineStr">
        <is>
          <t>A 28228-2023</t>
        </is>
      </c>
      <c r="B660" s="1" t="n">
        <v>45099</v>
      </c>
      <c r="C660" s="1" t="n">
        <v>45807</v>
      </c>
      <c r="D660" t="inlineStr">
        <is>
          <t>GOTLANDS LÄN</t>
        </is>
      </c>
      <c r="E660" t="inlineStr">
        <is>
          <t>GOTLAND</t>
        </is>
      </c>
      <c r="G660" t="n">
        <v>1</v>
      </c>
      <c r="H660" t="n">
        <v>0</v>
      </c>
      <c r="I660" t="n">
        <v>0</v>
      </c>
      <c r="J660" t="n">
        <v>0</v>
      </c>
      <c r="K660" t="n">
        <v>0</v>
      </c>
      <c r="L660" t="n">
        <v>0</v>
      </c>
      <c r="M660" t="n">
        <v>0</v>
      </c>
      <c r="N660" t="n">
        <v>0</v>
      </c>
      <c r="O660" t="n">
        <v>0</v>
      </c>
      <c r="P660" t="n">
        <v>0</v>
      </c>
      <c r="Q660" t="n">
        <v>0</v>
      </c>
      <c r="R660" s="2" t="inlineStr"/>
    </row>
    <row r="661" ht="15" customHeight="1">
      <c r="A661" t="inlineStr">
        <is>
          <t>A 28425-2023</t>
        </is>
      </c>
      <c r="B661" s="1" t="n">
        <v>45102</v>
      </c>
      <c r="C661" s="1" t="n">
        <v>45807</v>
      </c>
      <c r="D661" t="inlineStr">
        <is>
          <t>GOTLANDS LÄN</t>
        </is>
      </c>
      <c r="E661" t="inlineStr">
        <is>
          <t>GOTLAND</t>
        </is>
      </c>
      <c r="G661" t="n">
        <v>0.5</v>
      </c>
      <c r="H661" t="n">
        <v>0</v>
      </c>
      <c r="I661" t="n">
        <v>0</v>
      </c>
      <c r="J661" t="n">
        <v>0</v>
      </c>
      <c r="K661" t="n">
        <v>0</v>
      </c>
      <c r="L661" t="n">
        <v>0</v>
      </c>
      <c r="M661" t="n">
        <v>0</v>
      </c>
      <c r="N661" t="n">
        <v>0</v>
      </c>
      <c r="O661" t="n">
        <v>0</v>
      </c>
      <c r="P661" t="n">
        <v>0</v>
      </c>
      <c r="Q661" t="n">
        <v>0</v>
      </c>
      <c r="R661" s="2" t="inlineStr"/>
    </row>
    <row r="662" ht="15" customHeight="1">
      <c r="A662" t="inlineStr">
        <is>
          <t>A 28486-2023</t>
        </is>
      </c>
      <c r="B662" s="1" t="n">
        <v>45103</v>
      </c>
      <c r="C662" s="1" t="n">
        <v>45807</v>
      </c>
      <c r="D662" t="inlineStr">
        <is>
          <t>GOTLANDS LÄN</t>
        </is>
      </c>
      <c r="E662" t="inlineStr">
        <is>
          <t>GOTLAND</t>
        </is>
      </c>
      <c r="G662" t="n">
        <v>7.7</v>
      </c>
      <c r="H662" t="n">
        <v>0</v>
      </c>
      <c r="I662" t="n">
        <v>0</v>
      </c>
      <c r="J662" t="n">
        <v>0</v>
      </c>
      <c r="K662" t="n">
        <v>0</v>
      </c>
      <c r="L662" t="n">
        <v>0</v>
      </c>
      <c r="M662" t="n">
        <v>0</v>
      </c>
      <c r="N662" t="n">
        <v>0</v>
      </c>
      <c r="O662" t="n">
        <v>0</v>
      </c>
      <c r="P662" t="n">
        <v>0</v>
      </c>
      <c r="Q662" t="n">
        <v>0</v>
      </c>
      <c r="R662" s="2" t="inlineStr"/>
    </row>
    <row r="663" ht="15" customHeight="1">
      <c r="A663" t="inlineStr">
        <is>
          <t>A 28485-2023</t>
        </is>
      </c>
      <c r="B663" s="1" t="n">
        <v>45103</v>
      </c>
      <c r="C663" s="1" t="n">
        <v>45807</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28480-2023</t>
        </is>
      </c>
      <c r="B664" s="1" t="n">
        <v>45103</v>
      </c>
      <c r="C664" s="1" t="n">
        <v>45807</v>
      </c>
      <c r="D664" t="inlineStr">
        <is>
          <t>GOTLANDS LÄN</t>
        </is>
      </c>
      <c r="E664" t="inlineStr">
        <is>
          <t>GOTLAND</t>
        </is>
      </c>
      <c r="G664" t="n">
        <v>5.7</v>
      </c>
      <c r="H664" t="n">
        <v>0</v>
      </c>
      <c r="I664" t="n">
        <v>0</v>
      </c>
      <c r="J664" t="n">
        <v>0</v>
      </c>
      <c r="K664" t="n">
        <v>0</v>
      </c>
      <c r="L664" t="n">
        <v>0</v>
      </c>
      <c r="M664" t="n">
        <v>0</v>
      </c>
      <c r="N664" t="n">
        <v>0</v>
      </c>
      <c r="O664" t="n">
        <v>0</v>
      </c>
      <c r="P664" t="n">
        <v>0</v>
      </c>
      <c r="Q664" t="n">
        <v>0</v>
      </c>
      <c r="R664" s="2" t="inlineStr"/>
    </row>
    <row r="665" ht="15" customHeight="1">
      <c r="A665" t="inlineStr">
        <is>
          <t>A 28506-2023</t>
        </is>
      </c>
      <c r="B665" s="1" t="n">
        <v>45103</v>
      </c>
      <c r="C665" s="1" t="n">
        <v>45807</v>
      </c>
      <c r="D665" t="inlineStr">
        <is>
          <t>GOTLANDS LÄN</t>
        </is>
      </c>
      <c r="E665" t="inlineStr">
        <is>
          <t>GOTLAND</t>
        </is>
      </c>
      <c r="G665" t="n">
        <v>3.2</v>
      </c>
      <c r="H665" t="n">
        <v>0</v>
      </c>
      <c r="I665" t="n">
        <v>0</v>
      </c>
      <c r="J665" t="n">
        <v>0</v>
      </c>
      <c r="K665" t="n">
        <v>0</v>
      </c>
      <c r="L665" t="n">
        <v>0</v>
      </c>
      <c r="M665" t="n">
        <v>0</v>
      </c>
      <c r="N665" t="n">
        <v>0</v>
      </c>
      <c r="O665" t="n">
        <v>0</v>
      </c>
      <c r="P665" t="n">
        <v>0</v>
      </c>
      <c r="Q665" t="n">
        <v>0</v>
      </c>
      <c r="R665" s="2" t="inlineStr"/>
    </row>
    <row r="666" ht="15" customHeight="1">
      <c r="A666" t="inlineStr">
        <is>
          <t>A 28560-2023</t>
        </is>
      </c>
      <c r="B666" s="1" t="n">
        <v>45103</v>
      </c>
      <c r="C666" s="1" t="n">
        <v>45807</v>
      </c>
      <c r="D666" t="inlineStr">
        <is>
          <t>GOTLANDS LÄN</t>
        </is>
      </c>
      <c r="E666" t="inlineStr">
        <is>
          <t>GOTLAND</t>
        </is>
      </c>
      <c r="G666" t="n">
        <v>1.8</v>
      </c>
      <c r="H666" t="n">
        <v>0</v>
      </c>
      <c r="I666" t="n">
        <v>0</v>
      </c>
      <c r="J666" t="n">
        <v>0</v>
      </c>
      <c r="K666" t="n">
        <v>0</v>
      </c>
      <c r="L666" t="n">
        <v>0</v>
      </c>
      <c r="M666" t="n">
        <v>0</v>
      </c>
      <c r="N666" t="n">
        <v>0</v>
      </c>
      <c r="O666" t="n">
        <v>0</v>
      </c>
      <c r="P666" t="n">
        <v>0</v>
      </c>
      <c r="Q666" t="n">
        <v>0</v>
      </c>
      <c r="R666" s="2" t="inlineStr"/>
    </row>
    <row r="667" ht="15" customHeight="1">
      <c r="A667" t="inlineStr">
        <is>
          <t>A 29126-2023</t>
        </is>
      </c>
      <c r="B667" s="1" t="n">
        <v>45105</v>
      </c>
      <c r="C667" s="1" t="n">
        <v>45807</v>
      </c>
      <c r="D667" t="inlineStr">
        <is>
          <t>GOTLANDS LÄN</t>
        </is>
      </c>
      <c r="E667" t="inlineStr">
        <is>
          <t>GOTLAND</t>
        </is>
      </c>
      <c r="G667" t="n">
        <v>3.1</v>
      </c>
      <c r="H667" t="n">
        <v>0</v>
      </c>
      <c r="I667" t="n">
        <v>0</v>
      </c>
      <c r="J667" t="n">
        <v>0</v>
      </c>
      <c r="K667" t="n">
        <v>0</v>
      </c>
      <c r="L667" t="n">
        <v>0</v>
      </c>
      <c r="M667" t="n">
        <v>0</v>
      </c>
      <c r="N667" t="n">
        <v>0</v>
      </c>
      <c r="O667" t="n">
        <v>0</v>
      </c>
      <c r="P667" t="n">
        <v>0</v>
      </c>
      <c r="Q667" t="n">
        <v>0</v>
      </c>
      <c r="R667" s="2" t="inlineStr"/>
    </row>
    <row r="668" ht="15" customHeight="1">
      <c r="A668" t="inlineStr">
        <is>
          <t>A 29499-2023</t>
        </is>
      </c>
      <c r="B668" s="1" t="n">
        <v>45106</v>
      </c>
      <c r="C668" s="1" t="n">
        <v>45807</v>
      </c>
      <c r="D668" t="inlineStr">
        <is>
          <t>GOTLANDS LÄN</t>
        </is>
      </c>
      <c r="E668" t="inlineStr">
        <is>
          <t>GOTLAND</t>
        </is>
      </c>
      <c r="G668" t="n">
        <v>2.5</v>
      </c>
      <c r="H668" t="n">
        <v>0</v>
      </c>
      <c r="I668" t="n">
        <v>0</v>
      </c>
      <c r="J668" t="n">
        <v>0</v>
      </c>
      <c r="K668" t="n">
        <v>0</v>
      </c>
      <c r="L668" t="n">
        <v>0</v>
      </c>
      <c r="M668" t="n">
        <v>0</v>
      </c>
      <c r="N668" t="n">
        <v>0</v>
      </c>
      <c r="O668" t="n">
        <v>0</v>
      </c>
      <c r="P668" t="n">
        <v>0</v>
      </c>
      <c r="Q668" t="n">
        <v>0</v>
      </c>
      <c r="R668" s="2" t="inlineStr"/>
    </row>
    <row r="669" ht="15" customHeight="1">
      <c r="A669" t="inlineStr">
        <is>
          <t>A 30164-2023</t>
        </is>
      </c>
      <c r="B669" s="1" t="n">
        <v>45110</v>
      </c>
      <c r="C669" s="1" t="n">
        <v>45807</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30815-2023</t>
        </is>
      </c>
      <c r="B670" s="1" t="n">
        <v>45112</v>
      </c>
      <c r="C670" s="1" t="n">
        <v>45807</v>
      </c>
      <c r="D670" t="inlineStr">
        <is>
          <t>GOTLANDS LÄN</t>
        </is>
      </c>
      <c r="E670" t="inlineStr">
        <is>
          <t>GOTLAND</t>
        </is>
      </c>
      <c r="G670" t="n">
        <v>6</v>
      </c>
      <c r="H670" t="n">
        <v>0</v>
      </c>
      <c r="I670" t="n">
        <v>0</v>
      </c>
      <c r="J670" t="n">
        <v>0</v>
      </c>
      <c r="K670" t="n">
        <v>0</v>
      </c>
      <c r="L670" t="n">
        <v>0</v>
      </c>
      <c r="M670" t="n">
        <v>0</v>
      </c>
      <c r="N670" t="n">
        <v>0</v>
      </c>
      <c r="O670" t="n">
        <v>0</v>
      </c>
      <c r="P670" t="n">
        <v>0</v>
      </c>
      <c r="Q670" t="n">
        <v>0</v>
      </c>
      <c r="R670" s="2" t="inlineStr"/>
    </row>
    <row r="671" ht="15" customHeight="1">
      <c r="A671" t="inlineStr">
        <is>
          <t>A 32737-2023</t>
        </is>
      </c>
      <c r="B671" s="1" t="n">
        <v>45122</v>
      </c>
      <c r="C671" s="1" t="n">
        <v>45807</v>
      </c>
      <c r="D671" t="inlineStr">
        <is>
          <t>GOTLANDS LÄN</t>
        </is>
      </c>
      <c r="E671" t="inlineStr">
        <is>
          <t>GOTLAND</t>
        </is>
      </c>
      <c r="F671" t="inlineStr">
        <is>
          <t>Kyrkan</t>
        </is>
      </c>
      <c r="G671" t="n">
        <v>15.4</v>
      </c>
      <c r="H671" t="n">
        <v>0</v>
      </c>
      <c r="I671" t="n">
        <v>0</v>
      </c>
      <c r="J671" t="n">
        <v>0</v>
      </c>
      <c r="K671" t="n">
        <v>0</v>
      </c>
      <c r="L671" t="n">
        <v>0</v>
      </c>
      <c r="M671" t="n">
        <v>0</v>
      </c>
      <c r="N671" t="n">
        <v>0</v>
      </c>
      <c r="O671" t="n">
        <v>0</v>
      </c>
      <c r="P671" t="n">
        <v>0</v>
      </c>
      <c r="Q671" t="n">
        <v>0</v>
      </c>
      <c r="R671" s="2" t="inlineStr"/>
    </row>
    <row r="672" ht="15" customHeight="1">
      <c r="A672" t="inlineStr">
        <is>
          <t>A 32783-2023</t>
        </is>
      </c>
      <c r="B672" s="1" t="n">
        <v>45124</v>
      </c>
      <c r="C672" s="1" t="n">
        <v>45807</v>
      </c>
      <c r="D672" t="inlineStr">
        <is>
          <t>GOTLANDS LÄN</t>
        </is>
      </c>
      <c r="E672" t="inlineStr">
        <is>
          <t>GOTLAND</t>
        </is>
      </c>
      <c r="G672" t="n">
        <v>17.8</v>
      </c>
      <c r="H672" t="n">
        <v>0</v>
      </c>
      <c r="I672" t="n">
        <v>0</v>
      </c>
      <c r="J672" t="n">
        <v>0</v>
      </c>
      <c r="K672" t="n">
        <v>0</v>
      </c>
      <c r="L672" t="n">
        <v>0</v>
      </c>
      <c r="M672" t="n">
        <v>0</v>
      </c>
      <c r="N672" t="n">
        <v>0</v>
      </c>
      <c r="O672" t="n">
        <v>0</v>
      </c>
      <c r="P672" t="n">
        <v>0</v>
      </c>
      <c r="Q672" t="n">
        <v>0</v>
      </c>
      <c r="R672" s="2" t="inlineStr"/>
    </row>
    <row r="673" ht="15" customHeight="1">
      <c r="A673" t="inlineStr">
        <is>
          <t>A 34081-2023</t>
        </is>
      </c>
      <c r="B673" s="1" t="n">
        <v>45125</v>
      </c>
      <c r="C673" s="1" t="n">
        <v>45807</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34407-2023</t>
        </is>
      </c>
      <c r="B674" s="1" t="n">
        <v>45132</v>
      </c>
      <c r="C674" s="1" t="n">
        <v>45807</v>
      </c>
      <c r="D674" t="inlineStr">
        <is>
          <t>GOTLANDS LÄN</t>
        </is>
      </c>
      <c r="E674" t="inlineStr">
        <is>
          <t>GOTLAND</t>
        </is>
      </c>
      <c r="G674" t="n">
        <v>4.4</v>
      </c>
      <c r="H674" t="n">
        <v>0</v>
      </c>
      <c r="I674" t="n">
        <v>0</v>
      </c>
      <c r="J674" t="n">
        <v>0</v>
      </c>
      <c r="K674" t="n">
        <v>0</v>
      </c>
      <c r="L674" t="n">
        <v>0</v>
      </c>
      <c r="M674" t="n">
        <v>0</v>
      </c>
      <c r="N674" t="n">
        <v>0</v>
      </c>
      <c r="O674" t="n">
        <v>0</v>
      </c>
      <c r="P674" t="n">
        <v>0</v>
      </c>
      <c r="Q674" t="n">
        <v>0</v>
      </c>
      <c r="R674" s="2" t="inlineStr"/>
    </row>
    <row r="675" ht="15" customHeight="1">
      <c r="A675" t="inlineStr">
        <is>
          <t>A 35478-2023</t>
        </is>
      </c>
      <c r="B675" s="1" t="n">
        <v>45146</v>
      </c>
      <c r="C675" s="1" t="n">
        <v>45807</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35512-2023</t>
        </is>
      </c>
      <c r="B676" s="1" t="n">
        <v>45147</v>
      </c>
      <c r="C676" s="1" t="n">
        <v>45807</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35595-2023</t>
        </is>
      </c>
      <c r="B677" s="1" t="n">
        <v>45147</v>
      </c>
      <c r="C677" s="1" t="n">
        <v>45807</v>
      </c>
      <c r="D677" t="inlineStr">
        <is>
          <t>GOTLANDS LÄN</t>
        </is>
      </c>
      <c r="E677" t="inlineStr">
        <is>
          <t>GOTLAND</t>
        </is>
      </c>
      <c r="G677" t="n">
        <v>4.2</v>
      </c>
      <c r="H677" t="n">
        <v>0</v>
      </c>
      <c r="I677" t="n">
        <v>0</v>
      </c>
      <c r="J677" t="n">
        <v>0</v>
      </c>
      <c r="K677" t="n">
        <v>0</v>
      </c>
      <c r="L677" t="n">
        <v>0</v>
      </c>
      <c r="M677" t="n">
        <v>0</v>
      </c>
      <c r="N677" t="n">
        <v>0</v>
      </c>
      <c r="O677" t="n">
        <v>0</v>
      </c>
      <c r="P677" t="n">
        <v>0</v>
      </c>
      <c r="Q677" t="n">
        <v>0</v>
      </c>
      <c r="R677" s="2" t="inlineStr"/>
    </row>
    <row r="678" ht="15" customHeight="1">
      <c r="A678" t="inlineStr">
        <is>
          <t>A 35592-2023</t>
        </is>
      </c>
      <c r="B678" s="1" t="n">
        <v>45147</v>
      </c>
      <c r="C678" s="1" t="n">
        <v>45807</v>
      </c>
      <c r="D678" t="inlineStr">
        <is>
          <t>GOTLANDS LÄN</t>
        </is>
      </c>
      <c r="E678" t="inlineStr">
        <is>
          <t>GOTLAND</t>
        </is>
      </c>
      <c r="G678" t="n">
        <v>5.1</v>
      </c>
      <c r="H678" t="n">
        <v>0</v>
      </c>
      <c r="I678" t="n">
        <v>0</v>
      </c>
      <c r="J678" t="n">
        <v>0</v>
      </c>
      <c r="K678" t="n">
        <v>0</v>
      </c>
      <c r="L678" t="n">
        <v>0</v>
      </c>
      <c r="M678" t="n">
        <v>0</v>
      </c>
      <c r="N678" t="n">
        <v>0</v>
      </c>
      <c r="O678" t="n">
        <v>0</v>
      </c>
      <c r="P678" t="n">
        <v>0</v>
      </c>
      <c r="Q678" t="n">
        <v>0</v>
      </c>
      <c r="R678" s="2" t="inlineStr"/>
    </row>
    <row r="679" ht="15" customHeight="1">
      <c r="A679" t="inlineStr">
        <is>
          <t>A 37591-2023</t>
        </is>
      </c>
      <c r="B679" s="1" t="n">
        <v>45159</v>
      </c>
      <c r="C679" s="1" t="n">
        <v>45807</v>
      </c>
      <c r="D679" t="inlineStr">
        <is>
          <t>GOTLANDS LÄN</t>
        </is>
      </c>
      <c r="E679" t="inlineStr">
        <is>
          <t>GOTLAND</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38234-2023</t>
        </is>
      </c>
      <c r="B680" s="1" t="n">
        <v>45161</v>
      </c>
      <c r="C680" s="1" t="n">
        <v>45807</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38237-2023</t>
        </is>
      </c>
      <c r="B681" s="1" t="n">
        <v>45161</v>
      </c>
      <c r="C681" s="1" t="n">
        <v>45807</v>
      </c>
      <c r="D681" t="inlineStr">
        <is>
          <t>GOTLANDS LÄN</t>
        </is>
      </c>
      <c r="E681" t="inlineStr">
        <is>
          <t>GOTLAND</t>
        </is>
      </c>
      <c r="G681" t="n">
        <v>2.8</v>
      </c>
      <c r="H681" t="n">
        <v>0</v>
      </c>
      <c r="I681" t="n">
        <v>0</v>
      </c>
      <c r="J681" t="n">
        <v>0</v>
      </c>
      <c r="K681" t="n">
        <v>0</v>
      </c>
      <c r="L681" t="n">
        <v>0</v>
      </c>
      <c r="M681" t="n">
        <v>0</v>
      </c>
      <c r="N681" t="n">
        <v>0</v>
      </c>
      <c r="O681" t="n">
        <v>0</v>
      </c>
      <c r="P681" t="n">
        <v>0</v>
      </c>
      <c r="Q681" t="n">
        <v>0</v>
      </c>
      <c r="R681" s="2" t="inlineStr"/>
    </row>
    <row r="682" ht="15" customHeight="1">
      <c r="A682" t="inlineStr">
        <is>
          <t>A 38165-2023</t>
        </is>
      </c>
      <c r="B682" s="1" t="n">
        <v>45161</v>
      </c>
      <c r="C682" s="1" t="n">
        <v>45807</v>
      </c>
      <c r="D682" t="inlineStr">
        <is>
          <t>GOTLANDS LÄN</t>
        </is>
      </c>
      <c r="E682" t="inlineStr">
        <is>
          <t>GOTLAND</t>
        </is>
      </c>
      <c r="G682" t="n">
        <v>2.6</v>
      </c>
      <c r="H682" t="n">
        <v>0</v>
      </c>
      <c r="I682" t="n">
        <v>0</v>
      </c>
      <c r="J682" t="n">
        <v>0</v>
      </c>
      <c r="K682" t="n">
        <v>0</v>
      </c>
      <c r="L682" t="n">
        <v>0</v>
      </c>
      <c r="M682" t="n">
        <v>0</v>
      </c>
      <c r="N682" t="n">
        <v>0</v>
      </c>
      <c r="O682" t="n">
        <v>0</v>
      </c>
      <c r="P682" t="n">
        <v>0</v>
      </c>
      <c r="Q682" t="n">
        <v>0</v>
      </c>
      <c r="R682" s="2" t="inlineStr"/>
    </row>
    <row r="683" ht="15" customHeight="1">
      <c r="A683" t="inlineStr">
        <is>
          <t>A 38787-2023</t>
        </is>
      </c>
      <c r="B683" s="1" t="n">
        <v>45163</v>
      </c>
      <c r="C683" s="1" t="n">
        <v>45807</v>
      </c>
      <c r="D683" t="inlineStr">
        <is>
          <t>GOTLANDS LÄN</t>
        </is>
      </c>
      <c r="E683" t="inlineStr">
        <is>
          <t>GOTLAND</t>
        </is>
      </c>
      <c r="G683" t="n">
        <v>0.4</v>
      </c>
      <c r="H683" t="n">
        <v>0</v>
      </c>
      <c r="I683" t="n">
        <v>0</v>
      </c>
      <c r="J683" t="n">
        <v>0</v>
      </c>
      <c r="K683" t="n">
        <v>0</v>
      </c>
      <c r="L683" t="n">
        <v>0</v>
      </c>
      <c r="M683" t="n">
        <v>0</v>
      </c>
      <c r="N683" t="n">
        <v>0</v>
      </c>
      <c r="O683" t="n">
        <v>0</v>
      </c>
      <c r="P683" t="n">
        <v>0</v>
      </c>
      <c r="Q683" t="n">
        <v>0</v>
      </c>
      <c r="R683" s="2" t="inlineStr"/>
    </row>
    <row r="684" ht="15" customHeight="1">
      <c r="A684" t="inlineStr">
        <is>
          <t>A 39436-2023</t>
        </is>
      </c>
      <c r="B684" s="1" t="n">
        <v>45166</v>
      </c>
      <c r="C684" s="1" t="n">
        <v>45807</v>
      </c>
      <c r="D684" t="inlineStr">
        <is>
          <t>GOTLANDS LÄN</t>
        </is>
      </c>
      <c r="E684" t="inlineStr">
        <is>
          <t>GOTLAND</t>
        </is>
      </c>
      <c r="G684" t="n">
        <v>7</v>
      </c>
      <c r="H684" t="n">
        <v>0</v>
      </c>
      <c r="I684" t="n">
        <v>0</v>
      </c>
      <c r="J684" t="n">
        <v>0</v>
      </c>
      <c r="K684" t="n">
        <v>0</v>
      </c>
      <c r="L684" t="n">
        <v>0</v>
      </c>
      <c r="M684" t="n">
        <v>0</v>
      </c>
      <c r="N684" t="n">
        <v>0</v>
      </c>
      <c r="O684" t="n">
        <v>0</v>
      </c>
      <c r="P684" t="n">
        <v>0</v>
      </c>
      <c r="Q684" t="n">
        <v>0</v>
      </c>
      <c r="R684" s="2" t="inlineStr"/>
    </row>
    <row r="685" ht="15" customHeight="1">
      <c r="A685" t="inlineStr">
        <is>
          <t>A 39371-2023</t>
        </is>
      </c>
      <c r="B685" s="1" t="n">
        <v>45166</v>
      </c>
      <c r="C685" s="1" t="n">
        <v>45807</v>
      </c>
      <c r="D685" t="inlineStr">
        <is>
          <t>GOTLANDS LÄN</t>
        </is>
      </c>
      <c r="E685" t="inlineStr">
        <is>
          <t>GOTLAND</t>
        </is>
      </c>
      <c r="G685" t="n">
        <v>8.4</v>
      </c>
      <c r="H685" t="n">
        <v>0</v>
      </c>
      <c r="I685" t="n">
        <v>0</v>
      </c>
      <c r="J685" t="n">
        <v>0</v>
      </c>
      <c r="K685" t="n">
        <v>0</v>
      </c>
      <c r="L685" t="n">
        <v>0</v>
      </c>
      <c r="M685" t="n">
        <v>0</v>
      </c>
      <c r="N685" t="n">
        <v>0</v>
      </c>
      <c r="O685" t="n">
        <v>0</v>
      </c>
      <c r="P685" t="n">
        <v>0</v>
      </c>
      <c r="Q685" t="n">
        <v>0</v>
      </c>
      <c r="R685" s="2" t="inlineStr"/>
    </row>
    <row r="686" ht="15" customHeight="1">
      <c r="A686" t="inlineStr">
        <is>
          <t>A 39711-2023</t>
        </is>
      </c>
      <c r="B686" s="1" t="n">
        <v>45166</v>
      </c>
      <c r="C686" s="1" t="n">
        <v>45807</v>
      </c>
      <c r="D686" t="inlineStr">
        <is>
          <t>GOTLANDS LÄN</t>
        </is>
      </c>
      <c r="E686" t="inlineStr">
        <is>
          <t>GOTLAND</t>
        </is>
      </c>
      <c r="G686" t="n">
        <v>5.5</v>
      </c>
      <c r="H686" t="n">
        <v>0</v>
      </c>
      <c r="I686" t="n">
        <v>0</v>
      </c>
      <c r="J686" t="n">
        <v>0</v>
      </c>
      <c r="K686" t="n">
        <v>0</v>
      </c>
      <c r="L686" t="n">
        <v>0</v>
      </c>
      <c r="M686" t="n">
        <v>0</v>
      </c>
      <c r="N686" t="n">
        <v>0</v>
      </c>
      <c r="O686" t="n">
        <v>0</v>
      </c>
      <c r="P686" t="n">
        <v>0</v>
      </c>
      <c r="Q686" t="n">
        <v>0</v>
      </c>
      <c r="R686" s="2" t="inlineStr"/>
    </row>
    <row r="687" ht="15" customHeight="1">
      <c r="A687" t="inlineStr">
        <is>
          <t>A 41038-2023</t>
        </is>
      </c>
      <c r="B687" s="1" t="n">
        <v>45173</v>
      </c>
      <c r="C687" s="1" t="n">
        <v>45807</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41378-2023</t>
        </is>
      </c>
      <c r="B688" s="1" t="n">
        <v>45174</v>
      </c>
      <c r="C688" s="1" t="n">
        <v>45807</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41336-2023</t>
        </is>
      </c>
      <c r="B689" s="1" t="n">
        <v>45174</v>
      </c>
      <c r="C689" s="1" t="n">
        <v>45807</v>
      </c>
      <c r="D689" t="inlineStr">
        <is>
          <t>GOTLANDS LÄN</t>
        </is>
      </c>
      <c r="E689" t="inlineStr">
        <is>
          <t>GOTLAND</t>
        </is>
      </c>
      <c r="G689" t="n">
        <v>2.1</v>
      </c>
      <c r="H689" t="n">
        <v>0</v>
      </c>
      <c r="I689" t="n">
        <v>0</v>
      </c>
      <c r="J689" t="n">
        <v>0</v>
      </c>
      <c r="K689" t="n">
        <v>0</v>
      </c>
      <c r="L689" t="n">
        <v>0</v>
      </c>
      <c r="M689" t="n">
        <v>0</v>
      </c>
      <c r="N689" t="n">
        <v>0</v>
      </c>
      <c r="O689" t="n">
        <v>0</v>
      </c>
      <c r="P689" t="n">
        <v>0</v>
      </c>
      <c r="Q689" t="n">
        <v>0</v>
      </c>
      <c r="R689" s="2" t="inlineStr"/>
    </row>
    <row r="690" ht="15" customHeight="1">
      <c r="A690" t="inlineStr">
        <is>
          <t>A 41697-2023</t>
        </is>
      </c>
      <c r="B690" s="1" t="n">
        <v>45176</v>
      </c>
      <c r="C690" s="1" t="n">
        <v>45807</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41893-2023</t>
        </is>
      </c>
      <c r="B691" s="1" t="n">
        <v>45176</v>
      </c>
      <c r="C691" s="1" t="n">
        <v>45807</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42007-2023</t>
        </is>
      </c>
      <c r="B692" s="1" t="n">
        <v>45177</v>
      </c>
      <c r="C692" s="1" t="n">
        <v>45807</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42097-2023</t>
        </is>
      </c>
      <c r="B693" s="1" t="n">
        <v>45177</v>
      </c>
      <c r="C693" s="1" t="n">
        <v>45807</v>
      </c>
      <c r="D693" t="inlineStr">
        <is>
          <t>GOTLANDS LÄN</t>
        </is>
      </c>
      <c r="E693" t="inlineStr">
        <is>
          <t>GOTLAND</t>
        </is>
      </c>
      <c r="G693" t="n">
        <v>3.9</v>
      </c>
      <c r="H693" t="n">
        <v>0</v>
      </c>
      <c r="I693" t="n">
        <v>0</v>
      </c>
      <c r="J693" t="n">
        <v>0</v>
      </c>
      <c r="K693" t="n">
        <v>0</v>
      </c>
      <c r="L693" t="n">
        <v>0</v>
      </c>
      <c r="M693" t="n">
        <v>0</v>
      </c>
      <c r="N693" t="n">
        <v>0</v>
      </c>
      <c r="O693" t="n">
        <v>0</v>
      </c>
      <c r="P693" t="n">
        <v>0</v>
      </c>
      <c r="Q693" t="n">
        <v>0</v>
      </c>
      <c r="R693" s="2" t="inlineStr"/>
    </row>
    <row r="694" ht="15" customHeight="1">
      <c r="A694" t="inlineStr">
        <is>
          <t>A 42201-2023</t>
        </is>
      </c>
      <c r="B694" s="1" t="n">
        <v>45179</v>
      </c>
      <c r="C694" s="1" t="n">
        <v>45807</v>
      </c>
      <c r="D694" t="inlineStr">
        <is>
          <t>GOTLANDS LÄN</t>
        </is>
      </c>
      <c r="E694" t="inlineStr">
        <is>
          <t>GOTLAND</t>
        </is>
      </c>
      <c r="G694" t="n">
        <v>11.9</v>
      </c>
      <c r="H694" t="n">
        <v>0</v>
      </c>
      <c r="I694" t="n">
        <v>0</v>
      </c>
      <c r="J694" t="n">
        <v>0</v>
      </c>
      <c r="K694" t="n">
        <v>0</v>
      </c>
      <c r="L694" t="n">
        <v>0</v>
      </c>
      <c r="M694" t="n">
        <v>0</v>
      </c>
      <c r="N694" t="n">
        <v>0</v>
      </c>
      <c r="O694" t="n">
        <v>0</v>
      </c>
      <c r="P694" t="n">
        <v>0</v>
      </c>
      <c r="Q694" t="n">
        <v>0</v>
      </c>
      <c r="R694" s="2" t="inlineStr"/>
    </row>
    <row r="695" ht="15" customHeight="1">
      <c r="A695" t="inlineStr">
        <is>
          <t>A 42338-2023</t>
        </is>
      </c>
      <c r="B695" s="1" t="n">
        <v>45180</v>
      </c>
      <c r="C695" s="1" t="n">
        <v>45807</v>
      </c>
      <c r="D695" t="inlineStr">
        <is>
          <t>GOTLANDS LÄN</t>
        </is>
      </c>
      <c r="E695" t="inlineStr">
        <is>
          <t>GOTLAND</t>
        </is>
      </c>
      <c r="G695" t="n">
        <v>0.7</v>
      </c>
      <c r="H695" t="n">
        <v>0</v>
      </c>
      <c r="I695" t="n">
        <v>0</v>
      </c>
      <c r="J695" t="n">
        <v>0</v>
      </c>
      <c r="K695" t="n">
        <v>0</v>
      </c>
      <c r="L695" t="n">
        <v>0</v>
      </c>
      <c r="M695" t="n">
        <v>0</v>
      </c>
      <c r="N695" t="n">
        <v>0</v>
      </c>
      <c r="O695" t="n">
        <v>0</v>
      </c>
      <c r="P695" t="n">
        <v>0</v>
      </c>
      <c r="Q695" t="n">
        <v>0</v>
      </c>
      <c r="R695" s="2" t="inlineStr"/>
    </row>
    <row r="696" ht="15" customHeight="1">
      <c r="A696" t="inlineStr">
        <is>
          <t>A 42465-2023</t>
        </is>
      </c>
      <c r="B696" s="1" t="n">
        <v>45180</v>
      </c>
      <c r="C696" s="1" t="n">
        <v>45807</v>
      </c>
      <c r="D696" t="inlineStr">
        <is>
          <t>GOTLANDS LÄN</t>
        </is>
      </c>
      <c r="E696" t="inlineStr">
        <is>
          <t>GOTLAND</t>
        </is>
      </c>
      <c r="G696" t="n">
        <v>0.9</v>
      </c>
      <c r="H696" t="n">
        <v>0</v>
      </c>
      <c r="I696" t="n">
        <v>0</v>
      </c>
      <c r="J696" t="n">
        <v>0</v>
      </c>
      <c r="K696" t="n">
        <v>0</v>
      </c>
      <c r="L696" t="n">
        <v>0</v>
      </c>
      <c r="M696" t="n">
        <v>0</v>
      </c>
      <c r="N696" t="n">
        <v>0</v>
      </c>
      <c r="O696" t="n">
        <v>0</v>
      </c>
      <c r="P696" t="n">
        <v>0</v>
      </c>
      <c r="Q696" t="n">
        <v>0</v>
      </c>
      <c r="R696" s="2" t="inlineStr"/>
    </row>
    <row r="697" ht="15" customHeight="1">
      <c r="A697" t="inlineStr">
        <is>
          <t>A 43223-2023</t>
        </is>
      </c>
      <c r="B697" s="1" t="n">
        <v>45183</v>
      </c>
      <c r="C697" s="1" t="n">
        <v>45807</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43200-2023</t>
        </is>
      </c>
      <c r="B698" s="1" t="n">
        <v>45183</v>
      </c>
      <c r="C698" s="1" t="n">
        <v>45807</v>
      </c>
      <c r="D698" t="inlineStr">
        <is>
          <t>GOTLANDS LÄN</t>
        </is>
      </c>
      <c r="E698" t="inlineStr">
        <is>
          <t>GOTLAND</t>
        </is>
      </c>
      <c r="G698" t="n">
        <v>0.5</v>
      </c>
      <c r="H698" t="n">
        <v>0</v>
      </c>
      <c r="I698" t="n">
        <v>0</v>
      </c>
      <c r="J698" t="n">
        <v>0</v>
      </c>
      <c r="K698" t="n">
        <v>0</v>
      </c>
      <c r="L698" t="n">
        <v>0</v>
      </c>
      <c r="M698" t="n">
        <v>0</v>
      </c>
      <c r="N698" t="n">
        <v>0</v>
      </c>
      <c r="O698" t="n">
        <v>0</v>
      </c>
      <c r="P698" t="n">
        <v>0</v>
      </c>
      <c r="Q698" t="n">
        <v>0</v>
      </c>
      <c r="R698" s="2" t="inlineStr"/>
    </row>
    <row r="699" ht="15" customHeight="1">
      <c r="A699" t="inlineStr">
        <is>
          <t>A 43226-2023</t>
        </is>
      </c>
      <c r="B699" s="1" t="n">
        <v>45183</v>
      </c>
      <c r="C699" s="1" t="n">
        <v>45807</v>
      </c>
      <c r="D699" t="inlineStr">
        <is>
          <t>GOTLANDS LÄN</t>
        </is>
      </c>
      <c r="E699" t="inlineStr">
        <is>
          <t>GOTLAND</t>
        </is>
      </c>
      <c r="G699" t="n">
        <v>1.5</v>
      </c>
      <c r="H699" t="n">
        <v>0</v>
      </c>
      <c r="I699" t="n">
        <v>0</v>
      </c>
      <c r="J699" t="n">
        <v>0</v>
      </c>
      <c r="K699" t="n">
        <v>0</v>
      </c>
      <c r="L699" t="n">
        <v>0</v>
      </c>
      <c r="M699" t="n">
        <v>0</v>
      </c>
      <c r="N699" t="n">
        <v>0</v>
      </c>
      <c r="O699" t="n">
        <v>0</v>
      </c>
      <c r="P699" t="n">
        <v>0</v>
      </c>
      <c r="Q699" t="n">
        <v>0</v>
      </c>
      <c r="R699" s="2" t="inlineStr"/>
    </row>
    <row r="700" ht="15" customHeight="1">
      <c r="A700" t="inlineStr">
        <is>
          <t>A 43231-2023</t>
        </is>
      </c>
      <c r="B700" s="1" t="n">
        <v>45183</v>
      </c>
      <c r="C700" s="1" t="n">
        <v>45807</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43220-2023</t>
        </is>
      </c>
      <c r="B701" s="1" t="n">
        <v>45183</v>
      </c>
      <c r="C701" s="1" t="n">
        <v>45807</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43224-2023</t>
        </is>
      </c>
      <c r="B702" s="1" t="n">
        <v>45183</v>
      </c>
      <c r="C702" s="1" t="n">
        <v>45807</v>
      </c>
      <c r="D702" t="inlineStr">
        <is>
          <t>GOTLANDS LÄN</t>
        </is>
      </c>
      <c r="E702" t="inlineStr">
        <is>
          <t>GOTLAND</t>
        </is>
      </c>
      <c r="G702" t="n">
        <v>1.1</v>
      </c>
      <c r="H702" t="n">
        <v>0</v>
      </c>
      <c r="I702" t="n">
        <v>0</v>
      </c>
      <c r="J702" t="n">
        <v>0</v>
      </c>
      <c r="K702" t="n">
        <v>0</v>
      </c>
      <c r="L702" t="n">
        <v>0</v>
      </c>
      <c r="M702" t="n">
        <v>0</v>
      </c>
      <c r="N702" t="n">
        <v>0</v>
      </c>
      <c r="O702" t="n">
        <v>0</v>
      </c>
      <c r="P702" t="n">
        <v>0</v>
      </c>
      <c r="Q702" t="n">
        <v>0</v>
      </c>
      <c r="R702" s="2" t="inlineStr"/>
    </row>
    <row r="703" ht="15" customHeight="1">
      <c r="A703" t="inlineStr">
        <is>
          <t>A 43229-2023</t>
        </is>
      </c>
      <c r="B703" s="1" t="n">
        <v>45183</v>
      </c>
      <c r="C703" s="1" t="n">
        <v>45807</v>
      </c>
      <c r="D703" t="inlineStr">
        <is>
          <t>GOTLANDS LÄN</t>
        </is>
      </c>
      <c r="E703" t="inlineStr">
        <is>
          <t>GOTLAND</t>
        </is>
      </c>
      <c r="G703" t="n">
        <v>7.1</v>
      </c>
      <c r="H703" t="n">
        <v>0</v>
      </c>
      <c r="I703" t="n">
        <v>0</v>
      </c>
      <c r="J703" t="n">
        <v>0</v>
      </c>
      <c r="K703" t="n">
        <v>0</v>
      </c>
      <c r="L703" t="n">
        <v>0</v>
      </c>
      <c r="M703" t="n">
        <v>0</v>
      </c>
      <c r="N703" t="n">
        <v>0</v>
      </c>
      <c r="O703" t="n">
        <v>0</v>
      </c>
      <c r="P703" t="n">
        <v>0</v>
      </c>
      <c r="Q703" t="n">
        <v>0</v>
      </c>
      <c r="R703" s="2" t="inlineStr"/>
    </row>
    <row r="704" ht="15" customHeight="1">
      <c r="A704" t="inlineStr">
        <is>
          <t>A 43901-2023</t>
        </is>
      </c>
      <c r="B704" s="1" t="n">
        <v>45187</v>
      </c>
      <c r="C704" s="1" t="n">
        <v>45807</v>
      </c>
      <c r="D704" t="inlineStr">
        <is>
          <t>GOTLANDS LÄN</t>
        </is>
      </c>
      <c r="E704" t="inlineStr">
        <is>
          <t>GOTLAND</t>
        </is>
      </c>
      <c r="G704" t="n">
        <v>5.4</v>
      </c>
      <c r="H704" t="n">
        <v>0</v>
      </c>
      <c r="I704" t="n">
        <v>0</v>
      </c>
      <c r="J704" t="n">
        <v>0</v>
      </c>
      <c r="K704" t="n">
        <v>0</v>
      </c>
      <c r="L704" t="n">
        <v>0</v>
      </c>
      <c r="M704" t="n">
        <v>0</v>
      </c>
      <c r="N704" t="n">
        <v>0</v>
      </c>
      <c r="O704" t="n">
        <v>0</v>
      </c>
      <c r="P704" t="n">
        <v>0</v>
      </c>
      <c r="Q704" t="n">
        <v>0</v>
      </c>
      <c r="R704" s="2" t="inlineStr"/>
    </row>
    <row r="705" ht="15" customHeight="1">
      <c r="A705" t="inlineStr">
        <is>
          <t>A 44189-2023</t>
        </is>
      </c>
      <c r="B705" s="1" t="n">
        <v>45188</v>
      </c>
      <c r="C705" s="1" t="n">
        <v>45807</v>
      </c>
      <c r="D705" t="inlineStr">
        <is>
          <t>GOTLANDS LÄN</t>
        </is>
      </c>
      <c r="E705" t="inlineStr">
        <is>
          <t>GOTLAND</t>
        </is>
      </c>
      <c r="G705" t="n">
        <v>2.3</v>
      </c>
      <c r="H705" t="n">
        <v>0</v>
      </c>
      <c r="I705" t="n">
        <v>0</v>
      </c>
      <c r="J705" t="n">
        <v>0</v>
      </c>
      <c r="K705" t="n">
        <v>0</v>
      </c>
      <c r="L705" t="n">
        <v>0</v>
      </c>
      <c r="M705" t="n">
        <v>0</v>
      </c>
      <c r="N705" t="n">
        <v>0</v>
      </c>
      <c r="O705" t="n">
        <v>0</v>
      </c>
      <c r="P705" t="n">
        <v>0</v>
      </c>
      <c r="Q705" t="n">
        <v>0</v>
      </c>
      <c r="R705" s="2" t="inlineStr"/>
    </row>
    <row r="706" ht="15" customHeight="1">
      <c r="A706" t="inlineStr">
        <is>
          <t>A 44888-2023</t>
        </is>
      </c>
      <c r="B706" s="1" t="n">
        <v>45190</v>
      </c>
      <c r="C706" s="1" t="n">
        <v>45807</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44941-2023</t>
        </is>
      </c>
      <c r="B707" s="1" t="n">
        <v>45190</v>
      </c>
      <c r="C707" s="1" t="n">
        <v>45807</v>
      </c>
      <c r="D707" t="inlineStr">
        <is>
          <t>GOTLANDS LÄN</t>
        </is>
      </c>
      <c r="E707" t="inlineStr">
        <is>
          <t>GOTLAND</t>
        </is>
      </c>
      <c r="G707" t="n">
        <v>2.7</v>
      </c>
      <c r="H707" t="n">
        <v>0</v>
      </c>
      <c r="I707" t="n">
        <v>0</v>
      </c>
      <c r="J707" t="n">
        <v>0</v>
      </c>
      <c r="K707" t="n">
        <v>0</v>
      </c>
      <c r="L707" t="n">
        <v>0</v>
      </c>
      <c r="M707" t="n">
        <v>0</v>
      </c>
      <c r="N707" t="n">
        <v>0</v>
      </c>
      <c r="O707" t="n">
        <v>0</v>
      </c>
      <c r="P707" t="n">
        <v>0</v>
      </c>
      <c r="Q707" t="n">
        <v>0</v>
      </c>
      <c r="R707" s="2" t="inlineStr"/>
    </row>
    <row r="708" ht="15" customHeight="1">
      <c r="A708" t="inlineStr">
        <is>
          <t>A 44953-2023</t>
        </is>
      </c>
      <c r="B708" s="1" t="n">
        <v>45190</v>
      </c>
      <c r="C708" s="1" t="n">
        <v>45807</v>
      </c>
      <c r="D708" t="inlineStr">
        <is>
          <t>GOTLANDS LÄN</t>
        </is>
      </c>
      <c r="E708" t="inlineStr">
        <is>
          <t>GOTLAND</t>
        </is>
      </c>
      <c r="G708" t="n">
        <v>3.7</v>
      </c>
      <c r="H708" t="n">
        <v>0</v>
      </c>
      <c r="I708" t="n">
        <v>0</v>
      </c>
      <c r="J708" t="n">
        <v>0</v>
      </c>
      <c r="K708" t="n">
        <v>0</v>
      </c>
      <c r="L708" t="n">
        <v>0</v>
      </c>
      <c r="M708" t="n">
        <v>0</v>
      </c>
      <c r="N708" t="n">
        <v>0</v>
      </c>
      <c r="O708" t="n">
        <v>0</v>
      </c>
      <c r="P708" t="n">
        <v>0</v>
      </c>
      <c r="Q708" t="n">
        <v>0</v>
      </c>
      <c r="R708" s="2" t="inlineStr"/>
    </row>
    <row r="709" ht="15" customHeight="1">
      <c r="A709" t="inlineStr">
        <is>
          <t>A 44918-2023</t>
        </is>
      </c>
      <c r="B709" s="1" t="n">
        <v>45190</v>
      </c>
      <c r="C709" s="1" t="n">
        <v>45807</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44949-2023</t>
        </is>
      </c>
      <c r="B710" s="1" t="n">
        <v>45190</v>
      </c>
      <c r="C710" s="1" t="n">
        <v>45807</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45168-2023</t>
        </is>
      </c>
      <c r="B711" s="1" t="n">
        <v>45191</v>
      </c>
      <c r="C711" s="1" t="n">
        <v>45807</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45600-2023</t>
        </is>
      </c>
      <c r="B712" s="1" t="n">
        <v>45194</v>
      </c>
      <c r="C712" s="1" t="n">
        <v>45807</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45692-2023</t>
        </is>
      </c>
      <c r="B713" s="1" t="n">
        <v>45195</v>
      </c>
      <c r="C713" s="1" t="n">
        <v>45807</v>
      </c>
      <c r="D713" t="inlineStr">
        <is>
          <t>GOTLANDS LÄN</t>
        </is>
      </c>
      <c r="E713" t="inlineStr">
        <is>
          <t>GOTLAND</t>
        </is>
      </c>
      <c r="G713" t="n">
        <v>5.3</v>
      </c>
      <c r="H713" t="n">
        <v>0</v>
      </c>
      <c r="I713" t="n">
        <v>0</v>
      </c>
      <c r="J713" t="n">
        <v>0</v>
      </c>
      <c r="K713" t="n">
        <v>0</v>
      </c>
      <c r="L713" t="n">
        <v>0</v>
      </c>
      <c r="M713" t="n">
        <v>0</v>
      </c>
      <c r="N713" t="n">
        <v>0</v>
      </c>
      <c r="O713" t="n">
        <v>0</v>
      </c>
      <c r="P713" t="n">
        <v>0</v>
      </c>
      <c r="Q713" t="n">
        <v>0</v>
      </c>
      <c r="R713" s="2" t="inlineStr"/>
    </row>
    <row r="714" ht="15" customHeight="1">
      <c r="A714" t="inlineStr">
        <is>
          <t>A 46402-2023</t>
        </is>
      </c>
      <c r="B714" s="1" t="n">
        <v>45197</v>
      </c>
      <c r="C714" s="1" t="n">
        <v>45807</v>
      </c>
      <c r="D714" t="inlineStr">
        <is>
          <t>GOTLANDS LÄN</t>
        </is>
      </c>
      <c r="E714" t="inlineStr">
        <is>
          <t>GOTLAND</t>
        </is>
      </c>
      <c r="G714" t="n">
        <v>2.5</v>
      </c>
      <c r="H714" t="n">
        <v>0</v>
      </c>
      <c r="I714" t="n">
        <v>0</v>
      </c>
      <c r="J714" t="n">
        <v>0</v>
      </c>
      <c r="K714" t="n">
        <v>0</v>
      </c>
      <c r="L714" t="n">
        <v>0</v>
      </c>
      <c r="M714" t="n">
        <v>0</v>
      </c>
      <c r="N714" t="n">
        <v>0</v>
      </c>
      <c r="O714" t="n">
        <v>0</v>
      </c>
      <c r="P714" t="n">
        <v>0</v>
      </c>
      <c r="Q714" t="n">
        <v>0</v>
      </c>
      <c r="R714" s="2" t="inlineStr"/>
    </row>
    <row r="715" ht="15" customHeight="1">
      <c r="A715" t="inlineStr">
        <is>
          <t>A 46396-2023</t>
        </is>
      </c>
      <c r="B715" s="1" t="n">
        <v>45197</v>
      </c>
      <c r="C715" s="1" t="n">
        <v>45807</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46400-2023</t>
        </is>
      </c>
      <c r="B716" s="1" t="n">
        <v>45197</v>
      </c>
      <c r="C716" s="1" t="n">
        <v>45807</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47322-2023</t>
        </is>
      </c>
      <c r="B717" s="1" t="n">
        <v>45202</v>
      </c>
      <c r="C717" s="1" t="n">
        <v>45807</v>
      </c>
      <c r="D717" t="inlineStr">
        <is>
          <t>GOTLANDS LÄN</t>
        </is>
      </c>
      <c r="E717" t="inlineStr">
        <is>
          <t>GOTLAND</t>
        </is>
      </c>
      <c r="G717" t="n">
        <v>3.9</v>
      </c>
      <c r="H717" t="n">
        <v>0</v>
      </c>
      <c r="I717" t="n">
        <v>0</v>
      </c>
      <c r="J717" t="n">
        <v>0</v>
      </c>
      <c r="K717" t="n">
        <v>0</v>
      </c>
      <c r="L717" t="n">
        <v>0</v>
      </c>
      <c r="M717" t="n">
        <v>0</v>
      </c>
      <c r="N717" t="n">
        <v>0</v>
      </c>
      <c r="O717" t="n">
        <v>0</v>
      </c>
      <c r="P717" t="n">
        <v>0</v>
      </c>
      <c r="Q717" t="n">
        <v>0</v>
      </c>
      <c r="R717" s="2" t="inlineStr"/>
    </row>
    <row r="718" ht="15" customHeight="1">
      <c r="A718" t="inlineStr">
        <is>
          <t>A 47762-2023</t>
        </is>
      </c>
      <c r="B718" s="1" t="n">
        <v>45203</v>
      </c>
      <c r="C718" s="1" t="n">
        <v>45807</v>
      </c>
      <c r="D718" t="inlineStr">
        <is>
          <t>GOTLANDS LÄN</t>
        </is>
      </c>
      <c r="E718" t="inlineStr">
        <is>
          <t>GOTLAND</t>
        </is>
      </c>
      <c r="G718" t="n">
        <v>1.3</v>
      </c>
      <c r="H718" t="n">
        <v>0</v>
      </c>
      <c r="I718" t="n">
        <v>0</v>
      </c>
      <c r="J718" t="n">
        <v>0</v>
      </c>
      <c r="K718" t="n">
        <v>0</v>
      </c>
      <c r="L718" t="n">
        <v>0</v>
      </c>
      <c r="M718" t="n">
        <v>0</v>
      </c>
      <c r="N718" t="n">
        <v>0</v>
      </c>
      <c r="O718" t="n">
        <v>0</v>
      </c>
      <c r="P718" t="n">
        <v>0</v>
      </c>
      <c r="Q718" t="n">
        <v>0</v>
      </c>
      <c r="R718" s="2" t="inlineStr"/>
    </row>
    <row r="719" ht="15" customHeight="1">
      <c r="A719" t="inlineStr">
        <is>
          <t>A 49411-2023</t>
        </is>
      </c>
      <c r="B719" s="1" t="n">
        <v>45205</v>
      </c>
      <c r="C719" s="1" t="n">
        <v>45807</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48503-2023</t>
        </is>
      </c>
      <c r="B720" s="1" t="n">
        <v>45207</v>
      </c>
      <c r="C720" s="1" t="n">
        <v>45807</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48504-2023</t>
        </is>
      </c>
      <c r="B721" s="1" t="n">
        <v>45207</v>
      </c>
      <c r="C721" s="1" t="n">
        <v>45807</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48745-2023</t>
        </is>
      </c>
      <c r="B722" s="1" t="n">
        <v>45208</v>
      </c>
      <c r="C722" s="1" t="n">
        <v>45807</v>
      </c>
      <c r="D722" t="inlineStr">
        <is>
          <t>GOTLANDS LÄN</t>
        </is>
      </c>
      <c r="E722" t="inlineStr">
        <is>
          <t>GOTLAND</t>
        </is>
      </c>
      <c r="G722" t="n">
        <v>3.6</v>
      </c>
      <c r="H722" t="n">
        <v>0</v>
      </c>
      <c r="I722" t="n">
        <v>0</v>
      </c>
      <c r="J722" t="n">
        <v>0</v>
      </c>
      <c r="K722" t="n">
        <v>0</v>
      </c>
      <c r="L722" t="n">
        <v>0</v>
      </c>
      <c r="M722" t="n">
        <v>0</v>
      </c>
      <c r="N722" t="n">
        <v>0</v>
      </c>
      <c r="O722" t="n">
        <v>0</v>
      </c>
      <c r="P722" t="n">
        <v>0</v>
      </c>
      <c r="Q722" t="n">
        <v>0</v>
      </c>
      <c r="R722" s="2" t="inlineStr"/>
    </row>
    <row r="723" ht="15" customHeight="1">
      <c r="A723" t="inlineStr">
        <is>
          <t>A 49693-2023</t>
        </is>
      </c>
      <c r="B723" s="1" t="n">
        <v>45212</v>
      </c>
      <c r="C723" s="1" t="n">
        <v>45807</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49697-2023</t>
        </is>
      </c>
      <c r="B724" s="1" t="n">
        <v>45212</v>
      </c>
      <c r="C724" s="1" t="n">
        <v>45807</v>
      </c>
      <c r="D724" t="inlineStr">
        <is>
          <t>GOTLANDS LÄN</t>
        </is>
      </c>
      <c r="E724" t="inlineStr">
        <is>
          <t>GOTLAND</t>
        </is>
      </c>
      <c r="G724" t="n">
        <v>4.4</v>
      </c>
      <c r="H724" t="n">
        <v>0</v>
      </c>
      <c r="I724" t="n">
        <v>0</v>
      </c>
      <c r="J724" t="n">
        <v>0</v>
      </c>
      <c r="K724" t="n">
        <v>0</v>
      </c>
      <c r="L724" t="n">
        <v>0</v>
      </c>
      <c r="M724" t="n">
        <v>0</v>
      </c>
      <c r="N724" t="n">
        <v>0</v>
      </c>
      <c r="O724" t="n">
        <v>0</v>
      </c>
      <c r="P724" t="n">
        <v>0</v>
      </c>
      <c r="Q724" t="n">
        <v>0</v>
      </c>
      <c r="R724" s="2" t="inlineStr"/>
    </row>
    <row r="725" ht="15" customHeight="1">
      <c r="A725" t="inlineStr">
        <is>
          <t>A 49846-2023</t>
        </is>
      </c>
      <c r="B725" s="1" t="n">
        <v>45212</v>
      </c>
      <c r="C725" s="1" t="n">
        <v>45807</v>
      </c>
      <c r="D725" t="inlineStr">
        <is>
          <t>GOTLANDS LÄN</t>
        </is>
      </c>
      <c r="E725" t="inlineStr">
        <is>
          <t>GOTLAND</t>
        </is>
      </c>
      <c r="G725" t="n">
        <v>16.9</v>
      </c>
      <c r="H725" t="n">
        <v>0</v>
      </c>
      <c r="I725" t="n">
        <v>0</v>
      </c>
      <c r="J725" t="n">
        <v>0</v>
      </c>
      <c r="K725" t="n">
        <v>0</v>
      </c>
      <c r="L725" t="n">
        <v>0</v>
      </c>
      <c r="M725" t="n">
        <v>0</v>
      </c>
      <c r="N725" t="n">
        <v>0</v>
      </c>
      <c r="O725" t="n">
        <v>0</v>
      </c>
      <c r="P725" t="n">
        <v>0</v>
      </c>
      <c r="Q725" t="n">
        <v>0</v>
      </c>
      <c r="R725" s="2" t="inlineStr"/>
    </row>
    <row r="726" ht="15" customHeight="1">
      <c r="A726" t="inlineStr">
        <is>
          <t>A 49884-2023</t>
        </is>
      </c>
      <c r="B726" s="1" t="n">
        <v>45213</v>
      </c>
      <c r="C726" s="1" t="n">
        <v>45807</v>
      </c>
      <c r="D726" t="inlineStr">
        <is>
          <t>GOTLANDS LÄN</t>
        </is>
      </c>
      <c r="E726" t="inlineStr">
        <is>
          <t>GOTLAND</t>
        </is>
      </c>
      <c r="G726" t="n">
        <v>8.9</v>
      </c>
      <c r="H726" t="n">
        <v>0</v>
      </c>
      <c r="I726" t="n">
        <v>0</v>
      </c>
      <c r="J726" t="n">
        <v>0</v>
      </c>
      <c r="K726" t="n">
        <v>0</v>
      </c>
      <c r="L726" t="n">
        <v>0</v>
      </c>
      <c r="M726" t="n">
        <v>0</v>
      </c>
      <c r="N726" t="n">
        <v>0</v>
      </c>
      <c r="O726" t="n">
        <v>0</v>
      </c>
      <c r="P726" t="n">
        <v>0</v>
      </c>
      <c r="Q726" t="n">
        <v>0</v>
      </c>
      <c r="R726" s="2" t="inlineStr"/>
    </row>
    <row r="727" ht="15" customHeight="1">
      <c r="A727" t="inlineStr">
        <is>
          <t>A 49962-2023</t>
        </is>
      </c>
      <c r="B727" s="1" t="n">
        <v>45215</v>
      </c>
      <c r="C727" s="1" t="n">
        <v>45807</v>
      </c>
      <c r="D727" t="inlineStr">
        <is>
          <t>GOTLANDS LÄN</t>
        </is>
      </c>
      <c r="E727" t="inlineStr">
        <is>
          <t>GOTLAND</t>
        </is>
      </c>
      <c r="G727" t="n">
        <v>1.4</v>
      </c>
      <c r="H727" t="n">
        <v>0</v>
      </c>
      <c r="I727" t="n">
        <v>0</v>
      </c>
      <c r="J727" t="n">
        <v>0</v>
      </c>
      <c r="K727" t="n">
        <v>0</v>
      </c>
      <c r="L727" t="n">
        <v>0</v>
      </c>
      <c r="M727" t="n">
        <v>0</v>
      </c>
      <c r="N727" t="n">
        <v>0</v>
      </c>
      <c r="O727" t="n">
        <v>0</v>
      </c>
      <c r="P727" t="n">
        <v>0</v>
      </c>
      <c r="Q727" t="n">
        <v>0</v>
      </c>
      <c r="R727" s="2" t="inlineStr"/>
    </row>
    <row r="728" ht="15" customHeight="1">
      <c r="A728" t="inlineStr">
        <is>
          <t>A 49966-2023</t>
        </is>
      </c>
      <c r="B728" s="1" t="n">
        <v>45215</v>
      </c>
      <c r="C728" s="1" t="n">
        <v>45807</v>
      </c>
      <c r="D728" t="inlineStr">
        <is>
          <t>GOTLANDS LÄN</t>
        </is>
      </c>
      <c r="E728" t="inlineStr">
        <is>
          <t>GOTLAND</t>
        </is>
      </c>
      <c r="G728" t="n">
        <v>5</v>
      </c>
      <c r="H728" t="n">
        <v>0</v>
      </c>
      <c r="I728" t="n">
        <v>0</v>
      </c>
      <c r="J728" t="n">
        <v>0</v>
      </c>
      <c r="K728" t="n">
        <v>0</v>
      </c>
      <c r="L728" t="n">
        <v>0</v>
      </c>
      <c r="M728" t="n">
        <v>0</v>
      </c>
      <c r="N728" t="n">
        <v>0</v>
      </c>
      <c r="O728" t="n">
        <v>0</v>
      </c>
      <c r="P728" t="n">
        <v>0</v>
      </c>
      <c r="Q728" t="n">
        <v>0</v>
      </c>
      <c r="R728" s="2" t="inlineStr"/>
    </row>
    <row r="729" ht="15" customHeight="1">
      <c r="A729" t="inlineStr">
        <is>
          <t>A 49964-2023</t>
        </is>
      </c>
      <c r="B729" s="1" t="n">
        <v>45215</v>
      </c>
      <c r="C729" s="1" t="n">
        <v>45807</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49968-2023</t>
        </is>
      </c>
      <c r="B730" s="1" t="n">
        <v>45215</v>
      </c>
      <c r="C730" s="1" t="n">
        <v>45807</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50566-2023</t>
        </is>
      </c>
      <c r="B731" s="1" t="n">
        <v>45217</v>
      </c>
      <c r="C731" s="1" t="n">
        <v>45807</v>
      </c>
      <c r="D731" t="inlineStr">
        <is>
          <t>GOTLANDS LÄN</t>
        </is>
      </c>
      <c r="E731" t="inlineStr">
        <is>
          <t>GOTLAND</t>
        </is>
      </c>
      <c r="G731" t="n">
        <v>5.8</v>
      </c>
      <c r="H731" t="n">
        <v>0</v>
      </c>
      <c r="I731" t="n">
        <v>0</v>
      </c>
      <c r="J731" t="n">
        <v>0</v>
      </c>
      <c r="K731" t="n">
        <v>0</v>
      </c>
      <c r="L731" t="n">
        <v>0</v>
      </c>
      <c r="M731" t="n">
        <v>0</v>
      </c>
      <c r="N731" t="n">
        <v>0</v>
      </c>
      <c r="O731" t="n">
        <v>0</v>
      </c>
      <c r="P731" t="n">
        <v>0</v>
      </c>
      <c r="Q731" t="n">
        <v>0</v>
      </c>
      <c r="R731" s="2" t="inlineStr"/>
    </row>
    <row r="732" ht="15" customHeight="1">
      <c r="A732" t="inlineStr">
        <is>
          <t>A 51035-2023</t>
        </is>
      </c>
      <c r="B732" s="1" t="n">
        <v>45218</v>
      </c>
      <c r="C732" s="1" t="n">
        <v>45807</v>
      </c>
      <c r="D732" t="inlineStr">
        <is>
          <t>GOTLANDS LÄN</t>
        </is>
      </c>
      <c r="E732" t="inlineStr">
        <is>
          <t>GOTLAND</t>
        </is>
      </c>
      <c r="G732" t="n">
        <v>1.3</v>
      </c>
      <c r="H732" t="n">
        <v>0</v>
      </c>
      <c r="I732" t="n">
        <v>0</v>
      </c>
      <c r="J732" t="n">
        <v>0</v>
      </c>
      <c r="K732" t="n">
        <v>0</v>
      </c>
      <c r="L732" t="n">
        <v>0</v>
      </c>
      <c r="M732" t="n">
        <v>0</v>
      </c>
      <c r="N732" t="n">
        <v>0</v>
      </c>
      <c r="O732" t="n">
        <v>0</v>
      </c>
      <c r="P732" t="n">
        <v>0</v>
      </c>
      <c r="Q732" t="n">
        <v>0</v>
      </c>
      <c r="R732" s="2" t="inlineStr"/>
    </row>
    <row r="733" ht="15" customHeight="1">
      <c r="A733" t="inlineStr">
        <is>
          <t>A 51782-2023</t>
        </is>
      </c>
      <c r="B733" s="1" t="n">
        <v>45222</v>
      </c>
      <c r="C733" s="1" t="n">
        <v>45807</v>
      </c>
      <c r="D733" t="inlineStr">
        <is>
          <t>GOTLANDS LÄN</t>
        </is>
      </c>
      <c r="E733" t="inlineStr">
        <is>
          <t>GOTLAND</t>
        </is>
      </c>
      <c r="G733" t="n">
        <v>1.2</v>
      </c>
      <c r="H733" t="n">
        <v>0</v>
      </c>
      <c r="I733" t="n">
        <v>0</v>
      </c>
      <c r="J733" t="n">
        <v>0</v>
      </c>
      <c r="K733" t="n">
        <v>0</v>
      </c>
      <c r="L733" t="n">
        <v>0</v>
      </c>
      <c r="M733" t="n">
        <v>0</v>
      </c>
      <c r="N733" t="n">
        <v>0</v>
      </c>
      <c r="O733" t="n">
        <v>0</v>
      </c>
      <c r="P733" t="n">
        <v>0</v>
      </c>
      <c r="Q733" t="n">
        <v>0</v>
      </c>
      <c r="R733" s="2" t="inlineStr"/>
    </row>
    <row r="734" ht="15" customHeight="1">
      <c r="A734" t="inlineStr">
        <is>
          <t>A 52684-2023</t>
        </is>
      </c>
      <c r="B734" s="1" t="n">
        <v>45225</v>
      </c>
      <c r="C734" s="1" t="n">
        <v>45807</v>
      </c>
      <c r="D734" t="inlineStr">
        <is>
          <t>GOTLANDS LÄN</t>
        </is>
      </c>
      <c r="E734" t="inlineStr">
        <is>
          <t>GOTLAND</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53913-2023</t>
        </is>
      </c>
      <c r="B735" s="1" t="n">
        <v>45231</v>
      </c>
      <c r="C735" s="1" t="n">
        <v>45807</v>
      </c>
      <c r="D735" t="inlineStr">
        <is>
          <t>GOTLANDS LÄN</t>
        </is>
      </c>
      <c r="E735" t="inlineStr">
        <is>
          <t>GOTLAND</t>
        </is>
      </c>
      <c r="G735" t="n">
        <v>6.2</v>
      </c>
      <c r="H735" t="n">
        <v>0</v>
      </c>
      <c r="I735" t="n">
        <v>0</v>
      </c>
      <c r="J735" t="n">
        <v>0</v>
      </c>
      <c r="K735" t="n">
        <v>0</v>
      </c>
      <c r="L735" t="n">
        <v>0</v>
      </c>
      <c r="M735" t="n">
        <v>0</v>
      </c>
      <c r="N735" t="n">
        <v>0</v>
      </c>
      <c r="O735" t="n">
        <v>0</v>
      </c>
      <c r="P735" t="n">
        <v>0</v>
      </c>
      <c r="Q735" t="n">
        <v>0</v>
      </c>
      <c r="R735" s="2" t="inlineStr"/>
    </row>
    <row r="736" ht="15" customHeight="1">
      <c r="A736" t="inlineStr">
        <is>
          <t>A 56115-2023</t>
        </is>
      </c>
      <c r="B736" s="1" t="n">
        <v>45236</v>
      </c>
      <c r="C736" s="1" t="n">
        <v>45807</v>
      </c>
      <c r="D736" t="inlineStr">
        <is>
          <t>GOTLANDS LÄN</t>
        </is>
      </c>
      <c r="E736" t="inlineStr">
        <is>
          <t>GOTLAND</t>
        </is>
      </c>
      <c r="G736" t="n">
        <v>2</v>
      </c>
      <c r="H736" t="n">
        <v>0</v>
      </c>
      <c r="I736" t="n">
        <v>0</v>
      </c>
      <c r="J736" t="n">
        <v>0</v>
      </c>
      <c r="K736" t="n">
        <v>0</v>
      </c>
      <c r="L736" t="n">
        <v>0</v>
      </c>
      <c r="M736" t="n">
        <v>0</v>
      </c>
      <c r="N736" t="n">
        <v>0</v>
      </c>
      <c r="O736" t="n">
        <v>0</v>
      </c>
      <c r="P736" t="n">
        <v>0</v>
      </c>
      <c r="Q736" t="n">
        <v>0</v>
      </c>
      <c r="R736" s="2" t="inlineStr"/>
    </row>
    <row r="737" ht="15" customHeight="1">
      <c r="A737" t="inlineStr">
        <is>
          <t>A 57356-2023</t>
        </is>
      </c>
      <c r="B737" s="1" t="n">
        <v>45240</v>
      </c>
      <c r="C737" s="1" t="n">
        <v>45807</v>
      </c>
      <c r="D737" t="inlineStr">
        <is>
          <t>GOTLANDS LÄN</t>
        </is>
      </c>
      <c r="E737" t="inlineStr">
        <is>
          <t>GOTLAND</t>
        </is>
      </c>
      <c r="G737" t="n">
        <v>6.4</v>
      </c>
      <c r="H737" t="n">
        <v>0</v>
      </c>
      <c r="I737" t="n">
        <v>0</v>
      </c>
      <c r="J737" t="n">
        <v>0</v>
      </c>
      <c r="K737" t="n">
        <v>0</v>
      </c>
      <c r="L737" t="n">
        <v>0</v>
      </c>
      <c r="M737" t="n">
        <v>0</v>
      </c>
      <c r="N737" t="n">
        <v>0</v>
      </c>
      <c r="O737" t="n">
        <v>0</v>
      </c>
      <c r="P737" t="n">
        <v>0</v>
      </c>
      <c r="Q737" t="n">
        <v>0</v>
      </c>
      <c r="R737" s="2" t="inlineStr"/>
    </row>
    <row r="738" ht="15" customHeight="1">
      <c r="A738" t="inlineStr">
        <is>
          <t>A 56303-2023</t>
        </is>
      </c>
      <c r="B738" s="1" t="n">
        <v>45242</v>
      </c>
      <c r="C738" s="1" t="n">
        <v>45807</v>
      </c>
      <c r="D738" t="inlineStr">
        <is>
          <t>GOTLANDS LÄN</t>
        </is>
      </c>
      <c r="E738" t="inlineStr">
        <is>
          <t>GOTLAND</t>
        </is>
      </c>
      <c r="G738" t="n">
        <v>1.6</v>
      </c>
      <c r="H738" t="n">
        <v>0</v>
      </c>
      <c r="I738" t="n">
        <v>0</v>
      </c>
      <c r="J738" t="n">
        <v>0</v>
      </c>
      <c r="K738" t="n">
        <v>0</v>
      </c>
      <c r="L738" t="n">
        <v>0</v>
      </c>
      <c r="M738" t="n">
        <v>0</v>
      </c>
      <c r="N738" t="n">
        <v>0</v>
      </c>
      <c r="O738" t="n">
        <v>0</v>
      </c>
      <c r="P738" t="n">
        <v>0</v>
      </c>
      <c r="Q738" t="n">
        <v>0</v>
      </c>
      <c r="R738" s="2" t="inlineStr"/>
    </row>
    <row r="739" ht="15" customHeight="1">
      <c r="A739" t="inlineStr">
        <is>
          <t>A 56568-2023</t>
        </is>
      </c>
      <c r="B739" s="1" t="n">
        <v>45243</v>
      </c>
      <c r="C739" s="1" t="n">
        <v>45807</v>
      </c>
      <c r="D739" t="inlineStr">
        <is>
          <t>GOTLANDS LÄN</t>
        </is>
      </c>
      <c r="E739" t="inlineStr">
        <is>
          <t>GOTLAND</t>
        </is>
      </c>
      <c r="G739" t="n">
        <v>3.3</v>
      </c>
      <c r="H739" t="n">
        <v>0</v>
      </c>
      <c r="I739" t="n">
        <v>0</v>
      </c>
      <c r="J739" t="n">
        <v>0</v>
      </c>
      <c r="K739" t="n">
        <v>0</v>
      </c>
      <c r="L739" t="n">
        <v>0</v>
      </c>
      <c r="M739" t="n">
        <v>0</v>
      </c>
      <c r="N739" t="n">
        <v>0</v>
      </c>
      <c r="O739" t="n">
        <v>0</v>
      </c>
      <c r="P739" t="n">
        <v>0</v>
      </c>
      <c r="Q739" t="n">
        <v>0</v>
      </c>
      <c r="R739" s="2" t="inlineStr"/>
    </row>
    <row r="740" ht="15" customHeight="1">
      <c r="A740" t="inlineStr">
        <is>
          <t>A 56877-2023</t>
        </is>
      </c>
      <c r="B740" s="1" t="n">
        <v>45244</v>
      </c>
      <c r="C740" s="1" t="n">
        <v>45807</v>
      </c>
      <c r="D740" t="inlineStr">
        <is>
          <t>GOTLANDS LÄN</t>
        </is>
      </c>
      <c r="E740" t="inlineStr">
        <is>
          <t>GOTLAND</t>
        </is>
      </c>
      <c r="G740" t="n">
        <v>5.8</v>
      </c>
      <c r="H740" t="n">
        <v>0</v>
      </c>
      <c r="I740" t="n">
        <v>0</v>
      </c>
      <c r="J740" t="n">
        <v>0</v>
      </c>
      <c r="K740" t="n">
        <v>0</v>
      </c>
      <c r="L740" t="n">
        <v>0</v>
      </c>
      <c r="M740" t="n">
        <v>0</v>
      </c>
      <c r="N740" t="n">
        <v>0</v>
      </c>
      <c r="O740" t="n">
        <v>0</v>
      </c>
      <c r="P740" t="n">
        <v>0</v>
      </c>
      <c r="Q740" t="n">
        <v>0</v>
      </c>
      <c r="R740" s="2" t="inlineStr"/>
    </row>
    <row r="741" ht="15" customHeight="1">
      <c r="A741" t="inlineStr">
        <is>
          <t>A 57573-2023</t>
        </is>
      </c>
      <c r="B741" s="1" t="n">
        <v>45246</v>
      </c>
      <c r="C741" s="1" t="n">
        <v>45807</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57652-2023</t>
        </is>
      </c>
      <c r="B742" s="1" t="n">
        <v>45246</v>
      </c>
      <c r="C742" s="1" t="n">
        <v>45807</v>
      </c>
      <c r="D742" t="inlineStr">
        <is>
          <t>GOTLANDS LÄN</t>
        </is>
      </c>
      <c r="E742" t="inlineStr">
        <is>
          <t>GOTLAND</t>
        </is>
      </c>
      <c r="G742" t="n">
        <v>7.2</v>
      </c>
      <c r="H742" t="n">
        <v>0</v>
      </c>
      <c r="I742" t="n">
        <v>0</v>
      </c>
      <c r="J742" t="n">
        <v>0</v>
      </c>
      <c r="K742" t="n">
        <v>0</v>
      </c>
      <c r="L742" t="n">
        <v>0</v>
      </c>
      <c r="M742" t="n">
        <v>0</v>
      </c>
      <c r="N742" t="n">
        <v>0</v>
      </c>
      <c r="O742" t="n">
        <v>0</v>
      </c>
      <c r="P742" t="n">
        <v>0</v>
      </c>
      <c r="Q742" t="n">
        <v>0</v>
      </c>
      <c r="R742" s="2" t="inlineStr"/>
    </row>
    <row r="743" ht="15" customHeight="1">
      <c r="A743" t="inlineStr">
        <is>
          <t>A 57765-2023</t>
        </is>
      </c>
      <c r="B743" s="1" t="n">
        <v>45246</v>
      </c>
      <c r="C743" s="1" t="n">
        <v>45807</v>
      </c>
      <c r="D743" t="inlineStr">
        <is>
          <t>GOTLANDS LÄN</t>
        </is>
      </c>
      <c r="E743" t="inlineStr">
        <is>
          <t>GOTLAND</t>
        </is>
      </c>
      <c r="G743" t="n">
        <v>1.8</v>
      </c>
      <c r="H743" t="n">
        <v>0</v>
      </c>
      <c r="I743" t="n">
        <v>0</v>
      </c>
      <c r="J743" t="n">
        <v>0</v>
      </c>
      <c r="K743" t="n">
        <v>0</v>
      </c>
      <c r="L743" t="n">
        <v>0</v>
      </c>
      <c r="M743" t="n">
        <v>0</v>
      </c>
      <c r="N743" t="n">
        <v>0</v>
      </c>
      <c r="O743" t="n">
        <v>0</v>
      </c>
      <c r="P743" t="n">
        <v>0</v>
      </c>
      <c r="Q743" t="n">
        <v>0</v>
      </c>
      <c r="R743" s="2" t="inlineStr"/>
    </row>
    <row r="744" ht="15" customHeight="1">
      <c r="A744" t="inlineStr">
        <is>
          <t>A 58132-2023</t>
        </is>
      </c>
      <c r="B744" s="1" t="n">
        <v>45250</v>
      </c>
      <c r="C744" s="1" t="n">
        <v>45807</v>
      </c>
      <c r="D744" t="inlineStr">
        <is>
          <t>GOTLANDS LÄN</t>
        </is>
      </c>
      <c r="E744" t="inlineStr">
        <is>
          <t>GOTLAND</t>
        </is>
      </c>
      <c r="G744" t="n">
        <v>3.1</v>
      </c>
      <c r="H744" t="n">
        <v>0</v>
      </c>
      <c r="I744" t="n">
        <v>0</v>
      </c>
      <c r="J744" t="n">
        <v>0</v>
      </c>
      <c r="K744" t="n">
        <v>0</v>
      </c>
      <c r="L744" t="n">
        <v>0</v>
      </c>
      <c r="M744" t="n">
        <v>0</v>
      </c>
      <c r="N744" t="n">
        <v>0</v>
      </c>
      <c r="O744" t="n">
        <v>0</v>
      </c>
      <c r="P744" t="n">
        <v>0</v>
      </c>
      <c r="Q744" t="n">
        <v>0</v>
      </c>
      <c r="R744" s="2" t="inlineStr"/>
    </row>
    <row r="745" ht="15" customHeight="1">
      <c r="A745" t="inlineStr">
        <is>
          <t>A 59559-2023</t>
        </is>
      </c>
      <c r="B745" s="1" t="n">
        <v>45254</v>
      </c>
      <c r="C745" s="1" t="n">
        <v>45807</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59554-2023</t>
        </is>
      </c>
      <c r="B746" s="1" t="n">
        <v>45254</v>
      </c>
      <c r="C746" s="1" t="n">
        <v>45807</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60269-2023</t>
        </is>
      </c>
      <c r="B747" s="1" t="n">
        <v>45258</v>
      </c>
      <c r="C747" s="1" t="n">
        <v>45807</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60273-2023</t>
        </is>
      </c>
      <c r="B748" s="1" t="n">
        <v>45258</v>
      </c>
      <c r="C748" s="1" t="n">
        <v>45807</v>
      </c>
      <c r="D748" t="inlineStr">
        <is>
          <t>GOTLANDS LÄN</t>
        </is>
      </c>
      <c r="E748" t="inlineStr">
        <is>
          <t>GOTLAND</t>
        </is>
      </c>
      <c r="G748" t="n">
        <v>1.6</v>
      </c>
      <c r="H748" t="n">
        <v>0</v>
      </c>
      <c r="I748" t="n">
        <v>0</v>
      </c>
      <c r="J748" t="n">
        <v>0</v>
      </c>
      <c r="K748" t="n">
        <v>0</v>
      </c>
      <c r="L748" t="n">
        <v>0</v>
      </c>
      <c r="M748" t="n">
        <v>0</v>
      </c>
      <c r="N748" t="n">
        <v>0</v>
      </c>
      <c r="O748" t="n">
        <v>0</v>
      </c>
      <c r="P748" t="n">
        <v>0</v>
      </c>
      <c r="Q748" t="n">
        <v>0</v>
      </c>
      <c r="R748" s="2" t="inlineStr"/>
    </row>
    <row r="749" ht="15" customHeight="1">
      <c r="A749" t="inlineStr">
        <is>
          <t>A 60709-2023</t>
        </is>
      </c>
      <c r="B749" s="1" t="n">
        <v>45260</v>
      </c>
      <c r="C749" s="1" t="n">
        <v>45807</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61175-2023</t>
        </is>
      </c>
      <c r="B750" s="1" t="n">
        <v>45263</v>
      </c>
      <c r="C750" s="1" t="n">
        <v>45807</v>
      </c>
      <c r="D750" t="inlineStr">
        <is>
          <t>GOTLANDS LÄN</t>
        </is>
      </c>
      <c r="E750" t="inlineStr">
        <is>
          <t>GOTLAND</t>
        </is>
      </c>
      <c r="G750" t="n">
        <v>0.9</v>
      </c>
      <c r="H750" t="n">
        <v>0</v>
      </c>
      <c r="I750" t="n">
        <v>0</v>
      </c>
      <c r="J750" t="n">
        <v>0</v>
      </c>
      <c r="K750" t="n">
        <v>0</v>
      </c>
      <c r="L750" t="n">
        <v>0</v>
      </c>
      <c r="M750" t="n">
        <v>0</v>
      </c>
      <c r="N750" t="n">
        <v>0</v>
      </c>
      <c r="O750" t="n">
        <v>0</v>
      </c>
      <c r="P750" t="n">
        <v>0</v>
      </c>
      <c r="Q750" t="n">
        <v>0</v>
      </c>
      <c r="R750" s="2" t="inlineStr"/>
    </row>
    <row r="751" ht="15" customHeight="1">
      <c r="A751" t="inlineStr">
        <is>
          <t>A 61386-2023</t>
        </is>
      </c>
      <c r="B751" s="1" t="n">
        <v>45264</v>
      </c>
      <c r="C751" s="1" t="n">
        <v>45807</v>
      </c>
      <c r="D751" t="inlineStr">
        <is>
          <t>GOTLANDS LÄN</t>
        </is>
      </c>
      <c r="E751" t="inlineStr">
        <is>
          <t>GOTLAND</t>
        </is>
      </c>
      <c r="G751" t="n">
        <v>0.7</v>
      </c>
      <c r="H751" t="n">
        <v>0</v>
      </c>
      <c r="I751" t="n">
        <v>0</v>
      </c>
      <c r="J751" t="n">
        <v>0</v>
      </c>
      <c r="K751" t="n">
        <v>0</v>
      </c>
      <c r="L751" t="n">
        <v>0</v>
      </c>
      <c r="M751" t="n">
        <v>0</v>
      </c>
      <c r="N751" t="n">
        <v>0</v>
      </c>
      <c r="O751" t="n">
        <v>0</v>
      </c>
      <c r="P751" t="n">
        <v>0</v>
      </c>
      <c r="Q751" t="n">
        <v>0</v>
      </c>
      <c r="R751" s="2" t="inlineStr"/>
    </row>
    <row r="752" ht="15" customHeight="1">
      <c r="A752" t="inlineStr">
        <is>
          <t>A 61694-2023</t>
        </is>
      </c>
      <c r="B752" s="1" t="n">
        <v>45264</v>
      </c>
      <c r="C752" s="1" t="n">
        <v>45807</v>
      </c>
      <c r="D752" t="inlineStr">
        <is>
          <t>GOTLANDS LÄN</t>
        </is>
      </c>
      <c r="E752" t="inlineStr">
        <is>
          <t>GOTLAND</t>
        </is>
      </c>
      <c r="G752" t="n">
        <v>4.6</v>
      </c>
      <c r="H752" t="n">
        <v>0</v>
      </c>
      <c r="I752" t="n">
        <v>0</v>
      </c>
      <c r="J752" t="n">
        <v>0</v>
      </c>
      <c r="K752" t="n">
        <v>0</v>
      </c>
      <c r="L752" t="n">
        <v>0</v>
      </c>
      <c r="M752" t="n">
        <v>0</v>
      </c>
      <c r="N752" t="n">
        <v>0</v>
      </c>
      <c r="O752" t="n">
        <v>0</v>
      </c>
      <c r="P752" t="n">
        <v>0</v>
      </c>
      <c r="Q752" t="n">
        <v>0</v>
      </c>
      <c r="R752" s="2" t="inlineStr"/>
    </row>
    <row r="753" ht="15" customHeight="1">
      <c r="A753" t="inlineStr">
        <is>
          <t>A 61596-2023</t>
        </is>
      </c>
      <c r="B753" s="1" t="n">
        <v>45265</v>
      </c>
      <c r="C753" s="1" t="n">
        <v>45807</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61634-2023</t>
        </is>
      </c>
      <c r="B754" s="1" t="n">
        <v>45265</v>
      </c>
      <c r="C754" s="1" t="n">
        <v>45807</v>
      </c>
      <c r="D754" t="inlineStr">
        <is>
          <t>GOTLANDS LÄN</t>
        </is>
      </c>
      <c r="E754" t="inlineStr">
        <is>
          <t>GOTLAND</t>
        </is>
      </c>
      <c r="G754" t="n">
        <v>7.4</v>
      </c>
      <c r="H754" t="n">
        <v>0</v>
      </c>
      <c r="I754" t="n">
        <v>0</v>
      </c>
      <c r="J754" t="n">
        <v>0</v>
      </c>
      <c r="K754" t="n">
        <v>0</v>
      </c>
      <c r="L754" t="n">
        <v>0</v>
      </c>
      <c r="M754" t="n">
        <v>0</v>
      </c>
      <c r="N754" t="n">
        <v>0</v>
      </c>
      <c r="O754" t="n">
        <v>0</v>
      </c>
      <c r="P754" t="n">
        <v>0</v>
      </c>
      <c r="Q754" t="n">
        <v>0</v>
      </c>
      <c r="R754" s="2" t="inlineStr"/>
    </row>
    <row r="755" ht="15" customHeight="1">
      <c r="A755" t="inlineStr">
        <is>
          <t>A 63246-2023</t>
        </is>
      </c>
      <c r="B755" s="1" t="n">
        <v>45273</v>
      </c>
      <c r="C755" s="1" t="n">
        <v>45807</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63303-2023</t>
        </is>
      </c>
      <c r="B756" s="1" t="n">
        <v>45274</v>
      </c>
      <c r="C756" s="1" t="n">
        <v>45807</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63516-2023</t>
        </is>
      </c>
      <c r="B757" s="1" t="n">
        <v>45274</v>
      </c>
      <c r="C757" s="1" t="n">
        <v>45807</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63773-2023</t>
        </is>
      </c>
      <c r="B758" s="1" t="n">
        <v>45278</v>
      </c>
      <c r="C758" s="1" t="n">
        <v>45807</v>
      </c>
      <c r="D758" t="inlineStr">
        <is>
          <t>GOTLANDS LÄN</t>
        </is>
      </c>
      <c r="E758" t="inlineStr">
        <is>
          <t>GOTLAND</t>
        </is>
      </c>
      <c r="G758" t="n">
        <v>8.5</v>
      </c>
      <c r="H758" t="n">
        <v>0</v>
      </c>
      <c r="I758" t="n">
        <v>0</v>
      </c>
      <c r="J758" t="n">
        <v>0</v>
      </c>
      <c r="K758" t="n">
        <v>0</v>
      </c>
      <c r="L758" t="n">
        <v>0</v>
      </c>
      <c r="M758" t="n">
        <v>0</v>
      </c>
      <c r="N758" t="n">
        <v>0</v>
      </c>
      <c r="O758" t="n">
        <v>0</v>
      </c>
      <c r="P758" t="n">
        <v>0</v>
      </c>
      <c r="Q758" t="n">
        <v>0</v>
      </c>
      <c r="R758" s="2" t="inlineStr"/>
    </row>
    <row r="759" ht="15" customHeight="1">
      <c r="A759" t="inlineStr">
        <is>
          <t>A 63763-2023</t>
        </is>
      </c>
      <c r="B759" s="1" t="n">
        <v>45278</v>
      </c>
      <c r="C759" s="1" t="n">
        <v>45807</v>
      </c>
      <c r="D759" t="inlineStr">
        <is>
          <t>GOTLANDS LÄN</t>
        </is>
      </c>
      <c r="E759" t="inlineStr">
        <is>
          <t>GOTLAND</t>
        </is>
      </c>
      <c r="G759" t="n">
        <v>0.5</v>
      </c>
      <c r="H759" t="n">
        <v>0</v>
      </c>
      <c r="I759" t="n">
        <v>0</v>
      </c>
      <c r="J759" t="n">
        <v>0</v>
      </c>
      <c r="K759" t="n">
        <v>0</v>
      </c>
      <c r="L759" t="n">
        <v>0</v>
      </c>
      <c r="M759" t="n">
        <v>0</v>
      </c>
      <c r="N759" t="n">
        <v>0</v>
      </c>
      <c r="O759" t="n">
        <v>0</v>
      </c>
      <c r="P759" t="n">
        <v>0</v>
      </c>
      <c r="Q759" t="n">
        <v>0</v>
      </c>
      <c r="R759" s="2" t="inlineStr"/>
    </row>
    <row r="760" ht="15" customHeight="1">
      <c r="A760" t="inlineStr">
        <is>
          <t>A 63996-2023</t>
        </is>
      </c>
      <c r="B760" s="1" t="n">
        <v>45278</v>
      </c>
      <c r="C760" s="1" t="n">
        <v>45807</v>
      </c>
      <c r="D760" t="inlineStr">
        <is>
          <t>GOTLANDS LÄN</t>
        </is>
      </c>
      <c r="E760" t="inlineStr">
        <is>
          <t>GOTLAND</t>
        </is>
      </c>
      <c r="G760" t="n">
        <v>3.8</v>
      </c>
      <c r="H760" t="n">
        <v>0</v>
      </c>
      <c r="I760" t="n">
        <v>0</v>
      </c>
      <c r="J760" t="n">
        <v>0</v>
      </c>
      <c r="K760" t="n">
        <v>0</v>
      </c>
      <c r="L760" t="n">
        <v>0</v>
      </c>
      <c r="M760" t="n">
        <v>0</v>
      </c>
      <c r="N760" t="n">
        <v>0</v>
      </c>
      <c r="O760" t="n">
        <v>0</v>
      </c>
      <c r="P760" t="n">
        <v>0</v>
      </c>
      <c r="Q760" t="n">
        <v>0</v>
      </c>
      <c r="R760" s="2" t="inlineStr"/>
    </row>
    <row r="761" ht="15" customHeight="1">
      <c r="A761" t="inlineStr">
        <is>
          <t>A 64555-2023</t>
        </is>
      </c>
      <c r="B761" s="1" t="n">
        <v>45281</v>
      </c>
      <c r="C761" s="1" t="n">
        <v>45807</v>
      </c>
      <c r="D761" t="inlineStr">
        <is>
          <t>GOTLANDS LÄN</t>
        </is>
      </c>
      <c r="E761" t="inlineStr">
        <is>
          <t>GOTLAND</t>
        </is>
      </c>
      <c r="G761" t="n">
        <v>3.5</v>
      </c>
      <c r="H761" t="n">
        <v>0</v>
      </c>
      <c r="I761" t="n">
        <v>0</v>
      </c>
      <c r="J761" t="n">
        <v>0</v>
      </c>
      <c r="K761" t="n">
        <v>0</v>
      </c>
      <c r="L761" t="n">
        <v>0</v>
      </c>
      <c r="M761" t="n">
        <v>0</v>
      </c>
      <c r="N761" t="n">
        <v>0</v>
      </c>
      <c r="O761" t="n">
        <v>0</v>
      </c>
      <c r="P761" t="n">
        <v>0</v>
      </c>
      <c r="Q761" t="n">
        <v>0</v>
      </c>
      <c r="R761" s="2" t="inlineStr"/>
    </row>
    <row r="762" ht="15" customHeight="1">
      <c r="A762" t="inlineStr">
        <is>
          <t>A 64660-2023</t>
        </is>
      </c>
      <c r="B762" s="1" t="n">
        <v>45281</v>
      </c>
      <c r="C762" s="1" t="n">
        <v>45807</v>
      </c>
      <c r="D762" t="inlineStr">
        <is>
          <t>GOTLANDS LÄN</t>
        </is>
      </c>
      <c r="E762" t="inlineStr">
        <is>
          <t>GOTLAND</t>
        </is>
      </c>
      <c r="G762" t="n">
        <v>6.3</v>
      </c>
      <c r="H762" t="n">
        <v>0</v>
      </c>
      <c r="I762" t="n">
        <v>0</v>
      </c>
      <c r="J762" t="n">
        <v>0</v>
      </c>
      <c r="K762" t="n">
        <v>0</v>
      </c>
      <c r="L762" t="n">
        <v>0</v>
      </c>
      <c r="M762" t="n">
        <v>0</v>
      </c>
      <c r="N762" t="n">
        <v>0</v>
      </c>
      <c r="O762" t="n">
        <v>0</v>
      </c>
      <c r="P762" t="n">
        <v>0</v>
      </c>
      <c r="Q762" t="n">
        <v>0</v>
      </c>
      <c r="R762" s="2" t="inlineStr"/>
    </row>
    <row r="763" ht="15" customHeight="1">
      <c r="A763" t="inlineStr">
        <is>
          <t>A 64831-2023</t>
        </is>
      </c>
      <c r="B763" s="1" t="n">
        <v>45282</v>
      </c>
      <c r="C763" s="1" t="n">
        <v>45807</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64838-2023</t>
        </is>
      </c>
      <c r="B764" s="1" t="n">
        <v>45282</v>
      </c>
      <c r="C764" s="1" t="n">
        <v>45807</v>
      </c>
      <c r="D764" t="inlineStr">
        <is>
          <t>GOTLANDS LÄN</t>
        </is>
      </c>
      <c r="E764" t="inlineStr">
        <is>
          <t>GOTLAND</t>
        </is>
      </c>
      <c r="G764" t="n">
        <v>7.5</v>
      </c>
      <c r="H764" t="n">
        <v>0</v>
      </c>
      <c r="I764" t="n">
        <v>0</v>
      </c>
      <c r="J764" t="n">
        <v>0</v>
      </c>
      <c r="K764" t="n">
        <v>0</v>
      </c>
      <c r="L764" t="n">
        <v>0</v>
      </c>
      <c r="M764" t="n">
        <v>0</v>
      </c>
      <c r="N764" t="n">
        <v>0</v>
      </c>
      <c r="O764" t="n">
        <v>0</v>
      </c>
      <c r="P764" t="n">
        <v>0</v>
      </c>
      <c r="Q764" t="n">
        <v>0</v>
      </c>
      <c r="R764" s="2" t="inlineStr"/>
    </row>
    <row r="765" ht="15" customHeight="1">
      <c r="A765" t="inlineStr">
        <is>
          <t>A 64969-2023</t>
        </is>
      </c>
      <c r="B765" s="1" t="n">
        <v>45284</v>
      </c>
      <c r="C765" s="1" t="n">
        <v>45807</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65088-2023</t>
        </is>
      </c>
      <c r="B766" s="1" t="n">
        <v>45287</v>
      </c>
      <c r="C766" s="1" t="n">
        <v>45807</v>
      </c>
      <c r="D766" t="inlineStr">
        <is>
          <t>GOTLANDS LÄN</t>
        </is>
      </c>
      <c r="E766" t="inlineStr">
        <is>
          <t>GOTLAND</t>
        </is>
      </c>
      <c r="G766" t="n">
        <v>2.5</v>
      </c>
      <c r="H766" t="n">
        <v>0</v>
      </c>
      <c r="I766" t="n">
        <v>0</v>
      </c>
      <c r="J766" t="n">
        <v>0</v>
      </c>
      <c r="K766" t="n">
        <v>0</v>
      </c>
      <c r="L766" t="n">
        <v>0</v>
      </c>
      <c r="M766" t="n">
        <v>0</v>
      </c>
      <c r="N766" t="n">
        <v>0</v>
      </c>
      <c r="O766" t="n">
        <v>0</v>
      </c>
      <c r="P766" t="n">
        <v>0</v>
      </c>
      <c r="Q766" t="n">
        <v>0</v>
      </c>
      <c r="R766" s="2" t="inlineStr"/>
    </row>
    <row r="767" ht="15" customHeight="1">
      <c r="A767" t="inlineStr">
        <is>
          <t>A 65097-2023</t>
        </is>
      </c>
      <c r="B767" s="1" t="n">
        <v>45287</v>
      </c>
      <c r="C767" s="1" t="n">
        <v>45807</v>
      </c>
      <c r="D767" t="inlineStr">
        <is>
          <t>GOTLANDS LÄN</t>
        </is>
      </c>
      <c r="E767" t="inlineStr">
        <is>
          <t>GOTLAND</t>
        </is>
      </c>
      <c r="G767" t="n">
        <v>15.4</v>
      </c>
      <c r="H767" t="n">
        <v>0</v>
      </c>
      <c r="I767" t="n">
        <v>0</v>
      </c>
      <c r="J767" t="n">
        <v>0</v>
      </c>
      <c r="K767" t="n">
        <v>0</v>
      </c>
      <c r="L767" t="n">
        <v>0</v>
      </c>
      <c r="M767" t="n">
        <v>0</v>
      </c>
      <c r="N767" t="n">
        <v>0</v>
      </c>
      <c r="O767" t="n">
        <v>0</v>
      </c>
      <c r="P767" t="n">
        <v>0</v>
      </c>
      <c r="Q767" t="n">
        <v>0</v>
      </c>
      <c r="R767" s="2" t="inlineStr"/>
    </row>
    <row r="768" ht="15" customHeight="1">
      <c r="A768" t="inlineStr">
        <is>
          <t>A 65249-2023</t>
        </is>
      </c>
      <c r="B768" s="1" t="n">
        <v>45290</v>
      </c>
      <c r="C768" s="1" t="n">
        <v>45807</v>
      </c>
      <c r="D768" t="inlineStr">
        <is>
          <t>GOTLANDS LÄN</t>
        </is>
      </c>
      <c r="E768" t="inlineStr">
        <is>
          <t>GOTLAND</t>
        </is>
      </c>
      <c r="G768" t="n">
        <v>2.4</v>
      </c>
      <c r="H768" t="n">
        <v>0</v>
      </c>
      <c r="I768" t="n">
        <v>0</v>
      </c>
      <c r="J768" t="n">
        <v>0</v>
      </c>
      <c r="K768" t="n">
        <v>0</v>
      </c>
      <c r="L768" t="n">
        <v>0</v>
      </c>
      <c r="M768" t="n">
        <v>0</v>
      </c>
      <c r="N768" t="n">
        <v>0</v>
      </c>
      <c r="O768" t="n">
        <v>0</v>
      </c>
      <c r="P768" t="n">
        <v>0</v>
      </c>
      <c r="Q768" t="n">
        <v>0</v>
      </c>
      <c r="R768" s="2" t="inlineStr"/>
    </row>
    <row r="769" ht="15" customHeight="1">
      <c r="A769" t="inlineStr">
        <is>
          <t>A 98-2024</t>
        </is>
      </c>
      <c r="B769" s="1" t="n">
        <v>45293</v>
      </c>
      <c r="C769" s="1" t="n">
        <v>45807</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450-2024</t>
        </is>
      </c>
      <c r="B770" s="1" t="n">
        <v>45296</v>
      </c>
      <c r="C770" s="1" t="n">
        <v>45807</v>
      </c>
      <c r="D770" t="inlineStr">
        <is>
          <t>GOTLANDS LÄN</t>
        </is>
      </c>
      <c r="E770" t="inlineStr">
        <is>
          <t>GOTLAND</t>
        </is>
      </c>
      <c r="G770" t="n">
        <v>10.1</v>
      </c>
      <c r="H770" t="n">
        <v>0</v>
      </c>
      <c r="I770" t="n">
        <v>0</v>
      </c>
      <c r="J770" t="n">
        <v>0</v>
      </c>
      <c r="K770" t="n">
        <v>0</v>
      </c>
      <c r="L770" t="n">
        <v>0</v>
      </c>
      <c r="M770" t="n">
        <v>0</v>
      </c>
      <c r="N770" t="n">
        <v>0</v>
      </c>
      <c r="O770" t="n">
        <v>0</v>
      </c>
      <c r="P770" t="n">
        <v>0</v>
      </c>
      <c r="Q770" t="n">
        <v>0</v>
      </c>
      <c r="R770" s="2" t="inlineStr"/>
    </row>
    <row r="771" ht="15" customHeight="1">
      <c r="A771" t="inlineStr">
        <is>
          <t>A 533-2024</t>
        </is>
      </c>
      <c r="B771" s="1" t="n">
        <v>45299</v>
      </c>
      <c r="C771" s="1" t="n">
        <v>45807</v>
      </c>
      <c r="D771" t="inlineStr">
        <is>
          <t>GOTLANDS LÄN</t>
        </is>
      </c>
      <c r="E771" t="inlineStr">
        <is>
          <t>GOTLAND</t>
        </is>
      </c>
      <c r="G771" t="n">
        <v>7.1</v>
      </c>
      <c r="H771" t="n">
        <v>0</v>
      </c>
      <c r="I771" t="n">
        <v>0</v>
      </c>
      <c r="J771" t="n">
        <v>0</v>
      </c>
      <c r="K771" t="n">
        <v>0</v>
      </c>
      <c r="L771" t="n">
        <v>0</v>
      </c>
      <c r="M771" t="n">
        <v>0</v>
      </c>
      <c r="N771" t="n">
        <v>0</v>
      </c>
      <c r="O771" t="n">
        <v>0</v>
      </c>
      <c r="P771" t="n">
        <v>0</v>
      </c>
      <c r="Q771" t="n">
        <v>0</v>
      </c>
      <c r="R771" s="2" t="inlineStr"/>
    </row>
    <row r="772" ht="15" customHeight="1">
      <c r="A772" t="inlineStr">
        <is>
          <t>A 796-2024</t>
        </is>
      </c>
      <c r="B772" s="1" t="n">
        <v>45300</v>
      </c>
      <c r="C772" s="1" t="n">
        <v>45807</v>
      </c>
      <c r="D772" t="inlineStr">
        <is>
          <t>GOTLANDS LÄN</t>
        </is>
      </c>
      <c r="E772" t="inlineStr">
        <is>
          <t>GOTLAND</t>
        </is>
      </c>
      <c r="G772" t="n">
        <v>0.8</v>
      </c>
      <c r="H772" t="n">
        <v>0</v>
      </c>
      <c r="I772" t="n">
        <v>0</v>
      </c>
      <c r="J772" t="n">
        <v>0</v>
      </c>
      <c r="K772" t="n">
        <v>0</v>
      </c>
      <c r="L772" t="n">
        <v>0</v>
      </c>
      <c r="M772" t="n">
        <v>0</v>
      </c>
      <c r="N772" t="n">
        <v>0</v>
      </c>
      <c r="O772" t="n">
        <v>0</v>
      </c>
      <c r="P772" t="n">
        <v>0</v>
      </c>
      <c r="Q772" t="n">
        <v>0</v>
      </c>
      <c r="R772" s="2" t="inlineStr"/>
    </row>
    <row r="773" ht="15" customHeight="1">
      <c r="A773" t="inlineStr">
        <is>
          <t>A 873-2024</t>
        </is>
      </c>
      <c r="B773" s="1" t="n">
        <v>45301</v>
      </c>
      <c r="C773" s="1" t="n">
        <v>45807</v>
      </c>
      <c r="D773" t="inlineStr">
        <is>
          <t>GOTLANDS LÄN</t>
        </is>
      </c>
      <c r="E773" t="inlineStr">
        <is>
          <t>GOTLAND</t>
        </is>
      </c>
      <c r="G773" t="n">
        <v>2.7</v>
      </c>
      <c r="H773" t="n">
        <v>0</v>
      </c>
      <c r="I773" t="n">
        <v>0</v>
      </c>
      <c r="J773" t="n">
        <v>0</v>
      </c>
      <c r="K773" t="n">
        <v>0</v>
      </c>
      <c r="L773" t="n">
        <v>0</v>
      </c>
      <c r="M773" t="n">
        <v>0</v>
      </c>
      <c r="N773" t="n">
        <v>0</v>
      </c>
      <c r="O773" t="n">
        <v>0</v>
      </c>
      <c r="P773" t="n">
        <v>0</v>
      </c>
      <c r="Q773" t="n">
        <v>0</v>
      </c>
      <c r="R773" s="2" t="inlineStr"/>
    </row>
    <row r="774" ht="15" customHeight="1">
      <c r="A774" t="inlineStr">
        <is>
          <t>A 876-2024</t>
        </is>
      </c>
      <c r="B774" s="1" t="n">
        <v>45301</v>
      </c>
      <c r="C774" s="1" t="n">
        <v>45807</v>
      </c>
      <c r="D774" t="inlineStr">
        <is>
          <t>GOTLANDS LÄN</t>
        </is>
      </c>
      <c r="E774" t="inlineStr">
        <is>
          <t>GOTLAND</t>
        </is>
      </c>
      <c r="G774" t="n">
        <v>5.3</v>
      </c>
      <c r="H774" t="n">
        <v>0</v>
      </c>
      <c r="I774" t="n">
        <v>0</v>
      </c>
      <c r="J774" t="n">
        <v>0</v>
      </c>
      <c r="K774" t="n">
        <v>0</v>
      </c>
      <c r="L774" t="n">
        <v>0</v>
      </c>
      <c r="M774" t="n">
        <v>0</v>
      </c>
      <c r="N774" t="n">
        <v>0</v>
      </c>
      <c r="O774" t="n">
        <v>0</v>
      </c>
      <c r="P774" t="n">
        <v>0</v>
      </c>
      <c r="Q774" t="n">
        <v>0</v>
      </c>
      <c r="R774" s="2" t="inlineStr"/>
    </row>
    <row r="775" ht="15" customHeight="1">
      <c r="A775" t="inlineStr">
        <is>
          <t>A 999-2024</t>
        </is>
      </c>
      <c r="B775" s="1" t="n">
        <v>45301</v>
      </c>
      <c r="C775" s="1" t="n">
        <v>45807</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1010-2024</t>
        </is>
      </c>
      <c r="B776" s="1" t="n">
        <v>45301</v>
      </c>
      <c r="C776" s="1" t="n">
        <v>45807</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1000-2024</t>
        </is>
      </c>
      <c r="B777" s="1" t="n">
        <v>45301</v>
      </c>
      <c r="C777" s="1" t="n">
        <v>45807</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1008-2024</t>
        </is>
      </c>
      <c r="B778" s="1" t="n">
        <v>45301</v>
      </c>
      <c r="C778" s="1" t="n">
        <v>45807</v>
      </c>
      <c r="D778" t="inlineStr">
        <is>
          <t>GOTLANDS LÄN</t>
        </is>
      </c>
      <c r="E778" t="inlineStr">
        <is>
          <t>GOTLAND</t>
        </is>
      </c>
      <c r="G778" t="n">
        <v>2.3</v>
      </c>
      <c r="H778" t="n">
        <v>0</v>
      </c>
      <c r="I778" t="n">
        <v>0</v>
      </c>
      <c r="J778" t="n">
        <v>0</v>
      </c>
      <c r="K778" t="n">
        <v>0</v>
      </c>
      <c r="L778" t="n">
        <v>0</v>
      </c>
      <c r="M778" t="n">
        <v>0</v>
      </c>
      <c r="N778" t="n">
        <v>0</v>
      </c>
      <c r="O778" t="n">
        <v>0</v>
      </c>
      <c r="P778" t="n">
        <v>0</v>
      </c>
      <c r="Q778" t="n">
        <v>0</v>
      </c>
      <c r="R778" s="2" t="inlineStr"/>
    </row>
    <row r="779" ht="15" customHeight="1">
      <c r="A779" t="inlineStr">
        <is>
          <t>A 1066-2024</t>
        </is>
      </c>
      <c r="B779" s="1" t="n">
        <v>45302</v>
      </c>
      <c r="C779" s="1" t="n">
        <v>45807</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1321-2024</t>
        </is>
      </c>
      <c r="B780" s="1" t="n">
        <v>45303</v>
      </c>
      <c r="C780" s="1" t="n">
        <v>45807</v>
      </c>
      <c r="D780" t="inlineStr">
        <is>
          <t>GOTLANDS LÄN</t>
        </is>
      </c>
      <c r="E780" t="inlineStr">
        <is>
          <t>GOTLAND</t>
        </is>
      </c>
      <c r="G780" t="n">
        <v>5.5</v>
      </c>
      <c r="H780" t="n">
        <v>0</v>
      </c>
      <c r="I780" t="n">
        <v>0</v>
      </c>
      <c r="J780" t="n">
        <v>0</v>
      </c>
      <c r="K780" t="n">
        <v>0</v>
      </c>
      <c r="L780" t="n">
        <v>0</v>
      </c>
      <c r="M780" t="n">
        <v>0</v>
      </c>
      <c r="N780" t="n">
        <v>0</v>
      </c>
      <c r="O780" t="n">
        <v>0</v>
      </c>
      <c r="P780" t="n">
        <v>0</v>
      </c>
      <c r="Q780" t="n">
        <v>0</v>
      </c>
      <c r="R780" s="2" t="inlineStr"/>
    </row>
    <row r="781" ht="15" customHeight="1">
      <c r="A781" t="inlineStr">
        <is>
          <t>A 1477-2024</t>
        </is>
      </c>
      <c r="B781" s="1" t="n">
        <v>45305</v>
      </c>
      <c r="C781" s="1" t="n">
        <v>45807</v>
      </c>
      <c r="D781" t="inlineStr">
        <is>
          <t>GOTLANDS LÄN</t>
        </is>
      </c>
      <c r="E781" t="inlineStr">
        <is>
          <t>GOTLAND</t>
        </is>
      </c>
      <c r="G781" t="n">
        <v>6.9</v>
      </c>
      <c r="H781" t="n">
        <v>0</v>
      </c>
      <c r="I781" t="n">
        <v>0</v>
      </c>
      <c r="J781" t="n">
        <v>0</v>
      </c>
      <c r="K781" t="n">
        <v>0</v>
      </c>
      <c r="L781" t="n">
        <v>0</v>
      </c>
      <c r="M781" t="n">
        <v>0</v>
      </c>
      <c r="N781" t="n">
        <v>0</v>
      </c>
      <c r="O781" t="n">
        <v>0</v>
      </c>
      <c r="P781" t="n">
        <v>0</v>
      </c>
      <c r="Q781" t="n">
        <v>0</v>
      </c>
      <c r="R781" s="2" t="inlineStr"/>
    </row>
    <row r="782" ht="15" customHeight="1">
      <c r="A782" t="inlineStr">
        <is>
          <t>A 2010-2024</t>
        </is>
      </c>
      <c r="B782" s="1" t="n">
        <v>45308</v>
      </c>
      <c r="C782" s="1" t="n">
        <v>45807</v>
      </c>
      <c r="D782" t="inlineStr">
        <is>
          <t>GOTLANDS LÄN</t>
        </is>
      </c>
      <c r="E782" t="inlineStr">
        <is>
          <t>GOTLAND</t>
        </is>
      </c>
      <c r="G782" t="n">
        <v>5.1</v>
      </c>
      <c r="H782" t="n">
        <v>0</v>
      </c>
      <c r="I782" t="n">
        <v>0</v>
      </c>
      <c r="J782" t="n">
        <v>0</v>
      </c>
      <c r="K782" t="n">
        <v>0</v>
      </c>
      <c r="L782" t="n">
        <v>0</v>
      </c>
      <c r="M782" t="n">
        <v>0</v>
      </c>
      <c r="N782" t="n">
        <v>0</v>
      </c>
      <c r="O782" t="n">
        <v>0</v>
      </c>
      <c r="P782" t="n">
        <v>0</v>
      </c>
      <c r="Q782" t="n">
        <v>0</v>
      </c>
      <c r="R782" s="2" t="inlineStr"/>
    </row>
    <row r="783" ht="15" customHeight="1">
      <c r="A783" t="inlineStr">
        <is>
          <t>A 2774-2024</t>
        </is>
      </c>
      <c r="B783" s="1" t="n">
        <v>45314</v>
      </c>
      <c r="C783" s="1" t="n">
        <v>45807</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2821-2024</t>
        </is>
      </c>
      <c r="B784" s="1" t="n">
        <v>45314</v>
      </c>
      <c r="C784" s="1" t="n">
        <v>45807</v>
      </c>
      <c r="D784" t="inlineStr">
        <is>
          <t>GOTLANDS LÄN</t>
        </is>
      </c>
      <c r="E784" t="inlineStr">
        <is>
          <t>GOTLAND</t>
        </is>
      </c>
      <c r="G784" t="n">
        <v>1.9</v>
      </c>
      <c r="H784" t="n">
        <v>0</v>
      </c>
      <c r="I784" t="n">
        <v>0</v>
      </c>
      <c r="J784" t="n">
        <v>0</v>
      </c>
      <c r="K784" t="n">
        <v>0</v>
      </c>
      <c r="L784" t="n">
        <v>0</v>
      </c>
      <c r="M784" t="n">
        <v>0</v>
      </c>
      <c r="N784" t="n">
        <v>0</v>
      </c>
      <c r="O784" t="n">
        <v>0</v>
      </c>
      <c r="P784" t="n">
        <v>0</v>
      </c>
      <c r="Q784" t="n">
        <v>0</v>
      </c>
      <c r="R784" s="2" t="inlineStr"/>
    </row>
    <row r="785" ht="15" customHeight="1">
      <c r="A785" t="inlineStr">
        <is>
          <t>A 2825-2024</t>
        </is>
      </c>
      <c r="B785" s="1" t="n">
        <v>45314</v>
      </c>
      <c r="C785" s="1" t="n">
        <v>45807</v>
      </c>
      <c r="D785" t="inlineStr">
        <is>
          <t>GOTLANDS LÄN</t>
        </is>
      </c>
      <c r="E785" t="inlineStr">
        <is>
          <t>GOTLAND</t>
        </is>
      </c>
      <c r="G785" t="n">
        <v>4.8</v>
      </c>
      <c r="H785" t="n">
        <v>0</v>
      </c>
      <c r="I785" t="n">
        <v>0</v>
      </c>
      <c r="J785" t="n">
        <v>0</v>
      </c>
      <c r="K785" t="n">
        <v>0</v>
      </c>
      <c r="L785" t="n">
        <v>0</v>
      </c>
      <c r="M785" t="n">
        <v>0</v>
      </c>
      <c r="N785" t="n">
        <v>0</v>
      </c>
      <c r="O785" t="n">
        <v>0</v>
      </c>
      <c r="P785" t="n">
        <v>0</v>
      </c>
      <c r="Q785" t="n">
        <v>0</v>
      </c>
      <c r="R785" s="2" t="inlineStr"/>
    </row>
    <row r="786" ht="15" customHeight="1">
      <c r="A786" t="inlineStr">
        <is>
          <t>A 2819-2024</t>
        </is>
      </c>
      <c r="B786" s="1" t="n">
        <v>45314</v>
      </c>
      <c r="C786" s="1" t="n">
        <v>45807</v>
      </c>
      <c r="D786" t="inlineStr">
        <is>
          <t>GOTLANDS LÄN</t>
        </is>
      </c>
      <c r="E786" t="inlineStr">
        <is>
          <t>GOTLAND</t>
        </is>
      </c>
      <c r="G786" t="n">
        <v>6.3</v>
      </c>
      <c r="H786" t="n">
        <v>0</v>
      </c>
      <c r="I786" t="n">
        <v>0</v>
      </c>
      <c r="J786" t="n">
        <v>0</v>
      </c>
      <c r="K786" t="n">
        <v>0</v>
      </c>
      <c r="L786" t="n">
        <v>0</v>
      </c>
      <c r="M786" t="n">
        <v>0</v>
      </c>
      <c r="N786" t="n">
        <v>0</v>
      </c>
      <c r="O786" t="n">
        <v>0</v>
      </c>
      <c r="P786" t="n">
        <v>0</v>
      </c>
      <c r="Q786" t="n">
        <v>0</v>
      </c>
      <c r="R786" s="2" t="inlineStr"/>
    </row>
    <row r="787" ht="15" customHeight="1">
      <c r="A787" t="inlineStr">
        <is>
          <t>A 3004-2024</t>
        </is>
      </c>
      <c r="B787" s="1" t="n">
        <v>45315</v>
      </c>
      <c r="C787" s="1" t="n">
        <v>45807</v>
      </c>
      <c r="D787" t="inlineStr">
        <is>
          <t>GOTLANDS LÄN</t>
        </is>
      </c>
      <c r="E787" t="inlineStr">
        <is>
          <t>GOTLAND</t>
        </is>
      </c>
      <c r="G787" t="n">
        <v>0.7</v>
      </c>
      <c r="H787" t="n">
        <v>0</v>
      </c>
      <c r="I787" t="n">
        <v>0</v>
      </c>
      <c r="J787" t="n">
        <v>0</v>
      </c>
      <c r="K787" t="n">
        <v>0</v>
      </c>
      <c r="L787" t="n">
        <v>0</v>
      </c>
      <c r="M787" t="n">
        <v>0</v>
      </c>
      <c r="N787" t="n">
        <v>0</v>
      </c>
      <c r="O787" t="n">
        <v>0</v>
      </c>
      <c r="P787" t="n">
        <v>0</v>
      </c>
      <c r="Q787" t="n">
        <v>0</v>
      </c>
      <c r="R787" s="2" t="inlineStr"/>
    </row>
    <row r="788" ht="15" customHeight="1">
      <c r="A788" t="inlineStr">
        <is>
          <t>A 3689-2024</t>
        </is>
      </c>
      <c r="B788" s="1" t="n">
        <v>45321</v>
      </c>
      <c r="C788" s="1" t="n">
        <v>45807</v>
      </c>
      <c r="D788" t="inlineStr">
        <is>
          <t>GOTLANDS LÄN</t>
        </is>
      </c>
      <c r="E788" t="inlineStr">
        <is>
          <t>GOTLAND</t>
        </is>
      </c>
      <c r="G788" t="n">
        <v>4.5</v>
      </c>
      <c r="H788" t="n">
        <v>0</v>
      </c>
      <c r="I788" t="n">
        <v>0</v>
      </c>
      <c r="J788" t="n">
        <v>0</v>
      </c>
      <c r="K788" t="n">
        <v>0</v>
      </c>
      <c r="L788" t="n">
        <v>0</v>
      </c>
      <c r="M788" t="n">
        <v>0</v>
      </c>
      <c r="N788" t="n">
        <v>0</v>
      </c>
      <c r="O788" t="n">
        <v>0</v>
      </c>
      <c r="P788" t="n">
        <v>0</v>
      </c>
      <c r="Q788" t="n">
        <v>0</v>
      </c>
      <c r="R788" s="2" t="inlineStr"/>
    </row>
    <row r="789" ht="15" customHeight="1">
      <c r="A789" t="inlineStr">
        <is>
          <t>A 3707-2024</t>
        </is>
      </c>
      <c r="B789" s="1" t="n">
        <v>45321</v>
      </c>
      <c r="C789" s="1" t="n">
        <v>45807</v>
      </c>
      <c r="D789" t="inlineStr">
        <is>
          <t>GOTLANDS LÄN</t>
        </is>
      </c>
      <c r="E789" t="inlineStr">
        <is>
          <t>GOTLAND</t>
        </is>
      </c>
      <c r="G789" t="n">
        <v>12.2</v>
      </c>
      <c r="H789" t="n">
        <v>0</v>
      </c>
      <c r="I789" t="n">
        <v>0</v>
      </c>
      <c r="J789" t="n">
        <v>0</v>
      </c>
      <c r="K789" t="n">
        <v>0</v>
      </c>
      <c r="L789" t="n">
        <v>0</v>
      </c>
      <c r="M789" t="n">
        <v>0</v>
      </c>
      <c r="N789" t="n">
        <v>0</v>
      </c>
      <c r="O789" t="n">
        <v>0</v>
      </c>
      <c r="P789" t="n">
        <v>0</v>
      </c>
      <c r="Q789" t="n">
        <v>0</v>
      </c>
      <c r="R789" s="2" t="inlineStr"/>
    </row>
    <row r="790" ht="15" customHeight="1">
      <c r="A790" t="inlineStr">
        <is>
          <t>A 3964-2024</t>
        </is>
      </c>
      <c r="B790" s="1" t="n">
        <v>45322</v>
      </c>
      <c r="C790" s="1" t="n">
        <v>45807</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4259-2024</t>
        </is>
      </c>
      <c r="B791" s="1" t="n">
        <v>45324</v>
      </c>
      <c r="C791" s="1" t="n">
        <v>45807</v>
      </c>
      <c r="D791" t="inlineStr">
        <is>
          <t>GOTLANDS LÄN</t>
        </is>
      </c>
      <c r="E791" t="inlineStr">
        <is>
          <t>GOTLAND</t>
        </is>
      </c>
      <c r="G791" t="n">
        <v>1.2</v>
      </c>
      <c r="H791" t="n">
        <v>0</v>
      </c>
      <c r="I791" t="n">
        <v>0</v>
      </c>
      <c r="J791" t="n">
        <v>0</v>
      </c>
      <c r="K791" t="n">
        <v>0</v>
      </c>
      <c r="L791" t="n">
        <v>0</v>
      </c>
      <c r="M791" t="n">
        <v>0</v>
      </c>
      <c r="N791" t="n">
        <v>0</v>
      </c>
      <c r="O791" t="n">
        <v>0</v>
      </c>
      <c r="P791" t="n">
        <v>0</v>
      </c>
      <c r="Q791" t="n">
        <v>0</v>
      </c>
      <c r="R791" s="2" t="inlineStr"/>
    </row>
    <row r="792" ht="15" customHeight="1">
      <c r="A792" t="inlineStr">
        <is>
          <t>A 4421-2024</t>
        </is>
      </c>
      <c r="B792" s="1" t="n">
        <v>45327</v>
      </c>
      <c r="C792" s="1" t="n">
        <v>45807</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4483-2024</t>
        </is>
      </c>
      <c r="B793" s="1" t="n">
        <v>45327</v>
      </c>
      <c r="C793" s="1" t="n">
        <v>45807</v>
      </c>
      <c r="D793" t="inlineStr">
        <is>
          <t>GOTLANDS LÄN</t>
        </is>
      </c>
      <c r="E793" t="inlineStr">
        <is>
          <t>GOTLAND</t>
        </is>
      </c>
      <c r="G793" t="n">
        <v>4.6</v>
      </c>
      <c r="H793" t="n">
        <v>0</v>
      </c>
      <c r="I793" t="n">
        <v>0</v>
      </c>
      <c r="J793" t="n">
        <v>0</v>
      </c>
      <c r="K793" t="n">
        <v>0</v>
      </c>
      <c r="L793" t="n">
        <v>0</v>
      </c>
      <c r="M793" t="n">
        <v>0</v>
      </c>
      <c r="N793" t="n">
        <v>0</v>
      </c>
      <c r="O793" t="n">
        <v>0</v>
      </c>
      <c r="P793" t="n">
        <v>0</v>
      </c>
      <c r="Q793" t="n">
        <v>0</v>
      </c>
      <c r="R793" s="2" t="inlineStr"/>
    </row>
    <row r="794" ht="15" customHeight="1">
      <c r="A794" t="inlineStr">
        <is>
          <t>A 4689-2024</t>
        </is>
      </c>
      <c r="B794" s="1" t="n">
        <v>45328</v>
      </c>
      <c r="C794" s="1" t="n">
        <v>45807</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4868-2024</t>
        </is>
      </c>
      <c r="B795" s="1" t="n">
        <v>45329</v>
      </c>
      <c r="C795" s="1" t="n">
        <v>45807</v>
      </c>
      <c r="D795" t="inlineStr">
        <is>
          <t>GOTLANDS LÄN</t>
        </is>
      </c>
      <c r="E795" t="inlineStr">
        <is>
          <t>GOTLAND</t>
        </is>
      </c>
      <c r="G795" t="n">
        <v>7.1</v>
      </c>
      <c r="H795" t="n">
        <v>0</v>
      </c>
      <c r="I795" t="n">
        <v>0</v>
      </c>
      <c r="J795" t="n">
        <v>0</v>
      </c>
      <c r="K795" t="n">
        <v>0</v>
      </c>
      <c r="L795" t="n">
        <v>0</v>
      </c>
      <c r="M795" t="n">
        <v>0</v>
      </c>
      <c r="N795" t="n">
        <v>0</v>
      </c>
      <c r="O795" t="n">
        <v>0</v>
      </c>
      <c r="P795" t="n">
        <v>0</v>
      </c>
      <c r="Q795" t="n">
        <v>0</v>
      </c>
      <c r="R795" s="2" t="inlineStr"/>
    </row>
    <row r="796" ht="15" customHeight="1">
      <c r="A796" t="inlineStr">
        <is>
          <t>A 5413-2024</t>
        </is>
      </c>
      <c r="B796" s="1" t="n">
        <v>45331</v>
      </c>
      <c r="C796" s="1" t="n">
        <v>45807</v>
      </c>
      <c r="D796" t="inlineStr">
        <is>
          <t>GOTLANDS LÄN</t>
        </is>
      </c>
      <c r="E796" t="inlineStr">
        <is>
          <t>GOTLAND</t>
        </is>
      </c>
      <c r="G796" t="n">
        <v>2</v>
      </c>
      <c r="H796" t="n">
        <v>0</v>
      </c>
      <c r="I796" t="n">
        <v>0</v>
      </c>
      <c r="J796" t="n">
        <v>0</v>
      </c>
      <c r="K796" t="n">
        <v>0</v>
      </c>
      <c r="L796" t="n">
        <v>0</v>
      </c>
      <c r="M796" t="n">
        <v>0</v>
      </c>
      <c r="N796" t="n">
        <v>0</v>
      </c>
      <c r="O796" t="n">
        <v>0</v>
      </c>
      <c r="P796" t="n">
        <v>0</v>
      </c>
      <c r="Q796" t="n">
        <v>0</v>
      </c>
      <c r="R796" s="2" t="inlineStr"/>
    </row>
    <row r="797" ht="15" customHeight="1">
      <c r="A797" t="inlineStr">
        <is>
          <t>A 5751-2024</t>
        </is>
      </c>
      <c r="B797" s="1" t="n">
        <v>45335</v>
      </c>
      <c r="C797" s="1" t="n">
        <v>45807</v>
      </c>
      <c r="D797" t="inlineStr">
        <is>
          <t>GOTLANDS LÄN</t>
        </is>
      </c>
      <c r="E797" t="inlineStr">
        <is>
          <t>GOTLAND</t>
        </is>
      </c>
      <c r="G797" t="n">
        <v>4.2</v>
      </c>
      <c r="H797" t="n">
        <v>0</v>
      </c>
      <c r="I797" t="n">
        <v>0</v>
      </c>
      <c r="J797" t="n">
        <v>0</v>
      </c>
      <c r="K797" t="n">
        <v>0</v>
      </c>
      <c r="L797" t="n">
        <v>0</v>
      </c>
      <c r="M797" t="n">
        <v>0</v>
      </c>
      <c r="N797" t="n">
        <v>0</v>
      </c>
      <c r="O797" t="n">
        <v>0</v>
      </c>
      <c r="P797" t="n">
        <v>0</v>
      </c>
      <c r="Q797" t="n">
        <v>0</v>
      </c>
      <c r="R797" s="2" t="inlineStr"/>
    </row>
    <row r="798" ht="15" customHeight="1">
      <c r="A798" t="inlineStr">
        <is>
          <t>A 5905-2024</t>
        </is>
      </c>
      <c r="B798" s="1" t="n">
        <v>45335</v>
      </c>
      <c r="C798" s="1" t="n">
        <v>45807</v>
      </c>
      <c r="D798" t="inlineStr">
        <is>
          <t>GOTLANDS LÄN</t>
        </is>
      </c>
      <c r="E798" t="inlineStr">
        <is>
          <t>GOTLAND</t>
        </is>
      </c>
      <c r="G798" t="n">
        <v>3</v>
      </c>
      <c r="H798" t="n">
        <v>0</v>
      </c>
      <c r="I798" t="n">
        <v>0</v>
      </c>
      <c r="J798" t="n">
        <v>0</v>
      </c>
      <c r="K798" t="n">
        <v>0</v>
      </c>
      <c r="L798" t="n">
        <v>0</v>
      </c>
      <c r="M798" t="n">
        <v>0</v>
      </c>
      <c r="N798" t="n">
        <v>0</v>
      </c>
      <c r="O798" t="n">
        <v>0</v>
      </c>
      <c r="P798" t="n">
        <v>0</v>
      </c>
      <c r="Q798" t="n">
        <v>0</v>
      </c>
      <c r="R798" s="2" t="inlineStr"/>
    </row>
    <row r="799" ht="15" customHeight="1">
      <c r="A799" t="inlineStr">
        <is>
          <t>A 5943-2024</t>
        </is>
      </c>
      <c r="B799" s="1" t="n">
        <v>45336</v>
      </c>
      <c r="C799" s="1" t="n">
        <v>45807</v>
      </c>
      <c r="D799" t="inlineStr">
        <is>
          <t>GOTLANDS LÄN</t>
        </is>
      </c>
      <c r="E799" t="inlineStr">
        <is>
          <t>GOTLAND</t>
        </is>
      </c>
      <c r="G799" t="n">
        <v>4.3</v>
      </c>
      <c r="H799" t="n">
        <v>0</v>
      </c>
      <c r="I799" t="n">
        <v>0</v>
      </c>
      <c r="J799" t="n">
        <v>0</v>
      </c>
      <c r="K799" t="n">
        <v>0</v>
      </c>
      <c r="L799" t="n">
        <v>0</v>
      </c>
      <c r="M799" t="n">
        <v>0</v>
      </c>
      <c r="N799" t="n">
        <v>0</v>
      </c>
      <c r="O799" t="n">
        <v>0</v>
      </c>
      <c r="P799" t="n">
        <v>0</v>
      </c>
      <c r="Q799" t="n">
        <v>0</v>
      </c>
      <c r="R799" s="2" t="inlineStr"/>
    </row>
    <row r="800" ht="15" customHeight="1">
      <c r="A800" t="inlineStr">
        <is>
          <t>A 6099-2024</t>
        </is>
      </c>
      <c r="B800" s="1" t="n">
        <v>45337</v>
      </c>
      <c r="C800" s="1" t="n">
        <v>45807</v>
      </c>
      <c r="D800" t="inlineStr">
        <is>
          <t>GOTLANDS LÄN</t>
        </is>
      </c>
      <c r="E800" t="inlineStr">
        <is>
          <t>GOTLAND</t>
        </is>
      </c>
      <c r="G800" t="n">
        <v>12.6</v>
      </c>
      <c r="H800" t="n">
        <v>0</v>
      </c>
      <c r="I800" t="n">
        <v>0</v>
      </c>
      <c r="J800" t="n">
        <v>0</v>
      </c>
      <c r="K800" t="n">
        <v>0</v>
      </c>
      <c r="L800" t="n">
        <v>0</v>
      </c>
      <c r="M800" t="n">
        <v>0</v>
      </c>
      <c r="N800" t="n">
        <v>0</v>
      </c>
      <c r="O800" t="n">
        <v>0</v>
      </c>
      <c r="P800" t="n">
        <v>0</v>
      </c>
      <c r="Q800" t="n">
        <v>0</v>
      </c>
      <c r="R800" s="2" t="inlineStr"/>
    </row>
    <row r="801" ht="15" customHeight="1">
      <c r="A801" t="inlineStr">
        <is>
          <t>A 6141-2024</t>
        </is>
      </c>
      <c r="B801" s="1" t="n">
        <v>45337</v>
      </c>
      <c r="C801" s="1" t="n">
        <v>45807</v>
      </c>
      <c r="D801" t="inlineStr">
        <is>
          <t>GOTLANDS LÄN</t>
        </is>
      </c>
      <c r="E801" t="inlineStr">
        <is>
          <t>GOTLAND</t>
        </is>
      </c>
      <c r="G801" t="n">
        <v>6.1</v>
      </c>
      <c r="H801" t="n">
        <v>0</v>
      </c>
      <c r="I801" t="n">
        <v>0</v>
      </c>
      <c r="J801" t="n">
        <v>0</v>
      </c>
      <c r="K801" t="n">
        <v>0</v>
      </c>
      <c r="L801" t="n">
        <v>0</v>
      </c>
      <c r="M801" t="n">
        <v>0</v>
      </c>
      <c r="N801" t="n">
        <v>0</v>
      </c>
      <c r="O801" t="n">
        <v>0</v>
      </c>
      <c r="P801" t="n">
        <v>0</v>
      </c>
      <c r="Q801" t="n">
        <v>0</v>
      </c>
      <c r="R801" s="2" t="inlineStr"/>
    </row>
    <row r="802" ht="15" customHeight="1">
      <c r="A802" t="inlineStr">
        <is>
          <t>A 6153-2024</t>
        </is>
      </c>
      <c r="B802" s="1" t="n">
        <v>45337</v>
      </c>
      <c r="C802" s="1" t="n">
        <v>45807</v>
      </c>
      <c r="D802" t="inlineStr">
        <is>
          <t>GOTLANDS LÄN</t>
        </is>
      </c>
      <c r="E802" t="inlineStr">
        <is>
          <t>GOTLAND</t>
        </is>
      </c>
      <c r="G802" t="n">
        <v>14.2</v>
      </c>
      <c r="H802" t="n">
        <v>0</v>
      </c>
      <c r="I802" t="n">
        <v>0</v>
      </c>
      <c r="J802" t="n">
        <v>0</v>
      </c>
      <c r="K802" t="n">
        <v>0</v>
      </c>
      <c r="L802" t="n">
        <v>0</v>
      </c>
      <c r="M802" t="n">
        <v>0</v>
      </c>
      <c r="N802" t="n">
        <v>0</v>
      </c>
      <c r="O802" t="n">
        <v>0</v>
      </c>
      <c r="P802" t="n">
        <v>0</v>
      </c>
      <c r="Q802" t="n">
        <v>0</v>
      </c>
      <c r="R802" s="2" t="inlineStr"/>
    </row>
    <row r="803" ht="15" customHeight="1">
      <c r="A803" t="inlineStr">
        <is>
          <t>A 6138-2024</t>
        </is>
      </c>
      <c r="B803" s="1" t="n">
        <v>45337</v>
      </c>
      <c r="C803" s="1" t="n">
        <v>45807</v>
      </c>
      <c r="D803" t="inlineStr">
        <is>
          <t>GOTLANDS LÄN</t>
        </is>
      </c>
      <c r="E803" t="inlineStr">
        <is>
          <t>GOTLAND</t>
        </is>
      </c>
      <c r="G803" t="n">
        <v>24.8</v>
      </c>
      <c r="H803" t="n">
        <v>0</v>
      </c>
      <c r="I803" t="n">
        <v>0</v>
      </c>
      <c r="J803" t="n">
        <v>0</v>
      </c>
      <c r="K803" t="n">
        <v>0</v>
      </c>
      <c r="L803" t="n">
        <v>0</v>
      </c>
      <c r="M803" t="n">
        <v>0</v>
      </c>
      <c r="N803" t="n">
        <v>0</v>
      </c>
      <c r="O803" t="n">
        <v>0</v>
      </c>
      <c r="P803" t="n">
        <v>0</v>
      </c>
      <c r="Q803" t="n">
        <v>0</v>
      </c>
      <c r="R803" s="2" t="inlineStr"/>
    </row>
    <row r="804" ht="15" customHeight="1">
      <c r="A804" t="inlineStr">
        <is>
          <t>A 7497-2024</t>
        </is>
      </c>
      <c r="B804" s="1" t="n">
        <v>45347</v>
      </c>
      <c r="C804" s="1" t="n">
        <v>45807</v>
      </c>
      <c r="D804" t="inlineStr">
        <is>
          <t>GOTLANDS LÄN</t>
        </is>
      </c>
      <c r="E804" t="inlineStr">
        <is>
          <t>GOTLAND</t>
        </is>
      </c>
      <c r="G804" t="n">
        <v>18.5</v>
      </c>
      <c r="H804" t="n">
        <v>0</v>
      </c>
      <c r="I804" t="n">
        <v>0</v>
      </c>
      <c r="J804" t="n">
        <v>0</v>
      </c>
      <c r="K804" t="n">
        <v>0</v>
      </c>
      <c r="L804" t="n">
        <v>0</v>
      </c>
      <c r="M804" t="n">
        <v>0</v>
      </c>
      <c r="N804" t="n">
        <v>0</v>
      </c>
      <c r="O804" t="n">
        <v>0</v>
      </c>
      <c r="P804" t="n">
        <v>0</v>
      </c>
      <c r="Q804" t="n">
        <v>0</v>
      </c>
      <c r="R804" s="2" t="inlineStr"/>
    </row>
    <row r="805" ht="15" customHeight="1">
      <c r="A805" t="inlineStr">
        <is>
          <t>A 7837-2024</t>
        </is>
      </c>
      <c r="B805" s="1" t="n">
        <v>45349</v>
      </c>
      <c r="C805" s="1" t="n">
        <v>45807</v>
      </c>
      <c r="D805" t="inlineStr">
        <is>
          <t>GOTLANDS LÄN</t>
        </is>
      </c>
      <c r="E805" t="inlineStr">
        <is>
          <t>GOTLAND</t>
        </is>
      </c>
      <c r="G805" t="n">
        <v>5</v>
      </c>
      <c r="H805" t="n">
        <v>0</v>
      </c>
      <c r="I805" t="n">
        <v>0</v>
      </c>
      <c r="J805" t="n">
        <v>0</v>
      </c>
      <c r="K805" t="n">
        <v>0</v>
      </c>
      <c r="L805" t="n">
        <v>0</v>
      </c>
      <c r="M805" t="n">
        <v>0</v>
      </c>
      <c r="N805" t="n">
        <v>0</v>
      </c>
      <c r="O805" t="n">
        <v>0</v>
      </c>
      <c r="P805" t="n">
        <v>0</v>
      </c>
      <c r="Q805" t="n">
        <v>0</v>
      </c>
      <c r="R805" s="2" t="inlineStr"/>
    </row>
    <row r="806" ht="15" customHeight="1">
      <c r="A806" t="inlineStr">
        <is>
          <t>A 7835-2024</t>
        </is>
      </c>
      <c r="B806" s="1" t="n">
        <v>45349</v>
      </c>
      <c r="C806" s="1" t="n">
        <v>45807</v>
      </c>
      <c r="D806" t="inlineStr">
        <is>
          <t>GOTLANDS LÄN</t>
        </is>
      </c>
      <c r="E806" t="inlineStr">
        <is>
          <t>GOTLAND</t>
        </is>
      </c>
      <c r="G806" t="n">
        <v>3.8</v>
      </c>
      <c r="H806" t="n">
        <v>0</v>
      </c>
      <c r="I806" t="n">
        <v>0</v>
      </c>
      <c r="J806" t="n">
        <v>0</v>
      </c>
      <c r="K806" t="n">
        <v>0</v>
      </c>
      <c r="L806" t="n">
        <v>0</v>
      </c>
      <c r="M806" t="n">
        <v>0</v>
      </c>
      <c r="N806" t="n">
        <v>0</v>
      </c>
      <c r="O806" t="n">
        <v>0</v>
      </c>
      <c r="P806" t="n">
        <v>0</v>
      </c>
      <c r="Q806" t="n">
        <v>0</v>
      </c>
      <c r="R806" s="2" t="inlineStr"/>
    </row>
    <row r="807" ht="15" customHeight="1">
      <c r="A807" t="inlineStr">
        <is>
          <t>A 8460-2024</t>
        </is>
      </c>
      <c r="B807" s="1" t="n">
        <v>45355</v>
      </c>
      <c r="C807" s="1" t="n">
        <v>45807</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9947-2024</t>
        </is>
      </c>
      <c r="B808" s="1" t="n">
        <v>45363</v>
      </c>
      <c r="C808" s="1" t="n">
        <v>45807</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10051-2024</t>
        </is>
      </c>
      <c r="B809" s="1" t="n">
        <v>45364</v>
      </c>
      <c r="C809" s="1" t="n">
        <v>45807</v>
      </c>
      <c r="D809" t="inlineStr">
        <is>
          <t>GOTLANDS LÄN</t>
        </is>
      </c>
      <c r="E809" t="inlineStr">
        <is>
          <t>GOTLAND</t>
        </is>
      </c>
      <c r="G809" t="n">
        <v>4.2</v>
      </c>
      <c r="H809" t="n">
        <v>0</v>
      </c>
      <c r="I809" t="n">
        <v>0</v>
      </c>
      <c r="J809" t="n">
        <v>0</v>
      </c>
      <c r="K809" t="n">
        <v>0</v>
      </c>
      <c r="L809" t="n">
        <v>0</v>
      </c>
      <c r="M809" t="n">
        <v>0</v>
      </c>
      <c r="N809" t="n">
        <v>0</v>
      </c>
      <c r="O809" t="n">
        <v>0</v>
      </c>
      <c r="P809" t="n">
        <v>0</v>
      </c>
      <c r="Q809" t="n">
        <v>0</v>
      </c>
      <c r="R809" s="2" t="inlineStr"/>
    </row>
    <row r="810" ht="15" customHeight="1">
      <c r="A810" t="inlineStr">
        <is>
          <t>A 10503-2024</t>
        </is>
      </c>
      <c r="B810" s="1" t="n">
        <v>45366</v>
      </c>
      <c r="C810" s="1" t="n">
        <v>45807</v>
      </c>
      <c r="D810" t="inlineStr">
        <is>
          <t>GOTLANDS LÄN</t>
        </is>
      </c>
      <c r="E810" t="inlineStr">
        <is>
          <t>GOTLAND</t>
        </is>
      </c>
      <c r="G810" t="n">
        <v>2.5</v>
      </c>
      <c r="H810" t="n">
        <v>0</v>
      </c>
      <c r="I810" t="n">
        <v>0</v>
      </c>
      <c r="J810" t="n">
        <v>0</v>
      </c>
      <c r="K810" t="n">
        <v>0</v>
      </c>
      <c r="L810" t="n">
        <v>0</v>
      </c>
      <c r="M810" t="n">
        <v>0</v>
      </c>
      <c r="N810" t="n">
        <v>0</v>
      </c>
      <c r="O810" t="n">
        <v>0</v>
      </c>
      <c r="P810" t="n">
        <v>0</v>
      </c>
      <c r="Q810" t="n">
        <v>0</v>
      </c>
      <c r="R810" s="2" t="inlineStr"/>
    </row>
    <row r="811" ht="15" customHeight="1">
      <c r="A811" t="inlineStr">
        <is>
          <t>A 10656-2024</t>
        </is>
      </c>
      <c r="B811" s="1" t="n">
        <v>45368</v>
      </c>
      <c r="C811" s="1" t="n">
        <v>45807</v>
      </c>
      <c r="D811" t="inlineStr">
        <is>
          <t>GOTLANDS LÄN</t>
        </is>
      </c>
      <c r="E811" t="inlineStr">
        <is>
          <t>GOTLAND</t>
        </is>
      </c>
      <c r="G811" t="n">
        <v>1.5</v>
      </c>
      <c r="H811" t="n">
        <v>0</v>
      </c>
      <c r="I811" t="n">
        <v>0</v>
      </c>
      <c r="J811" t="n">
        <v>0</v>
      </c>
      <c r="K811" t="n">
        <v>0</v>
      </c>
      <c r="L811" t="n">
        <v>0</v>
      </c>
      <c r="M811" t="n">
        <v>0</v>
      </c>
      <c r="N811" t="n">
        <v>0</v>
      </c>
      <c r="O811" t="n">
        <v>0</v>
      </c>
      <c r="P811" t="n">
        <v>0</v>
      </c>
      <c r="Q811" t="n">
        <v>0</v>
      </c>
      <c r="R811" s="2" t="inlineStr"/>
    </row>
    <row r="812" ht="15" customHeight="1">
      <c r="A812" t="inlineStr">
        <is>
          <t>A 11013-2024</t>
        </is>
      </c>
      <c r="B812" s="1" t="n">
        <v>45370</v>
      </c>
      <c r="C812" s="1" t="n">
        <v>45807</v>
      </c>
      <c r="D812" t="inlineStr">
        <is>
          <t>GOTLANDS LÄN</t>
        </is>
      </c>
      <c r="E812" t="inlineStr">
        <is>
          <t>GOTLAND</t>
        </is>
      </c>
      <c r="G812" t="n">
        <v>0.7</v>
      </c>
      <c r="H812" t="n">
        <v>0</v>
      </c>
      <c r="I812" t="n">
        <v>0</v>
      </c>
      <c r="J812" t="n">
        <v>0</v>
      </c>
      <c r="K812" t="n">
        <v>0</v>
      </c>
      <c r="L812" t="n">
        <v>0</v>
      </c>
      <c r="M812" t="n">
        <v>0</v>
      </c>
      <c r="N812" t="n">
        <v>0</v>
      </c>
      <c r="O812" t="n">
        <v>0</v>
      </c>
      <c r="P812" t="n">
        <v>0</v>
      </c>
      <c r="Q812" t="n">
        <v>0</v>
      </c>
      <c r="R812" s="2" t="inlineStr"/>
    </row>
    <row r="813" ht="15" customHeight="1">
      <c r="A813" t="inlineStr">
        <is>
          <t>A 11254-2024</t>
        </is>
      </c>
      <c r="B813" s="1" t="n">
        <v>45371</v>
      </c>
      <c r="C813" s="1" t="n">
        <v>45807</v>
      </c>
      <c r="D813" t="inlineStr">
        <is>
          <t>GOTLANDS LÄN</t>
        </is>
      </c>
      <c r="E813" t="inlineStr">
        <is>
          <t>GOTLAND</t>
        </is>
      </c>
      <c r="G813" t="n">
        <v>5.6</v>
      </c>
      <c r="H813" t="n">
        <v>0</v>
      </c>
      <c r="I813" t="n">
        <v>0</v>
      </c>
      <c r="J813" t="n">
        <v>0</v>
      </c>
      <c r="K813" t="n">
        <v>0</v>
      </c>
      <c r="L813" t="n">
        <v>0</v>
      </c>
      <c r="M813" t="n">
        <v>0</v>
      </c>
      <c r="N813" t="n">
        <v>0</v>
      </c>
      <c r="O813" t="n">
        <v>0</v>
      </c>
      <c r="P813" t="n">
        <v>0</v>
      </c>
      <c r="Q813" t="n">
        <v>0</v>
      </c>
      <c r="R813" s="2" t="inlineStr"/>
    </row>
    <row r="814" ht="15" customHeight="1">
      <c r="A814" t="inlineStr">
        <is>
          <t>A 11634-2024</t>
        </is>
      </c>
      <c r="B814" s="1" t="n">
        <v>45373</v>
      </c>
      <c r="C814" s="1" t="n">
        <v>45807</v>
      </c>
      <c r="D814" t="inlineStr">
        <is>
          <t>GOTLANDS LÄN</t>
        </is>
      </c>
      <c r="E814" t="inlineStr">
        <is>
          <t>GOTLAND</t>
        </is>
      </c>
      <c r="G814" t="n">
        <v>3</v>
      </c>
      <c r="H814" t="n">
        <v>0</v>
      </c>
      <c r="I814" t="n">
        <v>0</v>
      </c>
      <c r="J814" t="n">
        <v>0</v>
      </c>
      <c r="K814" t="n">
        <v>0</v>
      </c>
      <c r="L814" t="n">
        <v>0</v>
      </c>
      <c r="M814" t="n">
        <v>0</v>
      </c>
      <c r="N814" t="n">
        <v>0</v>
      </c>
      <c r="O814" t="n">
        <v>0</v>
      </c>
      <c r="P814" t="n">
        <v>0</v>
      </c>
      <c r="Q814" t="n">
        <v>0</v>
      </c>
      <c r="R814" s="2" t="inlineStr"/>
    </row>
    <row r="815" ht="15" customHeight="1">
      <c r="A815" t="inlineStr">
        <is>
          <t>A 11722-2024</t>
        </is>
      </c>
      <c r="B815" s="1" t="n">
        <v>45373</v>
      </c>
      <c r="C815" s="1" t="n">
        <v>45807</v>
      </c>
      <c r="D815" t="inlineStr">
        <is>
          <t>GOTLANDS LÄN</t>
        </is>
      </c>
      <c r="E815" t="inlineStr">
        <is>
          <t>GOTLAND</t>
        </is>
      </c>
      <c r="G815" t="n">
        <v>0.9</v>
      </c>
      <c r="H815" t="n">
        <v>0</v>
      </c>
      <c r="I815" t="n">
        <v>0</v>
      </c>
      <c r="J815" t="n">
        <v>0</v>
      </c>
      <c r="K815" t="n">
        <v>0</v>
      </c>
      <c r="L815" t="n">
        <v>0</v>
      </c>
      <c r="M815" t="n">
        <v>0</v>
      </c>
      <c r="N815" t="n">
        <v>0</v>
      </c>
      <c r="O815" t="n">
        <v>0</v>
      </c>
      <c r="P815" t="n">
        <v>0</v>
      </c>
      <c r="Q815" t="n">
        <v>0</v>
      </c>
      <c r="R815" s="2" t="inlineStr"/>
    </row>
    <row r="816" ht="15" customHeight="1">
      <c r="A816" t="inlineStr">
        <is>
          <t>A 11590-2024</t>
        </is>
      </c>
      <c r="B816" s="1" t="n">
        <v>45373</v>
      </c>
      <c r="C816" s="1" t="n">
        <v>45807</v>
      </c>
      <c r="D816" t="inlineStr">
        <is>
          <t>GOTLANDS LÄN</t>
        </is>
      </c>
      <c r="E816" t="inlineStr">
        <is>
          <t>GOTLAND</t>
        </is>
      </c>
      <c r="G816" t="n">
        <v>2.9</v>
      </c>
      <c r="H816" t="n">
        <v>0</v>
      </c>
      <c r="I816" t="n">
        <v>0</v>
      </c>
      <c r="J816" t="n">
        <v>0</v>
      </c>
      <c r="K816" t="n">
        <v>0</v>
      </c>
      <c r="L816" t="n">
        <v>0</v>
      </c>
      <c r="M816" t="n">
        <v>0</v>
      </c>
      <c r="N816" t="n">
        <v>0</v>
      </c>
      <c r="O816" t="n">
        <v>0</v>
      </c>
      <c r="P816" t="n">
        <v>0</v>
      </c>
      <c r="Q816" t="n">
        <v>0</v>
      </c>
      <c r="R816" s="2" t="inlineStr"/>
    </row>
    <row r="817" ht="15" customHeight="1">
      <c r="A817" t="inlineStr">
        <is>
          <t>A 11598-2024</t>
        </is>
      </c>
      <c r="B817" s="1" t="n">
        <v>45373</v>
      </c>
      <c r="C817" s="1" t="n">
        <v>45807</v>
      </c>
      <c r="D817" t="inlineStr">
        <is>
          <t>GOTLANDS LÄN</t>
        </is>
      </c>
      <c r="E817" t="inlineStr">
        <is>
          <t>GOTLAND</t>
        </is>
      </c>
      <c r="G817" t="n">
        <v>0.3</v>
      </c>
      <c r="H817" t="n">
        <v>0</v>
      </c>
      <c r="I817" t="n">
        <v>0</v>
      </c>
      <c r="J817" t="n">
        <v>0</v>
      </c>
      <c r="K817" t="n">
        <v>0</v>
      </c>
      <c r="L817" t="n">
        <v>0</v>
      </c>
      <c r="M817" t="n">
        <v>0</v>
      </c>
      <c r="N817" t="n">
        <v>0</v>
      </c>
      <c r="O817" t="n">
        <v>0</v>
      </c>
      <c r="P817" t="n">
        <v>0</v>
      </c>
      <c r="Q817" t="n">
        <v>0</v>
      </c>
      <c r="R817" s="2" t="inlineStr"/>
    </row>
    <row r="818" ht="15" customHeight="1">
      <c r="A818" t="inlineStr">
        <is>
          <t>A 11863-2024</t>
        </is>
      </c>
      <c r="B818" s="1" t="n">
        <v>45376</v>
      </c>
      <c r="C818" s="1" t="n">
        <v>45807</v>
      </c>
      <c r="D818" t="inlineStr">
        <is>
          <t>GOTLANDS LÄN</t>
        </is>
      </c>
      <c r="E818" t="inlineStr">
        <is>
          <t>GOTLAND</t>
        </is>
      </c>
      <c r="G818" t="n">
        <v>3.2</v>
      </c>
      <c r="H818" t="n">
        <v>0</v>
      </c>
      <c r="I818" t="n">
        <v>0</v>
      </c>
      <c r="J818" t="n">
        <v>0</v>
      </c>
      <c r="K818" t="n">
        <v>0</v>
      </c>
      <c r="L818" t="n">
        <v>0</v>
      </c>
      <c r="M818" t="n">
        <v>0</v>
      </c>
      <c r="N818" t="n">
        <v>0</v>
      </c>
      <c r="O818" t="n">
        <v>0</v>
      </c>
      <c r="P818" t="n">
        <v>0</v>
      </c>
      <c r="Q818" t="n">
        <v>0</v>
      </c>
      <c r="R818" s="2" t="inlineStr"/>
    </row>
    <row r="819" ht="15" customHeight="1">
      <c r="A819" t="inlineStr">
        <is>
          <t>A 11868-2024</t>
        </is>
      </c>
      <c r="B819" s="1" t="n">
        <v>45376</v>
      </c>
      <c r="C819" s="1" t="n">
        <v>45807</v>
      </c>
      <c r="D819" t="inlineStr">
        <is>
          <t>GOTLANDS LÄN</t>
        </is>
      </c>
      <c r="E819" t="inlineStr">
        <is>
          <t>GOTLAND</t>
        </is>
      </c>
      <c r="G819" t="n">
        <v>2</v>
      </c>
      <c r="H819" t="n">
        <v>0</v>
      </c>
      <c r="I819" t="n">
        <v>0</v>
      </c>
      <c r="J819" t="n">
        <v>0</v>
      </c>
      <c r="K819" t="n">
        <v>0</v>
      </c>
      <c r="L819" t="n">
        <v>0</v>
      </c>
      <c r="M819" t="n">
        <v>0</v>
      </c>
      <c r="N819" t="n">
        <v>0</v>
      </c>
      <c r="O819" t="n">
        <v>0</v>
      </c>
      <c r="P819" t="n">
        <v>0</v>
      </c>
      <c r="Q819" t="n">
        <v>0</v>
      </c>
      <c r="R819" s="2" t="inlineStr"/>
    </row>
    <row r="820" ht="15" customHeight="1">
      <c r="A820" t="inlineStr">
        <is>
          <t>A 11874-2024</t>
        </is>
      </c>
      <c r="B820" s="1" t="n">
        <v>45376</v>
      </c>
      <c r="C820" s="1" t="n">
        <v>45807</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12208-2024</t>
        </is>
      </c>
      <c r="B821" s="1" t="n">
        <v>45378</v>
      </c>
      <c r="C821" s="1" t="n">
        <v>45807</v>
      </c>
      <c r="D821" t="inlineStr">
        <is>
          <t>GOTLANDS LÄN</t>
        </is>
      </c>
      <c r="E821" t="inlineStr">
        <is>
          <t>GOTLAND</t>
        </is>
      </c>
      <c r="G821" t="n">
        <v>4.5</v>
      </c>
      <c r="H821" t="n">
        <v>0</v>
      </c>
      <c r="I821" t="n">
        <v>0</v>
      </c>
      <c r="J821" t="n">
        <v>0</v>
      </c>
      <c r="K821" t="n">
        <v>0</v>
      </c>
      <c r="L821" t="n">
        <v>0</v>
      </c>
      <c r="M821" t="n">
        <v>0</v>
      </c>
      <c r="N821" t="n">
        <v>0</v>
      </c>
      <c r="O821" t="n">
        <v>0</v>
      </c>
      <c r="P821" t="n">
        <v>0</v>
      </c>
      <c r="Q821" t="n">
        <v>0</v>
      </c>
      <c r="R821" s="2" t="inlineStr"/>
    </row>
    <row r="822" ht="15" customHeight="1">
      <c r="A822" t="inlineStr">
        <is>
          <t>A 12210-2024</t>
        </is>
      </c>
      <c r="B822" s="1" t="n">
        <v>45378</v>
      </c>
      <c r="C822" s="1" t="n">
        <v>45807</v>
      </c>
      <c r="D822" t="inlineStr">
        <is>
          <t>GOTLANDS LÄN</t>
        </is>
      </c>
      <c r="E822" t="inlineStr">
        <is>
          <t>GOTLAND</t>
        </is>
      </c>
      <c r="G822" t="n">
        <v>4.1</v>
      </c>
      <c r="H822" t="n">
        <v>0</v>
      </c>
      <c r="I822" t="n">
        <v>0</v>
      </c>
      <c r="J822" t="n">
        <v>0</v>
      </c>
      <c r="K822" t="n">
        <v>0</v>
      </c>
      <c r="L822" t="n">
        <v>0</v>
      </c>
      <c r="M822" t="n">
        <v>0</v>
      </c>
      <c r="N822" t="n">
        <v>0</v>
      </c>
      <c r="O822" t="n">
        <v>0</v>
      </c>
      <c r="P822" t="n">
        <v>0</v>
      </c>
      <c r="Q822" t="n">
        <v>0</v>
      </c>
      <c r="R822" s="2" t="inlineStr"/>
    </row>
    <row r="823" ht="15" customHeight="1">
      <c r="A823" t="inlineStr">
        <is>
          <t>A 12207-2024</t>
        </is>
      </c>
      <c r="B823" s="1" t="n">
        <v>45378</v>
      </c>
      <c r="C823" s="1" t="n">
        <v>45807</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12209-2024</t>
        </is>
      </c>
      <c r="B824" s="1" t="n">
        <v>45378</v>
      </c>
      <c r="C824" s="1" t="n">
        <v>45807</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12312-2024</t>
        </is>
      </c>
      <c r="B825" s="1" t="n">
        <v>45378</v>
      </c>
      <c r="C825" s="1" t="n">
        <v>45807</v>
      </c>
      <c r="D825" t="inlineStr">
        <is>
          <t>GOTLANDS LÄN</t>
        </is>
      </c>
      <c r="E825" t="inlineStr">
        <is>
          <t>GOTLAND</t>
        </is>
      </c>
      <c r="G825" t="n">
        <v>1.8</v>
      </c>
      <c r="H825" t="n">
        <v>0</v>
      </c>
      <c r="I825" t="n">
        <v>0</v>
      </c>
      <c r="J825" t="n">
        <v>0</v>
      </c>
      <c r="K825" t="n">
        <v>0</v>
      </c>
      <c r="L825" t="n">
        <v>0</v>
      </c>
      <c r="M825" t="n">
        <v>0</v>
      </c>
      <c r="N825" t="n">
        <v>0</v>
      </c>
      <c r="O825" t="n">
        <v>0</v>
      </c>
      <c r="P825" t="n">
        <v>0</v>
      </c>
      <c r="Q825" t="n">
        <v>0</v>
      </c>
      <c r="R825" s="2" t="inlineStr"/>
    </row>
    <row r="826" ht="15" customHeight="1">
      <c r="A826" t="inlineStr">
        <is>
          <t>A 12389-2024</t>
        </is>
      </c>
      <c r="B826" s="1" t="n">
        <v>45379</v>
      </c>
      <c r="C826" s="1" t="n">
        <v>45807</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12390-2024</t>
        </is>
      </c>
      <c r="B827" s="1" t="n">
        <v>45379</v>
      </c>
      <c r="C827" s="1" t="n">
        <v>45807</v>
      </c>
      <c r="D827" t="inlineStr">
        <is>
          <t>GOTLANDS LÄN</t>
        </is>
      </c>
      <c r="E827" t="inlineStr">
        <is>
          <t>GOTLAND</t>
        </is>
      </c>
      <c r="G827" t="n">
        <v>5.5</v>
      </c>
      <c r="H827" t="n">
        <v>0</v>
      </c>
      <c r="I827" t="n">
        <v>0</v>
      </c>
      <c r="J827" t="n">
        <v>0</v>
      </c>
      <c r="K827" t="n">
        <v>0</v>
      </c>
      <c r="L827" t="n">
        <v>0</v>
      </c>
      <c r="M827" t="n">
        <v>0</v>
      </c>
      <c r="N827" t="n">
        <v>0</v>
      </c>
      <c r="O827" t="n">
        <v>0</v>
      </c>
      <c r="P827" t="n">
        <v>0</v>
      </c>
      <c r="Q827" t="n">
        <v>0</v>
      </c>
      <c r="R827" s="2" t="inlineStr"/>
    </row>
    <row r="828" ht="15" customHeight="1">
      <c r="A828" t="inlineStr">
        <is>
          <t>A 13531-2024</t>
        </is>
      </c>
      <c r="B828" s="1" t="n">
        <v>45387</v>
      </c>
      <c r="C828" s="1" t="n">
        <v>45807</v>
      </c>
      <c r="D828" t="inlineStr">
        <is>
          <t>GOTLANDS LÄN</t>
        </is>
      </c>
      <c r="E828" t="inlineStr">
        <is>
          <t>GOTLAND</t>
        </is>
      </c>
      <c r="G828" t="n">
        <v>17.7</v>
      </c>
      <c r="H828" t="n">
        <v>0</v>
      </c>
      <c r="I828" t="n">
        <v>0</v>
      </c>
      <c r="J828" t="n">
        <v>0</v>
      </c>
      <c r="K828" t="n">
        <v>0</v>
      </c>
      <c r="L828" t="n">
        <v>0</v>
      </c>
      <c r="M828" t="n">
        <v>0</v>
      </c>
      <c r="N828" t="n">
        <v>0</v>
      </c>
      <c r="O828" t="n">
        <v>0</v>
      </c>
      <c r="P828" t="n">
        <v>0</v>
      </c>
      <c r="Q828" t="n">
        <v>0</v>
      </c>
      <c r="R828" s="2" t="inlineStr"/>
    </row>
    <row r="829" ht="15" customHeight="1">
      <c r="A829" t="inlineStr">
        <is>
          <t>A 13655-2024</t>
        </is>
      </c>
      <c r="B829" s="1" t="n">
        <v>45390</v>
      </c>
      <c r="C829" s="1" t="n">
        <v>45807</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14139-2024</t>
        </is>
      </c>
      <c r="B830" s="1" t="n">
        <v>45392</v>
      </c>
      <c r="C830" s="1" t="n">
        <v>45807</v>
      </c>
      <c r="D830" t="inlineStr">
        <is>
          <t>GOTLANDS LÄN</t>
        </is>
      </c>
      <c r="E830" t="inlineStr">
        <is>
          <t>GOTLAND</t>
        </is>
      </c>
      <c r="G830" t="n">
        <v>3.1</v>
      </c>
      <c r="H830" t="n">
        <v>0</v>
      </c>
      <c r="I830" t="n">
        <v>0</v>
      </c>
      <c r="J830" t="n">
        <v>0</v>
      </c>
      <c r="K830" t="n">
        <v>0</v>
      </c>
      <c r="L830" t="n">
        <v>0</v>
      </c>
      <c r="M830" t="n">
        <v>0</v>
      </c>
      <c r="N830" t="n">
        <v>0</v>
      </c>
      <c r="O830" t="n">
        <v>0</v>
      </c>
      <c r="P830" t="n">
        <v>0</v>
      </c>
      <c r="Q830" t="n">
        <v>0</v>
      </c>
      <c r="R830" s="2" t="inlineStr"/>
    </row>
    <row r="831" ht="15" customHeight="1">
      <c r="A831" t="inlineStr">
        <is>
          <t>A 14141-2024</t>
        </is>
      </c>
      <c r="B831" s="1" t="n">
        <v>45392</v>
      </c>
      <c r="C831" s="1" t="n">
        <v>45807</v>
      </c>
      <c r="D831" t="inlineStr">
        <is>
          <t>GOTLANDS LÄN</t>
        </is>
      </c>
      <c r="E831" t="inlineStr">
        <is>
          <t>GOTLAND</t>
        </is>
      </c>
      <c r="G831" t="n">
        <v>5.3</v>
      </c>
      <c r="H831" t="n">
        <v>0</v>
      </c>
      <c r="I831" t="n">
        <v>0</v>
      </c>
      <c r="J831" t="n">
        <v>0</v>
      </c>
      <c r="K831" t="n">
        <v>0</v>
      </c>
      <c r="L831" t="n">
        <v>0</v>
      </c>
      <c r="M831" t="n">
        <v>0</v>
      </c>
      <c r="N831" t="n">
        <v>0</v>
      </c>
      <c r="O831" t="n">
        <v>0</v>
      </c>
      <c r="P831" t="n">
        <v>0</v>
      </c>
      <c r="Q831" t="n">
        <v>0</v>
      </c>
      <c r="R831" s="2" t="inlineStr"/>
    </row>
    <row r="832" ht="15" customHeight="1">
      <c r="A832" t="inlineStr">
        <is>
          <t>A 14427-2024</t>
        </is>
      </c>
      <c r="B832" s="1" t="n">
        <v>45394</v>
      </c>
      <c r="C832" s="1" t="n">
        <v>45807</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14593-2024</t>
        </is>
      </c>
      <c r="B833" s="1" t="n">
        <v>45395</v>
      </c>
      <c r="C833" s="1" t="n">
        <v>45807</v>
      </c>
      <c r="D833" t="inlineStr">
        <is>
          <t>GOTLANDS LÄN</t>
        </is>
      </c>
      <c r="E833" t="inlineStr">
        <is>
          <t>GOTLAND</t>
        </is>
      </c>
      <c r="G833" t="n">
        <v>5.4</v>
      </c>
      <c r="H833" t="n">
        <v>0</v>
      </c>
      <c r="I833" t="n">
        <v>0</v>
      </c>
      <c r="J833" t="n">
        <v>0</v>
      </c>
      <c r="K833" t="n">
        <v>0</v>
      </c>
      <c r="L833" t="n">
        <v>0</v>
      </c>
      <c r="M833" t="n">
        <v>0</v>
      </c>
      <c r="N833" t="n">
        <v>0</v>
      </c>
      <c r="O833" t="n">
        <v>0</v>
      </c>
      <c r="P833" t="n">
        <v>0</v>
      </c>
      <c r="Q833" t="n">
        <v>0</v>
      </c>
      <c r="R833" s="2" t="inlineStr"/>
    </row>
    <row r="834" ht="15" customHeight="1">
      <c r="A834" t="inlineStr">
        <is>
          <t>A 14797-2024</t>
        </is>
      </c>
      <c r="B834" s="1" t="n">
        <v>45397</v>
      </c>
      <c r="C834" s="1" t="n">
        <v>45807</v>
      </c>
      <c r="D834" t="inlineStr">
        <is>
          <t>GOTLANDS LÄN</t>
        </is>
      </c>
      <c r="E834" t="inlineStr">
        <is>
          <t>GOTLAND</t>
        </is>
      </c>
      <c r="G834" t="n">
        <v>8.1</v>
      </c>
      <c r="H834" t="n">
        <v>0</v>
      </c>
      <c r="I834" t="n">
        <v>0</v>
      </c>
      <c r="J834" t="n">
        <v>0</v>
      </c>
      <c r="K834" t="n">
        <v>0</v>
      </c>
      <c r="L834" t="n">
        <v>0</v>
      </c>
      <c r="M834" t="n">
        <v>0</v>
      </c>
      <c r="N834" t="n">
        <v>0</v>
      </c>
      <c r="O834" t="n">
        <v>0</v>
      </c>
      <c r="P834" t="n">
        <v>0</v>
      </c>
      <c r="Q834" t="n">
        <v>0</v>
      </c>
      <c r="R834" s="2" t="inlineStr"/>
    </row>
    <row r="835" ht="15" customHeight="1">
      <c r="A835" t="inlineStr">
        <is>
          <t>A 15595-2024</t>
        </is>
      </c>
      <c r="B835" s="1" t="n">
        <v>45401</v>
      </c>
      <c r="C835" s="1" t="n">
        <v>45807</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15434-2024</t>
        </is>
      </c>
      <c r="B836" s="1" t="n">
        <v>45401</v>
      </c>
      <c r="C836" s="1" t="n">
        <v>45807</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15885-2024</t>
        </is>
      </c>
      <c r="B837" s="1" t="n">
        <v>45405</v>
      </c>
      <c r="C837" s="1" t="n">
        <v>45807</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16322-2024</t>
        </is>
      </c>
      <c r="B838" s="1" t="n">
        <v>45407</v>
      </c>
      <c r="C838" s="1" t="n">
        <v>45807</v>
      </c>
      <c r="D838" t="inlineStr">
        <is>
          <t>GOTLANDS LÄN</t>
        </is>
      </c>
      <c r="E838" t="inlineStr">
        <is>
          <t>GOTLAND</t>
        </is>
      </c>
      <c r="G838" t="n">
        <v>1.2</v>
      </c>
      <c r="H838" t="n">
        <v>0</v>
      </c>
      <c r="I838" t="n">
        <v>0</v>
      </c>
      <c r="J838" t="n">
        <v>0</v>
      </c>
      <c r="K838" t="n">
        <v>0</v>
      </c>
      <c r="L838" t="n">
        <v>0</v>
      </c>
      <c r="M838" t="n">
        <v>0</v>
      </c>
      <c r="N838" t="n">
        <v>0</v>
      </c>
      <c r="O838" t="n">
        <v>0</v>
      </c>
      <c r="P838" t="n">
        <v>0</v>
      </c>
      <c r="Q838" t="n">
        <v>0</v>
      </c>
      <c r="R838" s="2" t="inlineStr"/>
    </row>
    <row r="839" ht="15" customHeight="1">
      <c r="A839" t="inlineStr">
        <is>
          <t>A 16361-2024</t>
        </is>
      </c>
      <c r="B839" s="1" t="n">
        <v>45407</v>
      </c>
      <c r="C839" s="1" t="n">
        <v>45807</v>
      </c>
      <c r="D839" t="inlineStr">
        <is>
          <t>GOTLANDS LÄN</t>
        </is>
      </c>
      <c r="E839" t="inlineStr">
        <is>
          <t>GOTLAND</t>
        </is>
      </c>
      <c r="G839" t="n">
        <v>6</v>
      </c>
      <c r="H839" t="n">
        <v>0</v>
      </c>
      <c r="I839" t="n">
        <v>0</v>
      </c>
      <c r="J839" t="n">
        <v>0</v>
      </c>
      <c r="K839" t="n">
        <v>0</v>
      </c>
      <c r="L839" t="n">
        <v>0</v>
      </c>
      <c r="M839" t="n">
        <v>0</v>
      </c>
      <c r="N839" t="n">
        <v>0</v>
      </c>
      <c r="O839" t="n">
        <v>0</v>
      </c>
      <c r="P839" t="n">
        <v>0</v>
      </c>
      <c r="Q839" t="n">
        <v>0</v>
      </c>
      <c r="R839" s="2" t="inlineStr"/>
    </row>
    <row r="840" ht="15" customHeight="1">
      <c r="A840" t="inlineStr">
        <is>
          <t>A 16328-2024</t>
        </is>
      </c>
      <c r="B840" s="1" t="n">
        <v>45407</v>
      </c>
      <c r="C840" s="1" t="n">
        <v>45807</v>
      </c>
      <c r="D840" t="inlineStr">
        <is>
          <t>GOTLANDS LÄN</t>
        </is>
      </c>
      <c r="E840" t="inlineStr">
        <is>
          <t>GOTLAND</t>
        </is>
      </c>
      <c r="G840" t="n">
        <v>1.7</v>
      </c>
      <c r="H840" t="n">
        <v>0</v>
      </c>
      <c r="I840" t="n">
        <v>0</v>
      </c>
      <c r="J840" t="n">
        <v>0</v>
      </c>
      <c r="K840" t="n">
        <v>0</v>
      </c>
      <c r="L840" t="n">
        <v>0</v>
      </c>
      <c r="M840" t="n">
        <v>0</v>
      </c>
      <c r="N840" t="n">
        <v>0</v>
      </c>
      <c r="O840" t="n">
        <v>0</v>
      </c>
      <c r="P840" t="n">
        <v>0</v>
      </c>
      <c r="Q840" t="n">
        <v>0</v>
      </c>
      <c r="R840" s="2" t="inlineStr"/>
    </row>
    <row r="841" ht="15" customHeight="1">
      <c r="A841" t="inlineStr">
        <is>
          <t>A 17087-2024</t>
        </is>
      </c>
      <c r="B841" s="1" t="n">
        <v>45412</v>
      </c>
      <c r="C841" s="1" t="n">
        <v>45807</v>
      </c>
      <c r="D841" t="inlineStr">
        <is>
          <t>GOTLANDS LÄN</t>
        </is>
      </c>
      <c r="E841" t="inlineStr">
        <is>
          <t>GOTLAND</t>
        </is>
      </c>
      <c r="G841" t="n">
        <v>2.6</v>
      </c>
      <c r="H841" t="n">
        <v>0</v>
      </c>
      <c r="I841" t="n">
        <v>0</v>
      </c>
      <c r="J841" t="n">
        <v>0</v>
      </c>
      <c r="K841" t="n">
        <v>0</v>
      </c>
      <c r="L841" t="n">
        <v>0</v>
      </c>
      <c r="M841" t="n">
        <v>0</v>
      </c>
      <c r="N841" t="n">
        <v>0</v>
      </c>
      <c r="O841" t="n">
        <v>0</v>
      </c>
      <c r="P841" t="n">
        <v>0</v>
      </c>
      <c r="Q841" t="n">
        <v>0</v>
      </c>
      <c r="R841" s="2" t="inlineStr"/>
    </row>
    <row r="842" ht="15" customHeight="1">
      <c r="A842" t="inlineStr">
        <is>
          <t>A 17089-2024</t>
        </is>
      </c>
      <c r="B842" s="1" t="n">
        <v>45412</v>
      </c>
      <c r="C842" s="1" t="n">
        <v>45807</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17085-2024</t>
        </is>
      </c>
      <c r="B843" s="1" t="n">
        <v>45412</v>
      </c>
      <c r="C843" s="1" t="n">
        <v>45807</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17532-2024</t>
        </is>
      </c>
      <c r="B844" s="1" t="n">
        <v>45415</v>
      </c>
      <c r="C844" s="1" t="n">
        <v>45807</v>
      </c>
      <c r="D844" t="inlineStr">
        <is>
          <t>GOTLANDS LÄN</t>
        </is>
      </c>
      <c r="E844" t="inlineStr">
        <is>
          <t>GOTLAND</t>
        </is>
      </c>
      <c r="G844" t="n">
        <v>4.3</v>
      </c>
      <c r="H844" t="n">
        <v>0</v>
      </c>
      <c r="I844" t="n">
        <v>0</v>
      </c>
      <c r="J844" t="n">
        <v>0</v>
      </c>
      <c r="K844" t="n">
        <v>0</v>
      </c>
      <c r="L844" t="n">
        <v>0</v>
      </c>
      <c r="M844" t="n">
        <v>0</v>
      </c>
      <c r="N844" t="n">
        <v>0</v>
      </c>
      <c r="O844" t="n">
        <v>0</v>
      </c>
      <c r="P844" t="n">
        <v>0</v>
      </c>
      <c r="Q844" t="n">
        <v>0</v>
      </c>
      <c r="R844" s="2" t="inlineStr"/>
    </row>
    <row r="845" ht="15" customHeight="1">
      <c r="A845" t="inlineStr">
        <is>
          <t>A 17541-2024</t>
        </is>
      </c>
      <c r="B845" s="1" t="n">
        <v>45415</v>
      </c>
      <c r="C845" s="1" t="n">
        <v>45807</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17616-2024</t>
        </is>
      </c>
      <c r="B846" s="1" t="n">
        <v>45416</v>
      </c>
      <c r="C846" s="1" t="n">
        <v>45807</v>
      </c>
      <c r="D846" t="inlineStr">
        <is>
          <t>GOTLANDS LÄN</t>
        </is>
      </c>
      <c r="E846" t="inlineStr">
        <is>
          <t>GOTLAND</t>
        </is>
      </c>
      <c r="G846" t="n">
        <v>2.7</v>
      </c>
      <c r="H846" t="n">
        <v>0</v>
      </c>
      <c r="I846" t="n">
        <v>0</v>
      </c>
      <c r="J846" t="n">
        <v>0</v>
      </c>
      <c r="K846" t="n">
        <v>0</v>
      </c>
      <c r="L846" t="n">
        <v>0</v>
      </c>
      <c r="M846" t="n">
        <v>0</v>
      </c>
      <c r="N846" t="n">
        <v>0</v>
      </c>
      <c r="O846" t="n">
        <v>0</v>
      </c>
      <c r="P846" t="n">
        <v>0</v>
      </c>
      <c r="Q846" t="n">
        <v>0</v>
      </c>
      <c r="R846" s="2" t="inlineStr"/>
    </row>
    <row r="847" ht="15" customHeight="1">
      <c r="A847" t="inlineStr">
        <is>
          <t>A 17617-2024</t>
        </is>
      </c>
      <c r="B847" s="1" t="n">
        <v>45416</v>
      </c>
      <c r="C847" s="1" t="n">
        <v>45807</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17688-2024</t>
        </is>
      </c>
      <c r="B848" s="1" t="n">
        <v>45418</v>
      </c>
      <c r="C848" s="1" t="n">
        <v>45807</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17691-2024</t>
        </is>
      </c>
      <c r="B849" s="1" t="n">
        <v>45418</v>
      </c>
      <c r="C849" s="1" t="n">
        <v>45807</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17743-2024</t>
        </is>
      </c>
      <c r="B850" s="1" t="n">
        <v>45418</v>
      </c>
      <c r="C850" s="1" t="n">
        <v>45807</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17786-2024</t>
        </is>
      </c>
      <c r="B851" s="1" t="n">
        <v>45418</v>
      </c>
      <c r="C851" s="1" t="n">
        <v>45807</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17682-2024</t>
        </is>
      </c>
      <c r="B852" s="1" t="n">
        <v>45418</v>
      </c>
      <c r="C852" s="1" t="n">
        <v>45807</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17686-2024</t>
        </is>
      </c>
      <c r="B853" s="1" t="n">
        <v>45418</v>
      </c>
      <c r="C853" s="1" t="n">
        <v>45807</v>
      </c>
      <c r="D853" t="inlineStr">
        <is>
          <t>GOTLANDS LÄN</t>
        </is>
      </c>
      <c r="E853" t="inlineStr">
        <is>
          <t>GOTLAND</t>
        </is>
      </c>
      <c r="G853" t="n">
        <v>3.9</v>
      </c>
      <c r="H853" t="n">
        <v>0</v>
      </c>
      <c r="I853" t="n">
        <v>0</v>
      </c>
      <c r="J853" t="n">
        <v>0</v>
      </c>
      <c r="K853" t="n">
        <v>0</v>
      </c>
      <c r="L853" t="n">
        <v>0</v>
      </c>
      <c r="M853" t="n">
        <v>0</v>
      </c>
      <c r="N853" t="n">
        <v>0</v>
      </c>
      <c r="O853" t="n">
        <v>0</v>
      </c>
      <c r="P853" t="n">
        <v>0</v>
      </c>
      <c r="Q853" t="n">
        <v>0</v>
      </c>
      <c r="R853" s="2" t="inlineStr"/>
    </row>
    <row r="854" ht="15" customHeight="1">
      <c r="A854" t="inlineStr">
        <is>
          <t>A 17724-2024</t>
        </is>
      </c>
      <c r="B854" s="1" t="n">
        <v>45418</v>
      </c>
      <c r="C854" s="1" t="n">
        <v>45807</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17742-2024</t>
        </is>
      </c>
      <c r="B855" s="1" t="n">
        <v>45418</v>
      </c>
      <c r="C855" s="1" t="n">
        <v>45807</v>
      </c>
      <c r="D855" t="inlineStr">
        <is>
          <t>GOTLANDS LÄN</t>
        </is>
      </c>
      <c r="E855" t="inlineStr">
        <is>
          <t>GOTLAND</t>
        </is>
      </c>
      <c r="G855" t="n">
        <v>1</v>
      </c>
      <c r="H855" t="n">
        <v>0</v>
      </c>
      <c r="I855" t="n">
        <v>0</v>
      </c>
      <c r="J855" t="n">
        <v>0</v>
      </c>
      <c r="K855" t="n">
        <v>0</v>
      </c>
      <c r="L855" t="n">
        <v>0</v>
      </c>
      <c r="M855" t="n">
        <v>0</v>
      </c>
      <c r="N855" t="n">
        <v>0</v>
      </c>
      <c r="O855" t="n">
        <v>0</v>
      </c>
      <c r="P855" t="n">
        <v>0</v>
      </c>
      <c r="Q855" t="n">
        <v>0</v>
      </c>
      <c r="R855" s="2" t="inlineStr"/>
    </row>
    <row r="856" ht="15" customHeight="1">
      <c r="A856" t="inlineStr">
        <is>
          <t>A 18056-2024</t>
        </is>
      </c>
      <c r="B856" s="1" t="n">
        <v>45420</v>
      </c>
      <c r="C856" s="1" t="n">
        <v>45807</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18380-2024</t>
        </is>
      </c>
      <c r="B857" s="1" t="n">
        <v>45424</v>
      </c>
      <c r="C857" s="1" t="n">
        <v>45807</v>
      </c>
      <c r="D857" t="inlineStr">
        <is>
          <t>GOTLANDS LÄN</t>
        </is>
      </c>
      <c r="E857" t="inlineStr">
        <is>
          <t>GOTLAND</t>
        </is>
      </c>
      <c r="G857" t="n">
        <v>2.5</v>
      </c>
      <c r="H857" t="n">
        <v>0</v>
      </c>
      <c r="I857" t="n">
        <v>0</v>
      </c>
      <c r="J857" t="n">
        <v>0</v>
      </c>
      <c r="K857" t="n">
        <v>0</v>
      </c>
      <c r="L857" t="n">
        <v>0</v>
      </c>
      <c r="M857" t="n">
        <v>0</v>
      </c>
      <c r="N857" t="n">
        <v>0</v>
      </c>
      <c r="O857" t="n">
        <v>0</v>
      </c>
      <c r="P857" t="n">
        <v>0</v>
      </c>
      <c r="Q857" t="n">
        <v>0</v>
      </c>
      <c r="R857" s="2" t="inlineStr"/>
    </row>
    <row r="858" ht="15" customHeight="1">
      <c r="A858" t="inlineStr">
        <is>
          <t>A 18896-2024</t>
        </is>
      </c>
      <c r="B858" s="1" t="n">
        <v>45427</v>
      </c>
      <c r="C858" s="1" t="n">
        <v>45807</v>
      </c>
      <c r="D858" t="inlineStr">
        <is>
          <t>GOTLANDS LÄN</t>
        </is>
      </c>
      <c r="E858" t="inlineStr">
        <is>
          <t>GOTLAND</t>
        </is>
      </c>
      <c r="G858" t="n">
        <v>5.1</v>
      </c>
      <c r="H858" t="n">
        <v>0</v>
      </c>
      <c r="I858" t="n">
        <v>0</v>
      </c>
      <c r="J858" t="n">
        <v>0</v>
      </c>
      <c r="K858" t="n">
        <v>0</v>
      </c>
      <c r="L858" t="n">
        <v>0</v>
      </c>
      <c r="M858" t="n">
        <v>0</v>
      </c>
      <c r="N858" t="n">
        <v>0</v>
      </c>
      <c r="O858" t="n">
        <v>0</v>
      </c>
      <c r="P858" t="n">
        <v>0</v>
      </c>
      <c r="Q858" t="n">
        <v>0</v>
      </c>
      <c r="R858" s="2" t="inlineStr"/>
    </row>
    <row r="859" ht="15" customHeight="1">
      <c r="A859" t="inlineStr">
        <is>
          <t>A 20290-2024</t>
        </is>
      </c>
      <c r="B859" s="1" t="n">
        <v>45435</v>
      </c>
      <c r="C859" s="1" t="n">
        <v>45807</v>
      </c>
      <c r="D859" t="inlineStr">
        <is>
          <t>GOTLANDS LÄN</t>
        </is>
      </c>
      <c r="E859" t="inlineStr">
        <is>
          <t>GOTLAND</t>
        </is>
      </c>
      <c r="G859" t="n">
        <v>10.9</v>
      </c>
      <c r="H859" t="n">
        <v>0</v>
      </c>
      <c r="I859" t="n">
        <v>0</v>
      </c>
      <c r="J859" t="n">
        <v>0</v>
      </c>
      <c r="K859" t="n">
        <v>0</v>
      </c>
      <c r="L859" t="n">
        <v>0</v>
      </c>
      <c r="M859" t="n">
        <v>0</v>
      </c>
      <c r="N859" t="n">
        <v>0</v>
      </c>
      <c r="O859" t="n">
        <v>0</v>
      </c>
      <c r="P859" t="n">
        <v>0</v>
      </c>
      <c r="Q859" t="n">
        <v>0</v>
      </c>
      <c r="R859" s="2" t="inlineStr"/>
    </row>
    <row r="860" ht="15" customHeight="1">
      <c r="A860" t="inlineStr">
        <is>
          <t>A 20292-2024</t>
        </is>
      </c>
      <c r="B860" s="1" t="n">
        <v>45435</v>
      </c>
      <c r="C860" s="1" t="n">
        <v>45807</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21164-2024</t>
        </is>
      </c>
      <c r="B861" s="1" t="n">
        <v>45440</v>
      </c>
      <c r="C861" s="1" t="n">
        <v>45807</v>
      </c>
      <c r="D861" t="inlineStr">
        <is>
          <t>GOTLANDS LÄN</t>
        </is>
      </c>
      <c r="E861" t="inlineStr">
        <is>
          <t>GOTLAND</t>
        </is>
      </c>
      <c r="G861" t="n">
        <v>6.3</v>
      </c>
      <c r="H861" t="n">
        <v>0</v>
      </c>
      <c r="I861" t="n">
        <v>0</v>
      </c>
      <c r="J861" t="n">
        <v>0</v>
      </c>
      <c r="K861" t="n">
        <v>0</v>
      </c>
      <c r="L861" t="n">
        <v>0</v>
      </c>
      <c r="M861" t="n">
        <v>0</v>
      </c>
      <c r="N861" t="n">
        <v>0</v>
      </c>
      <c r="O861" t="n">
        <v>0</v>
      </c>
      <c r="P861" t="n">
        <v>0</v>
      </c>
      <c r="Q861" t="n">
        <v>0</v>
      </c>
      <c r="R861" s="2" t="inlineStr"/>
    </row>
    <row r="862" ht="15" customHeight="1">
      <c r="A862" t="inlineStr">
        <is>
          <t>A 21154-2024</t>
        </is>
      </c>
      <c r="B862" s="1" t="n">
        <v>45440</v>
      </c>
      <c r="C862" s="1" t="n">
        <v>45807</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21420-2024</t>
        </is>
      </c>
      <c r="B863" s="1" t="n">
        <v>45441</v>
      </c>
      <c r="C863" s="1" t="n">
        <v>45807</v>
      </c>
      <c r="D863" t="inlineStr">
        <is>
          <t>GOTLANDS LÄN</t>
        </is>
      </c>
      <c r="E863" t="inlineStr">
        <is>
          <t>GOTLAND</t>
        </is>
      </c>
      <c r="G863" t="n">
        <v>4.1</v>
      </c>
      <c r="H863" t="n">
        <v>0</v>
      </c>
      <c r="I863" t="n">
        <v>0</v>
      </c>
      <c r="J863" t="n">
        <v>0</v>
      </c>
      <c r="K863" t="n">
        <v>0</v>
      </c>
      <c r="L863" t="n">
        <v>0</v>
      </c>
      <c r="M863" t="n">
        <v>0</v>
      </c>
      <c r="N863" t="n">
        <v>0</v>
      </c>
      <c r="O863" t="n">
        <v>0</v>
      </c>
      <c r="P863" t="n">
        <v>0</v>
      </c>
      <c r="Q863" t="n">
        <v>0</v>
      </c>
      <c r="R863" s="2" t="inlineStr"/>
    </row>
    <row r="864" ht="15" customHeight="1">
      <c r="A864" t="inlineStr">
        <is>
          <t>A 21493-2024</t>
        </is>
      </c>
      <c r="B864" s="1" t="n">
        <v>45441</v>
      </c>
      <c r="C864" s="1" t="n">
        <v>45807</v>
      </c>
      <c r="D864" t="inlineStr">
        <is>
          <t>GOTLANDS LÄN</t>
        </is>
      </c>
      <c r="E864" t="inlineStr">
        <is>
          <t>GOTLAND</t>
        </is>
      </c>
      <c r="G864" t="n">
        <v>6.4</v>
      </c>
      <c r="H864" t="n">
        <v>0</v>
      </c>
      <c r="I864" t="n">
        <v>0</v>
      </c>
      <c r="J864" t="n">
        <v>0</v>
      </c>
      <c r="K864" t="n">
        <v>0</v>
      </c>
      <c r="L864" t="n">
        <v>0</v>
      </c>
      <c r="M864" t="n">
        <v>0</v>
      </c>
      <c r="N864" t="n">
        <v>0</v>
      </c>
      <c r="O864" t="n">
        <v>0</v>
      </c>
      <c r="P864" t="n">
        <v>0</v>
      </c>
      <c r="Q864" t="n">
        <v>0</v>
      </c>
      <c r="R864" s="2" t="inlineStr"/>
    </row>
    <row r="865" ht="15" customHeight="1">
      <c r="A865" t="inlineStr">
        <is>
          <t>A 21500-2024</t>
        </is>
      </c>
      <c r="B865" s="1" t="n">
        <v>45441</v>
      </c>
      <c r="C865" s="1" t="n">
        <v>45807</v>
      </c>
      <c r="D865" t="inlineStr">
        <is>
          <t>GOTLANDS LÄN</t>
        </is>
      </c>
      <c r="E865" t="inlineStr">
        <is>
          <t>GOTLAND</t>
        </is>
      </c>
      <c r="G865" t="n">
        <v>0.9</v>
      </c>
      <c r="H865" t="n">
        <v>0</v>
      </c>
      <c r="I865" t="n">
        <v>0</v>
      </c>
      <c r="J865" t="n">
        <v>0</v>
      </c>
      <c r="K865" t="n">
        <v>0</v>
      </c>
      <c r="L865" t="n">
        <v>0</v>
      </c>
      <c r="M865" t="n">
        <v>0</v>
      </c>
      <c r="N865" t="n">
        <v>0</v>
      </c>
      <c r="O865" t="n">
        <v>0</v>
      </c>
      <c r="P865" t="n">
        <v>0</v>
      </c>
      <c r="Q865" t="n">
        <v>0</v>
      </c>
      <c r="R865" s="2" t="inlineStr"/>
    </row>
    <row r="866" ht="15" customHeight="1">
      <c r="A866" t="inlineStr">
        <is>
          <t>A 21817-2024</t>
        </is>
      </c>
      <c r="B866" s="1" t="n">
        <v>45442</v>
      </c>
      <c r="C866" s="1" t="n">
        <v>45807</v>
      </c>
      <c r="D866" t="inlineStr">
        <is>
          <t>GOTLANDS LÄN</t>
        </is>
      </c>
      <c r="E866" t="inlineStr">
        <is>
          <t>GOTLAND</t>
        </is>
      </c>
      <c r="G866" t="n">
        <v>3.7</v>
      </c>
      <c r="H866" t="n">
        <v>0</v>
      </c>
      <c r="I866" t="n">
        <v>0</v>
      </c>
      <c r="J866" t="n">
        <v>0</v>
      </c>
      <c r="K866" t="n">
        <v>0</v>
      </c>
      <c r="L866" t="n">
        <v>0</v>
      </c>
      <c r="M866" t="n">
        <v>0</v>
      </c>
      <c r="N866" t="n">
        <v>0</v>
      </c>
      <c r="O866" t="n">
        <v>0</v>
      </c>
      <c r="P866" t="n">
        <v>0</v>
      </c>
      <c r="Q866" t="n">
        <v>0</v>
      </c>
      <c r="R866" s="2" t="inlineStr"/>
    </row>
    <row r="867" ht="15" customHeight="1">
      <c r="A867" t="inlineStr">
        <is>
          <t>A 21792-2024</t>
        </is>
      </c>
      <c r="B867" s="1" t="n">
        <v>45442</v>
      </c>
      <c r="C867" s="1" t="n">
        <v>45807</v>
      </c>
      <c r="D867" t="inlineStr">
        <is>
          <t>GOTLANDS LÄN</t>
        </is>
      </c>
      <c r="E867" t="inlineStr">
        <is>
          <t>GOTLAND</t>
        </is>
      </c>
      <c r="G867" t="n">
        <v>1</v>
      </c>
      <c r="H867" t="n">
        <v>0</v>
      </c>
      <c r="I867" t="n">
        <v>0</v>
      </c>
      <c r="J867" t="n">
        <v>0</v>
      </c>
      <c r="K867" t="n">
        <v>0</v>
      </c>
      <c r="L867" t="n">
        <v>0</v>
      </c>
      <c r="M867" t="n">
        <v>0</v>
      </c>
      <c r="N867" t="n">
        <v>0</v>
      </c>
      <c r="O867" t="n">
        <v>0</v>
      </c>
      <c r="P867" t="n">
        <v>0</v>
      </c>
      <c r="Q867" t="n">
        <v>0</v>
      </c>
      <c r="R867" s="2" t="inlineStr"/>
    </row>
    <row r="868" ht="15" customHeight="1">
      <c r="A868" t="inlineStr">
        <is>
          <t>A 22031-2024</t>
        </is>
      </c>
      <c r="B868" s="1" t="n">
        <v>45443</v>
      </c>
      <c r="C868" s="1" t="n">
        <v>45807</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22860-2024</t>
        </is>
      </c>
      <c r="B869" s="1" t="n">
        <v>45448</v>
      </c>
      <c r="C869" s="1" t="n">
        <v>45807</v>
      </c>
      <c r="D869" t="inlineStr">
        <is>
          <t>GOTLANDS LÄN</t>
        </is>
      </c>
      <c r="E869" t="inlineStr">
        <is>
          <t>GOTLAND</t>
        </is>
      </c>
      <c r="G869" t="n">
        <v>2.4</v>
      </c>
      <c r="H869" t="n">
        <v>0</v>
      </c>
      <c r="I869" t="n">
        <v>0</v>
      </c>
      <c r="J869" t="n">
        <v>0</v>
      </c>
      <c r="K869" t="n">
        <v>0</v>
      </c>
      <c r="L869" t="n">
        <v>0</v>
      </c>
      <c r="M869" t="n">
        <v>0</v>
      </c>
      <c r="N869" t="n">
        <v>0</v>
      </c>
      <c r="O869" t="n">
        <v>0</v>
      </c>
      <c r="P869" t="n">
        <v>0</v>
      </c>
      <c r="Q869" t="n">
        <v>0</v>
      </c>
      <c r="R869" s="2" t="inlineStr"/>
    </row>
    <row r="870" ht="15" customHeight="1">
      <c r="A870" t="inlineStr">
        <is>
          <t>A 22851-2024</t>
        </is>
      </c>
      <c r="B870" s="1" t="n">
        <v>45448</v>
      </c>
      <c r="C870" s="1" t="n">
        <v>45807</v>
      </c>
      <c r="D870" t="inlineStr">
        <is>
          <t>GOTLANDS LÄN</t>
        </is>
      </c>
      <c r="E870" t="inlineStr">
        <is>
          <t>GOTLAND</t>
        </is>
      </c>
      <c r="G870" t="n">
        <v>5.2</v>
      </c>
      <c r="H870" t="n">
        <v>0</v>
      </c>
      <c r="I870" t="n">
        <v>0</v>
      </c>
      <c r="J870" t="n">
        <v>0</v>
      </c>
      <c r="K870" t="n">
        <v>0</v>
      </c>
      <c r="L870" t="n">
        <v>0</v>
      </c>
      <c r="M870" t="n">
        <v>0</v>
      </c>
      <c r="N870" t="n">
        <v>0</v>
      </c>
      <c r="O870" t="n">
        <v>0</v>
      </c>
      <c r="P870" t="n">
        <v>0</v>
      </c>
      <c r="Q870" t="n">
        <v>0</v>
      </c>
      <c r="R870" s="2" t="inlineStr"/>
    </row>
    <row r="871" ht="15" customHeight="1">
      <c r="A871" t="inlineStr">
        <is>
          <t>A 22883-2024</t>
        </is>
      </c>
      <c r="B871" s="1" t="n">
        <v>45448</v>
      </c>
      <c r="C871" s="1" t="n">
        <v>45807</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23518-2024</t>
        </is>
      </c>
      <c r="B872" s="1" t="n">
        <v>45453</v>
      </c>
      <c r="C872" s="1" t="n">
        <v>45807</v>
      </c>
      <c r="D872" t="inlineStr">
        <is>
          <t>GOTLANDS LÄN</t>
        </is>
      </c>
      <c r="E872" t="inlineStr">
        <is>
          <t>GOTLAND</t>
        </is>
      </c>
      <c r="G872" t="n">
        <v>1.9</v>
      </c>
      <c r="H872" t="n">
        <v>0</v>
      </c>
      <c r="I872" t="n">
        <v>0</v>
      </c>
      <c r="J872" t="n">
        <v>0</v>
      </c>
      <c r="K872" t="n">
        <v>0</v>
      </c>
      <c r="L872" t="n">
        <v>0</v>
      </c>
      <c r="M872" t="n">
        <v>0</v>
      </c>
      <c r="N872" t="n">
        <v>0</v>
      </c>
      <c r="O872" t="n">
        <v>0</v>
      </c>
      <c r="P872" t="n">
        <v>0</v>
      </c>
      <c r="Q872" t="n">
        <v>0</v>
      </c>
      <c r="R872" s="2" t="inlineStr"/>
    </row>
    <row r="873" ht="15" customHeight="1">
      <c r="A873" t="inlineStr">
        <is>
          <t>A 23658-2024</t>
        </is>
      </c>
      <c r="B873" s="1" t="n">
        <v>45454</v>
      </c>
      <c r="C873" s="1" t="n">
        <v>45807</v>
      </c>
      <c r="D873" t="inlineStr">
        <is>
          <t>GOTLANDS LÄN</t>
        </is>
      </c>
      <c r="E873" t="inlineStr">
        <is>
          <t>GOTLAND</t>
        </is>
      </c>
      <c r="G873" t="n">
        <v>4.8</v>
      </c>
      <c r="H873" t="n">
        <v>0</v>
      </c>
      <c r="I873" t="n">
        <v>0</v>
      </c>
      <c r="J873" t="n">
        <v>0</v>
      </c>
      <c r="K873" t="n">
        <v>0</v>
      </c>
      <c r="L873" t="n">
        <v>0</v>
      </c>
      <c r="M873" t="n">
        <v>0</v>
      </c>
      <c r="N873" t="n">
        <v>0</v>
      </c>
      <c r="O873" t="n">
        <v>0</v>
      </c>
      <c r="P873" t="n">
        <v>0</v>
      </c>
      <c r="Q873" t="n">
        <v>0</v>
      </c>
      <c r="R873" s="2" t="inlineStr"/>
    </row>
    <row r="874" ht="15" customHeight="1">
      <c r="A874" t="inlineStr">
        <is>
          <t>A 23617-2024</t>
        </is>
      </c>
      <c r="B874" s="1" t="n">
        <v>45454</v>
      </c>
      <c r="C874" s="1" t="n">
        <v>45807</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24358-2024</t>
        </is>
      </c>
      <c r="B875" s="1" t="n">
        <v>45457</v>
      </c>
      <c r="C875" s="1" t="n">
        <v>45807</v>
      </c>
      <c r="D875" t="inlineStr">
        <is>
          <t>GOTLANDS LÄN</t>
        </is>
      </c>
      <c r="E875" t="inlineStr">
        <is>
          <t>GOTLAND</t>
        </is>
      </c>
      <c r="G875" t="n">
        <v>1.1</v>
      </c>
      <c r="H875" t="n">
        <v>0</v>
      </c>
      <c r="I875" t="n">
        <v>0</v>
      </c>
      <c r="J875" t="n">
        <v>0</v>
      </c>
      <c r="K875" t="n">
        <v>0</v>
      </c>
      <c r="L875" t="n">
        <v>0</v>
      </c>
      <c r="M875" t="n">
        <v>0</v>
      </c>
      <c r="N875" t="n">
        <v>0</v>
      </c>
      <c r="O875" t="n">
        <v>0</v>
      </c>
      <c r="P875" t="n">
        <v>0</v>
      </c>
      <c r="Q875" t="n">
        <v>0</v>
      </c>
      <c r="R875" s="2" t="inlineStr"/>
    </row>
    <row r="876" ht="15" customHeight="1">
      <c r="A876" t="inlineStr">
        <is>
          <t>A 24746-2024</t>
        </is>
      </c>
      <c r="B876" s="1" t="n">
        <v>45460</v>
      </c>
      <c r="C876" s="1" t="n">
        <v>45807</v>
      </c>
      <c r="D876" t="inlineStr">
        <is>
          <t>GOTLANDS LÄN</t>
        </is>
      </c>
      <c r="E876" t="inlineStr">
        <is>
          <t>GOTLAND</t>
        </is>
      </c>
      <c r="G876" t="n">
        <v>1.4</v>
      </c>
      <c r="H876" t="n">
        <v>0</v>
      </c>
      <c r="I876" t="n">
        <v>0</v>
      </c>
      <c r="J876" t="n">
        <v>0</v>
      </c>
      <c r="K876" t="n">
        <v>0</v>
      </c>
      <c r="L876" t="n">
        <v>0</v>
      </c>
      <c r="M876" t="n">
        <v>0</v>
      </c>
      <c r="N876" t="n">
        <v>0</v>
      </c>
      <c r="O876" t="n">
        <v>0</v>
      </c>
      <c r="P876" t="n">
        <v>0</v>
      </c>
      <c r="Q876" t="n">
        <v>0</v>
      </c>
      <c r="R876" s="2" t="inlineStr"/>
    </row>
    <row r="877" ht="15" customHeight="1">
      <c r="A877" t="inlineStr">
        <is>
          <t>A 24825-2024</t>
        </is>
      </c>
      <c r="B877" s="1" t="n">
        <v>45461</v>
      </c>
      <c r="C877" s="1" t="n">
        <v>45807</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25463-2024</t>
        </is>
      </c>
      <c r="B878" s="1" t="n">
        <v>45463</v>
      </c>
      <c r="C878" s="1" t="n">
        <v>45807</v>
      </c>
      <c r="D878" t="inlineStr">
        <is>
          <t>GOTLANDS LÄN</t>
        </is>
      </c>
      <c r="E878" t="inlineStr">
        <is>
          <t>GOTLAND</t>
        </is>
      </c>
      <c r="G878" t="n">
        <v>17.3</v>
      </c>
      <c r="H878" t="n">
        <v>0</v>
      </c>
      <c r="I878" t="n">
        <v>0</v>
      </c>
      <c r="J878" t="n">
        <v>0</v>
      </c>
      <c r="K878" t="n">
        <v>0</v>
      </c>
      <c r="L878" t="n">
        <v>0</v>
      </c>
      <c r="M878" t="n">
        <v>0</v>
      </c>
      <c r="N878" t="n">
        <v>0</v>
      </c>
      <c r="O878" t="n">
        <v>0</v>
      </c>
      <c r="P878" t="n">
        <v>0</v>
      </c>
      <c r="Q878" t="n">
        <v>0</v>
      </c>
      <c r="R878" s="2" t="inlineStr"/>
    </row>
    <row r="879" ht="15" customHeight="1">
      <c r="A879" t="inlineStr">
        <is>
          <t>A 25739-2024</t>
        </is>
      </c>
      <c r="B879" s="1" t="n">
        <v>45465</v>
      </c>
      <c r="C879" s="1" t="n">
        <v>45807</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25740-2024</t>
        </is>
      </c>
      <c r="B880" s="1" t="n">
        <v>45465</v>
      </c>
      <c r="C880" s="1" t="n">
        <v>45807</v>
      </c>
      <c r="D880" t="inlineStr">
        <is>
          <t>GOTLANDS LÄN</t>
        </is>
      </c>
      <c r="E880" t="inlineStr">
        <is>
          <t>GOTLAND</t>
        </is>
      </c>
      <c r="G880" t="n">
        <v>2.7</v>
      </c>
      <c r="H880" t="n">
        <v>0</v>
      </c>
      <c r="I880" t="n">
        <v>0</v>
      </c>
      <c r="J880" t="n">
        <v>0</v>
      </c>
      <c r="K880" t="n">
        <v>0</v>
      </c>
      <c r="L880" t="n">
        <v>0</v>
      </c>
      <c r="M880" t="n">
        <v>0</v>
      </c>
      <c r="N880" t="n">
        <v>0</v>
      </c>
      <c r="O880" t="n">
        <v>0</v>
      </c>
      <c r="P880" t="n">
        <v>0</v>
      </c>
      <c r="Q880" t="n">
        <v>0</v>
      </c>
      <c r="R880" s="2" t="inlineStr"/>
    </row>
    <row r="881" ht="15" customHeight="1">
      <c r="A881" t="inlineStr">
        <is>
          <t>A 26221-2024</t>
        </is>
      </c>
      <c r="B881" s="1" t="n">
        <v>45468</v>
      </c>
      <c r="C881" s="1" t="n">
        <v>45807</v>
      </c>
      <c r="D881" t="inlineStr">
        <is>
          <t>GOTLANDS LÄN</t>
        </is>
      </c>
      <c r="E881" t="inlineStr">
        <is>
          <t>GOTLAND</t>
        </is>
      </c>
      <c r="G881" t="n">
        <v>2.9</v>
      </c>
      <c r="H881" t="n">
        <v>0</v>
      </c>
      <c r="I881" t="n">
        <v>0</v>
      </c>
      <c r="J881" t="n">
        <v>0</v>
      </c>
      <c r="K881" t="n">
        <v>0</v>
      </c>
      <c r="L881" t="n">
        <v>0</v>
      </c>
      <c r="M881" t="n">
        <v>0</v>
      </c>
      <c r="N881" t="n">
        <v>0</v>
      </c>
      <c r="O881" t="n">
        <v>0</v>
      </c>
      <c r="P881" t="n">
        <v>0</v>
      </c>
      <c r="Q881" t="n">
        <v>0</v>
      </c>
      <c r="R881" s="2" t="inlineStr"/>
    </row>
    <row r="882" ht="15" customHeight="1">
      <c r="A882" t="inlineStr">
        <is>
          <t>A 26194-2024</t>
        </is>
      </c>
      <c r="B882" s="1" t="n">
        <v>45468</v>
      </c>
      <c r="C882" s="1" t="n">
        <v>45807</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26206-2024</t>
        </is>
      </c>
      <c r="B883" s="1" t="n">
        <v>45468</v>
      </c>
      <c r="C883" s="1" t="n">
        <v>45807</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26110-2024</t>
        </is>
      </c>
      <c r="B884" s="1" t="n">
        <v>45468</v>
      </c>
      <c r="C884" s="1" t="n">
        <v>45807</v>
      </c>
      <c r="D884" t="inlineStr">
        <is>
          <t>GOTLANDS LÄN</t>
        </is>
      </c>
      <c r="E884" t="inlineStr">
        <is>
          <t>GOTLAND</t>
        </is>
      </c>
      <c r="G884" t="n">
        <v>6.6</v>
      </c>
      <c r="H884" t="n">
        <v>0</v>
      </c>
      <c r="I884" t="n">
        <v>0</v>
      </c>
      <c r="J884" t="n">
        <v>0</v>
      </c>
      <c r="K884" t="n">
        <v>0</v>
      </c>
      <c r="L884" t="n">
        <v>0</v>
      </c>
      <c r="M884" t="n">
        <v>0</v>
      </c>
      <c r="N884" t="n">
        <v>0</v>
      </c>
      <c r="O884" t="n">
        <v>0</v>
      </c>
      <c r="P884" t="n">
        <v>0</v>
      </c>
      <c r="Q884" t="n">
        <v>0</v>
      </c>
      <c r="R884" s="2" t="inlineStr"/>
    </row>
    <row r="885" ht="15" customHeight="1">
      <c r="A885" t="inlineStr">
        <is>
          <t>A 26891-2024</t>
        </is>
      </c>
      <c r="B885" s="1" t="n">
        <v>45470</v>
      </c>
      <c r="C885" s="1" t="n">
        <v>45807</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27850-2024</t>
        </is>
      </c>
      <c r="B886" s="1" t="n">
        <v>45475</v>
      </c>
      <c r="C886" s="1" t="n">
        <v>45807</v>
      </c>
      <c r="D886" t="inlineStr">
        <is>
          <t>GOTLANDS LÄN</t>
        </is>
      </c>
      <c r="E886" t="inlineStr">
        <is>
          <t>GOTLAND</t>
        </is>
      </c>
      <c r="G886" t="n">
        <v>4.1</v>
      </c>
      <c r="H886" t="n">
        <v>0</v>
      </c>
      <c r="I886" t="n">
        <v>0</v>
      </c>
      <c r="J886" t="n">
        <v>0</v>
      </c>
      <c r="K886" t="n">
        <v>0</v>
      </c>
      <c r="L886" t="n">
        <v>0</v>
      </c>
      <c r="M886" t="n">
        <v>0</v>
      </c>
      <c r="N886" t="n">
        <v>0</v>
      </c>
      <c r="O886" t="n">
        <v>0</v>
      </c>
      <c r="P886" t="n">
        <v>0</v>
      </c>
      <c r="Q886" t="n">
        <v>0</v>
      </c>
      <c r="R886" s="2" t="inlineStr"/>
    </row>
    <row r="887" ht="15" customHeight="1">
      <c r="A887" t="inlineStr">
        <is>
          <t>A 27694-2024</t>
        </is>
      </c>
      <c r="B887" s="1" t="n">
        <v>45475</v>
      </c>
      <c r="C887" s="1" t="n">
        <v>45807</v>
      </c>
      <c r="D887" t="inlineStr">
        <is>
          <t>GOTLANDS LÄN</t>
        </is>
      </c>
      <c r="E887" t="inlineStr">
        <is>
          <t>GOTLAND</t>
        </is>
      </c>
      <c r="G887" t="n">
        <v>1.2</v>
      </c>
      <c r="H887" t="n">
        <v>0</v>
      </c>
      <c r="I887" t="n">
        <v>0</v>
      </c>
      <c r="J887" t="n">
        <v>0</v>
      </c>
      <c r="K887" t="n">
        <v>0</v>
      </c>
      <c r="L887" t="n">
        <v>0</v>
      </c>
      <c r="M887" t="n">
        <v>0</v>
      </c>
      <c r="N887" t="n">
        <v>0</v>
      </c>
      <c r="O887" t="n">
        <v>0</v>
      </c>
      <c r="P887" t="n">
        <v>0</v>
      </c>
      <c r="Q887" t="n">
        <v>0</v>
      </c>
      <c r="R887" s="2" t="inlineStr"/>
    </row>
    <row r="888" ht="15" customHeight="1">
      <c r="A888" t="inlineStr">
        <is>
          <t>A 27696-2024</t>
        </is>
      </c>
      <c r="B888" s="1" t="n">
        <v>45475</v>
      </c>
      <c r="C888" s="1" t="n">
        <v>45807</v>
      </c>
      <c r="D888" t="inlineStr">
        <is>
          <t>GOTLANDS LÄN</t>
        </is>
      </c>
      <c r="E888" t="inlineStr">
        <is>
          <t>GOTLAND</t>
        </is>
      </c>
      <c r="G888" t="n">
        <v>2.1</v>
      </c>
      <c r="H888" t="n">
        <v>0</v>
      </c>
      <c r="I888" t="n">
        <v>0</v>
      </c>
      <c r="J888" t="n">
        <v>0</v>
      </c>
      <c r="K888" t="n">
        <v>0</v>
      </c>
      <c r="L888" t="n">
        <v>0</v>
      </c>
      <c r="M888" t="n">
        <v>0</v>
      </c>
      <c r="N888" t="n">
        <v>0</v>
      </c>
      <c r="O888" t="n">
        <v>0</v>
      </c>
      <c r="P888" t="n">
        <v>0</v>
      </c>
      <c r="Q888" t="n">
        <v>0</v>
      </c>
      <c r="R888" s="2" t="inlineStr"/>
    </row>
    <row r="889" ht="15" customHeight="1">
      <c r="A889" t="inlineStr">
        <is>
          <t>A 28285-2024</t>
        </is>
      </c>
      <c r="B889" s="1" t="n">
        <v>45477</v>
      </c>
      <c r="C889" s="1" t="n">
        <v>45807</v>
      </c>
      <c r="D889" t="inlineStr">
        <is>
          <t>GOTLANDS LÄN</t>
        </is>
      </c>
      <c r="E889" t="inlineStr">
        <is>
          <t>GOTLAND</t>
        </is>
      </c>
      <c r="G889" t="n">
        <v>1.6</v>
      </c>
      <c r="H889" t="n">
        <v>0</v>
      </c>
      <c r="I889" t="n">
        <v>0</v>
      </c>
      <c r="J889" t="n">
        <v>0</v>
      </c>
      <c r="K889" t="n">
        <v>0</v>
      </c>
      <c r="L889" t="n">
        <v>0</v>
      </c>
      <c r="M889" t="n">
        <v>0</v>
      </c>
      <c r="N889" t="n">
        <v>0</v>
      </c>
      <c r="O889" t="n">
        <v>0</v>
      </c>
      <c r="P889" t="n">
        <v>0</v>
      </c>
      <c r="Q889" t="n">
        <v>0</v>
      </c>
      <c r="R889" s="2" t="inlineStr"/>
    </row>
    <row r="890" ht="15" customHeight="1">
      <c r="A890" t="inlineStr">
        <is>
          <t>A 28309-2024</t>
        </is>
      </c>
      <c r="B890" s="1" t="n">
        <v>45477</v>
      </c>
      <c r="C890" s="1" t="n">
        <v>45807</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28328-2024</t>
        </is>
      </c>
      <c r="B891" s="1" t="n">
        <v>45477</v>
      </c>
      <c r="C891" s="1" t="n">
        <v>45807</v>
      </c>
      <c r="D891" t="inlineStr">
        <is>
          <t>GOTLANDS LÄN</t>
        </is>
      </c>
      <c r="E891" t="inlineStr">
        <is>
          <t>GOTLAND</t>
        </is>
      </c>
      <c r="G891" t="n">
        <v>1.7</v>
      </c>
      <c r="H891" t="n">
        <v>0</v>
      </c>
      <c r="I891" t="n">
        <v>0</v>
      </c>
      <c r="J891" t="n">
        <v>0</v>
      </c>
      <c r="K891" t="n">
        <v>0</v>
      </c>
      <c r="L891" t="n">
        <v>0</v>
      </c>
      <c r="M891" t="n">
        <v>0</v>
      </c>
      <c r="N891" t="n">
        <v>0</v>
      </c>
      <c r="O891" t="n">
        <v>0</v>
      </c>
      <c r="P891" t="n">
        <v>0</v>
      </c>
      <c r="Q891" t="n">
        <v>0</v>
      </c>
      <c r="R891" s="2" t="inlineStr"/>
    </row>
    <row r="892" ht="15" customHeight="1">
      <c r="A892" t="inlineStr">
        <is>
          <t>A 30365-2024</t>
        </is>
      </c>
      <c r="B892" s="1" t="n">
        <v>45491</v>
      </c>
      <c r="C892" s="1" t="n">
        <v>45807</v>
      </c>
      <c r="D892" t="inlineStr">
        <is>
          <t>GOTLANDS LÄN</t>
        </is>
      </c>
      <c r="E892" t="inlineStr">
        <is>
          <t>GOTLAND</t>
        </is>
      </c>
      <c r="G892" t="n">
        <v>0.5</v>
      </c>
      <c r="H892" t="n">
        <v>0</v>
      </c>
      <c r="I892" t="n">
        <v>0</v>
      </c>
      <c r="J892" t="n">
        <v>0</v>
      </c>
      <c r="K892" t="n">
        <v>0</v>
      </c>
      <c r="L892" t="n">
        <v>0</v>
      </c>
      <c r="M892" t="n">
        <v>0</v>
      </c>
      <c r="N892" t="n">
        <v>0</v>
      </c>
      <c r="O892" t="n">
        <v>0</v>
      </c>
      <c r="P892" t="n">
        <v>0</v>
      </c>
      <c r="Q892" t="n">
        <v>0</v>
      </c>
      <c r="R892" s="2" t="inlineStr"/>
    </row>
    <row r="893" ht="15" customHeight="1">
      <c r="A893" t="inlineStr">
        <is>
          <t>A 30595-2024</t>
        </is>
      </c>
      <c r="B893" s="1" t="n">
        <v>45493</v>
      </c>
      <c r="C893" s="1" t="n">
        <v>45807</v>
      </c>
      <c r="D893" t="inlineStr">
        <is>
          <t>GOTLANDS LÄN</t>
        </is>
      </c>
      <c r="E893" t="inlineStr">
        <is>
          <t>GOTLAND</t>
        </is>
      </c>
      <c r="G893" t="n">
        <v>2.5</v>
      </c>
      <c r="H893" t="n">
        <v>0</v>
      </c>
      <c r="I893" t="n">
        <v>0</v>
      </c>
      <c r="J893" t="n">
        <v>0</v>
      </c>
      <c r="K893" t="n">
        <v>0</v>
      </c>
      <c r="L893" t="n">
        <v>0</v>
      </c>
      <c r="M893" t="n">
        <v>0</v>
      </c>
      <c r="N893" t="n">
        <v>0</v>
      </c>
      <c r="O893" t="n">
        <v>0</v>
      </c>
      <c r="P893" t="n">
        <v>0</v>
      </c>
      <c r="Q893" t="n">
        <v>0</v>
      </c>
      <c r="R893" s="2" t="inlineStr"/>
    </row>
    <row r="894" ht="15" customHeight="1">
      <c r="A894" t="inlineStr">
        <is>
          <t>A 30596-2024</t>
        </is>
      </c>
      <c r="B894" s="1" t="n">
        <v>45493</v>
      </c>
      <c r="C894" s="1" t="n">
        <v>45807</v>
      </c>
      <c r="D894" t="inlineStr">
        <is>
          <t>GOTLANDS LÄN</t>
        </is>
      </c>
      <c r="E894" t="inlineStr">
        <is>
          <t>GOTLAND</t>
        </is>
      </c>
      <c r="G894" t="n">
        <v>0.8</v>
      </c>
      <c r="H894" t="n">
        <v>0</v>
      </c>
      <c r="I894" t="n">
        <v>0</v>
      </c>
      <c r="J894" t="n">
        <v>0</v>
      </c>
      <c r="K894" t="n">
        <v>0</v>
      </c>
      <c r="L894" t="n">
        <v>0</v>
      </c>
      <c r="M894" t="n">
        <v>0</v>
      </c>
      <c r="N894" t="n">
        <v>0</v>
      </c>
      <c r="O894" t="n">
        <v>0</v>
      </c>
      <c r="P894" t="n">
        <v>0</v>
      </c>
      <c r="Q894" t="n">
        <v>0</v>
      </c>
      <c r="R894" s="2" t="inlineStr"/>
    </row>
    <row r="895" ht="15" customHeight="1">
      <c r="A895" t="inlineStr">
        <is>
          <t>A 30597-2024</t>
        </is>
      </c>
      <c r="B895" s="1" t="n">
        <v>45493</v>
      </c>
      <c r="C895" s="1" t="n">
        <v>45807</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30956-2024</t>
        </is>
      </c>
      <c r="B896" s="1" t="n">
        <v>45499</v>
      </c>
      <c r="C896" s="1" t="n">
        <v>45807</v>
      </c>
      <c r="D896" t="inlineStr">
        <is>
          <t>GOTLANDS LÄN</t>
        </is>
      </c>
      <c r="E896" t="inlineStr">
        <is>
          <t>GOTLAND</t>
        </is>
      </c>
      <c r="G896" t="n">
        <v>1.2</v>
      </c>
      <c r="H896" t="n">
        <v>0</v>
      </c>
      <c r="I896" t="n">
        <v>0</v>
      </c>
      <c r="J896" t="n">
        <v>0</v>
      </c>
      <c r="K896" t="n">
        <v>0</v>
      </c>
      <c r="L896" t="n">
        <v>0</v>
      </c>
      <c r="M896" t="n">
        <v>0</v>
      </c>
      <c r="N896" t="n">
        <v>0</v>
      </c>
      <c r="O896" t="n">
        <v>0</v>
      </c>
      <c r="P896" t="n">
        <v>0</v>
      </c>
      <c r="Q896" t="n">
        <v>0</v>
      </c>
      <c r="R896" s="2" t="inlineStr"/>
    </row>
    <row r="897" ht="15" customHeight="1">
      <c r="A897" t="inlineStr">
        <is>
          <t>A 30954-2024</t>
        </is>
      </c>
      <c r="B897" s="1" t="n">
        <v>45499</v>
      </c>
      <c r="C897" s="1" t="n">
        <v>45807</v>
      </c>
      <c r="D897" t="inlineStr">
        <is>
          <t>GOTLANDS LÄN</t>
        </is>
      </c>
      <c r="E897" t="inlineStr">
        <is>
          <t>GOTLAND</t>
        </is>
      </c>
      <c r="G897" t="n">
        <v>3.6</v>
      </c>
      <c r="H897" t="n">
        <v>0</v>
      </c>
      <c r="I897" t="n">
        <v>0</v>
      </c>
      <c r="J897" t="n">
        <v>0</v>
      </c>
      <c r="K897" t="n">
        <v>0</v>
      </c>
      <c r="L897" t="n">
        <v>0</v>
      </c>
      <c r="M897" t="n">
        <v>0</v>
      </c>
      <c r="N897" t="n">
        <v>0</v>
      </c>
      <c r="O897" t="n">
        <v>0</v>
      </c>
      <c r="P897" t="n">
        <v>0</v>
      </c>
      <c r="Q897" t="n">
        <v>0</v>
      </c>
      <c r="R897" s="2" t="inlineStr"/>
    </row>
    <row r="898" ht="15" customHeight="1">
      <c r="A898" t="inlineStr">
        <is>
          <t>A 31352-2024</t>
        </is>
      </c>
      <c r="B898" s="1" t="n">
        <v>45505</v>
      </c>
      <c r="C898" s="1" t="n">
        <v>45807</v>
      </c>
      <c r="D898" t="inlineStr">
        <is>
          <t>GOTLANDS LÄN</t>
        </is>
      </c>
      <c r="E898" t="inlineStr">
        <is>
          <t>GOTLAND</t>
        </is>
      </c>
      <c r="G898" t="n">
        <v>5.4</v>
      </c>
      <c r="H898" t="n">
        <v>0</v>
      </c>
      <c r="I898" t="n">
        <v>0</v>
      </c>
      <c r="J898" t="n">
        <v>0</v>
      </c>
      <c r="K898" t="n">
        <v>0</v>
      </c>
      <c r="L898" t="n">
        <v>0</v>
      </c>
      <c r="M898" t="n">
        <v>0</v>
      </c>
      <c r="N898" t="n">
        <v>0</v>
      </c>
      <c r="O898" t="n">
        <v>0</v>
      </c>
      <c r="P898" t="n">
        <v>0</v>
      </c>
      <c r="Q898" t="n">
        <v>0</v>
      </c>
      <c r="R898" s="2" t="inlineStr"/>
    </row>
    <row r="899" ht="15" customHeight="1">
      <c r="A899" t="inlineStr">
        <is>
          <t>A 31401-2024</t>
        </is>
      </c>
      <c r="B899" s="1" t="n">
        <v>45505</v>
      </c>
      <c r="C899" s="1" t="n">
        <v>45807</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31802-2024</t>
        </is>
      </c>
      <c r="B900" s="1" t="n">
        <v>45509</v>
      </c>
      <c r="C900" s="1" t="n">
        <v>45807</v>
      </c>
      <c r="D900" t="inlineStr">
        <is>
          <t>GOTLANDS LÄN</t>
        </is>
      </c>
      <c r="E900" t="inlineStr">
        <is>
          <t>GOTLAND</t>
        </is>
      </c>
      <c r="G900" t="n">
        <v>2.8</v>
      </c>
      <c r="H900" t="n">
        <v>0</v>
      </c>
      <c r="I900" t="n">
        <v>0</v>
      </c>
      <c r="J900" t="n">
        <v>0</v>
      </c>
      <c r="K900" t="n">
        <v>0</v>
      </c>
      <c r="L900" t="n">
        <v>0</v>
      </c>
      <c r="M900" t="n">
        <v>0</v>
      </c>
      <c r="N900" t="n">
        <v>0</v>
      </c>
      <c r="O900" t="n">
        <v>0</v>
      </c>
      <c r="P900" t="n">
        <v>0</v>
      </c>
      <c r="Q900" t="n">
        <v>0</v>
      </c>
      <c r="R900" s="2" t="inlineStr"/>
    </row>
    <row r="901" ht="15" customHeight="1">
      <c r="A901" t="inlineStr">
        <is>
          <t>A 32322-2024</t>
        </is>
      </c>
      <c r="B901" s="1" t="n">
        <v>45512</v>
      </c>
      <c r="C901" s="1" t="n">
        <v>45807</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32330-2024</t>
        </is>
      </c>
      <c r="B902" s="1" t="n">
        <v>45512</v>
      </c>
      <c r="C902" s="1" t="n">
        <v>45807</v>
      </c>
      <c r="D902" t="inlineStr">
        <is>
          <t>GOTLANDS LÄN</t>
        </is>
      </c>
      <c r="E902" t="inlineStr">
        <is>
          <t>GOTLAND</t>
        </is>
      </c>
      <c r="G902" t="n">
        <v>2.6</v>
      </c>
      <c r="H902" t="n">
        <v>0</v>
      </c>
      <c r="I902" t="n">
        <v>0</v>
      </c>
      <c r="J902" t="n">
        <v>0</v>
      </c>
      <c r="K902" t="n">
        <v>0</v>
      </c>
      <c r="L902" t="n">
        <v>0</v>
      </c>
      <c r="M902" t="n">
        <v>0</v>
      </c>
      <c r="N902" t="n">
        <v>0</v>
      </c>
      <c r="O902" t="n">
        <v>0</v>
      </c>
      <c r="P902" t="n">
        <v>0</v>
      </c>
      <c r="Q902" t="n">
        <v>0</v>
      </c>
      <c r="R902" s="2" t="inlineStr"/>
    </row>
    <row r="903" ht="15" customHeight="1">
      <c r="A903" t="inlineStr">
        <is>
          <t>A 32669-2024</t>
        </is>
      </c>
      <c r="B903" s="1" t="n">
        <v>45514</v>
      </c>
      <c r="C903" s="1" t="n">
        <v>45807</v>
      </c>
      <c r="D903" t="inlineStr">
        <is>
          <t>GOTLANDS LÄN</t>
        </is>
      </c>
      <c r="E903" t="inlineStr">
        <is>
          <t>GOTLAND</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33518-2024</t>
        </is>
      </c>
      <c r="B904" s="1" t="n">
        <v>45519</v>
      </c>
      <c r="C904" s="1" t="n">
        <v>45807</v>
      </c>
      <c r="D904" t="inlineStr">
        <is>
          <t>GOTLANDS LÄN</t>
        </is>
      </c>
      <c r="E904" t="inlineStr">
        <is>
          <t>GOTLAND</t>
        </is>
      </c>
      <c r="G904" t="n">
        <v>7.2</v>
      </c>
      <c r="H904" t="n">
        <v>0</v>
      </c>
      <c r="I904" t="n">
        <v>0</v>
      </c>
      <c r="J904" t="n">
        <v>0</v>
      </c>
      <c r="K904" t="n">
        <v>0</v>
      </c>
      <c r="L904" t="n">
        <v>0</v>
      </c>
      <c r="M904" t="n">
        <v>0</v>
      </c>
      <c r="N904" t="n">
        <v>0</v>
      </c>
      <c r="O904" t="n">
        <v>0</v>
      </c>
      <c r="P904" t="n">
        <v>0</v>
      </c>
      <c r="Q904" t="n">
        <v>0</v>
      </c>
      <c r="R904" s="2" t="inlineStr"/>
    </row>
    <row r="905" ht="15" customHeight="1">
      <c r="A905" t="inlineStr">
        <is>
          <t>A 33853-2024</t>
        </is>
      </c>
      <c r="B905" s="1" t="n">
        <v>45520</v>
      </c>
      <c r="C905" s="1" t="n">
        <v>45807</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ht="15" customHeight="1">
      <c r="A906" t="inlineStr">
        <is>
          <t>A 33876-2024</t>
        </is>
      </c>
      <c r="B906" s="1" t="n">
        <v>45521</v>
      </c>
      <c r="C906" s="1" t="n">
        <v>45807</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33928-2024</t>
        </is>
      </c>
      <c r="B907" s="1" t="n">
        <v>45523</v>
      </c>
      <c r="C907" s="1" t="n">
        <v>45807</v>
      </c>
      <c r="D907" t="inlineStr">
        <is>
          <t>GOTLANDS LÄN</t>
        </is>
      </c>
      <c r="E907" t="inlineStr">
        <is>
          <t>GOTLAND</t>
        </is>
      </c>
      <c r="G907" t="n">
        <v>0.7</v>
      </c>
      <c r="H907" t="n">
        <v>0</v>
      </c>
      <c r="I907" t="n">
        <v>0</v>
      </c>
      <c r="J907" t="n">
        <v>0</v>
      </c>
      <c r="K907" t="n">
        <v>0</v>
      </c>
      <c r="L907" t="n">
        <v>0</v>
      </c>
      <c r="M907" t="n">
        <v>0</v>
      </c>
      <c r="N907" t="n">
        <v>0</v>
      </c>
      <c r="O907" t="n">
        <v>0</v>
      </c>
      <c r="P907" t="n">
        <v>0</v>
      </c>
      <c r="Q907" t="n">
        <v>0</v>
      </c>
      <c r="R907" s="2" t="inlineStr"/>
    </row>
    <row r="908" ht="15" customHeight="1">
      <c r="A908" t="inlineStr">
        <is>
          <t>A 34167-2024</t>
        </is>
      </c>
      <c r="B908" s="1" t="n">
        <v>45524</v>
      </c>
      <c r="C908" s="1" t="n">
        <v>45807</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34157-2024</t>
        </is>
      </c>
      <c r="B909" s="1" t="n">
        <v>45524</v>
      </c>
      <c r="C909" s="1" t="n">
        <v>45807</v>
      </c>
      <c r="D909" t="inlineStr">
        <is>
          <t>GOTLANDS LÄN</t>
        </is>
      </c>
      <c r="E909" t="inlineStr">
        <is>
          <t>GOTLAND</t>
        </is>
      </c>
      <c r="G909" t="n">
        <v>3.3</v>
      </c>
      <c r="H909" t="n">
        <v>0</v>
      </c>
      <c r="I909" t="n">
        <v>0</v>
      </c>
      <c r="J909" t="n">
        <v>0</v>
      </c>
      <c r="K909" t="n">
        <v>0</v>
      </c>
      <c r="L909" t="n">
        <v>0</v>
      </c>
      <c r="M909" t="n">
        <v>0</v>
      </c>
      <c r="N909" t="n">
        <v>0</v>
      </c>
      <c r="O909" t="n">
        <v>0</v>
      </c>
      <c r="P909" t="n">
        <v>0</v>
      </c>
      <c r="Q909" t="n">
        <v>0</v>
      </c>
      <c r="R909" s="2" t="inlineStr"/>
    </row>
    <row r="910" ht="15" customHeight="1">
      <c r="A910" t="inlineStr">
        <is>
          <t>A 34142-2024</t>
        </is>
      </c>
      <c r="B910" s="1" t="n">
        <v>45524</v>
      </c>
      <c r="C910" s="1" t="n">
        <v>45807</v>
      </c>
      <c r="D910" t="inlineStr">
        <is>
          <t>GOTLANDS LÄN</t>
        </is>
      </c>
      <c r="E910" t="inlineStr">
        <is>
          <t>GOTLAND</t>
        </is>
      </c>
      <c r="G910" t="n">
        <v>6</v>
      </c>
      <c r="H910" t="n">
        <v>0</v>
      </c>
      <c r="I910" t="n">
        <v>0</v>
      </c>
      <c r="J910" t="n">
        <v>0</v>
      </c>
      <c r="K910" t="n">
        <v>0</v>
      </c>
      <c r="L910" t="n">
        <v>0</v>
      </c>
      <c r="M910" t="n">
        <v>0</v>
      </c>
      <c r="N910" t="n">
        <v>0</v>
      </c>
      <c r="O910" t="n">
        <v>0</v>
      </c>
      <c r="P910" t="n">
        <v>0</v>
      </c>
      <c r="Q910" t="n">
        <v>0</v>
      </c>
      <c r="R910" s="2" t="inlineStr"/>
    </row>
    <row r="911" ht="15" customHeight="1">
      <c r="A911" t="inlineStr">
        <is>
          <t>A 34154-2024</t>
        </is>
      </c>
      <c r="B911" s="1" t="n">
        <v>45524</v>
      </c>
      <c r="C911" s="1" t="n">
        <v>45807</v>
      </c>
      <c r="D911" t="inlineStr">
        <is>
          <t>GOTLANDS LÄN</t>
        </is>
      </c>
      <c r="E911" t="inlineStr">
        <is>
          <t>GOTLAND</t>
        </is>
      </c>
      <c r="G911" t="n">
        <v>9.9</v>
      </c>
      <c r="H911" t="n">
        <v>0</v>
      </c>
      <c r="I911" t="n">
        <v>0</v>
      </c>
      <c r="J911" t="n">
        <v>0</v>
      </c>
      <c r="K911" t="n">
        <v>0</v>
      </c>
      <c r="L911" t="n">
        <v>0</v>
      </c>
      <c r="M911" t="n">
        <v>0</v>
      </c>
      <c r="N911" t="n">
        <v>0</v>
      </c>
      <c r="O911" t="n">
        <v>0</v>
      </c>
      <c r="P911" t="n">
        <v>0</v>
      </c>
      <c r="Q911" t="n">
        <v>0</v>
      </c>
      <c r="R911" s="2" t="inlineStr"/>
    </row>
    <row r="912" ht="15" customHeight="1">
      <c r="A912" t="inlineStr">
        <is>
          <t>A 34170-2024</t>
        </is>
      </c>
      <c r="B912" s="1" t="n">
        <v>45524</v>
      </c>
      <c r="C912" s="1" t="n">
        <v>45807</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34312-2024</t>
        </is>
      </c>
      <c r="B913" s="1" t="n">
        <v>45524</v>
      </c>
      <c r="C913" s="1" t="n">
        <v>45807</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35093-2024</t>
        </is>
      </c>
      <c r="B914" s="1" t="n">
        <v>45527</v>
      </c>
      <c r="C914" s="1" t="n">
        <v>45807</v>
      </c>
      <c r="D914" t="inlineStr">
        <is>
          <t>GOTLANDS LÄN</t>
        </is>
      </c>
      <c r="E914" t="inlineStr">
        <is>
          <t>GOTLAND</t>
        </is>
      </c>
      <c r="G914" t="n">
        <v>2.4</v>
      </c>
      <c r="H914" t="n">
        <v>0</v>
      </c>
      <c r="I914" t="n">
        <v>0</v>
      </c>
      <c r="J914" t="n">
        <v>0</v>
      </c>
      <c r="K914" t="n">
        <v>0</v>
      </c>
      <c r="L914" t="n">
        <v>0</v>
      </c>
      <c r="M914" t="n">
        <v>0</v>
      </c>
      <c r="N914" t="n">
        <v>0</v>
      </c>
      <c r="O914" t="n">
        <v>0</v>
      </c>
      <c r="P914" t="n">
        <v>0</v>
      </c>
      <c r="Q914" t="n">
        <v>0</v>
      </c>
      <c r="R914" s="2" t="inlineStr"/>
    </row>
    <row r="915" ht="15" customHeight="1">
      <c r="A915" t="inlineStr">
        <is>
          <t>A 36539-2024</t>
        </is>
      </c>
      <c r="B915" s="1" t="n">
        <v>45537</v>
      </c>
      <c r="C915" s="1" t="n">
        <v>45807</v>
      </c>
      <c r="D915" t="inlineStr">
        <is>
          <t>GOTLANDS LÄN</t>
        </is>
      </c>
      <c r="E915" t="inlineStr">
        <is>
          <t>GOTLAND</t>
        </is>
      </c>
      <c r="G915" t="n">
        <v>5.9</v>
      </c>
      <c r="H915" t="n">
        <v>0</v>
      </c>
      <c r="I915" t="n">
        <v>0</v>
      </c>
      <c r="J915" t="n">
        <v>0</v>
      </c>
      <c r="K915" t="n">
        <v>0</v>
      </c>
      <c r="L915" t="n">
        <v>0</v>
      </c>
      <c r="M915" t="n">
        <v>0</v>
      </c>
      <c r="N915" t="n">
        <v>0</v>
      </c>
      <c r="O915" t="n">
        <v>0</v>
      </c>
      <c r="P915" t="n">
        <v>0</v>
      </c>
      <c r="Q915" t="n">
        <v>0</v>
      </c>
      <c r="R915" s="2" t="inlineStr"/>
    </row>
    <row r="916" ht="15" customHeight="1">
      <c r="A916" t="inlineStr">
        <is>
          <t>A 37225-2024</t>
        </is>
      </c>
      <c r="B916" s="1" t="n">
        <v>45539</v>
      </c>
      <c r="C916" s="1" t="n">
        <v>45807</v>
      </c>
      <c r="D916" t="inlineStr">
        <is>
          <t>GOTLANDS LÄN</t>
        </is>
      </c>
      <c r="E916" t="inlineStr">
        <is>
          <t>GOTLAND</t>
        </is>
      </c>
      <c r="G916" t="n">
        <v>2.9</v>
      </c>
      <c r="H916" t="n">
        <v>0</v>
      </c>
      <c r="I916" t="n">
        <v>0</v>
      </c>
      <c r="J916" t="n">
        <v>0</v>
      </c>
      <c r="K916" t="n">
        <v>0</v>
      </c>
      <c r="L916" t="n">
        <v>0</v>
      </c>
      <c r="M916" t="n">
        <v>0</v>
      </c>
      <c r="N916" t="n">
        <v>0</v>
      </c>
      <c r="O916" t="n">
        <v>0</v>
      </c>
      <c r="P916" t="n">
        <v>0</v>
      </c>
      <c r="Q916" t="n">
        <v>0</v>
      </c>
      <c r="R916" s="2" t="inlineStr"/>
    </row>
    <row r="917" ht="15" customHeight="1">
      <c r="A917" t="inlineStr">
        <is>
          <t>A 37202-2024</t>
        </is>
      </c>
      <c r="B917" s="1" t="n">
        <v>45539</v>
      </c>
      <c r="C917" s="1" t="n">
        <v>45807</v>
      </c>
      <c r="D917" t="inlineStr">
        <is>
          <t>GOTLANDS LÄN</t>
        </is>
      </c>
      <c r="E917" t="inlineStr">
        <is>
          <t>GOTLAND</t>
        </is>
      </c>
      <c r="G917" t="n">
        <v>0.3</v>
      </c>
      <c r="H917" t="n">
        <v>0</v>
      </c>
      <c r="I917" t="n">
        <v>0</v>
      </c>
      <c r="J917" t="n">
        <v>0</v>
      </c>
      <c r="K917" t="n">
        <v>0</v>
      </c>
      <c r="L917" t="n">
        <v>0</v>
      </c>
      <c r="M917" t="n">
        <v>0</v>
      </c>
      <c r="N917" t="n">
        <v>0</v>
      </c>
      <c r="O917" t="n">
        <v>0</v>
      </c>
      <c r="P917" t="n">
        <v>0</v>
      </c>
      <c r="Q917" t="n">
        <v>0</v>
      </c>
      <c r="R917" s="2" t="inlineStr"/>
    </row>
    <row r="918" ht="15" customHeight="1">
      <c r="A918" t="inlineStr">
        <is>
          <t>A 37376-2024</t>
        </is>
      </c>
      <c r="B918" s="1" t="n">
        <v>45540</v>
      </c>
      <c r="C918" s="1" t="n">
        <v>45807</v>
      </c>
      <c r="D918" t="inlineStr">
        <is>
          <t>GOTLANDS LÄN</t>
        </is>
      </c>
      <c r="E918" t="inlineStr">
        <is>
          <t>GOTLAND</t>
        </is>
      </c>
      <c r="G918" t="n">
        <v>4.9</v>
      </c>
      <c r="H918" t="n">
        <v>0</v>
      </c>
      <c r="I918" t="n">
        <v>0</v>
      </c>
      <c r="J918" t="n">
        <v>0</v>
      </c>
      <c r="K918" t="n">
        <v>0</v>
      </c>
      <c r="L918" t="n">
        <v>0</v>
      </c>
      <c r="M918" t="n">
        <v>0</v>
      </c>
      <c r="N918" t="n">
        <v>0</v>
      </c>
      <c r="O918" t="n">
        <v>0</v>
      </c>
      <c r="P918" t="n">
        <v>0</v>
      </c>
      <c r="Q918" t="n">
        <v>0</v>
      </c>
      <c r="R918" s="2" t="inlineStr"/>
    </row>
    <row r="919" ht="15" customHeight="1">
      <c r="A919" t="inlineStr">
        <is>
          <t>A 37442-2024</t>
        </is>
      </c>
      <c r="B919" s="1" t="n">
        <v>45540</v>
      </c>
      <c r="C919" s="1" t="n">
        <v>45807</v>
      </c>
      <c r="D919" t="inlineStr">
        <is>
          <t>GOTLANDS LÄN</t>
        </is>
      </c>
      <c r="E919" t="inlineStr">
        <is>
          <t>GOTLAND</t>
        </is>
      </c>
      <c r="G919" t="n">
        <v>4.3</v>
      </c>
      <c r="H919" t="n">
        <v>0</v>
      </c>
      <c r="I919" t="n">
        <v>0</v>
      </c>
      <c r="J919" t="n">
        <v>0</v>
      </c>
      <c r="K919" t="n">
        <v>0</v>
      </c>
      <c r="L919" t="n">
        <v>0</v>
      </c>
      <c r="M919" t="n">
        <v>0</v>
      </c>
      <c r="N919" t="n">
        <v>0</v>
      </c>
      <c r="O919" t="n">
        <v>0</v>
      </c>
      <c r="P919" t="n">
        <v>0</v>
      </c>
      <c r="Q919" t="n">
        <v>0</v>
      </c>
      <c r="R919" s="2" t="inlineStr"/>
    </row>
    <row r="920" ht="15" customHeight="1">
      <c r="A920" t="inlineStr">
        <is>
          <t>A 37440-2024</t>
        </is>
      </c>
      <c r="B920" s="1" t="n">
        <v>45540</v>
      </c>
      <c r="C920" s="1" t="n">
        <v>45807</v>
      </c>
      <c r="D920" t="inlineStr">
        <is>
          <t>GOTLANDS LÄN</t>
        </is>
      </c>
      <c r="E920" t="inlineStr">
        <is>
          <t>GOTLAND</t>
        </is>
      </c>
      <c r="G920" t="n">
        <v>1</v>
      </c>
      <c r="H920" t="n">
        <v>0</v>
      </c>
      <c r="I920" t="n">
        <v>0</v>
      </c>
      <c r="J920" t="n">
        <v>0</v>
      </c>
      <c r="K920" t="n">
        <v>0</v>
      </c>
      <c r="L920" t="n">
        <v>0</v>
      </c>
      <c r="M920" t="n">
        <v>0</v>
      </c>
      <c r="N920" t="n">
        <v>0</v>
      </c>
      <c r="O920" t="n">
        <v>0</v>
      </c>
      <c r="P920" t="n">
        <v>0</v>
      </c>
      <c r="Q920" t="n">
        <v>0</v>
      </c>
      <c r="R920" s="2" t="inlineStr"/>
    </row>
    <row r="921" ht="15" customHeight="1">
      <c r="A921" t="inlineStr">
        <is>
          <t>A 37728-2024</t>
        </is>
      </c>
      <c r="B921" s="1" t="n">
        <v>45541</v>
      </c>
      <c r="C921" s="1" t="n">
        <v>45807</v>
      </c>
      <c r="D921" t="inlineStr">
        <is>
          <t>GOTLANDS LÄN</t>
        </is>
      </c>
      <c r="E921" t="inlineStr">
        <is>
          <t>GOTLAND</t>
        </is>
      </c>
      <c r="G921" t="n">
        <v>0.4</v>
      </c>
      <c r="H921" t="n">
        <v>0</v>
      </c>
      <c r="I921" t="n">
        <v>0</v>
      </c>
      <c r="J921" t="n">
        <v>0</v>
      </c>
      <c r="K921" t="n">
        <v>0</v>
      </c>
      <c r="L921" t="n">
        <v>0</v>
      </c>
      <c r="M921" t="n">
        <v>0</v>
      </c>
      <c r="N921" t="n">
        <v>0</v>
      </c>
      <c r="O921" t="n">
        <v>0</v>
      </c>
      <c r="P921" t="n">
        <v>0</v>
      </c>
      <c r="Q921" t="n">
        <v>0</v>
      </c>
      <c r="R921" s="2" t="inlineStr"/>
    </row>
    <row r="922" ht="15" customHeight="1">
      <c r="A922" t="inlineStr">
        <is>
          <t>A 37808-2024</t>
        </is>
      </c>
      <c r="B922" s="1" t="n">
        <v>45543</v>
      </c>
      <c r="C922" s="1" t="n">
        <v>45807</v>
      </c>
      <c r="D922" t="inlineStr">
        <is>
          <t>GOTLANDS LÄN</t>
        </is>
      </c>
      <c r="E922" t="inlineStr">
        <is>
          <t>GOTLAND</t>
        </is>
      </c>
      <c r="G922" t="n">
        <v>2.3</v>
      </c>
      <c r="H922" t="n">
        <v>0</v>
      </c>
      <c r="I922" t="n">
        <v>0</v>
      </c>
      <c r="J922" t="n">
        <v>0</v>
      </c>
      <c r="K922" t="n">
        <v>0</v>
      </c>
      <c r="L922" t="n">
        <v>0</v>
      </c>
      <c r="M922" t="n">
        <v>0</v>
      </c>
      <c r="N922" t="n">
        <v>0</v>
      </c>
      <c r="O922" t="n">
        <v>0</v>
      </c>
      <c r="P922" t="n">
        <v>0</v>
      </c>
      <c r="Q922" t="n">
        <v>0</v>
      </c>
      <c r="R922" s="2" t="inlineStr"/>
    </row>
    <row r="923" ht="15" customHeight="1">
      <c r="A923" t="inlineStr">
        <is>
          <t>A 39311-2024</t>
        </is>
      </c>
      <c r="B923" s="1" t="n">
        <v>45551</v>
      </c>
      <c r="C923" s="1" t="n">
        <v>45807</v>
      </c>
      <c r="D923" t="inlineStr">
        <is>
          <t>GOTLANDS LÄN</t>
        </is>
      </c>
      <c r="E923" t="inlineStr">
        <is>
          <t>GOTLAND</t>
        </is>
      </c>
      <c r="G923" t="n">
        <v>2.8</v>
      </c>
      <c r="H923" t="n">
        <v>0</v>
      </c>
      <c r="I923" t="n">
        <v>0</v>
      </c>
      <c r="J923" t="n">
        <v>0</v>
      </c>
      <c r="K923" t="n">
        <v>0</v>
      </c>
      <c r="L923" t="n">
        <v>0</v>
      </c>
      <c r="M923" t="n">
        <v>0</v>
      </c>
      <c r="N923" t="n">
        <v>0</v>
      </c>
      <c r="O923" t="n">
        <v>0</v>
      </c>
      <c r="P923" t="n">
        <v>0</v>
      </c>
      <c r="Q923" t="n">
        <v>0</v>
      </c>
      <c r="R923" s="2" t="inlineStr"/>
    </row>
    <row r="924" ht="15" customHeight="1">
      <c r="A924" t="inlineStr">
        <is>
          <t>A 41373-2024</t>
        </is>
      </c>
      <c r="B924" s="1" t="n">
        <v>45559</v>
      </c>
      <c r="C924" s="1" t="n">
        <v>45807</v>
      </c>
      <c r="D924" t="inlineStr">
        <is>
          <t>GOTLANDS LÄN</t>
        </is>
      </c>
      <c r="E924" t="inlineStr">
        <is>
          <t>GOTLAND</t>
        </is>
      </c>
      <c r="G924" t="n">
        <v>2</v>
      </c>
      <c r="H924" t="n">
        <v>0</v>
      </c>
      <c r="I924" t="n">
        <v>0</v>
      </c>
      <c r="J924" t="n">
        <v>0</v>
      </c>
      <c r="K924" t="n">
        <v>0</v>
      </c>
      <c r="L924" t="n">
        <v>0</v>
      </c>
      <c r="M924" t="n">
        <v>0</v>
      </c>
      <c r="N924" t="n">
        <v>0</v>
      </c>
      <c r="O924" t="n">
        <v>0</v>
      </c>
      <c r="P924" t="n">
        <v>0</v>
      </c>
      <c r="Q924" t="n">
        <v>0</v>
      </c>
      <c r="R924" s="2" t="inlineStr"/>
    </row>
    <row r="925" ht="15" customHeight="1">
      <c r="A925" t="inlineStr">
        <is>
          <t>A 41372-2024</t>
        </is>
      </c>
      <c r="B925" s="1" t="n">
        <v>45559</v>
      </c>
      <c r="C925" s="1" t="n">
        <v>45807</v>
      </c>
      <c r="D925" t="inlineStr">
        <is>
          <t>GOTLANDS LÄN</t>
        </is>
      </c>
      <c r="E925" t="inlineStr">
        <is>
          <t>GOTLAND</t>
        </is>
      </c>
      <c r="G925" t="n">
        <v>3.3</v>
      </c>
      <c r="H925" t="n">
        <v>0</v>
      </c>
      <c r="I925" t="n">
        <v>0</v>
      </c>
      <c r="J925" t="n">
        <v>0</v>
      </c>
      <c r="K925" t="n">
        <v>0</v>
      </c>
      <c r="L925" t="n">
        <v>0</v>
      </c>
      <c r="M925" t="n">
        <v>0</v>
      </c>
      <c r="N925" t="n">
        <v>0</v>
      </c>
      <c r="O925" t="n">
        <v>0</v>
      </c>
      <c r="P925" t="n">
        <v>0</v>
      </c>
      <c r="Q925" t="n">
        <v>0</v>
      </c>
      <c r="R925" s="2" t="inlineStr"/>
    </row>
    <row r="926" ht="15" customHeight="1">
      <c r="A926" t="inlineStr">
        <is>
          <t>A 41467-2024</t>
        </is>
      </c>
      <c r="B926" s="1" t="n">
        <v>45560</v>
      </c>
      <c r="C926" s="1" t="n">
        <v>45807</v>
      </c>
      <c r="D926" t="inlineStr">
        <is>
          <t>GOTLANDS LÄN</t>
        </is>
      </c>
      <c r="E926" t="inlineStr">
        <is>
          <t>GOTLAND</t>
        </is>
      </c>
      <c r="G926" t="n">
        <v>9</v>
      </c>
      <c r="H926" t="n">
        <v>0</v>
      </c>
      <c r="I926" t="n">
        <v>0</v>
      </c>
      <c r="J926" t="n">
        <v>0</v>
      </c>
      <c r="K926" t="n">
        <v>0</v>
      </c>
      <c r="L926" t="n">
        <v>0</v>
      </c>
      <c r="M926" t="n">
        <v>0</v>
      </c>
      <c r="N926" t="n">
        <v>0</v>
      </c>
      <c r="O926" t="n">
        <v>0</v>
      </c>
      <c r="P926" t="n">
        <v>0</v>
      </c>
      <c r="Q926" t="n">
        <v>0</v>
      </c>
      <c r="R926" s="2" t="inlineStr"/>
    </row>
    <row r="927" ht="15" customHeight="1">
      <c r="A927" t="inlineStr">
        <is>
          <t>A 42041-2024</t>
        </is>
      </c>
      <c r="B927" s="1" t="n">
        <v>45561</v>
      </c>
      <c r="C927" s="1" t="n">
        <v>45807</v>
      </c>
      <c r="D927" t="inlineStr">
        <is>
          <t>GOTLANDS LÄN</t>
        </is>
      </c>
      <c r="E927" t="inlineStr">
        <is>
          <t>GOTLAND</t>
        </is>
      </c>
      <c r="G927" t="n">
        <v>3.2</v>
      </c>
      <c r="H927" t="n">
        <v>0</v>
      </c>
      <c r="I927" t="n">
        <v>0</v>
      </c>
      <c r="J927" t="n">
        <v>0</v>
      </c>
      <c r="K927" t="n">
        <v>0</v>
      </c>
      <c r="L927" t="n">
        <v>0</v>
      </c>
      <c r="M927" t="n">
        <v>0</v>
      </c>
      <c r="N927" t="n">
        <v>0</v>
      </c>
      <c r="O927" t="n">
        <v>0</v>
      </c>
      <c r="P927" t="n">
        <v>0</v>
      </c>
      <c r="Q927" t="n">
        <v>0</v>
      </c>
      <c r="R927" s="2" t="inlineStr"/>
    </row>
    <row r="928" ht="15" customHeight="1">
      <c r="A928" t="inlineStr">
        <is>
          <t>A 42340-2024</t>
        </is>
      </c>
      <c r="B928" s="1" t="n">
        <v>45562</v>
      </c>
      <c r="C928" s="1" t="n">
        <v>45807</v>
      </c>
      <c r="D928" t="inlineStr">
        <is>
          <t>GOTLANDS LÄN</t>
        </is>
      </c>
      <c r="E928" t="inlineStr">
        <is>
          <t>GOTLAND</t>
        </is>
      </c>
      <c r="G928" t="n">
        <v>1.9</v>
      </c>
      <c r="H928" t="n">
        <v>0</v>
      </c>
      <c r="I928" t="n">
        <v>0</v>
      </c>
      <c r="J928" t="n">
        <v>0</v>
      </c>
      <c r="K928" t="n">
        <v>0</v>
      </c>
      <c r="L928" t="n">
        <v>0</v>
      </c>
      <c r="M928" t="n">
        <v>0</v>
      </c>
      <c r="N928" t="n">
        <v>0</v>
      </c>
      <c r="O928" t="n">
        <v>0</v>
      </c>
      <c r="P928" t="n">
        <v>0</v>
      </c>
      <c r="Q928" t="n">
        <v>0</v>
      </c>
      <c r="R928" s="2" t="inlineStr"/>
    </row>
    <row r="929" ht="15" customHeight="1">
      <c r="A929" t="inlineStr">
        <is>
          <t>A 42348-2024</t>
        </is>
      </c>
      <c r="B929" s="1" t="n">
        <v>45562</v>
      </c>
      <c r="C929" s="1" t="n">
        <v>45807</v>
      </c>
      <c r="D929" t="inlineStr">
        <is>
          <t>GOTLANDS LÄN</t>
        </is>
      </c>
      <c r="E929" t="inlineStr">
        <is>
          <t>GOTLAND</t>
        </is>
      </c>
      <c r="G929" t="n">
        <v>1.6</v>
      </c>
      <c r="H929" t="n">
        <v>0</v>
      </c>
      <c r="I929" t="n">
        <v>0</v>
      </c>
      <c r="J929" t="n">
        <v>0</v>
      </c>
      <c r="K929" t="n">
        <v>0</v>
      </c>
      <c r="L929" t="n">
        <v>0</v>
      </c>
      <c r="M929" t="n">
        <v>0</v>
      </c>
      <c r="N929" t="n">
        <v>0</v>
      </c>
      <c r="O929" t="n">
        <v>0</v>
      </c>
      <c r="P929" t="n">
        <v>0</v>
      </c>
      <c r="Q929" t="n">
        <v>0</v>
      </c>
      <c r="R929" s="2" t="inlineStr"/>
    </row>
    <row r="930" ht="15" customHeight="1">
      <c r="A930" t="inlineStr">
        <is>
          <t>A 42346-2024</t>
        </is>
      </c>
      <c r="B930" s="1" t="n">
        <v>45562</v>
      </c>
      <c r="C930" s="1" t="n">
        <v>45807</v>
      </c>
      <c r="D930" t="inlineStr">
        <is>
          <t>GOTLANDS LÄN</t>
        </is>
      </c>
      <c r="E930" t="inlineStr">
        <is>
          <t>GOTLAND</t>
        </is>
      </c>
      <c r="G930" t="n">
        <v>1.3</v>
      </c>
      <c r="H930" t="n">
        <v>0</v>
      </c>
      <c r="I930" t="n">
        <v>0</v>
      </c>
      <c r="J930" t="n">
        <v>0</v>
      </c>
      <c r="K930" t="n">
        <v>0</v>
      </c>
      <c r="L930" t="n">
        <v>0</v>
      </c>
      <c r="M930" t="n">
        <v>0</v>
      </c>
      <c r="N930" t="n">
        <v>0</v>
      </c>
      <c r="O930" t="n">
        <v>0</v>
      </c>
      <c r="P930" t="n">
        <v>0</v>
      </c>
      <c r="Q930" t="n">
        <v>0</v>
      </c>
      <c r="R930" s="2" t="inlineStr"/>
    </row>
    <row r="931" ht="15" customHeight="1">
      <c r="A931" t="inlineStr">
        <is>
          <t>A 43785-2024</t>
        </is>
      </c>
      <c r="B931" s="1" t="n">
        <v>45570</v>
      </c>
      <c r="C931" s="1" t="n">
        <v>45807</v>
      </c>
      <c r="D931" t="inlineStr">
        <is>
          <t>GOTLANDS LÄN</t>
        </is>
      </c>
      <c r="E931" t="inlineStr">
        <is>
          <t>GOTLAND</t>
        </is>
      </c>
      <c r="G931" t="n">
        <v>12.6</v>
      </c>
      <c r="H931" t="n">
        <v>0</v>
      </c>
      <c r="I931" t="n">
        <v>0</v>
      </c>
      <c r="J931" t="n">
        <v>0</v>
      </c>
      <c r="K931" t="n">
        <v>0</v>
      </c>
      <c r="L931" t="n">
        <v>0</v>
      </c>
      <c r="M931" t="n">
        <v>0</v>
      </c>
      <c r="N931" t="n">
        <v>0</v>
      </c>
      <c r="O931" t="n">
        <v>0</v>
      </c>
      <c r="P931" t="n">
        <v>0</v>
      </c>
      <c r="Q931" t="n">
        <v>0</v>
      </c>
      <c r="R931" s="2" t="inlineStr"/>
    </row>
    <row r="932" ht="15" customHeight="1">
      <c r="A932" t="inlineStr">
        <is>
          <t>A 43784-2024</t>
        </is>
      </c>
      <c r="B932" s="1" t="n">
        <v>45570</v>
      </c>
      <c r="C932" s="1" t="n">
        <v>45807</v>
      </c>
      <c r="D932" t="inlineStr">
        <is>
          <t>GOTLANDS LÄN</t>
        </is>
      </c>
      <c r="E932" t="inlineStr">
        <is>
          <t>GOTLAND</t>
        </is>
      </c>
      <c r="G932" t="n">
        <v>9.1</v>
      </c>
      <c r="H932" t="n">
        <v>0</v>
      </c>
      <c r="I932" t="n">
        <v>0</v>
      </c>
      <c r="J932" t="n">
        <v>0</v>
      </c>
      <c r="K932" t="n">
        <v>0</v>
      </c>
      <c r="L932" t="n">
        <v>0</v>
      </c>
      <c r="M932" t="n">
        <v>0</v>
      </c>
      <c r="N932" t="n">
        <v>0</v>
      </c>
      <c r="O932" t="n">
        <v>0</v>
      </c>
      <c r="P932" t="n">
        <v>0</v>
      </c>
      <c r="Q932" t="n">
        <v>0</v>
      </c>
      <c r="R932" s="2" t="inlineStr"/>
    </row>
    <row r="933" ht="15" customHeight="1">
      <c r="A933" t="inlineStr">
        <is>
          <t>A 43787-2024</t>
        </is>
      </c>
      <c r="B933" s="1" t="n">
        <v>45571</v>
      </c>
      <c r="C933" s="1" t="n">
        <v>45807</v>
      </c>
      <c r="D933" t="inlineStr">
        <is>
          <t>GOTLANDS LÄN</t>
        </is>
      </c>
      <c r="E933" t="inlineStr">
        <is>
          <t>GOTLAND</t>
        </is>
      </c>
      <c r="G933" t="n">
        <v>1.9</v>
      </c>
      <c r="H933" t="n">
        <v>0</v>
      </c>
      <c r="I933" t="n">
        <v>0</v>
      </c>
      <c r="J933" t="n">
        <v>0</v>
      </c>
      <c r="K933" t="n">
        <v>0</v>
      </c>
      <c r="L933" t="n">
        <v>0</v>
      </c>
      <c r="M933" t="n">
        <v>0</v>
      </c>
      <c r="N933" t="n">
        <v>0</v>
      </c>
      <c r="O933" t="n">
        <v>0</v>
      </c>
      <c r="P933" t="n">
        <v>0</v>
      </c>
      <c r="Q933" t="n">
        <v>0</v>
      </c>
      <c r="R933" s="2" t="inlineStr"/>
    </row>
    <row r="934" ht="15" customHeight="1">
      <c r="A934" t="inlineStr">
        <is>
          <t>A 43790-2024</t>
        </is>
      </c>
      <c r="B934" s="1" t="n">
        <v>45571</v>
      </c>
      <c r="C934" s="1" t="n">
        <v>45807</v>
      </c>
      <c r="D934" t="inlineStr">
        <is>
          <t>GOTLANDS LÄN</t>
        </is>
      </c>
      <c r="E934" t="inlineStr">
        <is>
          <t>GOTLAND</t>
        </is>
      </c>
      <c r="G934" t="n">
        <v>3.5</v>
      </c>
      <c r="H934" t="n">
        <v>0</v>
      </c>
      <c r="I934" t="n">
        <v>0</v>
      </c>
      <c r="J934" t="n">
        <v>0</v>
      </c>
      <c r="K934" t="n">
        <v>0</v>
      </c>
      <c r="L934" t="n">
        <v>0</v>
      </c>
      <c r="M934" t="n">
        <v>0</v>
      </c>
      <c r="N934" t="n">
        <v>0</v>
      </c>
      <c r="O934" t="n">
        <v>0</v>
      </c>
      <c r="P934" t="n">
        <v>0</v>
      </c>
      <c r="Q934" t="n">
        <v>0</v>
      </c>
      <c r="R934" s="2" t="inlineStr"/>
    </row>
    <row r="935" ht="15" customHeight="1">
      <c r="A935" t="inlineStr">
        <is>
          <t>A 43788-2024</t>
        </is>
      </c>
      <c r="B935" s="1" t="n">
        <v>45571</v>
      </c>
      <c r="C935" s="1" t="n">
        <v>45807</v>
      </c>
      <c r="D935" t="inlineStr">
        <is>
          <t>GOTLANDS LÄN</t>
        </is>
      </c>
      <c r="E935" t="inlineStr">
        <is>
          <t>GOTLAND</t>
        </is>
      </c>
      <c r="G935" t="n">
        <v>4.1</v>
      </c>
      <c r="H935" t="n">
        <v>0</v>
      </c>
      <c r="I935" t="n">
        <v>0</v>
      </c>
      <c r="J935" t="n">
        <v>0</v>
      </c>
      <c r="K935" t="n">
        <v>0</v>
      </c>
      <c r="L935" t="n">
        <v>0</v>
      </c>
      <c r="M935" t="n">
        <v>0</v>
      </c>
      <c r="N935" t="n">
        <v>0</v>
      </c>
      <c r="O935" t="n">
        <v>0</v>
      </c>
      <c r="P935" t="n">
        <v>0</v>
      </c>
      <c r="Q935" t="n">
        <v>0</v>
      </c>
      <c r="R935" s="2" t="inlineStr"/>
    </row>
    <row r="936" ht="15" customHeight="1">
      <c r="A936" t="inlineStr">
        <is>
          <t>A 44416-2024</t>
        </is>
      </c>
      <c r="B936" s="1" t="n">
        <v>45573</v>
      </c>
      <c r="C936" s="1" t="n">
        <v>45807</v>
      </c>
      <c r="D936" t="inlineStr">
        <is>
          <t>GOTLANDS LÄN</t>
        </is>
      </c>
      <c r="E936" t="inlineStr">
        <is>
          <t>GOTLAND</t>
        </is>
      </c>
      <c r="G936" t="n">
        <v>0.8</v>
      </c>
      <c r="H936" t="n">
        <v>0</v>
      </c>
      <c r="I936" t="n">
        <v>0</v>
      </c>
      <c r="J936" t="n">
        <v>0</v>
      </c>
      <c r="K936" t="n">
        <v>0</v>
      </c>
      <c r="L936" t="n">
        <v>0</v>
      </c>
      <c r="M936" t="n">
        <v>0</v>
      </c>
      <c r="N936" t="n">
        <v>0</v>
      </c>
      <c r="O936" t="n">
        <v>0</v>
      </c>
      <c r="P936" t="n">
        <v>0</v>
      </c>
      <c r="Q936" t="n">
        <v>0</v>
      </c>
      <c r="R936" s="2" t="inlineStr"/>
    </row>
    <row r="937" ht="15" customHeight="1">
      <c r="A937" t="inlineStr">
        <is>
          <t>A 44513-2024</t>
        </is>
      </c>
      <c r="B937" s="1" t="n">
        <v>45574</v>
      </c>
      <c r="C937" s="1" t="n">
        <v>45807</v>
      </c>
      <c r="D937" t="inlineStr">
        <is>
          <t>GOTLANDS LÄN</t>
        </is>
      </c>
      <c r="E937" t="inlineStr">
        <is>
          <t>GOTLAND</t>
        </is>
      </c>
      <c r="G937" t="n">
        <v>6.1</v>
      </c>
      <c r="H937" t="n">
        <v>0</v>
      </c>
      <c r="I937" t="n">
        <v>0</v>
      </c>
      <c r="J937" t="n">
        <v>0</v>
      </c>
      <c r="K937" t="n">
        <v>0</v>
      </c>
      <c r="L937" t="n">
        <v>0</v>
      </c>
      <c r="M937" t="n">
        <v>0</v>
      </c>
      <c r="N937" t="n">
        <v>0</v>
      </c>
      <c r="O937" t="n">
        <v>0</v>
      </c>
      <c r="P937" t="n">
        <v>0</v>
      </c>
      <c r="Q937" t="n">
        <v>0</v>
      </c>
      <c r="R937" s="2" t="inlineStr"/>
    </row>
    <row r="938" ht="15" customHeight="1">
      <c r="A938" t="inlineStr">
        <is>
          <t>A 45112-2024</t>
        </is>
      </c>
      <c r="B938" s="1" t="n">
        <v>45575</v>
      </c>
      <c r="C938" s="1" t="n">
        <v>45807</v>
      </c>
      <c r="D938" t="inlineStr">
        <is>
          <t>GOTLANDS LÄN</t>
        </is>
      </c>
      <c r="E938" t="inlineStr">
        <is>
          <t>GOTLAND</t>
        </is>
      </c>
      <c r="G938" t="n">
        <v>5.1</v>
      </c>
      <c r="H938" t="n">
        <v>0</v>
      </c>
      <c r="I938" t="n">
        <v>0</v>
      </c>
      <c r="J938" t="n">
        <v>0</v>
      </c>
      <c r="K938" t="n">
        <v>0</v>
      </c>
      <c r="L938" t="n">
        <v>0</v>
      </c>
      <c r="M938" t="n">
        <v>0</v>
      </c>
      <c r="N938" t="n">
        <v>0</v>
      </c>
      <c r="O938" t="n">
        <v>0</v>
      </c>
      <c r="P938" t="n">
        <v>0</v>
      </c>
      <c r="Q938" t="n">
        <v>0</v>
      </c>
      <c r="R938" s="2" t="inlineStr"/>
    </row>
    <row r="939" ht="15" customHeight="1">
      <c r="A939" t="inlineStr">
        <is>
          <t>A 45101-2024</t>
        </is>
      </c>
      <c r="B939" s="1" t="n">
        <v>45575</v>
      </c>
      <c r="C939" s="1" t="n">
        <v>45807</v>
      </c>
      <c r="D939" t="inlineStr">
        <is>
          <t>GOTLANDS LÄN</t>
        </is>
      </c>
      <c r="E939" t="inlineStr">
        <is>
          <t>GOTLAND</t>
        </is>
      </c>
      <c r="G939" t="n">
        <v>1.6</v>
      </c>
      <c r="H939" t="n">
        <v>0</v>
      </c>
      <c r="I939" t="n">
        <v>0</v>
      </c>
      <c r="J939" t="n">
        <v>0</v>
      </c>
      <c r="K939" t="n">
        <v>0</v>
      </c>
      <c r="L939" t="n">
        <v>0</v>
      </c>
      <c r="M939" t="n">
        <v>0</v>
      </c>
      <c r="N939" t="n">
        <v>0</v>
      </c>
      <c r="O939" t="n">
        <v>0</v>
      </c>
      <c r="P939" t="n">
        <v>0</v>
      </c>
      <c r="Q939" t="n">
        <v>0</v>
      </c>
      <c r="R939" s="2" t="inlineStr"/>
    </row>
    <row r="940" ht="15" customHeight="1">
      <c r="A940" t="inlineStr">
        <is>
          <t>A 45106-2024</t>
        </is>
      </c>
      <c r="B940" s="1" t="n">
        <v>45575</v>
      </c>
      <c r="C940" s="1" t="n">
        <v>45807</v>
      </c>
      <c r="D940" t="inlineStr">
        <is>
          <t>GOTLANDS LÄN</t>
        </is>
      </c>
      <c r="E940" t="inlineStr">
        <is>
          <t>GOTLAND</t>
        </is>
      </c>
      <c r="G940" t="n">
        <v>10</v>
      </c>
      <c r="H940" t="n">
        <v>0</v>
      </c>
      <c r="I940" t="n">
        <v>0</v>
      </c>
      <c r="J940" t="n">
        <v>0</v>
      </c>
      <c r="K940" t="n">
        <v>0</v>
      </c>
      <c r="L940" t="n">
        <v>0</v>
      </c>
      <c r="M940" t="n">
        <v>0</v>
      </c>
      <c r="N940" t="n">
        <v>0</v>
      </c>
      <c r="O940" t="n">
        <v>0</v>
      </c>
      <c r="P940" t="n">
        <v>0</v>
      </c>
      <c r="Q940" t="n">
        <v>0</v>
      </c>
      <c r="R940" s="2" t="inlineStr"/>
    </row>
    <row r="941" ht="15" customHeight="1">
      <c r="A941" t="inlineStr">
        <is>
          <t>A 44892-2024</t>
        </is>
      </c>
      <c r="B941" s="1" t="n">
        <v>45575</v>
      </c>
      <c r="C941" s="1" t="n">
        <v>45807</v>
      </c>
      <c r="D941" t="inlineStr">
        <is>
          <t>GOTLANDS LÄN</t>
        </is>
      </c>
      <c r="E941" t="inlineStr">
        <is>
          <t>GOTLAND</t>
        </is>
      </c>
      <c r="G941" t="n">
        <v>2.9</v>
      </c>
      <c r="H941" t="n">
        <v>0</v>
      </c>
      <c r="I941" t="n">
        <v>0</v>
      </c>
      <c r="J941" t="n">
        <v>0</v>
      </c>
      <c r="K941" t="n">
        <v>0</v>
      </c>
      <c r="L941" t="n">
        <v>0</v>
      </c>
      <c r="M941" t="n">
        <v>0</v>
      </c>
      <c r="N941" t="n">
        <v>0</v>
      </c>
      <c r="O941" t="n">
        <v>0</v>
      </c>
      <c r="P941" t="n">
        <v>0</v>
      </c>
      <c r="Q941" t="n">
        <v>0</v>
      </c>
      <c r="R941" s="2" t="inlineStr"/>
    </row>
    <row r="942" ht="15" customHeight="1">
      <c r="A942" t="inlineStr">
        <is>
          <t>A 45079-2024</t>
        </is>
      </c>
      <c r="B942" s="1" t="n">
        <v>45575</v>
      </c>
      <c r="C942" s="1" t="n">
        <v>45807</v>
      </c>
      <c r="D942" t="inlineStr">
        <is>
          <t>GOTLANDS LÄN</t>
        </is>
      </c>
      <c r="E942" t="inlineStr">
        <is>
          <t>GOTLAND</t>
        </is>
      </c>
      <c r="G942" t="n">
        <v>3.9</v>
      </c>
      <c r="H942" t="n">
        <v>0</v>
      </c>
      <c r="I942" t="n">
        <v>0</v>
      </c>
      <c r="J942" t="n">
        <v>0</v>
      </c>
      <c r="K942" t="n">
        <v>0</v>
      </c>
      <c r="L942" t="n">
        <v>0</v>
      </c>
      <c r="M942" t="n">
        <v>0</v>
      </c>
      <c r="N942" t="n">
        <v>0</v>
      </c>
      <c r="O942" t="n">
        <v>0</v>
      </c>
      <c r="P942" t="n">
        <v>0</v>
      </c>
      <c r="Q942" t="n">
        <v>0</v>
      </c>
      <c r="R942" s="2" t="inlineStr"/>
    </row>
    <row r="943" ht="15" customHeight="1">
      <c r="A943" t="inlineStr">
        <is>
          <t>A 45084-2024</t>
        </is>
      </c>
      <c r="B943" s="1" t="n">
        <v>45575</v>
      </c>
      <c r="C943" s="1" t="n">
        <v>45807</v>
      </c>
      <c r="D943" t="inlineStr">
        <is>
          <t>GOTLANDS LÄN</t>
        </is>
      </c>
      <c r="E943" t="inlineStr">
        <is>
          <t>GOTLAND</t>
        </is>
      </c>
      <c r="G943" t="n">
        <v>6.8</v>
      </c>
      <c r="H943" t="n">
        <v>0</v>
      </c>
      <c r="I943" t="n">
        <v>0</v>
      </c>
      <c r="J943" t="n">
        <v>0</v>
      </c>
      <c r="K943" t="n">
        <v>0</v>
      </c>
      <c r="L943" t="n">
        <v>0</v>
      </c>
      <c r="M943" t="n">
        <v>0</v>
      </c>
      <c r="N943" t="n">
        <v>0</v>
      </c>
      <c r="O943" t="n">
        <v>0</v>
      </c>
      <c r="P943" t="n">
        <v>0</v>
      </c>
      <c r="Q943" t="n">
        <v>0</v>
      </c>
      <c r="R943" s="2" t="inlineStr"/>
    </row>
    <row r="944" ht="15" customHeight="1">
      <c r="A944" t="inlineStr">
        <is>
          <t>A 44879-2024</t>
        </is>
      </c>
      <c r="B944" s="1" t="n">
        <v>45575</v>
      </c>
      <c r="C944" s="1" t="n">
        <v>45807</v>
      </c>
      <c r="D944" t="inlineStr">
        <is>
          <t>GOTLANDS LÄN</t>
        </is>
      </c>
      <c r="E944" t="inlineStr">
        <is>
          <t>GOTLAND</t>
        </is>
      </c>
      <c r="G944" t="n">
        <v>18.9</v>
      </c>
      <c r="H944" t="n">
        <v>0</v>
      </c>
      <c r="I944" t="n">
        <v>0</v>
      </c>
      <c r="J944" t="n">
        <v>0</v>
      </c>
      <c r="K944" t="n">
        <v>0</v>
      </c>
      <c r="L944" t="n">
        <v>0</v>
      </c>
      <c r="M944" t="n">
        <v>0</v>
      </c>
      <c r="N944" t="n">
        <v>0</v>
      </c>
      <c r="O944" t="n">
        <v>0</v>
      </c>
      <c r="P944" t="n">
        <v>0</v>
      </c>
      <c r="Q944" t="n">
        <v>0</v>
      </c>
      <c r="R944" s="2" t="inlineStr"/>
    </row>
    <row r="945" ht="15" customHeight="1">
      <c r="A945" t="inlineStr">
        <is>
          <t>A 45244-2024</t>
        </is>
      </c>
      <c r="B945" s="1" t="n">
        <v>45576</v>
      </c>
      <c r="C945" s="1" t="n">
        <v>45807</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46540-2024</t>
        </is>
      </c>
      <c r="B946" s="1" t="n">
        <v>45582</v>
      </c>
      <c r="C946" s="1" t="n">
        <v>45807</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46548-2024</t>
        </is>
      </c>
      <c r="B947" s="1" t="n">
        <v>45582</v>
      </c>
      <c r="C947" s="1" t="n">
        <v>45807</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46560-2024</t>
        </is>
      </c>
      <c r="B948" s="1" t="n">
        <v>45582</v>
      </c>
      <c r="C948" s="1" t="n">
        <v>45807</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46555-2024</t>
        </is>
      </c>
      <c r="B949" s="1" t="n">
        <v>45582</v>
      </c>
      <c r="C949" s="1" t="n">
        <v>45807</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46375-2024</t>
        </is>
      </c>
      <c r="B950" s="1" t="n">
        <v>45582</v>
      </c>
      <c r="C950" s="1" t="n">
        <v>45807</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46545-2024</t>
        </is>
      </c>
      <c r="B951" s="1" t="n">
        <v>45582</v>
      </c>
      <c r="C951" s="1" t="n">
        <v>45807</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46929-2024</t>
        </is>
      </c>
      <c r="B952" s="1" t="n">
        <v>45584</v>
      </c>
      <c r="C952" s="1" t="n">
        <v>45807</v>
      </c>
      <c r="D952" t="inlineStr">
        <is>
          <t>GOTLANDS LÄN</t>
        </is>
      </c>
      <c r="E952" t="inlineStr">
        <is>
          <t>GOTLAND</t>
        </is>
      </c>
      <c r="G952" t="n">
        <v>2.5</v>
      </c>
      <c r="H952" t="n">
        <v>0</v>
      </c>
      <c r="I952" t="n">
        <v>0</v>
      </c>
      <c r="J952" t="n">
        <v>0</v>
      </c>
      <c r="K952" t="n">
        <v>0</v>
      </c>
      <c r="L952" t="n">
        <v>0</v>
      </c>
      <c r="M952" t="n">
        <v>0</v>
      </c>
      <c r="N952" t="n">
        <v>0</v>
      </c>
      <c r="O952" t="n">
        <v>0</v>
      </c>
      <c r="P952" t="n">
        <v>0</v>
      </c>
      <c r="Q952" t="n">
        <v>0</v>
      </c>
      <c r="R952" s="2" t="inlineStr"/>
    </row>
    <row r="953" ht="15" customHeight="1">
      <c r="A953" t="inlineStr">
        <is>
          <t>A 46928-2024</t>
        </is>
      </c>
      <c r="B953" s="1" t="n">
        <v>45584</v>
      </c>
      <c r="C953" s="1" t="n">
        <v>45807</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46930-2024</t>
        </is>
      </c>
      <c r="B954" s="1" t="n">
        <v>45584</v>
      </c>
      <c r="C954" s="1" t="n">
        <v>45807</v>
      </c>
      <c r="D954" t="inlineStr">
        <is>
          <t>GOTLANDS LÄN</t>
        </is>
      </c>
      <c r="E954" t="inlineStr">
        <is>
          <t>GOTLAND</t>
        </is>
      </c>
      <c r="G954" t="n">
        <v>1.8</v>
      </c>
      <c r="H954" t="n">
        <v>0</v>
      </c>
      <c r="I954" t="n">
        <v>0</v>
      </c>
      <c r="J954" t="n">
        <v>0</v>
      </c>
      <c r="K954" t="n">
        <v>0</v>
      </c>
      <c r="L954" t="n">
        <v>0</v>
      </c>
      <c r="M954" t="n">
        <v>0</v>
      </c>
      <c r="N954" t="n">
        <v>0</v>
      </c>
      <c r="O954" t="n">
        <v>0</v>
      </c>
      <c r="P954" t="n">
        <v>0</v>
      </c>
      <c r="Q954" t="n">
        <v>0</v>
      </c>
      <c r="R954" s="2" t="inlineStr"/>
    </row>
    <row r="955" ht="15" customHeight="1">
      <c r="A955" t="inlineStr">
        <is>
          <t>A 46949-2024</t>
        </is>
      </c>
      <c r="B955" s="1" t="n">
        <v>45585</v>
      </c>
      <c r="C955" s="1" t="n">
        <v>45807</v>
      </c>
      <c r="D955" t="inlineStr">
        <is>
          <t>GOTLANDS LÄN</t>
        </is>
      </c>
      <c r="E955" t="inlineStr">
        <is>
          <t>GOTLAND</t>
        </is>
      </c>
      <c r="G955" t="n">
        <v>0.6</v>
      </c>
      <c r="H955" t="n">
        <v>0</v>
      </c>
      <c r="I955" t="n">
        <v>0</v>
      </c>
      <c r="J955" t="n">
        <v>0</v>
      </c>
      <c r="K955" t="n">
        <v>0</v>
      </c>
      <c r="L955" t="n">
        <v>0</v>
      </c>
      <c r="M955" t="n">
        <v>0</v>
      </c>
      <c r="N955" t="n">
        <v>0</v>
      </c>
      <c r="O955" t="n">
        <v>0</v>
      </c>
      <c r="P955" t="n">
        <v>0</v>
      </c>
      <c r="Q955" t="n">
        <v>0</v>
      </c>
      <c r="R955" s="2" t="inlineStr"/>
    </row>
    <row r="956" ht="15" customHeight="1">
      <c r="A956" t="inlineStr">
        <is>
          <t>A 47292-2024</t>
        </is>
      </c>
      <c r="B956" s="1" t="n">
        <v>45586</v>
      </c>
      <c r="C956" s="1" t="n">
        <v>45807</v>
      </c>
      <c r="D956" t="inlineStr">
        <is>
          <t>GOTLANDS LÄN</t>
        </is>
      </c>
      <c r="E956" t="inlineStr">
        <is>
          <t>GOTLAND</t>
        </is>
      </c>
      <c r="G956" t="n">
        <v>5.9</v>
      </c>
      <c r="H956" t="n">
        <v>0</v>
      </c>
      <c r="I956" t="n">
        <v>0</v>
      </c>
      <c r="J956" t="n">
        <v>0</v>
      </c>
      <c r="K956" t="n">
        <v>0</v>
      </c>
      <c r="L956" t="n">
        <v>0</v>
      </c>
      <c r="M956" t="n">
        <v>0</v>
      </c>
      <c r="N956" t="n">
        <v>0</v>
      </c>
      <c r="O956" t="n">
        <v>0</v>
      </c>
      <c r="P956" t="n">
        <v>0</v>
      </c>
      <c r="Q956" t="n">
        <v>0</v>
      </c>
      <c r="R956" s="2" t="inlineStr"/>
    </row>
    <row r="957" ht="15" customHeight="1">
      <c r="A957" t="inlineStr">
        <is>
          <t>A 48032-2024</t>
        </is>
      </c>
      <c r="B957" s="1" t="n">
        <v>45589</v>
      </c>
      <c r="C957" s="1" t="n">
        <v>45807</v>
      </c>
      <c r="D957" t="inlineStr">
        <is>
          <t>GOTLANDS LÄN</t>
        </is>
      </c>
      <c r="E957" t="inlineStr">
        <is>
          <t>GOTLAND</t>
        </is>
      </c>
      <c r="G957" t="n">
        <v>11.5</v>
      </c>
      <c r="H957" t="n">
        <v>0</v>
      </c>
      <c r="I957" t="n">
        <v>0</v>
      </c>
      <c r="J957" t="n">
        <v>0</v>
      </c>
      <c r="K957" t="n">
        <v>0</v>
      </c>
      <c r="L957" t="n">
        <v>0</v>
      </c>
      <c r="M957" t="n">
        <v>0</v>
      </c>
      <c r="N957" t="n">
        <v>0</v>
      </c>
      <c r="O957" t="n">
        <v>0</v>
      </c>
      <c r="P957" t="n">
        <v>0</v>
      </c>
      <c r="Q957" t="n">
        <v>0</v>
      </c>
      <c r="R957" s="2" t="inlineStr"/>
    </row>
    <row r="958" ht="15" customHeight="1">
      <c r="A958" t="inlineStr">
        <is>
          <t>A 48843-2024</t>
        </is>
      </c>
      <c r="B958" s="1" t="n">
        <v>45593</v>
      </c>
      <c r="C958" s="1" t="n">
        <v>45807</v>
      </c>
      <c r="D958" t="inlineStr">
        <is>
          <t>GOTLANDS LÄN</t>
        </is>
      </c>
      <c r="E958" t="inlineStr">
        <is>
          <t>GOTLAND</t>
        </is>
      </c>
      <c r="G958" t="n">
        <v>0.5</v>
      </c>
      <c r="H958" t="n">
        <v>0</v>
      </c>
      <c r="I958" t="n">
        <v>0</v>
      </c>
      <c r="J958" t="n">
        <v>0</v>
      </c>
      <c r="K958" t="n">
        <v>0</v>
      </c>
      <c r="L958" t="n">
        <v>0</v>
      </c>
      <c r="M958" t="n">
        <v>0</v>
      </c>
      <c r="N958" t="n">
        <v>0</v>
      </c>
      <c r="O958" t="n">
        <v>0</v>
      </c>
      <c r="P958" t="n">
        <v>0</v>
      </c>
      <c r="Q958" t="n">
        <v>0</v>
      </c>
      <c r="R958" s="2" t="inlineStr"/>
    </row>
    <row r="959" ht="15" customHeight="1">
      <c r="A959" t="inlineStr">
        <is>
          <t>A 49201-2024</t>
        </is>
      </c>
      <c r="B959" s="1" t="n">
        <v>45595</v>
      </c>
      <c r="C959" s="1" t="n">
        <v>45807</v>
      </c>
      <c r="D959" t="inlineStr">
        <is>
          <t>GOTLANDS LÄN</t>
        </is>
      </c>
      <c r="E959" t="inlineStr">
        <is>
          <t>GOTLAND</t>
        </is>
      </c>
      <c r="G959" t="n">
        <v>5.8</v>
      </c>
      <c r="H959" t="n">
        <v>0</v>
      </c>
      <c r="I959" t="n">
        <v>0</v>
      </c>
      <c r="J959" t="n">
        <v>0</v>
      </c>
      <c r="K959" t="n">
        <v>0</v>
      </c>
      <c r="L959" t="n">
        <v>0</v>
      </c>
      <c r="M959" t="n">
        <v>0</v>
      </c>
      <c r="N959" t="n">
        <v>0</v>
      </c>
      <c r="O959" t="n">
        <v>0</v>
      </c>
      <c r="P959" t="n">
        <v>0</v>
      </c>
      <c r="Q959" t="n">
        <v>0</v>
      </c>
      <c r="R959" s="2" t="inlineStr"/>
    </row>
    <row r="960" ht="15" customHeight="1">
      <c r="A960" t="inlineStr">
        <is>
          <t>A 49314-2024</t>
        </is>
      </c>
      <c r="B960" s="1" t="n">
        <v>45595</v>
      </c>
      <c r="C960" s="1" t="n">
        <v>45807</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49167-2024</t>
        </is>
      </c>
      <c r="B961" s="1" t="n">
        <v>45595</v>
      </c>
      <c r="C961" s="1" t="n">
        <v>45807</v>
      </c>
      <c r="D961" t="inlineStr">
        <is>
          <t>GOTLANDS LÄN</t>
        </is>
      </c>
      <c r="E961" t="inlineStr">
        <is>
          <t>GOTLAND</t>
        </is>
      </c>
      <c r="G961" t="n">
        <v>3</v>
      </c>
      <c r="H961" t="n">
        <v>0</v>
      </c>
      <c r="I961" t="n">
        <v>0</v>
      </c>
      <c r="J961" t="n">
        <v>0</v>
      </c>
      <c r="K961" t="n">
        <v>0</v>
      </c>
      <c r="L961" t="n">
        <v>0</v>
      </c>
      <c r="M961" t="n">
        <v>0</v>
      </c>
      <c r="N961" t="n">
        <v>0</v>
      </c>
      <c r="O961" t="n">
        <v>0</v>
      </c>
      <c r="P961" t="n">
        <v>0</v>
      </c>
      <c r="Q961" t="n">
        <v>0</v>
      </c>
      <c r="R961" s="2" t="inlineStr"/>
    </row>
    <row r="962" ht="15" customHeight="1">
      <c r="A962" t="inlineStr">
        <is>
          <t>A 49315-2024</t>
        </is>
      </c>
      <c r="B962" s="1" t="n">
        <v>45595</v>
      </c>
      <c r="C962" s="1" t="n">
        <v>45807</v>
      </c>
      <c r="D962" t="inlineStr">
        <is>
          <t>GOTLANDS LÄN</t>
        </is>
      </c>
      <c r="E962" t="inlineStr">
        <is>
          <t>GOTLAND</t>
        </is>
      </c>
      <c r="G962" t="n">
        <v>1.5</v>
      </c>
      <c r="H962" t="n">
        <v>0</v>
      </c>
      <c r="I962" t="n">
        <v>0</v>
      </c>
      <c r="J962" t="n">
        <v>0</v>
      </c>
      <c r="K962" t="n">
        <v>0</v>
      </c>
      <c r="L962" t="n">
        <v>0</v>
      </c>
      <c r="M962" t="n">
        <v>0</v>
      </c>
      <c r="N962" t="n">
        <v>0</v>
      </c>
      <c r="O962" t="n">
        <v>0</v>
      </c>
      <c r="P962" t="n">
        <v>0</v>
      </c>
      <c r="Q962" t="n">
        <v>0</v>
      </c>
      <c r="R962" s="2" t="inlineStr"/>
    </row>
    <row r="963" ht="15" customHeight="1">
      <c r="A963" t="inlineStr">
        <is>
          <t>A 49257-2024</t>
        </is>
      </c>
      <c r="B963" s="1" t="n">
        <v>45595</v>
      </c>
      <c r="C963" s="1" t="n">
        <v>45807</v>
      </c>
      <c r="D963" t="inlineStr">
        <is>
          <t>GOTLANDS LÄN</t>
        </is>
      </c>
      <c r="E963" t="inlineStr">
        <is>
          <t>GOTLAND</t>
        </is>
      </c>
      <c r="G963" t="n">
        <v>6.3</v>
      </c>
      <c r="H963" t="n">
        <v>0</v>
      </c>
      <c r="I963" t="n">
        <v>0</v>
      </c>
      <c r="J963" t="n">
        <v>0</v>
      </c>
      <c r="K963" t="n">
        <v>0</v>
      </c>
      <c r="L963" t="n">
        <v>0</v>
      </c>
      <c r="M963" t="n">
        <v>0</v>
      </c>
      <c r="N963" t="n">
        <v>0</v>
      </c>
      <c r="O963" t="n">
        <v>0</v>
      </c>
      <c r="P963" t="n">
        <v>0</v>
      </c>
      <c r="Q963" t="n">
        <v>0</v>
      </c>
      <c r="R963" s="2" t="inlineStr"/>
    </row>
    <row r="964" ht="15" customHeight="1">
      <c r="A964" t="inlineStr">
        <is>
          <t>A 49874-2024</t>
        </is>
      </c>
      <c r="B964" s="1" t="n">
        <v>45597</v>
      </c>
      <c r="C964" s="1" t="n">
        <v>45807</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50021-2024</t>
        </is>
      </c>
      <c r="B965" s="1" t="n">
        <v>45599</v>
      </c>
      <c r="C965" s="1" t="n">
        <v>45807</v>
      </c>
      <c r="D965" t="inlineStr">
        <is>
          <t>GOTLANDS LÄN</t>
        </is>
      </c>
      <c r="E965" t="inlineStr">
        <is>
          <t>GOTLAND</t>
        </is>
      </c>
      <c r="G965" t="n">
        <v>2.1</v>
      </c>
      <c r="H965" t="n">
        <v>0</v>
      </c>
      <c r="I965" t="n">
        <v>0</v>
      </c>
      <c r="J965" t="n">
        <v>0</v>
      </c>
      <c r="K965" t="n">
        <v>0</v>
      </c>
      <c r="L965" t="n">
        <v>0</v>
      </c>
      <c r="M965" t="n">
        <v>0</v>
      </c>
      <c r="N965" t="n">
        <v>0</v>
      </c>
      <c r="O965" t="n">
        <v>0</v>
      </c>
      <c r="P965" t="n">
        <v>0</v>
      </c>
      <c r="Q965" t="n">
        <v>0</v>
      </c>
      <c r="R965" s="2" t="inlineStr"/>
    </row>
    <row r="966" ht="15" customHeight="1">
      <c r="A966" t="inlineStr">
        <is>
          <t>A 50023-2024</t>
        </is>
      </c>
      <c r="B966" s="1" t="n">
        <v>45599</v>
      </c>
      <c r="C966" s="1" t="n">
        <v>45807</v>
      </c>
      <c r="D966" t="inlineStr">
        <is>
          <t>GOTLANDS LÄN</t>
        </is>
      </c>
      <c r="E966" t="inlineStr">
        <is>
          <t>GOTLAND</t>
        </is>
      </c>
      <c r="G966" t="n">
        <v>2</v>
      </c>
      <c r="H966" t="n">
        <v>0</v>
      </c>
      <c r="I966" t="n">
        <v>0</v>
      </c>
      <c r="J966" t="n">
        <v>0</v>
      </c>
      <c r="K966" t="n">
        <v>0</v>
      </c>
      <c r="L966" t="n">
        <v>0</v>
      </c>
      <c r="M966" t="n">
        <v>0</v>
      </c>
      <c r="N966" t="n">
        <v>0</v>
      </c>
      <c r="O966" t="n">
        <v>0</v>
      </c>
      <c r="P966" t="n">
        <v>0</v>
      </c>
      <c r="Q966" t="n">
        <v>0</v>
      </c>
      <c r="R966" s="2" t="inlineStr"/>
    </row>
    <row r="967" ht="15" customHeight="1">
      <c r="A967" t="inlineStr">
        <is>
          <t>A 50022-2024</t>
        </is>
      </c>
      <c r="B967" s="1" t="n">
        <v>45599</v>
      </c>
      <c r="C967" s="1" t="n">
        <v>45807</v>
      </c>
      <c r="D967" t="inlineStr">
        <is>
          <t>GOTLANDS LÄN</t>
        </is>
      </c>
      <c r="E967" t="inlineStr">
        <is>
          <t>GOTLAND</t>
        </is>
      </c>
      <c r="G967" t="n">
        <v>4</v>
      </c>
      <c r="H967" t="n">
        <v>0</v>
      </c>
      <c r="I967" t="n">
        <v>0</v>
      </c>
      <c r="J967" t="n">
        <v>0</v>
      </c>
      <c r="K967" t="n">
        <v>0</v>
      </c>
      <c r="L967" t="n">
        <v>0</v>
      </c>
      <c r="M967" t="n">
        <v>0</v>
      </c>
      <c r="N967" t="n">
        <v>0</v>
      </c>
      <c r="O967" t="n">
        <v>0</v>
      </c>
      <c r="P967" t="n">
        <v>0</v>
      </c>
      <c r="Q967" t="n">
        <v>0</v>
      </c>
      <c r="R967" s="2" t="inlineStr"/>
    </row>
    <row r="968" ht="15" customHeight="1">
      <c r="A968" t="inlineStr">
        <is>
          <t>A 50482-2024</t>
        </is>
      </c>
      <c r="B968" s="1" t="n">
        <v>45601</v>
      </c>
      <c r="C968" s="1" t="n">
        <v>45807</v>
      </c>
      <c r="D968" t="inlineStr">
        <is>
          <t>GOTLANDS LÄN</t>
        </is>
      </c>
      <c r="E968" t="inlineStr">
        <is>
          <t>GOTLAND</t>
        </is>
      </c>
      <c r="G968" t="n">
        <v>2.3</v>
      </c>
      <c r="H968" t="n">
        <v>0</v>
      </c>
      <c r="I968" t="n">
        <v>0</v>
      </c>
      <c r="J968" t="n">
        <v>0</v>
      </c>
      <c r="K968" t="n">
        <v>0</v>
      </c>
      <c r="L968" t="n">
        <v>0</v>
      </c>
      <c r="M968" t="n">
        <v>0</v>
      </c>
      <c r="N968" t="n">
        <v>0</v>
      </c>
      <c r="O968" t="n">
        <v>0</v>
      </c>
      <c r="P968" t="n">
        <v>0</v>
      </c>
      <c r="Q968" t="n">
        <v>0</v>
      </c>
      <c r="R968" s="2" t="inlineStr"/>
    </row>
    <row r="969" ht="15" customHeight="1">
      <c r="A969" t="inlineStr">
        <is>
          <t>A 50470-2024</t>
        </is>
      </c>
      <c r="B969" s="1" t="n">
        <v>45601</v>
      </c>
      <c r="C969" s="1" t="n">
        <v>45807</v>
      </c>
      <c r="D969" t="inlineStr">
        <is>
          <t>GOTLANDS LÄN</t>
        </is>
      </c>
      <c r="E969" t="inlineStr">
        <is>
          <t>GOTLAND</t>
        </is>
      </c>
      <c r="G969" t="n">
        <v>3.4</v>
      </c>
      <c r="H969" t="n">
        <v>0</v>
      </c>
      <c r="I969" t="n">
        <v>0</v>
      </c>
      <c r="J969" t="n">
        <v>0</v>
      </c>
      <c r="K969" t="n">
        <v>0</v>
      </c>
      <c r="L969" t="n">
        <v>0</v>
      </c>
      <c r="M969" t="n">
        <v>0</v>
      </c>
      <c r="N969" t="n">
        <v>0</v>
      </c>
      <c r="O969" t="n">
        <v>0</v>
      </c>
      <c r="P969" t="n">
        <v>0</v>
      </c>
      <c r="Q969" t="n">
        <v>0</v>
      </c>
      <c r="R969" s="2" t="inlineStr"/>
    </row>
    <row r="970" ht="15" customHeight="1">
      <c r="A970" t="inlineStr">
        <is>
          <t>A 50744-2024</t>
        </is>
      </c>
      <c r="B970" s="1" t="n">
        <v>45602</v>
      </c>
      <c r="C970" s="1" t="n">
        <v>45807</v>
      </c>
      <c r="D970" t="inlineStr">
        <is>
          <t>GOTLANDS LÄN</t>
        </is>
      </c>
      <c r="E970" t="inlineStr">
        <is>
          <t>GOTLAND</t>
        </is>
      </c>
      <c r="G970" t="n">
        <v>3.2</v>
      </c>
      <c r="H970" t="n">
        <v>0</v>
      </c>
      <c r="I970" t="n">
        <v>0</v>
      </c>
      <c r="J970" t="n">
        <v>0</v>
      </c>
      <c r="K970" t="n">
        <v>0</v>
      </c>
      <c r="L970" t="n">
        <v>0</v>
      </c>
      <c r="M970" t="n">
        <v>0</v>
      </c>
      <c r="N970" t="n">
        <v>0</v>
      </c>
      <c r="O970" t="n">
        <v>0</v>
      </c>
      <c r="P970" t="n">
        <v>0</v>
      </c>
      <c r="Q970" t="n">
        <v>0</v>
      </c>
      <c r="R970" s="2" t="inlineStr"/>
    </row>
    <row r="971" ht="15" customHeight="1">
      <c r="A971" t="inlineStr">
        <is>
          <t>A 50958-2024</t>
        </is>
      </c>
      <c r="B971" s="1" t="n">
        <v>45603</v>
      </c>
      <c r="C971" s="1" t="n">
        <v>45807</v>
      </c>
      <c r="D971" t="inlineStr">
        <is>
          <t>GOTLANDS LÄN</t>
        </is>
      </c>
      <c r="E971" t="inlineStr">
        <is>
          <t>GOTLAND</t>
        </is>
      </c>
      <c r="G971" t="n">
        <v>1.7</v>
      </c>
      <c r="H971" t="n">
        <v>0</v>
      </c>
      <c r="I971" t="n">
        <v>0</v>
      </c>
      <c r="J971" t="n">
        <v>0</v>
      </c>
      <c r="K971" t="n">
        <v>0</v>
      </c>
      <c r="L971" t="n">
        <v>0</v>
      </c>
      <c r="M971" t="n">
        <v>0</v>
      </c>
      <c r="N971" t="n">
        <v>0</v>
      </c>
      <c r="O971" t="n">
        <v>0</v>
      </c>
      <c r="P971" t="n">
        <v>0</v>
      </c>
      <c r="Q971" t="n">
        <v>0</v>
      </c>
      <c r="R971" s="2" t="inlineStr"/>
    </row>
    <row r="972" ht="15" customHeight="1">
      <c r="A972" t="inlineStr">
        <is>
          <t>A 50962-2024</t>
        </is>
      </c>
      <c r="B972" s="1" t="n">
        <v>45603</v>
      </c>
      <c r="C972" s="1" t="n">
        <v>45807</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51321-2024</t>
        </is>
      </c>
      <c r="B973" s="1" t="n">
        <v>45604</v>
      </c>
      <c r="C973" s="1" t="n">
        <v>45807</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51963-2024</t>
        </is>
      </c>
      <c r="B974" s="1" t="n">
        <v>45607</v>
      </c>
      <c r="C974" s="1" t="n">
        <v>45807</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52831-2024</t>
        </is>
      </c>
      <c r="B975" s="1" t="n">
        <v>45610</v>
      </c>
      <c r="C975" s="1" t="n">
        <v>45807</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53129-2024</t>
        </is>
      </c>
      <c r="B976" s="1" t="n">
        <v>45611</v>
      </c>
      <c r="C976" s="1" t="n">
        <v>45807</v>
      </c>
      <c r="D976" t="inlineStr">
        <is>
          <t>GOTLANDS LÄN</t>
        </is>
      </c>
      <c r="E976" t="inlineStr">
        <is>
          <t>GOTLAND</t>
        </is>
      </c>
      <c r="G976" t="n">
        <v>4.2</v>
      </c>
      <c r="H976" t="n">
        <v>0</v>
      </c>
      <c r="I976" t="n">
        <v>0</v>
      </c>
      <c r="J976" t="n">
        <v>0</v>
      </c>
      <c r="K976" t="n">
        <v>0</v>
      </c>
      <c r="L976" t="n">
        <v>0</v>
      </c>
      <c r="M976" t="n">
        <v>0</v>
      </c>
      <c r="N976" t="n">
        <v>0</v>
      </c>
      <c r="O976" t="n">
        <v>0</v>
      </c>
      <c r="P976" t="n">
        <v>0</v>
      </c>
      <c r="Q976" t="n">
        <v>0</v>
      </c>
      <c r="R976" s="2" t="inlineStr"/>
    </row>
    <row r="977" ht="15" customHeight="1">
      <c r="A977" t="inlineStr">
        <is>
          <t>A 53935-2024</t>
        </is>
      </c>
      <c r="B977" s="1" t="n">
        <v>45615</v>
      </c>
      <c r="C977" s="1" t="n">
        <v>45807</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53934-2024</t>
        </is>
      </c>
      <c r="B978" s="1" t="n">
        <v>45615</v>
      </c>
      <c r="C978" s="1" t="n">
        <v>45807</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row r="979" ht="15" customHeight="1">
      <c r="A979" t="inlineStr">
        <is>
          <t>A 54081-2024</t>
        </is>
      </c>
      <c r="B979" s="1" t="n">
        <v>45616</v>
      </c>
      <c r="C979" s="1" t="n">
        <v>45807</v>
      </c>
      <c r="D979" t="inlineStr">
        <is>
          <t>GOTLANDS LÄN</t>
        </is>
      </c>
      <c r="E979" t="inlineStr">
        <is>
          <t>GOTLAND</t>
        </is>
      </c>
      <c r="G979" t="n">
        <v>3.5</v>
      </c>
      <c r="H979" t="n">
        <v>0</v>
      </c>
      <c r="I979" t="n">
        <v>0</v>
      </c>
      <c r="J979" t="n">
        <v>0</v>
      </c>
      <c r="K979" t="n">
        <v>0</v>
      </c>
      <c r="L979" t="n">
        <v>0</v>
      </c>
      <c r="M979" t="n">
        <v>0</v>
      </c>
      <c r="N979" t="n">
        <v>0</v>
      </c>
      <c r="O979" t="n">
        <v>0</v>
      </c>
      <c r="P979" t="n">
        <v>0</v>
      </c>
      <c r="Q979" t="n">
        <v>0</v>
      </c>
      <c r="R979" s="2" t="inlineStr"/>
    </row>
    <row r="980" ht="15" customHeight="1">
      <c r="A980" t="inlineStr">
        <is>
          <t>A 54438-2024</t>
        </is>
      </c>
      <c r="B980" s="1" t="n">
        <v>45617</v>
      </c>
      <c r="C980" s="1" t="n">
        <v>45807</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54355-2024</t>
        </is>
      </c>
      <c r="B981" s="1" t="n">
        <v>45617</v>
      </c>
      <c r="C981" s="1" t="n">
        <v>45807</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54645-2024</t>
        </is>
      </c>
      <c r="B982" s="1" t="n">
        <v>45617</v>
      </c>
      <c r="C982" s="1" t="n">
        <v>45807</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55102-2024</t>
        </is>
      </c>
      <c r="B983" s="1" t="n">
        <v>45621</v>
      </c>
      <c r="C983" s="1" t="n">
        <v>45807</v>
      </c>
      <c r="D983" t="inlineStr">
        <is>
          <t>GOTLANDS LÄN</t>
        </is>
      </c>
      <c r="E983" t="inlineStr">
        <is>
          <t>GOTLAND</t>
        </is>
      </c>
      <c r="G983" t="n">
        <v>0.8</v>
      </c>
      <c r="H983" t="n">
        <v>0</v>
      </c>
      <c r="I983" t="n">
        <v>0</v>
      </c>
      <c r="J983" t="n">
        <v>0</v>
      </c>
      <c r="K983" t="n">
        <v>0</v>
      </c>
      <c r="L983" t="n">
        <v>0</v>
      </c>
      <c r="M983" t="n">
        <v>0</v>
      </c>
      <c r="N983" t="n">
        <v>0</v>
      </c>
      <c r="O983" t="n">
        <v>0</v>
      </c>
      <c r="P983" t="n">
        <v>0</v>
      </c>
      <c r="Q983" t="n">
        <v>0</v>
      </c>
      <c r="R983" s="2" t="inlineStr"/>
    </row>
    <row r="984" ht="15" customHeight="1">
      <c r="A984" t="inlineStr">
        <is>
          <t>A 55334-2024</t>
        </is>
      </c>
      <c r="B984" s="1" t="n">
        <v>45621</v>
      </c>
      <c r="C984" s="1" t="n">
        <v>45807</v>
      </c>
      <c r="D984" t="inlineStr">
        <is>
          <t>GOTLANDS LÄN</t>
        </is>
      </c>
      <c r="E984" t="inlineStr">
        <is>
          <t>GOTLAND</t>
        </is>
      </c>
      <c r="G984" t="n">
        <v>21.7</v>
      </c>
      <c r="H984" t="n">
        <v>0</v>
      </c>
      <c r="I984" t="n">
        <v>0</v>
      </c>
      <c r="J984" t="n">
        <v>0</v>
      </c>
      <c r="K984" t="n">
        <v>0</v>
      </c>
      <c r="L984" t="n">
        <v>0</v>
      </c>
      <c r="M984" t="n">
        <v>0</v>
      </c>
      <c r="N984" t="n">
        <v>0</v>
      </c>
      <c r="O984" t="n">
        <v>0</v>
      </c>
      <c r="P984" t="n">
        <v>0</v>
      </c>
      <c r="Q984" t="n">
        <v>0</v>
      </c>
      <c r="R984" s="2" t="inlineStr"/>
    </row>
    <row r="985" ht="15" customHeight="1">
      <c r="A985" t="inlineStr">
        <is>
          <t>A 55438-2024</t>
        </is>
      </c>
      <c r="B985" s="1" t="n">
        <v>45621</v>
      </c>
      <c r="C985" s="1" t="n">
        <v>45807</v>
      </c>
      <c r="D985" t="inlineStr">
        <is>
          <t>GOTLANDS LÄN</t>
        </is>
      </c>
      <c r="E985" t="inlineStr">
        <is>
          <t>GOTLAND</t>
        </is>
      </c>
      <c r="G985" t="n">
        <v>1.1</v>
      </c>
      <c r="H985" t="n">
        <v>0</v>
      </c>
      <c r="I985" t="n">
        <v>0</v>
      </c>
      <c r="J985" t="n">
        <v>0</v>
      </c>
      <c r="K985" t="n">
        <v>0</v>
      </c>
      <c r="L985" t="n">
        <v>0</v>
      </c>
      <c r="M985" t="n">
        <v>0</v>
      </c>
      <c r="N985" t="n">
        <v>0</v>
      </c>
      <c r="O985" t="n">
        <v>0</v>
      </c>
      <c r="P985" t="n">
        <v>0</v>
      </c>
      <c r="Q985" t="n">
        <v>0</v>
      </c>
      <c r="R985" s="2" t="inlineStr"/>
    </row>
    <row r="986" ht="15" customHeight="1">
      <c r="A986" t="inlineStr">
        <is>
          <t>A 55435-2024</t>
        </is>
      </c>
      <c r="B986" s="1" t="n">
        <v>45621</v>
      </c>
      <c r="C986" s="1" t="n">
        <v>45807</v>
      </c>
      <c r="D986" t="inlineStr">
        <is>
          <t>GOTLANDS LÄN</t>
        </is>
      </c>
      <c r="E986" t="inlineStr">
        <is>
          <t>GOTLAND</t>
        </is>
      </c>
      <c r="G986" t="n">
        <v>3.1</v>
      </c>
      <c r="H986" t="n">
        <v>0</v>
      </c>
      <c r="I986" t="n">
        <v>0</v>
      </c>
      <c r="J986" t="n">
        <v>0</v>
      </c>
      <c r="K986" t="n">
        <v>0</v>
      </c>
      <c r="L986" t="n">
        <v>0</v>
      </c>
      <c r="M986" t="n">
        <v>0</v>
      </c>
      <c r="N986" t="n">
        <v>0</v>
      </c>
      <c r="O986" t="n">
        <v>0</v>
      </c>
      <c r="P986" t="n">
        <v>0</v>
      </c>
      <c r="Q986" t="n">
        <v>0</v>
      </c>
      <c r="R986" s="2" t="inlineStr"/>
    </row>
    <row r="987" ht="15" customHeight="1">
      <c r="A987" t="inlineStr">
        <is>
          <t>A 55653-2024</t>
        </is>
      </c>
      <c r="B987" s="1" t="n">
        <v>45622</v>
      </c>
      <c r="C987" s="1" t="n">
        <v>45807</v>
      </c>
      <c r="D987" t="inlineStr">
        <is>
          <t>GOTLANDS LÄN</t>
        </is>
      </c>
      <c r="E987" t="inlineStr">
        <is>
          <t>GOTLAND</t>
        </is>
      </c>
      <c r="G987" t="n">
        <v>2</v>
      </c>
      <c r="H987" t="n">
        <v>0</v>
      </c>
      <c r="I987" t="n">
        <v>0</v>
      </c>
      <c r="J987" t="n">
        <v>0</v>
      </c>
      <c r="K987" t="n">
        <v>0</v>
      </c>
      <c r="L987" t="n">
        <v>0</v>
      </c>
      <c r="M987" t="n">
        <v>0</v>
      </c>
      <c r="N987" t="n">
        <v>0</v>
      </c>
      <c r="O987" t="n">
        <v>0</v>
      </c>
      <c r="P987" t="n">
        <v>0</v>
      </c>
      <c r="Q987" t="n">
        <v>0</v>
      </c>
      <c r="R987" s="2" t="inlineStr"/>
    </row>
    <row r="988" ht="15" customHeight="1">
      <c r="A988" t="inlineStr">
        <is>
          <t>A 56009-2024</t>
        </is>
      </c>
      <c r="B988" s="1" t="n">
        <v>45623</v>
      </c>
      <c r="C988" s="1" t="n">
        <v>45807</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57374-2024</t>
        </is>
      </c>
      <c r="B989" s="1" t="n">
        <v>45629</v>
      </c>
      <c r="C989" s="1" t="n">
        <v>45807</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58230-2024</t>
        </is>
      </c>
      <c r="B990" s="1" t="n">
        <v>45632</v>
      </c>
      <c r="C990" s="1" t="n">
        <v>45807</v>
      </c>
      <c r="D990" t="inlineStr">
        <is>
          <t>GOTLANDS LÄN</t>
        </is>
      </c>
      <c r="E990" t="inlineStr">
        <is>
          <t>GOTLAND</t>
        </is>
      </c>
      <c r="G990" t="n">
        <v>7.3</v>
      </c>
      <c r="H990" t="n">
        <v>0</v>
      </c>
      <c r="I990" t="n">
        <v>0</v>
      </c>
      <c r="J990" t="n">
        <v>0</v>
      </c>
      <c r="K990" t="n">
        <v>0</v>
      </c>
      <c r="L990" t="n">
        <v>0</v>
      </c>
      <c r="M990" t="n">
        <v>0</v>
      </c>
      <c r="N990" t="n">
        <v>0</v>
      </c>
      <c r="O990" t="n">
        <v>0</v>
      </c>
      <c r="P990" t="n">
        <v>0</v>
      </c>
      <c r="Q990" t="n">
        <v>0</v>
      </c>
      <c r="R990" s="2" t="inlineStr"/>
    </row>
    <row r="991" ht="15" customHeight="1">
      <c r="A991" t="inlineStr">
        <is>
          <t>A 58211-2024</t>
        </is>
      </c>
      <c r="B991" s="1" t="n">
        <v>45632</v>
      </c>
      <c r="C991" s="1" t="n">
        <v>45807</v>
      </c>
      <c r="D991" t="inlineStr">
        <is>
          <t>GOTLANDS LÄN</t>
        </is>
      </c>
      <c r="E991" t="inlineStr">
        <is>
          <t>GOTLAND</t>
        </is>
      </c>
      <c r="G991" t="n">
        <v>5.4</v>
      </c>
      <c r="H991" t="n">
        <v>0</v>
      </c>
      <c r="I991" t="n">
        <v>0</v>
      </c>
      <c r="J991" t="n">
        <v>0</v>
      </c>
      <c r="K991" t="n">
        <v>0</v>
      </c>
      <c r="L991" t="n">
        <v>0</v>
      </c>
      <c r="M991" t="n">
        <v>0</v>
      </c>
      <c r="N991" t="n">
        <v>0</v>
      </c>
      <c r="O991" t="n">
        <v>0</v>
      </c>
      <c r="P991" t="n">
        <v>0</v>
      </c>
      <c r="Q991" t="n">
        <v>0</v>
      </c>
      <c r="R991" s="2" t="inlineStr"/>
    </row>
    <row r="992" ht="15" customHeight="1">
      <c r="A992" t="inlineStr">
        <is>
          <t>A 58160-2024</t>
        </is>
      </c>
      <c r="B992" s="1" t="n">
        <v>45632</v>
      </c>
      <c r="C992" s="1" t="n">
        <v>45807</v>
      </c>
      <c r="D992" t="inlineStr">
        <is>
          <t>GOTLANDS LÄN</t>
        </is>
      </c>
      <c r="E992" t="inlineStr">
        <is>
          <t>GOTLAND</t>
        </is>
      </c>
      <c r="G992" t="n">
        <v>5.6</v>
      </c>
      <c r="H992" t="n">
        <v>0</v>
      </c>
      <c r="I992" t="n">
        <v>0</v>
      </c>
      <c r="J992" t="n">
        <v>0</v>
      </c>
      <c r="K992" t="n">
        <v>0</v>
      </c>
      <c r="L992" t="n">
        <v>0</v>
      </c>
      <c r="M992" t="n">
        <v>0</v>
      </c>
      <c r="N992" t="n">
        <v>0</v>
      </c>
      <c r="O992" t="n">
        <v>0</v>
      </c>
      <c r="P992" t="n">
        <v>0</v>
      </c>
      <c r="Q992" t="n">
        <v>0</v>
      </c>
      <c r="R992" s="2" t="inlineStr"/>
    </row>
    <row r="993" ht="15" customHeight="1">
      <c r="A993" t="inlineStr">
        <is>
          <t>A 58780-2024</t>
        </is>
      </c>
      <c r="B993" s="1" t="n">
        <v>45635</v>
      </c>
      <c r="C993" s="1" t="n">
        <v>45807</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59469-2024</t>
        </is>
      </c>
      <c r="B994" s="1" t="n">
        <v>45638</v>
      </c>
      <c r="C994" s="1" t="n">
        <v>45807</v>
      </c>
      <c r="D994" t="inlineStr">
        <is>
          <t>GOTLANDS LÄN</t>
        </is>
      </c>
      <c r="E994" t="inlineStr">
        <is>
          <t>GOTLAND</t>
        </is>
      </c>
      <c r="G994" t="n">
        <v>0.4</v>
      </c>
      <c r="H994" t="n">
        <v>0</v>
      </c>
      <c r="I994" t="n">
        <v>0</v>
      </c>
      <c r="J994" t="n">
        <v>0</v>
      </c>
      <c r="K994" t="n">
        <v>0</v>
      </c>
      <c r="L994" t="n">
        <v>0</v>
      </c>
      <c r="M994" t="n">
        <v>0</v>
      </c>
      <c r="N994" t="n">
        <v>0</v>
      </c>
      <c r="O994" t="n">
        <v>0</v>
      </c>
      <c r="P994" t="n">
        <v>0</v>
      </c>
      <c r="Q994" t="n">
        <v>0</v>
      </c>
      <c r="R994" s="2" t="inlineStr"/>
    </row>
    <row r="995" ht="15" customHeight="1">
      <c r="A995" t="inlineStr">
        <is>
          <t>A 60910-2024</t>
        </is>
      </c>
      <c r="B995" s="1" t="n">
        <v>45645</v>
      </c>
      <c r="C995" s="1" t="n">
        <v>45807</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60903-2024</t>
        </is>
      </c>
      <c r="B996" s="1" t="n">
        <v>45645</v>
      </c>
      <c r="C996" s="1" t="n">
        <v>45807</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60908-2024</t>
        </is>
      </c>
      <c r="B997" s="1" t="n">
        <v>45645</v>
      </c>
      <c r="C997" s="1" t="n">
        <v>45807</v>
      </c>
      <c r="D997" t="inlineStr">
        <is>
          <t>GOTLANDS LÄN</t>
        </is>
      </c>
      <c r="E997" t="inlineStr">
        <is>
          <t>GOTLAND</t>
        </is>
      </c>
      <c r="G997" t="n">
        <v>7.1</v>
      </c>
      <c r="H997" t="n">
        <v>0</v>
      </c>
      <c r="I997" t="n">
        <v>0</v>
      </c>
      <c r="J997" t="n">
        <v>0</v>
      </c>
      <c r="K997" t="n">
        <v>0</v>
      </c>
      <c r="L997" t="n">
        <v>0</v>
      </c>
      <c r="M997" t="n">
        <v>0</v>
      </c>
      <c r="N997" t="n">
        <v>0</v>
      </c>
      <c r="O997" t="n">
        <v>0</v>
      </c>
      <c r="P997" t="n">
        <v>0</v>
      </c>
      <c r="Q997" t="n">
        <v>0</v>
      </c>
      <c r="R997" s="2" t="inlineStr"/>
    </row>
    <row r="998" ht="15" customHeight="1">
      <c r="A998" t="inlineStr">
        <is>
          <t>A 61664-2024</t>
        </is>
      </c>
      <c r="B998" s="1" t="n">
        <v>45646</v>
      </c>
      <c r="C998" s="1" t="n">
        <v>45807</v>
      </c>
      <c r="D998" t="inlineStr">
        <is>
          <t>GOTLANDS LÄN</t>
        </is>
      </c>
      <c r="E998" t="inlineStr">
        <is>
          <t>GOTLAND</t>
        </is>
      </c>
      <c r="G998" t="n">
        <v>3.8</v>
      </c>
      <c r="H998" t="n">
        <v>0</v>
      </c>
      <c r="I998" t="n">
        <v>0</v>
      </c>
      <c r="J998" t="n">
        <v>0</v>
      </c>
      <c r="K998" t="n">
        <v>0</v>
      </c>
      <c r="L998" t="n">
        <v>0</v>
      </c>
      <c r="M998" t="n">
        <v>0</v>
      </c>
      <c r="N998" t="n">
        <v>0</v>
      </c>
      <c r="O998" t="n">
        <v>0</v>
      </c>
      <c r="P998" t="n">
        <v>0</v>
      </c>
      <c r="Q998" t="n">
        <v>0</v>
      </c>
      <c r="R998" s="2" t="inlineStr"/>
    </row>
    <row r="999" ht="15" customHeight="1">
      <c r="A999" t="inlineStr">
        <is>
          <t>A 61682-2024</t>
        </is>
      </c>
      <c r="B999" s="1" t="n">
        <v>45647</v>
      </c>
      <c r="C999" s="1" t="n">
        <v>45807</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61897-2024</t>
        </is>
      </c>
      <c r="B1000" s="1" t="n">
        <v>45652</v>
      </c>
      <c r="C1000" s="1" t="n">
        <v>45807</v>
      </c>
      <c r="D1000" t="inlineStr">
        <is>
          <t>GOTLANDS LÄN</t>
        </is>
      </c>
      <c r="E1000" t="inlineStr">
        <is>
          <t>GOTLAND</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251-2025</t>
        </is>
      </c>
      <c r="B1001" s="1" t="n">
        <v>45653</v>
      </c>
      <c r="C1001" s="1" t="n">
        <v>45807</v>
      </c>
      <c r="D1001" t="inlineStr">
        <is>
          <t>GOTLANDS LÄN</t>
        </is>
      </c>
      <c r="E1001" t="inlineStr">
        <is>
          <t>GOTLAND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61964-2024</t>
        </is>
      </c>
      <c r="B1002" s="1" t="n">
        <v>45653</v>
      </c>
      <c r="C1002" s="1" t="n">
        <v>45807</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61962-2024</t>
        </is>
      </c>
      <c r="B1003" s="1" t="n">
        <v>45653</v>
      </c>
      <c r="C1003" s="1" t="n">
        <v>45807</v>
      </c>
      <c r="D1003" t="inlineStr">
        <is>
          <t>GOTLANDS LÄN</t>
        </is>
      </c>
      <c r="E1003" t="inlineStr">
        <is>
          <t>GOTLAND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62127-2024</t>
        </is>
      </c>
      <c r="B1004" s="1" t="n">
        <v>45656</v>
      </c>
      <c r="C1004" s="1" t="n">
        <v>45807</v>
      </c>
      <c r="D1004" t="inlineStr">
        <is>
          <t>GOTLANDS LÄN</t>
        </is>
      </c>
      <c r="E1004" t="inlineStr">
        <is>
          <t>GOTLAND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883-2025</t>
        </is>
      </c>
      <c r="B1005" s="1" t="n">
        <v>45665</v>
      </c>
      <c r="C1005" s="1" t="n">
        <v>45807</v>
      </c>
      <c r="D1005" t="inlineStr">
        <is>
          <t>GOTLANDS LÄN</t>
        </is>
      </c>
      <c r="E1005" t="inlineStr">
        <is>
          <t>GOTLAND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717-2025</t>
        </is>
      </c>
      <c r="B1006" s="1" t="n">
        <v>45665</v>
      </c>
      <c r="C1006" s="1" t="n">
        <v>45807</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1175-2025</t>
        </is>
      </c>
      <c r="B1007" s="1" t="n">
        <v>45667</v>
      </c>
      <c r="C1007" s="1" t="n">
        <v>45807</v>
      </c>
      <c r="D1007" t="inlineStr">
        <is>
          <t>GOTLANDS LÄN</t>
        </is>
      </c>
      <c r="E1007" t="inlineStr">
        <is>
          <t>GOTLAND</t>
        </is>
      </c>
      <c r="G1007" t="n">
        <v>9.300000000000001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1364-2025</t>
        </is>
      </c>
      <c r="B1008" s="1" t="n">
        <v>45667</v>
      </c>
      <c r="C1008" s="1" t="n">
        <v>45807</v>
      </c>
      <c r="D1008" t="inlineStr">
        <is>
          <t>GOTLANDS LÄN</t>
        </is>
      </c>
      <c r="E1008" t="inlineStr">
        <is>
          <t>GOTLAND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1351-2025</t>
        </is>
      </c>
      <c r="B1009" s="1" t="n">
        <v>45667</v>
      </c>
      <c r="C1009" s="1" t="n">
        <v>45807</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1345-2025</t>
        </is>
      </c>
      <c r="B1010" s="1" t="n">
        <v>45667</v>
      </c>
      <c r="C1010" s="1" t="n">
        <v>45807</v>
      </c>
      <c r="D1010" t="inlineStr">
        <is>
          <t>GOTLANDS LÄN</t>
        </is>
      </c>
      <c r="E1010" t="inlineStr">
        <is>
          <t>GOTLAND</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1446-2025</t>
        </is>
      </c>
      <c r="B1011" s="1" t="n">
        <v>45669</v>
      </c>
      <c r="C1011" s="1" t="n">
        <v>45807</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1803-2025</t>
        </is>
      </c>
      <c r="B1012" s="1" t="n">
        <v>45670</v>
      </c>
      <c r="C1012" s="1" t="n">
        <v>45807</v>
      </c>
      <c r="D1012" t="inlineStr">
        <is>
          <t>GOTLANDS LÄN</t>
        </is>
      </c>
      <c r="E1012" t="inlineStr">
        <is>
          <t>GOTLAND</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1462-2025</t>
        </is>
      </c>
      <c r="B1013" s="1" t="n">
        <v>45670</v>
      </c>
      <c r="C1013" s="1" t="n">
        <v>45807</v>
      </c>
      <c r="D1013" t="inlineStr">
        <is>
          <t>GOTLANDS LÄN</t>
        </is>
      </c>
      <c r="E1013" t="inlineStr">
        <is>
          <t>GOTLAND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1731-2025</t>
        </is>
      </c>
      <c r="B1014" s="1" t="n">
        <v>45671</v>
      </c>
      <c r="C1014" s="1" t="n">
        <v>45807</v>
      </c>
      <c r="D1014" t="inlineStr">
        <is>
          <t>GOTLANDS LÄN</t>
        </is>
      </c>
      <c r="E1014" t="inlineStr">
        <is>
          <t>GOTLAND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1734-2025</t>
        </is>
      </c>
      <c r="B1015" s="1" t="n">
        <v>45671</v>
      </c>
      <c r="C1015" s="1" t="n">
        <v>45807</v>
      </c>
      <c r="D1015" t="inlineStr">
        <is>
          <t>GOTLANDS LÄN</t>
        </is>
      </c>
      <c r="E1015" t="inlineStr">
        <is>
          <t>GOTLAND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1729-2025</t>
        </is>
      </c>
      <c r="B1016" s="1" t="n">
        <v>45671</v>
      </c>
      <c r="C1016" s="1" t="n">
        <v>45807</v>
      </c>
      <c r="D1016" t="inlineStr">
        <is>
          <t>GOTLANDS LÄN</t>
        </is>
      </c>
      <c r="E1016" t="inlineStr">
        <is>
          <t>GOTLAND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1713-2025</t>
        </is>
      </c>
      <c r="B1017" s="1" t="n">
        <v>45671</v>
      </c>
      <c r="C1017" s="1" t="n">
        <v>45807</v>
      </c>
      <c r="D1017" t="inlineStr">
        <is>
          <t>GOTLANDS LÄN</t>
        </is>
      </c>
      <c r="E1017" t="inlineStr">
        <is>
          <t>GOTLAND</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1728-2025</t>
        </is>
      </c>
      <c r="B1018" s="1" t="n">
        <v>45671</v>
      </c>
      <c r="C1018" s="1" t="n">
        <v>45807</v>
      </c>
      <c r="D1018" t="inlineStr">
        <is>
          <t>GOTLANDS LÄN</t>
        </is>
      </c>
      <c r="E1018" t="inlineStr">
        <is>
          <t>GOTLAND</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2125-2025</t>
        </is>
      </c>
      <c r="B1019" s="1" t="n">
        <v>45672</v>
      </c>
      <c r="C1019" s="1" t="n">
        <v>45807</v>
      </c>
      <c r="D1019" t="inlineStr">
        <is>
          <t>GOTLANDS LÄN</t>
        </is>
      </c>
      <c r="E1019" t="inlineStr">
        <is>
          <t>GOTLAND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2161-2025</t>
        </is>
      </c>
      <c r="B1020" s="1" t="n">
        <v>45672</v>
      </c>
      <c r="C1020" s="1" t="n">
        <v>45807</v>
      </c>
      <c r="D1020" t="inlineStr">
        <is>
          <t>GOTLANDS LÄN</t>
        </is>
      </c>
      <c r="E1020" t="inlineStr">
        <is>
          <t>GOTLAND</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2050-2025</t>
        </is>
      </c>
      <c r="B1021" s="1" t="n">
        <v>45672</v>
      </c>
      <c r="C1021" s="1" t="n">
        <v>45807</v>
      </c>
      <c r="D1021" t="inlineStr">
        <is>
          <t>GOTLANDS LÄN</t>
        </is>
      </c>
      <c r="E1021" t="inlineStr">
        <is>
          <t>GOTLAND</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2052-2025</t>
        </is>
      </c>
      <c r="B1022" s="1" t="n">
        <v>45672</v>
      </c>
      <c r="C1022" s="1" t="n">
        <v>45807</v>
      </c>
      <c r="D1022" t="inlineStr">
        <is>
          <t>GOTLANDS LÄN</t>
        </is>
      </c>
      <c r="E1022" t="inlineStr">
        <is>
          <t>GOTLAND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2054-2025</t>
        </is>
      </c>
      <c r="B1023" s="1" t="n">
        <v>45672</v>
      </c>
      <c r="C1023" s="1" t="n">
        <v>45807</v>
      </c>
      <c r="D1023" t="inlineStr">
        <is>
          <t>GOTLANDS LÄN</t>
        </is>
      </c>
      <c r="E1023" t="inlineStr">
        <is>
          <t>GOTLAND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2035-2025</t>
        </is>
      </c>
      <c r="B1024" s="1" t="n">
        <v>45672</v>
      </c>
      <c r="C1024" s="1" t="n">
        <v>45807</v>
      </c>
      <c r="D1024" t="inlineStr">
        <is>
          <t>GOTLANDS LÄN</t>
        </is>
      </c>
      <c r="E1024" t="inlineStr">
        <is>
          <t>GOTLAND</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2120-2025</t>
        </is>
      </c>
      <c r="B1025" s="1" t="n">
        <v>45672</v>
      </c>
      <c r="C1025" s="1" t="n">
        <v>45807</v>
      </c>
      <c r="D1025" t="inlineStr">
        <is>
          <t>GOTLANDS LÄN</t>
        </is>
      </c>
      <c r="E1025" t="inlineStr">
        <is>
          <t>GOTLAND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2033-2025</t>
        </is>
      </c>
      <c r="B1026" s="1" t="n">
        <v>45672</v>
      </c>
      <c r="C1026" s="1" t="n">
        <v>45807</v>
      </c>
      <c r="D1026" t="inlineStr">
        <is>
          <t>GOTLANDS LÄN</t>
        </is>
      </c>
      <c r="E1026" t="inlineStr">
        <is>
          <t>GOTLAND</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2180-2025</t>
        </is>
      </c>
      <c r="B1027" s="1" t="n">
        <v>45673</v>
      </c>
      <c r="C1027" s="1" t="n">
        <v>45807</v>
      </c>
      <c r="D1027" t="inlineStr">
        <is>
          <t>GOTLANDS LÄN</t>
        </is>
      </c>
      <c r="E1027" t="inlineStr">
        <is>
          <t>GOTLAND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2241-2025</t>
        </is>
      </c>
      <c r="B1028" s="1" t="n">
        <v>45673</v>
      </c>
      <c r="C1028" s="1" t="n">
        <v>45807</v>
      </c>
      <c r="D1028" t="inlineStr">
        <is>
          <t>GOTLANDS LÄN</t>
        </is>
      </c>
      <c r="E1028" t="inlineStr">
        <is>
          <t>GOTLAND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2772-2025</t>
        </is>
      </c>
      <c r="B1029" s="1" t="n">
        <v>45677</v>
      </c>
      <c r="C1029" s="1" t="n">
        <v>45807</v>
      </c>
      <c r="D1029" t="inlineStr">
        <is>
          <t>GOTLANDS LÄN</t>
        </is>
      </c>
      <c r="E1029" t="inlineStr">
        <is>
          <t>GOTLAND</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2721-2025</t>
        </is>
      </c>
      <c r="B1030" s="1" t="n">
        <v>45677</v>
      </c>
      <c r="C1030" s="1" t="n">
        <v>45807</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3061-2025</t>
        </is>
      </c>
      <c r="B1031" s="1" t="n">
        <v>45678</v>
      </c>
      <c r="C1031" s="1" t="n">
        <v>45807</v>
      </c>
      <c r="D1031" t="inlineStr">
        <is>
          <t>GOTLANDS LÄN</t>
        </is>
      </c>
      <c r="E1031" t="inlineStr">
        <is>
          <t>GOTLAND</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3274-2025</t>
        </is>
      </c>
      <c r="B1032" s="1" t="n">
        <v>45679</v>
      </c>
      <c r="C1032" s="1" t="n">
        <v>45807</v>
      </c>
      <c r="D1032" t="inlineStr">
        <is>
          <t>GOTLANDS LÄN</t>
        </is>
      </c>
      <c r="E1032" t="inlineStr">
        <is>
          <t>GOTLAND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3150-2025</t>
        </is>
      </c>
      <c r="B1033" s="1" t="n">
        <v>45679</v>
      </c>
      <c r="C1033" s="1" t="n">
        <v>45807</v>
      </c>
      <c r="D1033" t="inlineStr">
        <is>
          <t>GOTLANDS LÄN</t>
        </is>
      </c>
      <c r="E1033" t="inlineStr">
        <is>
          <t>GOTLAND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3431-2025</t>
        </is>
      </c>
      <c r="B1034" s="1" t="n">
        <v>45680</v>
      </c>
      <c r="C1034" s="1" t="n">
        <v>45807</v>
      </c>
      <c r="D1034" t="inlineStr">
        <is>
          <t>GOTLANDS LÄN</t>
        </is>
      </c>
      <c r="E1034" t="inlineStr">
        <is>
          <t>GOTLAND</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3416-2025</t>
        </is>
      </c>
      <c r="B1035" s="1" t="n">
        <v>45680</v>
      </c>
      <c r="C1035" s="1" t="n">
        <v>45807</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3935-2025</t>
        </is>
      </c>
      <c r="B1036" s="1" t="n">
        <v>45684</v>
      </c>
      <c r="C1036" s="1" t="n">
        <v>45807</v>
      </c>
      <c r="D1036" t="inlineStr">
        <is>
          <t>GOTLANDS LÄN</t>
        </is>
      </c>
      <c r="E1036" t="inlineStr">
        <is>
          <t>GOTLAND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3930-2025</t>
        </is>
      </c>
      <c r="B1037" s="1" t="n">
        <v>45684</v>
      </c>
      <c r="C1037" s="1" t="n">
        <v>45807</v>
      </c>
      <c r="D1037" t="inlineStr">
        <is>
          <t>GOTLANDS LÄN</t>
        </is>
      </c>
      <c r="E1037" t="inlineStr">
        <is>
          <t>GOTLAND</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4191-2025</t>
        </is>
      </c>
      <c r="B1038" s="1" t="n">
        <v>45685</v>
      </c>
      <c r="C1038" s="1" t="n">
        <v>45807</v>
      </c>
      <c r="D1038" t="inlineStr">
        <is>
          <t>GOTLANDS LÄN</t>
        </is>
      </c>
      <c r="E1038" t="inlineStr">
        <is>
          <t>GOTLAND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4420-2025</t>
        </is>
      </c>
      <c r="B1039" s="1" t="n">
        <v>45686</v>
      </c>
      <c r="C1039" s="1" t="n">
        <v>45807</v>
      </c>
      <c r="D1039" t="inlineStr">
        <is>
          <t>GOTLANDS LÄN</t>
        </is>
      </c>
      <c r="E1039" t="inlineStr">
        <is>
          <t>GOTLAND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4568-2025</t>
        </is>
      </c>
      <c r="B1040" s="1" t="n">
        <v>45687</v>
      </c>
      <c r="C1040" s="1" t="n">
        <v>45807</v>
      </c>
      <c r="D1040" t="inlineStr">
        <is>
          <t>GOTLANDS LÄN</t>
        </is>
      </c>
      <c r="E1040" t="inlineStr">
        <is>
          <t>GOTLAND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4677-2025</t>
        </is>
      </c>
      <c r="B1041" s="1" t="n">
        <v>45687</v>
      </c>
      <c r="C1041" s="1" t="n">
        <v>45807</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4990-2025</t>
        </is>
      </c>
      <c r="B1042" s="1" t="n">
        <v>45691</v>
      </c>
      <c r="C1042" s="1" t="n">
        <v>45807</v>
      </c>
      <c r="D1042" t="inlineStr">
        <is>
          <t>GOTLANDS LÄN</t>
        </is>
      </c>
      <c r="E1042" t="inlineStr">
        <is>
          <t>GOTLAND</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5270-2025</t>
        </is>
      </c>
      <c r="B1043" s="1" t="n">
        <v>45692</v>
      </c>
      <c r="C1043" s="1" t="n">
        <v>45807</v>
      </c>
      <c r="D1043" t="inlineStr">
        <is>
          <t>GOTLANDS LÄN</t>
        </is>
      </c>
      <c r="E1043" t="inlineStr">
        <is>
          <t>GOTLAND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5235-2025</t>
        </is>
      </c>
      <c r="B1044" s="1" t="n">
        <v>45692</v>
      </c>
      <c r="C1044" s="1" t="n">
        <v>45807</v>
      </c>
      <c r="D1044" t="inlineStr">
        <is>
          <t>GOTLANDS LÄN</t>
        </is>
      </c>
      <c r="E1044" t="inlineStr">
        <is>
          <t>GOTLAND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5462-2025</t>
        </is>
      </c>
      <c r="B1045" s="1" t="n">
        <v>45693</v>
      </c>
      <c r="C1045" s="1" t="n">
        <v>45807</v>
      </c>
      <c r="D1045" t="inlineStr">
        <is>
          <t>GOTLANDS LÄN</t>
        </is>
      </c>
      <c r="E1045" t="inlineStr">
        <is>
          <t>GOTLAND</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5676-2025</t>
        </is>
      </c>
      <c r="B1046" s="1" t="n">
        <v>45694</v>
      </c>
      <c r="C1046" s="1" t="n">
        <v>45807</v>
      </c>
      <c r="D1046" t="inlineStr">
        <is>
          <t>GOTLANDS LÄN</t>
        </is>
      </c>
      <c r="E1046" t="inlineStr">
        <is>
          <t>GOTLAND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5757-2025</t>
        </is>
      </c>
      <c r="B1047" s="1" t="n">
        <v>45694</v>
      </c>
      <c r="C1047" s="1" t="n">
        <v>45807</v>
      </c>
      <c r="D1047" t="inlineStr">
        <is>
          <t>GOTLANDS LÄN</t>
        </is>
      </c>
      <c r="E1047" t="inlineStr">
        <is>
          <t>GOTLAND</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5674-2025</t>
        </is>
      </c>
      <c r="B1048" s="1" t="n">
        <v>45694</v>
      </c>
      <c r="C1048" s="1" t="n">
        <v>45807</v>
      </c>
      <c r="D1048" t="inlineStr">
        <is>
          <t>GOTLANDS LÄN</t>
        </is>
      </c>
      <c r="E1048" t="inlineStr">
        <is>
          <t>GOTLAND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5897-2025</t>
        </is>
      </c>
      <c r="B1049" s="1" t="n">
        <v>45695</v>
      </c>
      <c r="C1049" s="1" t="n">
        <v>45807</v>
      </c>
      <c r="D1049" t="inlineStr">
        <is>
          <t>GOTLANDS LÄN</t>
        </is>
      </c>
      <c r="E1049" t="inlineStr">
        <is>
          <t>GOTLAND</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5909-2025</t>
        </is>
      </c>
      <c r="B1050" s="1" t="n">
        <v>45695</v>
      </c>
      <c r="C1050" s="1" t="n">
        <v>45807</v>
      </c>
      <c r="D1050" t="inlineStr">
        <is>
          <t>GOTLANDS LÄN</t>
        </is>
      </c>
      <c r="E1050" t="inlineStr">
        <is>
          <t>GOTLAND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5891-2025</t>
        </is>
      </c>
      <c r="B1051" s="1" t="n">
        <v>45695</v>
      </c>
      <c r="C1051" s="1" t="n">
        <v>45807</v>
      </c>
      <c r="D1051" t="inlineStr">
        <is>
          <t>GOTLANDS LÄN</t>
        </is>
      </c>
      <c r="E1051" t="inlineStr">
        <is>
          <t>GOTLAND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5884-2025</t>
        </is>
      </c>
      <c r="B1052" s="1" t="n">
        <v>45695</v>
      </c>
      <c r="C1052" s="1" t="n">
        <v>45807</v>
      </c>
      <c r="D1052" t="inlineStr">
        <is>
          <t>GOTLANDS LÄN</t>
        </is>
      </c>
      <c r="E1052" t="inlineStr">
        <is>
          <t>GOTLAND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6108-2025</t>
        </is>
      </c>
      <c r="B1053" s="1" t="n">
        <v>45698</v>
      </c>
      <c r="C1053" s="1" t="n">
        <v>45807</v>
      </c>
      <c r="D1053" t="inlineStr">
        <is>
          <t>GOTLANDS LÄN</t>
        </is>
      </c>
      <c r="E1053" t="inlineStr">
        <is>
          <t>GOTLAND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6792-2025</t>
        </is>
      </c>
      <c r="B1054" s="1" t="n">
        <v>45700</v>
      </c>
      <c r="C1054" s="1" t="n">
        <v>45807</v>
      </c>
      <c r="D1054" t="inlineStr">
        <is>
          <t>GOTLANDS LÄN</t>
        </is>
      </c>
      <c r="E1054" t="inlineStr">
        <is>
          <t>GOTLAND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6749-2025</t>
        </is>
      </c>
      <c r="B1055" s="1" t="n">
        <v>45700</v>
      </c>
      <c r="C1055" s="1" t="n">
        <v>45807</v>
      </c>
      <c r="D1055" t="inlineStr">
        <is>
          <t>GOTLANDS LÄN</t>
        </is>
      </c>
      <c r="E1055" t="inlineStr">
        <is>
          <t>GOTLAND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6688-2025</t>
        </is>
      </c>
      <c r="B1056" s="1" t="n">
        <v>45700</v>
      </c>
      <c r="C1056" s="1" t="n">
        <v>45807</v>
      </c>
      <c r="D1056" t="inlineStr">
        <is>
          <t>GOTLANDS LÄN</t>
        </is>
      </c>
      <c r="E1056" t="inlineStr">
        <is>
          <t>GOTLAND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6796-2025</t>
        </is>
      </c>
      <c r="B1057" s="1" t="n">
        <v>45700</v>
      </c>
      <c r="C1057" s="1" t="n">
        <v>45807</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6739-2025</t>
        </is>
      </c>
      <c r="B1058" s="1" t="n">
        <v>45700</v>
      </c>
      <c r="C1058" s="1" t="n">
        <v>45807</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6960-2025</t>
        </is>
      </c>
      <c r="B1059" s="1" t="n">
        <v>45701</v>
      </c>
      <c r="C1059" s="1" t="n">
        <v>45807</v>
      </c>
      <c r="D1059" t="inlineStr">
        <is>
          <t>GOTLANDS LÄN</t>
        </is>
      </c>
      <c r="E1059" t="inlineStr">
        <is>
          <t>GOTLAND</t>
        </is>
      </c>
      <c r="G1059" t="n">
        <v>4</v>
      </c>
      <c r="H1059" t="n">
        <v>0</v>
      </c>
      <c r="I1059" t="n">
        <v>0</v>
      </c>
      <c r="J1059" t="n">
        <v>0</v>
      </c>
      <c r="K1059" t="n">
        <v>0</v>
      </c>
      <c r="L1059" t="n">
        <v>0</v>
      </c>
      <c r="M1059" t="n">
        <v>0</v>
      </c>
      <c r="N1059" t="n">
        <v>0</v>
      </c>
      <c r="O1059" t="n">
        <v>0</v>
      </c>
      <c r="P1059" t="n">
        <v>0</v>
      </c>
      <c r="Q1059" t="n">
        <v>0</v>
      </c>
      <c r="R1059" s="2" t="inlineStr"/>
      <c r="U1059">
        <f>HYPERLINK("https://klasma.github.io/Logging_0980/knärot/A 6960-2025 karta knärot.png", "A 6960-2025")</f>
        <v/>
      </c>
      <c r="V1059">
        <f>HYPERLINK("https://klasma.github.io/Logging_0980/klagomål/A 6960-2025 FSC-klagomål.docx", "A 6960-2025")</f>
        <v/>
      </c>
      <c r="W1059">
        <f>HYPERLINK("https://klasma.github.io/Logging_0980/klagomålsmail/A 6960-2025 FSC-klagomål mail.docx", "A 6960-2025")</f>
        <v/>
      </c>
      <c r="X1059">
        <f>HYPERLINK("https://klasma.github.io/Logging_0980/tillsyn/A 6960-2025 tillsynsbegäran.docx", "A 6960-2025")</f>
        <v/>
      </c>
      <c r="Y1059">
        <f>HYPERLINK("https://klasma.github.io/Logging_0980/tillsynsmail/A 6960-2025 tillsynsbegäran mail.docx", "A 6960-2025")</f>
        <v/>
      </c>
    </row>
    <row r="1060" ht="15" customHeight="1">
      <c r="A1060" t="inlineStr">
        <is>
          <t>A 6913-2025</t>
        </is>
      </c>
      <c r="B1060" s="1" t="n">
        <v>45701</v>
      </c>
      <c r="C1060" s="1" t="n">
        <v>45807</v>
      </c>
      <c r="D1060" t="inlineStr">
        <is>
          <t>GOTLANDS LÄN</t>
        </is>
      </c>
      <c r="E1060" t="inlineStr">
        <is>
          <t>GOTLAND</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7636-2025</t>
        </is>
      </c>
      <c r="B1061" s="1" t="n">
        <v>45705</v>
      </c>
      <c r="C1061" s="1" t="n">
        <v>45807</v>
      </c>
      <c r="D1061" t="inlineStr">
        <is>
          <t>GOTLANDS LÄN</t>
        </is>
      </c>
      <c r="E1061" t="inlineStr">
        <is>
          <t>GOTLAND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7639-2025</t>
        </is>
      </c>
      <c r="B1062" s="1" t="n">
        <v>45705</v>
      </c>
      <c r="C1062" s="1" t="n">
        <v>45807</v>
      </c>
      <c r="D1062" t="inlineStr">
        <is>
          <t>GOTLANDS LÄN</t>
        </is>
      </c>
      <c r="E1062" t="inlineStr">
        <is>
          <t>GOTLAND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7635-2025</t>
        </is>
      </c>
      <c r="B1063" s="1" t="n">
        <v>45705</v>
      </c>
      <c r="C1063" s="1" t="n">
        <v>45807</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7638-2025</t>
        </is>
      </c>
      <c r="B1064" s="1" t="n">
        <v>45705</v>
      </c>
      <c r="C1064" s="1" t="n">
        <v>45807</v>
      </c>
      <c r="D1064" t="inlineStr">
        <is>
          <t>GOTLANDS LÄN</t>
        </is>
      </c>
      <c r="E1064" t="inlineStr">
        <is>
          <t>GOTLAND</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7455-2025</t>
        </is>
      </c>
      <c r="B1065" s="1" t="n">
        <v>45705</v>
      </c>
      <c r="C1065" s="1" t="n">
        <v>45807</v>
      </c>
      <c r="D1065" t="inlineStr">
        <is>
          <t>GOTLANDS LÄN</t>
        </is>
      </c>
      <c r="E1065" t="inlineStr">
        <is>
          <t>GOTLAND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7426-2025</t>
        </is>
      </c>
      <c r="B1066" s="1" t="n">
        <v>45705</v>
      </c>
      <c r="C1066" s="1" t="n">
        <v>45807</v>
      </c>
      <c r="D1066" t="inlineStr">
        <is>
          <t>GOTLANDS LÄN</t>
        </is>
      </c>
      <c r="E1066" t="inlineStr">
        <is>
          <t>GOTLAND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7850-2025</t>
        </is>
      </c>
      <c r="B1067" s="1" t="n">
        <v>45706</v>
      </c>
      <c r="C1067" s="1" t="n">
        <v>45807</v>
      </c>
      <c r="D1067" t="inlineStr">
        <is>
          <t>GOTLANDS LÄN</t>
        </is>
      </c>
      <c r="E1067" t="inlineStr">
        <is>
          <t>GOTLAND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7858-2025</t>
        </is>
      </c>
      <c r="B1068" s="1" t="n">
        <v>45706</v>
      </c>
      <c r="C1068" s="1" t="n">
        <v>45807</v>
      </c>
      <c r="D1068" t="inlineStr">
        <is>
          <t>GOTLANDS LÄN</t>
        </is>
      </c>
      <c r="E1068" t="inlineStr">
        <is>
          <t>GOTLAND</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7910-2025</t>
        </is>
      </c>
      <c r="B1069" s="1" t="n">
        <v>45707</v>
      </c>
      <c r="C1069" s="1" t="n">
        <v>45807</v>
      </c>
      <c r="D1069" t="inlineStr">
        <is>
          <t>GOTLANDS LÄN</t>
        </is>
      </c>
      <c r="E1069" t="inlineStr">
        <is>
          <t>GOTLAND</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8444-2025</t>
        </is>
      </c>
      <c r="B1070" s="1" t="n">
        <v>45709</v>
      </c>
      <c r="C1070" s="1" t="n">
        <v>45807</v>
      </c>
      <c r="D1070" t="inlineStr">
        <is>
          <t>GOTLANDS LÄN</t>
        </is>
      </c>
      <c r="E1070" t="inlineStr">
        <is>
          <t>GOTLAND</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8484-2025</t>
        </is>
      </c>
      <c r="B1071" s="1" t="n">
        <v>45709</v>
      </c>
      <c r="C1071" s="1" t="n">
        <v>45807</v>
      </c>
      <c r="D1071" t="inlineStr">
        <is>
          <t>GOTLANDS LÄN</t>
        </is>
      </c>
      <c r="E1071" t="inlineStr">
        <is>
          <t>GOTLAND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8690-2025</t>
        </is>
      </c>
      <c r="B1072" s="1" t="n">
        <v>45712</v>
      </c>
      <c r="C1072" s="1" t="n">
        <v>45807</v>
      </c>
      <c r="D1072" t="inlineStr">
        <is>
          <t>GOTLANDS LÄN</t>
        </is>
      </c>
      <c r="E1072" t="inlineStr">
        <is>
          <t>GOTLAND</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8701-2025</t>
        </is>
      </c>
      <c r="B1073" s="1" t="n">
        <v>45712</v>
      </c>
      <c r="C1073" s="1" t="n">
        <v>45807</v>
      </c>
      <c r="D1073" t="inlineStr">
        <is>
          <t>GOTLANDS LÄN</t>
        </is>
      </c>
      <c r="E1073" t="inlineStr">
        <is>
          <t>GOTLAND</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8684-2025</t>
        </is>
      </c>
      <c r="B1074" s="1" t="n">
        <v>45712</v>
      </c>
      <c r="C1074" s="1" t="n">
        <v>45807</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8683-2025</t>
        </is>
      </c>
      <c r="B1075" s="1" t="n">
        <v>45712</v>
      </c>
      <c r="C1075" s="1" t="n">
        <v>45807</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9236-2025</t>
        </is>
      </c>
      <c r="B1076" s="1" t="n">
        <v>45714</v>
      </c>
      <c r="C1076" s="1" t="n">
        <v>45807</v>
      </c>
      <c r="D1076" t="inlineStr">
        <is>
          <t>GOTLANDS LÄN</t>
        </is>
      </c>
      <c r="E1076" t="inlineStr">
        <is>
          <t>GOTLAND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9503-2025</t>
        </is>
      </c>
      <c r="B1077" s="1" t="n">
        <v>45715</v>
      </c>
      <c r="C1077" s="1" t="n">
        <v>45807</v>
      </c>
      <c r="D1077" t="inlineStr">
        <is>
          <t>GOTLANDS LÄN</t>
        </is>
      </c>
      <c r="E1077" t="inlineStr">
        <is>
          <t>GOTLAND</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9481-2025</t>
        </is>
      </c>
      <c r="B1078" s="1" t="n">
        <v>45715</v>
      </c>
      <c r="C1078" s="1" t="n">
        <v>45807</v>
      </c>
      <c r="D1078" t="inlineStr">
        <is>
          <t>GOTLANDS LÄN</t>
        </is>
      </c>
      <c r="E1078" t="inlineStr">
        <is>
          <t>GOTLAND</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9613-2025</t>
        </is>
      </c>
      <c r="B1079" s="1" t="n">
        <v>45715</v>
      </c>
      <c r="C1079" s="1" t="n">
        <v>45807</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9887-2025</t>
        </is>
      </c>
      <c r="B1080" s="1" t="n">
        <v>45716</v>
      </c>
      <c r="C1080" s="1" t="n">
        <v>45807</v>
      </c>
      <c r="D1080" t="inlineStr">
        <is>
          <t>GOTLANDS LÄN</t>
        </is>
      </c>
      <c r="E1080" t="inlineStr">
        <is>
          <t>GOTLAND</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9875-2025</t>
        </is>
      </c>
      <c r="B1081" s="1" t="n">
        <v>45716</v>
      </c>
      <c r="C1081" s="1" t="n">
        <v>45807</v>
      </c>
      <c r="D1081" t="inlineStr">
        <is>
          <t>GOTLANDS LÄN</t>
        </is>
      </c>
      <c r="E1081" t="inlineStr">
        <is>
          <t>GOTLAND</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10158-2025</t>
        </is>
      </c>
      <c r="B1082" s="1" t="n">
        <v>45719</v>
      </c>
      <c r="C1082" s="1" t="n">
        <v>45807</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10497-2025</t>
        </is>
      </c>
      <c r="B1083" s="1" t="n">
        <v>45721</v>
      </c>
      <c r="C1083" s="1" t="n">
        <v>45807</v>
      </c>
      <c r="D1083" t="inlineStr">
        <is>
          <t>GOTLANDS LÄN</t>
        </is>
      </c>
      <c r="E1083" t="inlineStr">
        <is>
          <t>GOTLAND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10652-2025</t>
        </is>
      </c>
      <c r="B1084" s="1" t="n">
        <v>45721</v>
      </c>
      <c r="C1084" s="1" t="n">
        <v>45807</v>
      </c>
      <c r="D1084" t="inlineStr">
        <is>
          <t>GOTLANDS LÄN</t>
        </is>
      </c>
      <c r="E1084" t="inlineStr">
        <is>
          <t>GOTLAND</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10813-2025</t>
        </is>
      </c>
      <c r="B1085" s="1" t="n">
        <v>45722</v>
      </c>
      <c r="C1085" s="1" t="n">
        <v>45807</v>
      </c>
      <c r="D1085" t="inlineStr">
        <is>
          <t>GOTLANDS LÄN</t>
        </is>
      </c>
      <c r="E1085" t="inlineStr">
        <is>
          <t>GOTLAND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10746-2025</t>
        </is>
      </c>
      <c r="B1086" s="1" t="n">
        <v>45722</v>
      </c>
      <c r="C1086" s="1" t="n">
        <v>45807</v>
      </c>
      <c r="D1086" t="inlineStr">
        <is>
          <t>GOTLANDS LÄN</t>
        </is>
      </c>
      <c r="E1086" t="inlineStr">
        <is>
          <t>GOTLAND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12032-2025</t>
        </is>
      </c>
      <c r="B1087" s="1" t="n">
        <v>45728</v>
      </c>
      <c r="C1087" s="1" t="n">
        <v>45807</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12123-2025</t>
        </is>
      </c>
      <c r="B1088" s="1" t="n">
        <v>45729</v>
      </c>
      <c r="C1088" s="1" t="n">
        <v>45807</v>
      </c>
      <c r="D1088" t="inlineStr">
        <is>
          <t>GOTLANDS LÄN</t>
        </is>
      </c>
      <c r="E1088" t="inlineStr">
        <is>
          <t>GOTLAND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12322-2025</t>
        </is>
      </c>
      <c r="B1089" s="1" t="n">
        <v>45730</v>
      </c>
      <c r="C1089" s="1" t="n">
        <v>45807</v>
      </c>
      <c r="D1089" t="inlineStr">
        <is>
          <t>GOTLANDS LÄN</t>
        </is>
      </c>
      <c r="E1089" t="inlineStr">
        <is>
          <t>GOTLAND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12327-2025</t>
        </is>
      </c>
      <c r="B1090" s="1" t="n">
        <v>45730</v>
      </c>
      <c r="C1090" s="1" t="n">
        <v>45807</v>
      </c>
      <c r="D1090" t="inlineStr">
        <is>
          <t>GOTLANDS LÄN</t>
        </is>
      </c>
      <c r="E1090" t="inlineStr">
        <is>
          <t>GOTLAND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12330-2025</t>
        </is>
      </c>
      <c r="B1091" s="1" t="n">
        <v>45730</v>
      </c>
      <c r="C1091" s="1" t="n">
        <v>45807</v>
      </c>
      <c r="D1091" t="inlineStr">
        <is>
          <t>GOTLANDS LÄN</t>
        </is>
      </c>
      <c r="E1091" t="inlineStr">
        <is>
          <t>GOTLAND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12846-2025</t>
        </is>
      </c>
      <c r="B1092" s="1" t="n">
        <v>45733</v>
      </c>
      <c r="C1092" s="1" t="n">
        <v>45807</v>
      </c>
      <c r="D1092" t="inlineStr">
        <is>
          <t>GOTLANDS LÄN</t>
        </is>
      </c>
      <c r="E1092" t="inlineStr">
        <is>
          <t>GOTLAND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12599-2025</t>
        </is>
      </c>
      <c r="B1093" s="1" t="n">
        <v>45733</v>
      </c>
      <c r="C1093" s="1" t="n">
        <v>45807</v>
      </c>
      <c r="D1093" t="inlineStr">
        <is>
          <t>GOTLANDS LÄN</t>
        </is>
      </c>
      <c r="E1093" t="inlineStr">
        <is>
          <t>GOTLAND</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13037-2025</t>
        </is>
      </c>
      <c r="B1094" s="1" t="n">
        <v>45734</v>
      </c>
      <c r="C1094" s="1" t="n">
        <v>45807</v>
      </c>
      <c r="D1094" t="inlineStr">
        <is>
          <t>GOTLANDS LÄN</t>
        </is>
      </c>
      <c r="E1094" t="inlineStr">
        <is>
          <t>GOTLAND</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13910-2025</t>
        </is>
      </c>
      <c r="B1095" s="1" t="n">
        <v>45737</v>
      </c>
      <c r="C1095" s="1" t="n">
        <v>45807</v>
      </c>
      <c r="D1095" t="inlineStr">
        <is>
          <t>GOTLANDS LÄN</t>
        </is>
      </c>
      <c r="E1095" t="inlineStr">
        <is>
          <t>GOTLAND</t>
        </is>
      </c>
      <c r="F1095" t="inlineStr">
        <is>
          <t>Kommuner</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14570-2025</t>
        </is>
      </c>
      <c r="B1096" s="1" t="n">
        <v>45741</v>
      </c>
      <c r="C1096" s="1" t="n">
        <v>45807</v>
      </c>
      <c r="D1096" t="inlineStr">
        <is>
          <t>GOTLANDS LÄN</t>
        </is>
      </c>
      <c r="E1096" t="inlineStr">
        <is>
          <t>GOTLAND</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14723-2025</t>
        </is>
      </c>
      <c r="B1097" s="1" t="n">
        <v>45742</v>
      </c>
      <c r="C1097" s="1" t="n">
        <v>45807</v>
      </c>
      <c r="D1097" t="inlineStr">
        <is>
          <t>GOTLANDS LÄN</t>
        </is>
      </c>
      <c r="E1097" t="inlineStr">
        <is>
          <t>GOTLAND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14638-2025</t>
        </is>
      </c>
      <c r="B1098" s="1" t="n">
        <v>45742</v>
      </c>
      <c r="C1098" s="1" t="n">
        <v>45807</v>
      </c>
      <c r="D1098" t="inlineStr">
        <is>
          <t>GOTLANDS LÄN</t>
        </is>
      </c>
      <c r="E1098" t="inlineStr">
        <is>
          <t>GOTLAND</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15001-2025</t>
        </is>
      </c>
      <c r="B1099" s="1" t="n">
        <v>45743</v>
      </c>
      <c r="C1099" s="1" t="n">
        <v>45807</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15083-2025</t>
        </is>
      </c>
      <c r="B1100" s="1" t="n">
        <v>45743</v>
      </c>
      <c r="C1100" s="1" t="n">
        <v>45807</v>
      </c>
      <c r="D1100" t="inlineStr">
        <is>
          <t>GOTLANDS LÄN</t>
        </is>
      </c>
      <c r="E1100" t="inlineStr">
        <is>
          <t>GOTLAND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15075-2025</t>
        </is>
      </c>
      <c r="B1101" s="1" t="n">
        <v>45743</v>
      </c>
      <c r="C1101" s="1" t="n">
        <v>45807</v>
      </c>
      <c r="D1101" t="inlineStr">
        <is>
          <t>GOTLANDS LÄN</t>
        </is>
      </c>
      <c r="E1101" t="inlineStr">
        <is>
          <t>GOTLAND</t>
        </is>
      </c>
      <c r="G1101" t="n">
        <v>20.9</v>
      </c>
      <c r="H1101" t="n">
        <v>0</v>
      </c>
      <c r="I1101" t="n">
        <v>0</v>
      </c>
      <c r="J1101" t="n">
        <v>0</v>
      </c>
      <c r="K1101" t="n">
        <v>0</v>
      </c>
      <c r="L1101" t="n">
        <v>0</v>
      </c>
      <c r="M1101" t="n">
        <v>0</v>
      </c>
      <c r="N1101" t="n">
        <v>0</v>
      </c>
      <c r="O1101" t="n">
        <v>0</v>
      </c>
      <c r="P1101" t="n">
        <v>0</v>
      </c>
      <c r="Q1101" t="n">
        <v>0</v>
      </c>
      <c r="R1101" s="2" t="inlineStr"/>
    </row>
    <row r="1102" ht="15" customHeight="1">
      <c r="A1102" t="inlineStr">
        <is>
          <t>A 14915-2025</t>
        </is>
      </c>
      <c r="B1102" s="1" t="n">
        <v>45743</v>
      </c>
      <c r="C1102" s="1" t="n">
        <v>45807</v>
      </c>
      <c r="D1102" t="inlineStr">
        <is>
          <t>GOTLANDS LÄN</t>
        </is>
      </c>
      <c r="E1102" t="inlineStr">
        <is>
          <t>GOTLAND</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15042-2025</t>
        </is>
      </c>
      <c r="B1103" s="1" t="n">
        <v>45743</v>
      </c>
      <c r="C1103" s="1" t="n">
        <v>45807</v>
      </c>
      <c r="D1103" t="inlineStr">
        <is>
          <t>GOTLANDS LÄN</t>
        </is>
      </c>
      <c r="E1103" t="inlineStr">
        <is>
          <t>GOTLAND</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15073-2025</t>
        </is>
      </c>
      <c r="B1104" s="1" t="n">
        <v>45743</v>
      </c>
      <c r="C1104" s="1" t="n">
        <v>45807</v>
      </c>
      <c r="D1104" t="inlineStr">
        <is>
          <t>GOTLANDS LÄN</t>
        </is>
      </c>
      <c r="E1104" t="inlineStr">
        <is>
          <t>GOTLAND</t>
        </is>
      </c>
      <c r="G1104" t="n">
        <v>12.1</v>
      </c>
      <c r="H1104" t="n">
        <v>0</v>
      </c>
      <c r="I1104" t="n">
        <v>0</v>
      </c>
      <c r="J1104" t="n">
        <v>0</v>
      </c>
      <c r="K1104" t="n">
        <v>0</v>
      </c>
      <c r="L1104" t="n">
        <v>0</v>
      </c>
      <c r="M1104" t="n">
        <v>0</v>
      </c>
      <c r="N1104" t="n">
        <v>0</v>
      </c>
      <c r="O1104" t="n">
        <v>0</v>
      </c>
      <c r="P1104" t="n">
        <v>0</v>
      </c>
      <c r="Q1104" t="n">
        <v>0</v>
      </c>
      <c r="R1104" s="2" t="inlineStr"/>
    </row>
    <row r="1105" ht="15" customHeight="1">
      <c r="A1105" t="inlineStr">
        <is>
          <t>A 15216-2025</t>
        </is>
      </c>
      <c r="B1105" s="1" t="n">
        <v>45744</v>
      </c>
      <c r="C1105" s="1" t="n">
        <v>45807</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15436-2025</t>
        </is>
      </c>
      <c r="B1106" s="1" t="n">
        <v>45747</v>
      </c>
      <c r="C1106" s="1" t="n">
        <v>45807</v>
      </c>
      <c r="D1106" t="inlineStr">
        <is>
          <t>GOTLANDS LÄN</t>
        </is>
      </c>
      <c r="E1106" t="inlineStr">
        <is>
          <t>GOTLAND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15413-2025</t>
        </is>
      </c>
      <c r="B1107" s="1" t="n">
        <v>45747</v>
      </c>
      <c r="C1107" s="1" t="n">
        <v>45807</v>
      </c>
      <c r="D1107" t="inlineStr">
        <is>
          <t>GOTLANDS LÄN</t>
        </is>
      </c>
      <c r="E1107" t="inlineStr">
        <is>
          <t>GOTLAND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16109-2025</t>
        </is>
      </c>
      <c r="B1108" s="1" t="n">
        <v>45750</v>
      </c>
      <c r="C1108" s="1" t="n">
        <v>45807</v>
      </c>
      <c r="D1108" t="inlineStr">
        <is>
          <t>GOTLANDS LÄN</t>
        </is>
      </c>
      <c r="E1108" t="inlineStr">
        <is>
          <t>GOTLAND</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45807</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45807</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45807</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45807</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45807</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45807</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45807</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45807</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45807</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45807</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45807</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45807</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45807</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45807</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45807</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45807</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20812-2025</t>
        </is>
      </c>
      <c r="B1125" s="1" t="n">
        <v>45776</v>
      </c>
      <c r="C1125" s="1" t="n">
        <v>45807</v>
      </c>
      <c r="D1125" t="inlineStr">
        <is>
          <t>GOTLANDS LÄN</t>
        </is>
      </c>
      <c r="E1125" t="inlineStr">
        <is>
          <t>GOTLAND</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20805-2025</t>
        </is>
      </c>
      <c r="B1126" s="1" t="n">
        <v>45776</v>
      </c>
      <c r="C1126" s="1" t="n">
        <v>45807</v>
      </c>
      <c r="D1126" t="inlineStr">
        <is>
          <t>GOTLANDS LÄN</t>
        </is>
      </c>
      <c r="E1126" t="inlineStr">
        <is>
          <t>GOTLAND</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45807</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45807</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45807</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45807</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45807</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23856-2025</t>
        </is>
      </c>
      <c r="B1132" s="1" t="n">
        <v>45793</v>
      </c>
      <c r="C1132" s="1" t="n">
        <v>45807</v>
      </c>
      <c r="D1132" t="inlineStr">
        <is>
          <t>GOTLANDS LÄN</t>
        </is>
      </c>
      <c r="E1132" t="inlineStr">
        <is>
          <t>GOTLAND</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23700-2025</t>
        </is>
      </c>
      <c r="B1133" s="1" t="n">
        <v>45793</v>
      </c>
      <c r="C1133" s="1" t="n">
        <v>45807</v>
      </c>
      <c r="D1133" t="inlineStr">
        <is>
          <t>GOTLANDS LÄN</t>
        </is>
      </c>
      <c r="E1133" t="inlineStr">
        <is>
          <t>GOTLAND</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45807</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24309-2025</t>
        </is>
      </c>
      <c r="B1135" s="1" t="n">
        <v>45797</v>
      </c>
      <c r="C1135" s="1" t="n">
        <v>45807</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25678-2025</t>
        </is>
      </c>
      <c r="B1136" s="1" t="n">
        <v>45803</v>
      </c>
      <c r="C1136" s="1" t="n">
        <v>45807</v>
      </c>
      <c r="D1136" t="inlineStr">
        <is>
          <t>GOTLANDS LÄN</t>
        </is>
      </c>
      <c r="E1136" t="inlineStr">
        <is>
          <t>GOTLAND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25796-2025</t>
        </is>
      </c>
      <c r="B1137" s="1" t="n">
        <v>45804</v>
      </c>
      <c r="C1137" s="1" t="n">
        <v>45807</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c r="A1138" t="inlineStr">
        <is>
          <t>A 26391-2025</t>
        </is>
      </c>
      <c r="B1138" s="1" t="n">
        <v>45806</v>
      </c>
      <c r="C1138" s="1" t="n">
        <v>45807</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2025-05-30T17:48:14Z</dcterms:created>
  <dcterms:modified xmlns:dcterms="http://purl.org/dc/terms/" xmlns:xsi="http://www.w3.org/2001/XMLSchema-instance" xsi:type="dcterms:W3CDTF">2025-05-30T17:48:15Z</dcterms:modified>
</cp:coreProperties>
</file>