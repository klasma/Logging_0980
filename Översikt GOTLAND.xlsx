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45758</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45758</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45758</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45758</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45758</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45758</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45758</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45758</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45758</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45758</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45758</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45758</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45758</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45758</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45758</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45758</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45758</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45758</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45758</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45758</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45758</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45758</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45758</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45758</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45758</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45758</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45758</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45758</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45758</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45758</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45758</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45758</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45758</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45758</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45758</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45758</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45758</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45758</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45758</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45758</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45758</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45758</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45758</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45758</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45758</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45758</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45758</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45758</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45758</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45758</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45758</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45758</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45758</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45758</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45758</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45758</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45758</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45758</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45758</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45758</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45758</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45758</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45758</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45758</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45758</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45758</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45758</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45758</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45758</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45758</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45758</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45758</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45758</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45758</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45758</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45758</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45758</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45758</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45758</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45758</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45758</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66053-2019</t>
        </is>
      </c>
      <c r="B128" s="1" t="n">
        <v>43806</v>
      </c>
      <c r="C128" s="1" t="n">
        <v>45758</v>
      </c>
      <c r="D128" t="inlineStr">
        <is>
          <t>GOTLANDS LÄN</t>
        </is>
      </c>
      <c r="E128" t="inlineStr">
        <is>
          <t>GOTLAND</t>
        </is>
      </c>
      <c r="G128" t="n">
        <v>58.6</v>
      </c>
      <c r="H128" t="n">
        <v>2</v>
      </c>
      <c r="I128" t="n">
        <v>0</v>
      </c>
      <c r="J128" t="n">
        <v>1</v>
      </c>
      <c r="K128" t="n">
        <v>2</v>
      </c>
      <c r="L128" t="n">
        <v>0</v>
      </c>
      <c r="M128" t="n">
        <v>0</v>
      </c>
      <c r="N128" t="n">
        <v>0</v>
      </c>
      <c r="O128" t="n">
        <v>3</v>
      </c>
      <c r="P128" t="n">
        <v>2</v>
      </c>
      <c r="Q128" t="n">
        <v>3</v>
      </c>
      <c r="R128" s="2" t="inlineStr">
        <is>
          <t>Falsk guldskivlav
Garderönn
Apollofjäril</t>
        </is>
      </c>
      <c r="S128">
        <f>HYPERLINK("https://klasma.github.io/Logging_0980/artfynd/A 66053-2019 artfynd.xlsx", "A 66053-2019")</f>
        <v/>
      </c>
      <c r="T128">
        <f>HYPERLINK("https://klasma.github.io/Logging_0980/kartor/A 66053-2019 karta.png", "A 66053-2019")</f>
        <v/>
      </c>
      <c r="V128">
        <f>HYPERLINK("https://klasma.github.io/Logging_0980/klagomål/A 66053-2019 FSC-klagomål.docx", "A 66053-2019")</f>
        <v/>
      </c>
      <c r="W128">
        <f>HYPERLINK("https://klasma.github.io/Logging_0980/klagomålsmail/A 66053-2019 FSC-klagomål mail.docx", "A 66053-2019")</f>
        <v/>
      </c>
      <c r="X128">
        <f>HYPERLINK("https://klasma.github.io/Logging_0980/tillsyn/A 66053-2019 tillsynsbegäran.docx", "A 66053-2019")</f>
        <v/>
      </c>
      <c r="Y128">
        <f>HYPERLINK("https://klasma.github.io/Logging_0980/tillsynsmail/A 66053-2019 tillsynsbegäran mail.docx", "A 66053-2019")</f>
        <v/>
      </c>
    </row>
    <row r="129" ht="15" customHeight="1">
      <c r="A129" t="inlineStr">
        <is>
          <t>A 2536-2020</t>
        </is>
      </c>
      <c r="B129" s="1" t="n">
        <v>43847</v>
      </c>
      <c r="C129" s="1" t="n">
        <v>45758</v>
      </c>
      <c r="D129" t="inlineStr">
        <is>
          <t>GOTLANDS LÄN</t>
        </is>
      </c>
      <c r="E129" t="inlineStr">
        <is>
          <t>GOTLAND</t>
        </is>
      </c>
      <c r="G129" t="n">
        <v>4.2</v>
      </c>
      <c r="H129" t="n">
        <v>1</v>
      </c>
      <c r="I129" t="n">
        <v>0</v>
      </c>
      <c r="J129" t="n">
        <v>2</v>
      </c>
      <c r="K129" t="n">
        <v>0</v>
      </c>
      <c r="L129" t="n">
        <v>0</v>
      </c>
      <c r="M129" t="n">
        <v>0</v>
      </c>
      <c r="N129" t="n">
        <v>0</v>
      </c>
      <c r="O129" t="n">
        <v>2</v>
      </c>
      <c r="P129" t="n">
        <v>0</v>
      </c>
      <c r="Q129" t="n">
        <v>3</v>
      </c>
      <c r="R129" s="2" t="inlineStr">
        <is>
          <t>Backklöver
Svinrot
Blåsippa</t>
        </is>
      </c>
      <c r="S129">
        <f>HYPERLINK("https://klasma.github.io/Logging_0980/artfynd/A 2536-2020 artfynd.xlsx", "A 2536-2020")</f>
        <v/>
      </c>
      <c r="T129">
        <f>HYPERLINK("https://klasma.github.io/Logging_0980/kartor/A 2536-2020 karta.png", "A 2536-2020")</f>
        <v/>
      </c>
      <c r="V129">
        <f>HYPERLINK("https://klasma.github.io/Logging_0980/klagomål/A 2536-2020 FSC-klagomål.docx", "A 2536-2020")</f>
        <v/>
      </c>
      <c r="W129">
        <f>HYPERLINK("https://klasma.github.io/Logging_0980/klagomålsmail/A 2536-2020 FSC-klagomål mail.docx", "A 2536-2020")</f>
        <v/>
      </c>
      <c r="X129">
        <f>HYPERLINK("https://klasma.github.io/Logging_0980/tillsyn/A 2536-2020 tillsynsbegäran.docx", "A 2536-2020")</f>
        <v/>
      </c>
      <c r="Y129">
        <f>HYPERLINK("https://klasma.github.io/Logging_0980/tillsynsmail/A 2536-2020 tillsynsbegäran mail.docx", "A 2536-2020")</f>
        <v/>
      </c>
    </row>
    <row r="130" ht="15" customHeight="1">
      <c r="A130" t="inlineStr">
        <is>
          <t>A 3218-2020</t>
        </is>
      </c>
      <c r="B130" s="1" t="n">
        <v>43851</v>
      </c>
      <c r="C130" s="1" t="n">
        <v>45758</v>
      </c>
      <c r="D130" t="inlineStr">
        <is>
          <t>GOTLANDS LÄN</t>
        </is>
      </c>
      <c r="E130" t="inlineStr">
        <is>
          <t>GOTLAND</t>
        </is>
      </c>
      <c r="G130" t="n">
        <v>7.8</v>
      </c>
      <c r="H130" t="n">
        <v>3</v>
      </c>
      <c r="I130" t="n">
        <v>0</v>
      </c>
      <c r="J130" t="n">
        <v>0</v>
      </c>
      <c r="K130" t="n">
        <v>0</v>
      </c>
      <c r="L130" t="n">
        <v>0</v>
      </c>
      <c r="M130" t="n">
        <v>0</v>
      </c>
      <c r="N130" t="n">
        <v>0</v>
      </c>
      <c r="O130" t="n">
        <v>0</v>
      </c>
      <c r="P130" t="n">
        <v>0</v>
      </c>
      <c r="Q130" t="n">
        <v>3</v>
      </c>
      <c r="R130" s="2" t="inlineStr">
        <is>
          <t>Åkergroda
Mindre vattensalamander
Vanlig padda</t>
        </is>
      </c>
      <c r="S130">
        <f>HYPERLINK("https://klasma.github.io/Logging_0980/artfynd/A 3218-2020 artfynd.xlsx", "A 3218-2020")</f>
        <v/>
      </c>
      <c r="T130">
        <f>HYPERLINK("https://klasma.github.io/Logging_0980/kartor/A 3218-2020 karta.png", "A 3218-2020")</f>
        <v/>
      </c>
      <c r="V130">
        <f>HYPERLINK("https://klasma.github.io/Logging_0980/klagomål/A 3218-2020 FSC-klagomål.docx", "A 3218-2020")</f>
        <v/>
      </c>
      <c r="W130">
        <f>HYPERLINK("https://klasma.github.io/Logging_0980/klagomålsmail/A 3218-2020 FSC-klagomål mail.docx", "A 3218-2020")</f>
        <v/>
      </c>
      <c r="X130">
        <f>HYPERLINK("https://klasma.github.io/Logging_0980/tillsyn/A 3218-2020 tillsynsbegäran.docx", "A 3218-2020")</f>
        <v/>
      </c>
      <c r="Y130">
        <f>HYPERLINK("https://klasma.github.io/Logging_0980/tillsynsmail/A 3218-2020 tillsynsbegäran mail.docx", "A 3218-2020")</f>
        <v/>
      </c>
    </row>
    <row r="131" ht="15" customHeight="1">
      <c r="A131" t="inlineStr">
        <is>
          <t>A 7156-2020</t>
        </is>
      </c>
      <c r="B131" s="1" t="n">
        <v>43870</v>
      </c>
      <c r="C131" s="1" t="n">
        <v>45758</v>
      </c>
      <c r="D131" t="inlineStr">
        <is>
          <t>GOTLANDS LÄN</t>
        </is>
      </c>
      <c r="E131" t="inlineStr">
        <is>
          <t>GOTLAND</t>
        </is>
      </c>
      <c r="G131" t="n">
        <v>1.5</v>
      </c>
      <c r="H131" t="n">
        <v>1</v>
      </c>
      <c r="I131" t="n">
        <v>0</v>
      </c>
      <c r="J131" t="n">
        <v>2</v>
      </c>
      <c r="K131" t="n">
        <v>0</v>
      </c>
      <c r="L131" t="n">
        <v>0</v>
      </c>
      <c r="M131" t="n">
        <v>0</v>
      </c>
      <c r="N131" t="n">
        <v>0</v>
      </c>
      <c r="O131" t="n">
        <v>2</v>
      </c>
      <c r="P131" t="n">
        <v>0</v>
      </c>
      <c r="Q131" t="n">
        <v>3</v>
      </c>
      <c r="R131" s="2" t="inlineStr">
        <is>
          <t>Bolmört
Solvända
Sankt pers nycklar</t>
        </is>
      </c>
      <c r="S131">
        <f>HYPERLINK("https://klasma.github.io/Logging_0980/artfynd/A 7156-2020 artfynd.xlsx", "A 7156-2020")</f>
        <v/>
      </c>
      <c r="T131">
        <f>HYPERLINK("https://klasma.github.io/Logging_0980/kartor/A 7156-2020 karta.png", "A 7156-2020")</f>
        <v/>
      </c>
      <c r="V131">
        <f>HYPERLINK("https://klasma.github.io/Logging_0980/klagomål/A 7156-2020 FSC-klagomål.docx", "A 7156-2020")</f>
        <v/>
      </c>
      <c r="W131">
        <f>HYPERLINK("https://klasma.github.io/Logging_0980/klagomålsmail/A 7156-2020 FSC-klagomål mail.docx", "A 7156-2020")</f>
        <v/>
      </c>
      <c r="X131">
        <f>HYPERLINK("https://klasma.github.io/Logging_0980/tillsyn/A 7156-2020 tillsynsbegäran.docx", "A 7156-2020")</f>
        <v/>
      </c>
      <c r="Y131">
        <f>HYPERLINK("https://klasma.github.io/Logging_0980/tillsynsmail/A 7156-2020 tillsynsbegäran mail.docx", "A 7156-2020")</f>
        <v/>
      </c>
    </row>
    <row r="132" ht="15" customHeight="1">
      <c r="A132" t="inlineStr">
        <is>
          <t>A 10707-2020</t>
        </is>
      </c>
      <c r="B132" s="1" t="n">
        <v>43888</v>
      </c>
      <c r="C132" s="1" t="n">
        <v>45758</v>
      </c>
      <c r="D132" t="inlineStr">
        <is>
          <t>GOTLANDS LÄN</t>
        </is>
      </c>
      <c r="E132" t="inlineStr">
        <is>
          <t>GOTLAND</t>
        </is>
      </c>
      <c r="F132" t="inlineStr">
        <is>
          <t>Övriga statliga verk och myndigheter</t>
        </is>
      </c>
      <c r="G132" t="n">
        <v>27.7</v>
      </c>
      <c r="H132" t="n">
        <v>0</v>
      </c>
      <c r="I132" t="n">
        <v>0</v>
      </c>
      <c r="J132" t="n">
        <v>3</v>
      </c>
      <c r="K132" t="n">
        <v>0</v>
      </c>
      <c r="L132" t="n">
        <v>0</v>
      </c>
      <c r="M132" t="n">
        <v>0</v>
      </c>
      <c r="N132" t="n">
        <v>0</v>
      </c>
      <c r="O132" t="n">
        <v>3</v>
      </c>
      <c r="P132" t="n">
        <v>0</v>
      </c>
      <c r="Q132" t="n">
        <v>3</v>
      </c>
      <c r="R132" s="2" t="inlineStr">
        <is>
          <t>Grådådra
Mindre blåvinge
Ängsnätfjäril</t>
        </is>
      </c>
      <c r="S132">
        <f>HYPERLINK("https://klasma.github.io/Logging_0980/artfynd/A 10707-2020 artfynd.xlsx", "A 10707-2020")</f>
        <v/>
      </c>
      <c r="T132">
        <f>HYPERLINK("https://klasma.github.io/Logging_0980/kartor/A 10707-2020 karta.png", "A 10707-2020")</f>
        <v/>
      </c>
      <c r="V132">
        <f>HYPERLINK("https://klasma.github.io/Logging_0980/klagomål/A 10707-2020 FSC-klagomål.docx", "A 10707-2020")</f>
        <v/>
      </c>
      <c r="W132">
        <f>HYPERLINK("https://klasma.github.io/Logging_0980/klagomålsmail/A 10707-2020 FSC-klagomål mail.docx", "A 10707-2020")</f>
        <v/>
      </c>
      <c r="X132">
        <f>HYPERLINK("https://klasma.github.io/Logging_0980/tillsyn/A 10707-2020 tillsynsbegäran.docx", "A 10707-2020")</f>
        <v/>
      </c>
      <c r="Y132">
        <f>HYPERLINK("https://klasma.github.io/Logging_0980/tillsynsmail/A 10707-2020 tillsynsbegäran mail.docx", "A 10707-2020")</f>
        <v/>
      </c>
    </row>
    <row r="133" ht="15" customHeight="1">
      <c r="A133" t="inlineStr">
        <is>
          <t>A 55029-2020</t>
        </is>
      </c>
      <c r="B133" s="1" t="n">
        <v>44130</v>
      </c>
      <c r="C133" s="1" t="n">
        <v>45758</v>
      </c>
      <c r="D133" t="inlineStr">
        <is>
          <t>GOTLANDS LÄN</t>
        </is>
      </c>
      <c r="E133" t="inlineStr">
        <is>
          <t>GOTLAND</t>
        </is>
      </c>
      <c r="G133" t="n">
        <v>6.9</v>
      </c>
      <c r="H133" t="n">
        <v>1</v>
      </c>
      <c r="I133" t="n">
        <v>2</v>
      </c>
      <c r="J133" t="n">
        <v>1</v>
      </c>
      <c r="K133" t="n">
        <v>0</v>
      </c>
      <c r="L133" t="n">
        <v>0</v>
      </c>
      <c r="M133" t="n">
        <v>0</v>
      </c>
      <c r="N133" t="n">
        <v>0</v>
      </c>
      <c r="O133" t="n">
        <v>1</v>
      </c>
      <c r="P133" t="n">
        <v>0</v>
      </c>
      <c r="Q133" t="n">
        <v>3</v>
      </c>
      <c r="R133" s="2" t="inlineStr">
        <is>
          <t>Dårgräsfjäril
Anisspindling
Granbarkgnagare</t>
        </is>
      </c>
      <c r="S133">
        <f>HYPERLINK("https://klasma.github.io/Logging_0980/artfynd/A 55029-2020 artfynd.xlsx", "A 55029-2020")</f>
        <v/>
      </c>
      <c r="T133">
        <f>HYPERLINK("https://klasma.github.io/Logging_0980/kartor/A 55029-2020 karta.png", "A 55029-2020")</f>
        <v/>
      </c>
      <c r="V133">
        <f>HYPERLINK("https://klasma.github.io/Logging_0980/klagomål/A 55029-2020 FSC-klagomål.docx", "A 55029-2020")</f>
        <v/>
      </c>
      <c r="W133">
        <f>HYPERLINK("https://klasma.github.io/Logging_0980/klagomålsmail/A 55029-2020 FSC-klagomål mail.docx", "A 55029-2020")</f>
        <v/>
      </c>
      <c r="X133">
        <f>HYPERLINK("https://klasma.github.io/Logging_0980/tillsyn/A 55029-2020 tillsynsbegäran.docx", "A 55029-2020")</f>
        <v/>
      </c>
      <c r="Y133">
        <f>HYPERLINK("https://klasma.github.io/Logging_0980/tillsynsmail/A 55029-2020 tillsynsbegäran mail.docx", "A 55029-2020")</f>
        <v/>
      </c>
    </row>
    <row r="134" ht="15" customHeight="1">
      <c r="A134" t="inlineStr">
        <is>
          <t>A 62326-2020</t>
        </is>
      </c>
      <c r="B134" s="1" t="n">
        <v>44160</v>
      </c>
      <c r="C134" s="1" t="n">
        <v>45758</v>
      </c>
      <c r="D134" t="inlineStr">
        <is>
          <t>GOTLANDS LÄN</t>
        </is>
      </c>
      <c r="E134" t="inlineStr">
        <is>
          <t>GOTLAND</t>
        </is>
      </c>
      <c r="G134" t="n">
        <v>7.4</v>
      </c>
      <c r="H134" t="n">
        <v>1</v>
      </c>
      <c r="I134" t="n">
        <v>3</v>
      </c>
      <c r="J134" t="n">
        <v>0</v>
      </c>
      <c r="K134" t="n">
        <v>0</v>
      </c>
      <c r="L134" t="n">
        <v>0</v>
      </c>
      <c r="M134" t="n">
        <v>0</v>
      </c>
      <c r="N134" t="n">
        <v>0</v>
      </c>
      <c r="O134" t="n">
        <v>0</v>
      </c>
      <c r="P134" t="n">
        <v>0</v>
      </c>
      <c r="Q134" t="n">
        <v>3</v>
      </c>
      <c r="R134" s="2" t="inlineStr">
        <is>
          <t>Anisspindling
Blåmossa
Skogsknipprot</t>
        </is>
      </c>
      <c r="S134">
        <f>HYPERLINK("https://klasma.github.io/Logging_0980/artfynd/A 62326-2020 artfynd.xlsx", "A 62326-2020")</f>
        <v/>
      </c>
      <c r="T134">
        <f>HYPERLINK("https://klasma.github.io/Logging_0980/kartor/A 62326-2020 karta.png", "A 62326-2020")</f>
        <v/>
      </c>
      <c r="V134">
        <f>HYPERLINK("https://klasma.github.io/Logging_0980/klagomål/A 62326-2020 FSC-klagomål.docx", "A 62326-2020")</f>
        <v/>
      </c>
      <c r="W134">
        <f>HYPERLINK("https://klasma.github.io/Logging_0980/klagomålsmail/A 62326-2020 FSC-klagomål mail.docx", "A 62326-2020")</f>
        <v/>
      </c>
      <c r="X134">
        <f>HYPERLINK("https://klasma.github.io/Logging_0980/tillsyn/A 62326-2020 tillsynsbegäran.docx", "A 62326-2020")</f>
        <v/>
      </c>
      <c r="Y134">
        <f>HYPERLINK("https://klasma.github.io/Logging_0980/tillsynsmail/A 62326-2020 tillsynsbegäran mail.docx", "A 62326-2020")</f>
        <v/>
      </c>
    </row>
    <row r="135" ht="15" customHeight="1">
      <c r="A135" t="inlineStr">
        <is>
          <t>A 2332-2021</t>
        </is>
      </c>
      <c r="B135" s="1" t="n">
        <v>44214</v>
      </c>
      <c r="C135" s="1" t="n">
        <v>45758</v>
      </c>
      <c r="D135" t="inlineStr">
        <is>
          <t>GOTLANDS LÄN</t>
        </is>
      </c>
      <c r="E135" t="inlineStr">
        <is>
          <t>GOTLAND</t>
        </is>
      </c>
      <c r="G135" t="n">
        <v>2.3</v>
      </c>
      <c r="H135" t="n">
        <v>2</v>
      </c>
      <c r="I135" t="n">
        <v>0</v>
      </c>
      <c r="J135" t="n">
        <v>1</v>
      </c>
      <c r="K135" t="n">
        <v>0</v>
      </c>
      <c r="L135" t="n">
        <v>0</v>
      </c>
      <c r="M135" t="n">
        <v>0</v>
      </c>
      <c r="N135" t="n">
        <v>0</v>
      </c>
      <c r="O135" t="n">
        <v>1</v>
      </c>
      <c r="P135" t="n">
        <v>0</v>
      </c>
      <c r="Q135" t="n">
        <v>3</v>
      </c>
      <c r="R135" s="2" t="inlineStr">
        <is>
          <t>Korpnopping
Sankt pers nycklar
Blåsippa</t>
        </is>
      </c>
      <c r="S135">
        <f>HYPERLINK("https://klasma.github.io/Logging_0980/artfynd/A 2332-2021 artfynd.xlsx", "A 2332-2021")</f>
        <v/>
      </c>
      <c r="T135">
        <f>HYPERLINK("https://klasma.github.io/Logging_0980/kartor/A 2332-2021 karta.png", "A 2332-2021")</f>
        <v/>
      </c>
      <c r="V135">
        <f>HYPERLINK("https://klasma.github.io/Logging_0980/klagomål/A 2332-2021 FSC-klagomål.docx", "A 2332-2021")</f>
        <v/>
      </c>
      <c r="W135">
        <f>HYPERLINK("https://klasma.github.io/Logging_0980/klagomålsmail/A 2332-2021 FSC-klagomål mail.docx", "A 2332-2021")</f>
        <v/>
      </c>
      <c r="X135">
        <f>HYPERLINK("https://klasma.github.io/Logging_0980/tillsyn/A 2332-2021 tillsynsbegäran.docx", "A 2332-2021")</f>
        <v/>
      </c>
      <c r="Y135">
        <f>HYPERLINK("https://klasma.github.io/Logging_0980/tillsynsmail/A 2332-2021 tillsynsbegäran mail.docx", "A 2332-2021")</f>
        <v/>
      </c>
    </row>
    <row r="136" ht="15" customHeight="1">
      <c r="A136" t="inlineStr">
        <is>
          <t>A 12519-2021</t>
        </is>
      </c>
      <c r="B136" s="1" t="n">
        <v>44269</v>
      </c>
      <c r="C136" s="1" t="n">
        <v>45758</v>
      </c>
      <c r="D136" t="inlineStr">
        <is>
          <t>GOTLANDS LÄN</t>
        </is>
      </c>
      <c r="E136" t="inlineStr">
        <is>
          <t>GOTLAND</t>
        </is>
      </c>
      <c r="F136" t="inlineStr">
        <is>
          <t>Kyrkan</t>
        </is>
      </c>
      <c r="G136" t="n">
        <v>3.4</v>
      </c>
      <c r="H136" t="n">
        <v>0</v>
      </c>
      <c r="I136" t="n">
        <v>2</v>
      </c>
      <c r="J136" t="n">
        <v>1</v>
      </c>
      <c r="K136" t="n">
        <v>0</v>
      </c>
      <c r="L136" t="n">
        <v>0</v>
      </c>
      <c r="M136" t="n">
        <v>0</v>
      </c>
      <c r="N136" t="n">
        <v>0</v>
      </c>
      <c r="O136" t="n">
        <v>1</v>
      </c>
      <c r="P136" t="n">
        <v>0</v>
      </c>
      <c r="Q136" t="n">
        <v>3</v>
      </c>
      <c r="R136" s="2" t="inlineStr">
        <is>
          <t>Loppstarr
Rödgul trumpetsvamp
Vågbandad barkbock</t>
        </is>
      </c>
      <c r="S136">
        <f>HYPERLINK("https://klasma.github.io/Logging_0980/artfynd/A 12519-2021 artfynd.xlsx", "A 12519-2021")</f>
        <v/>
      </c>
      <c r="T136">
        <f>HYPERLINK("https://klasma.github.io/Logging_0980/kartor/A 12519-2021 karta.png", "A 12519-2021")</f>
        <v/>
      </c>
      <c r="V136">
        <f>HYPERLINK("https://klasma.github.io/Logging_0980/klagomål/A 12519-2021 FSC-klagomål.docx", "A 12519-2021")</f>
        <v/>
      </c>
      <c r="W136">
        <f>HYPERLINK("https://klasma.github.io/Logging_0980/klagomålsmail/A 12519-2021 FSC-klagomål mail.docx", "A 12519-2021")</f>
        <v/>
      </c>
      <c r="X136">
        <f>HYPERLINK("https://klasma.github.io/Logging_0980/tillsyn/A 12519-2021 tillsynsbegäran.docx", "A 12519-2021")</f>
        <v/>
      </c>
      <c r="Y136">
        <f>HYPERLINK("https://klasma.github.io/Logging_0980/tillsynsmail/A 12519-2021 tillsynsbegäran mail.docx", "A 12519-2021")</f>
        <v/>
      </c>
    </row>
    <row r="137" ht="15" customHeight="1">
      <c r="A137" t="inlineStr">
        <is>
          <t>A 32666-2021</t>
        </is>
      </c>
      <c r="B137" s="1" t="n">
        <v>44375</v>
      </c>
      <c r="C137" s="1" t="n">
        <v>45758</v>
      </c>
      <c r="D137" t="inlineStr">
        <is>
          <t>GOTLANDS LÄN</t>
        </is>
      </c>
      <c r="E137" t="inlineStr">
        <is>
          <t>GOTLAND</t>
        </is>
      </c>
      <c r="G137" t="n">
        <v>0.9</v>
      </c>
      <c r="H137" t="n">
        <v>1</v>
      </c>
      <c r="I137" t="n">
        <v>2</v>
      </c>
      <c r="J137" t="n">
        <v>0</v>
      </c>
      <c r="K137" t="n">
        <v>1</v>
      </c>
      <c r="L137" t="n">
        <v>0</v>
      </c>
      <c r="M137" t="n">
        <v>0</v>
      </c>
      <c r="N137" t="n">
        <v>0</v>
      </c>
      <c r="O137" t="n">
        <v>1</v>
      </c>
      <c r="P137" t="n">
        <v>1</v>
      </c>
      <c r="Q137" t="n">
        <v>3</v>
      </c>
      <c r="R137" s="2" t="inlineStr">
        <is>
          <t>Skogskorn
Myskmadra
Vit skogslilja</t>
        </is>
      </c>
      <c r="S137">
        <f>HYPERLINK("https://klasma.github.io/Logging_0980/artfynd/A 32666-2021 artfynd.xlsx", "A 32666-2021")</f>
        <v/>
      </c>
      <c r="T137">
        <f>HYPERLINK("https://klasma.github.io/Logging_0980/kartor/A 32666-2021 karta.png", "A 32666-2021")</f>
        <v/>
      </c>
      <c r="V137">
        <f>HYPERLINK("https://klasma.github.io/Logging_0980/klagomål/A 32666-2021 FSC-klagomål.docx", "A 32666-2021")</f>
        <v/>
      </c>
      <c r="W137">
        <f>HYPERLINK("https://klasma.github.io/Logging_0980/klagomålsmail/A 32666-2021 FSC-klagomål mail.docx", "A 32666-2021")</f>
        <v/>
      </c>
      <c r="X137">
        <f>HYPERLINK("https://klasma.github.io/Logging_0980/tillsyn/A 32666-2021 tillsynsbegäran.docx", "A 32666-2021")</f>
        <v/>
      </c>
      <c r="Y137">
        <f>HYPERLINK("https://klasma.github.io/Logging_0980/tillsynsmail/A 32666-2021 tillsynsbegäran mail.docx", "A 32666-2021")</f>
        <v/>
      </c>
    </row>
    <row r="138" ht="15" customHeight="1">
      <c r="A138" t="inlineStr">
        <is>
          <t>A 32718-2021</t>
        </is>
      </c>
      <c r="B138" s="1" t="n">
        <v>44375</v>
      </c>
      <c r="C138" s="1" t="n">
        <v>45758</v>
      </c>
      <c r="D138" t="inlineStr">
        <is>
          <t>GOTLANDS LÄN</t>
        </is>
      </c>
      <c r="E138" t="inlineStr">
        <is>
          <t>GOTLAND</t>
        </is>
      </c>
      <c r="G138" t="n">
        <v>2.1</v>
      </c>
      <c r="H138" t="n">
        <v>0</v>
      </c>
      <c r="I138" t="n">
        <v>1</v>
      </c>
      <c r="J138" t="n">
        <v>1</v>
      </c>
      <c r="K138" t="n">
        <v>1</v>
      </c>
      <c r="L138" t="n">
        <v>0</v>
      </c>
      <c r="M138" t="n">
        <v>0</v>
      </c>
      <c r="N138" t="n">
        <v>0</v>
      </c>
      <c r="O138" t="n">
        <v>2</v>
      </c>
      <c r="P138" t="n">
        <v>1</v>
      </c>
      <c r="Q138" t="n">
        <v>3</v>
      </c>
      <c r="R138" s="2" t="inlineStr">
        <is>
          <t>Skogskorn
Skugglosta
Strävlosta</t>
        </is>
      </c>
      <c r="S138">
        <f>HYPERLINK("https://klasma.github.io/Logging_0980/artfynd/A 32718-2021 artfynd.xlsx", "A 32718-2021")</f>
        <v/>
      </c>
      <c r="T138">
        <f>HYPERLINK("https://klasma.github.io/Logging_0980/kartor/A 32718-2021 karta.png", "A 32718-2021")</f>
        <v/>
      </c>
      <c r="V138">
        <f>HYPERLINK("https://klasma.github.io/Logging_0980/klagomål/A 32718-2021 FSC-klagomål.docx", "A 32718-2021")</f>
        <v/>
      </c>
      <c r="W138">
        <f>HYPERLINK("https://klasma.github.io/Logging_0980/klagomålsmail/A 32718-2021 FSC-klagomål mail.docx", "A 32718-2021")</f>
        <v/>
      </c>
      <c r="X138">
        <f>HYPERLINK("https://klasma.github.io/Logging_0980/tillsyn/A 32718-2021 tillsynsbegäran.docx", "A 32718-2021")</f>
        <v/>
      </c>
      <c r="Y138">
        <f>HYPERLINK("https://klasma.github.io/Logging_0980/tillsynsmail/A 32718-2021 tillsynsbegäran mail.docx", "A 32718-2021")</f>
        <v/>
      </c>
    </row>
    <row r="139" ht="15" customHeight="1">
      <c r="A139" t="inlineStr">
        <is>
          <t>A 44323-2021</t>
        </is>
      </c>
      <c r="B139" s="1" t="n">
        <v>44434</v>
      </c>
      <c r="C139" s="1" t="n">
        <v>45758</v>
      </c>
      <c r="D139" t="inlineStr">
        <is>
          <t>GOTLANDS LÄN</t>
        </is>
      </c>
      <c r="E139" t="inlineStr">
        <is>
          <t>GOTLAND</t>
        </is>
      </c>
      <c r="G139" t="n">
        <v>7.5</v>
      </c>
      <c r="H139" t="n">
        <v>1</v>
      </c>
      <c r="I139" t="n">
        <v>3</v>
      </c>
      <c r="J139" t="n">
        <v>0</v>
      </c>
      <c r="K139" t="n">
        <v>0</v>
      </c>
      <c r="L139" t="n">
        <v>0</v>
      </c>
      <c r="M139" t="n">
        <v>0</v>
      </c>
      <c r="N139" t="n">
        <v>0</v>
      </c>
      <c r="O139" t="n">
        <v>0</v>
      </c>
      <c r="P139" t="n">
        <v>0</v>
      </c>
      <c r="Q139" t="n">
        <v>3</v>
      </c>
      <c r="R139" s="2" t="inlineStr">
        <is>
          <t>Anisspindling
Barrfagerspindling
Skogsknipprot</t>
        </is>
      </c>
      <c r="S139">
        <f>HYPERLINK("https://klasma.github.io/Logging_0980/artfynd/A 44323-2021 artfynd.xlsx", "A 44323-2021")</f>
        <v/>
      </c>
      <c r="T139">
        <f>HYPERLINK("https://klasma.github.io/Logging_0980/kartor/A 44323-2021 karta.png", "A 44323-2021")</f>
        <v/>
      </c>
      <c r="V139">
        <f>HYPERLINK("https://klasma.github.io/Logging_0980/klagomål/A 44323-2021 FSC-klagomål.docx", "A 44323-2021")</f>
        <v/>
      </c>
      <c r="W139">
        <f>HYPERLINK("https://klasma.github.io/Logging_0980/klagomålsmail/A 44323-2021 FSC-klagomål mail.docx", "A 44323-2021")</f>
        <v/>
      </c>
      <c r="X139">
        <f>HYPERLINK("https://klasma.github.io/Logging_0980/tillsyn/A 44323-2021 tillsynsbegäran.docx", "A 44323-2021")</f>
        <v/>
      </c>
      <c r="Y139">
        <f>HYPERLINK("https://klasma.github.io/Logging_0980/tillsynsmail/A 44323-2021 tillsynsbegäran mail.docx", "A 44323-2021")</f>
        <v/>
      </c>
    </row>
    <row r="140" ht="15" customHeight="1">
      <c r="A140" t="inlineStr">
        <is>
          <t>A 53552-2021</t>
        </is>
      </c>
      <c r="B140" s="1" t="n">
        <v>44468</v>
      </c>
      <c r="C140" s="1" t="n">
        <v>45758</v>
      </c>
      <c r="D140" t="inlineStr">
        <is>
          <t>GOTLANDS LÄN</t>
        </is>
      </c>
      <c r="E140" t="inlineStr">
        <is>
          <t>GOTLAND</t>
        </is>
      </c>
      <c r="G140" t="n">
        <v>6.2</v>
      </c>
      <c r="H140" t="n">
        <v>2</v>
      </c>
      <c r="I140" t="n">
        <v>0</v>
      </c>
      <c r="J140" t="n">
        <v>1</v>
      </c>
      <c r="K140" t="n">
        <v>0</v>
      </c>
      <c r="L140" t="n">
        <v>0</v>
      </c>
      <c r="M140" t="n">
        <v>0</v>
      </c>
      <c r="N140" t="n">
        <v>0</v>
      </c>
      <c r="O140" t="n">
        <v>1</v>
      </c>
      <c r="P140" t="n">
        <v>0</v>
      </c>
      <c r="Q140" t="n">
        <v>3</v>
      </c>
      <c r="R140" s="2" t="inlineStr">
        <is>
          <t>Bredbrämad bastardsvärmare
Grönvit nattviol
Gullviva</t>
        </is>
      </c>
      <c r="S140">
        <f>HYPERLINK("https://klasma.github.io/Logging_0980/artfynd/A 53552-2021 artfynd.xlsx", "A 53552-2021")</f>
        <v/>
      </c>
      <c r="T140">
        <f>HYPERLINK("https://klasma.github.io/Logging_0980/kartor/A 53552-2021 karta.png", "A 53552-2021")</f>
        <v/>
      </c>
      <c r="V140">
        <f>HYPERLINK("https://klasma.github.io/Logging_0980/klagomål/A 53552-2021 FSC-klagomål.docx", "A 53552-2021")</f>
        <v/>
      </c>
      <c r="W140">
        <f>HYPERLINK("https://klasma.github.io/Logging_0980/klagomålsmail/A 53552-2021 FSC-klagomål mail.docx", "A 53552-2021")</f>
        <v/>
      </c>
      <c r="X140">
        <f>HYPERLINK("https://klasma.github.io/Logging_0980/tillsyn/A 53552-2021 tillsynsbegäran.docx", "A 53552-2021")</f>
        <v/>
      </c>
      <c r="Y140">
        <f>HYPERLINK("https://klasma.github.io/Logging_0980/tillsynsmail/A 53552-2021 tillsynsbegäran mail.docx", "A 53552-2021")</f>
        <v/>
      </c>
    </row>
    <row r="141" ht="15" customHeight="1">
      <c r="A141" t="inlineStr">
        <is>
          <t>A 58821-2021</t>
        </is>
      </c>
      <c r="B141" s="1" t="n">
        <v>44489</v>
      </c>
      <c r="C141" s="1" t="n">
        <v>45758</v>
      </c>
      <c r="D141" t="inlineStr">
        <is>
          <t>GOTLANDS LÄN</t>
        </is>
      </c>
      <c r="E141" t="inlineStr">
        <is>
          <t>GOTLAND</t>
        </is>
      </c>
      <c r="G141" t="n">
        <v>2.5</v>
      </c>
      <c r="H141" t="n">
        <v>3</v>
      </c>
      <c r="I141" t="n">
        <v>1</v>
      </c>
      <c r="J141" t="n">
        <v>2</v>
      </c>
      <c r="K141" t="n">
        <v>0</v>
      </c>
      <c r="L141" t="n">
        <v>0</v>
      </c>
      <c r="M141" t="n">
        <v>0</v>
      </c>
      <c r="N141" t="n">
        <v>0</v>
      </c>
      <c r="O141" t="n">
        <v>2</v>
      </c>
      <c r="P141" t="n">
        <v>0</v>
      </c>
      <c r="Q141" t="n">
        <v>3</v>
      </c>
      <c r="R141" s="2" t="inlineStr">
        <is>
          <t>Apollofjäril
Svartfläckig blåvinge
Nästrot</t>
        </is>
      </c>
      <c r="S141">
        <f>HYPERLINK("https://klasma.github.io/Logging_0980/artfynd/A 58821-2021 artfynd.xlsx", "A 58821-2021")</f>
        <v/>
      </c>
      <c r="T141">
        <f>HYPERLINK("https://klasma.github.io/Logging_0980/kartor/A 58821-2021 karta.png", "A 58821-2021")</f>
        <v/>
      </c>
      <c r="V141">
        <f>HYPERLINK("https://klasma.github.io/Logging_0980/klagomål/A 58821-2021 FSC-klagomål.docx", "A 58821-2021")</f>
        <v/>
      </c>
      <c r="W141">
        <f>HYPERLINK("https://klasma.github.io/Logging_0980/klagomålsmail/A 58821-2021 FSC-klagomål mail.docx", "A 58821-2021")</f>
        <v/>
      </c>
      <c r="X141">
        <f>HYPERLINK("https://klasma.github.io/Logging_0980/tillsyn/A 58821-2021 tillsynsbegäran.docx", "A 58821-2021")</f>
        <v/>
      </c>
      <c r="Y141">
        <f>HYPERLINK("https://klasma.github.io/Logging_0980/tillsynsmail/A 58821-2021 tillsynsbegäran mail.docx", "A 58821-2021")</f>
        <v/>
      </c>
    </row>
    <row r="142" ht="15" customHeight="1">
      <c r="A142" t="inlineStr">
        <is>
          <t>A 13499-2022</t>
        </is>
      </c>
      <c r="B142" s="1" t="n">
        <v>44647</v>
      </c>
      <c r="C142" s="1" t="n">
        <v>45758</v>
      </c>
      <c r="D142" t="inlineStr">
        <is>
          <t>GOTLANDS LÄN</t>
        </is>
      </c>
      <c r="E142" t="inlineStr">
        <is>
          <t>GOTLAND</t>
        </is>
      </c>
      <c r="G142" t="n">
        <v>6.8</v>
      </c>
      <c r="H142" t="n">
        <v>3</v>
      </c>
      <c r="I142" t="n">
        <v>0</v>
      </c>
      <c r="J142" t="n">
        <v>1</v>
      </c>
      <c r="K142" t="n">
        <v>0</v>
      </c>
      <c r="L142" t="n">
        <v>0</v>
      </c>
      <c r="M142" t="n">
        <v>0</v>
      </c>
      <c r="N142" t="n">
        <v>0</v>
      </c>
      <c r="O142" t="n">
        <v>1</v>
      </c>
      <c r="P142" t="n">
        <v>0</v>
      </c>
      <c r="Q142" t="n">
        <v>3</v>
      </c>
      <c r="R142" s="2" t="inlineStr">
        <is>
          <t>Spillkråka
Sankt pers nycklar
Blåsippa</t>
        </is>
      </c>
      <c r="S142">
        <f>HYPERLINK("https://klasma.github.io/Logging_0980/artfynd/A 13499-2022 artfynd.xlsx", "A 13499-2022")</f>
        <v/>
      </c>
      <c r="T142">
        <f>HYPERLINK("https://klasma.github.io/Logging_0980/kartor/A 13499-2022 karta.png", "A 13499-2022")</f>
        <v/>
      </c>
      <c r="V142">
        <f>HYPERLINK("https://klasma.github.io/Logging_0980/klagomål/A 13499-2022 FSC-klagomål.docx", "A 13499-2022")</f>
        <v/>
      </c>
      <c r="W142">
        <f>HYPERLINK("https://klasma.github.io/Logging_0980/klagomålsmail/A 13499-2022 FSC-klagomål mail.docx", "A 13499-2022")</f>
        <v/>
      </c>
      <c r="X142">
        <f>HYPERLINK("https://klasma.github.io/Logging_0980/tillsyn/A 13499-2022 tillsynsbegäran.docx", "A 13499-2022")</f>
        <v/>
      </c>
      <c r="Y142">
        <f>HYPERLINK("https://klasma.github.io/Logging_0980/tillsynsmail/A 13499-2022 tillsynsbegäran mail.docx", "A 13499-2022")</f>
        <v/>
      </c>
      <c r="Z142">
        <f>HYPERLINK("https://klasma.github.io/Logging_0980/fåglar/A 13499-2022 prioriterade fågelarter.docx", "A 13499-2022")</f>
        <v/>
      </c>
    </row>
    <row r="143" ht="15" customHeight="1">
      <c r="A143" t="inlineStr">
        <is>
          <t>A 43013-2022</t>
        </is>
      </c>
      <c r="B143" s="1" t="n">
        <v>44833</v>
      </c>
      <c r="C143" s="1" t="n">
        <v>45758</v>
      </c>
      <c r="D143" t="inlineStr">
        <is>
          <t>GOTLANDS LÄN</t>
        </is>
      </c>
      <c r="E143" t="inlineStr">
        <is>
          <t>GOTLAND</t>
        </is>
      </c>
      <c r="G143" t="n">
        <v>9.300000000000001</v>
      </c>
      <c r="H143" t="n">
        <v>0</v>
      </c>
      <c r="I143" t="n">
        <v>2</v>
      </c>
      <c r="J143" t="n">
        <v>0</v>
      </c>
      <c r="K143" t="n">
        <v>1</v>
      </c>
      <c r="L143" t="n">
        <v>0</v>
      </c>
      <c r="M143" t="n">
        <v>0</v>
      </c>
      <c r="N143" t="n">
        <v>0</v>
      </c>
      <c r="O143" t="n">
        <v>1</v>
      </c>
      <c r="P143" t="n">
        <v>1</v>
      </c>
      <c r="Q143" t="n">
        <v>3</v>
      </c>
      <c r="R143" s="2" t="inlineStr">
        <is>
          <t>Violettfläckig spindling
Anisspindling
Blå slemspindling</t>
        </is>
      </c>
      <c r="S143">
        <f>HYPERLINK("https://klasma.github.io/Logging_0980/artfynd/A 43013-2022 artfynd.xlsx", "A 43013-2022")</f>
        <v/>
      </c>
      <c r="T143">
        <f>HYPERLINK("https://klasma.github.io/Logging_0980/kartor/A 43013-2022 karta.png", "A 43013-2022")</f>
        <v/>
      </c>
      <c r="V143">
        <f>HYPERLINK("https://klasma.github.io/Logging_0980/klagomål/A 43013-2022 FSC-klagomål.docx", "A 43013-2022")</f>
        <v/>
      </c>
      <c r="W143">
        <f>HYPERLINK("https://klasma.github.io/Logging_0980/klagomålsmail/A 43013-2022 FSC-klagomål mail.docx", "A 43013-2022")</f>
        <v/>
      </c>
      <c r="X143">
        <f>HYPERLINK("https://klasma.github.io/Logging_0980/tillsyn/A 43013-2022 tillsynsbegäran.docx", "A 43013-2022")</f>
        <v/>
      </c>
      <c r="Y143">
        <f>HYPERLINK("https://klasma.github.io/Logging_0980/tillsynsmail/A 43013-2022 tillsynsbegäran mail.docx", "A 43013-2022")</f>
        <v/>
      </c>
    </row>
    <row r="144" ht="15" customHeight="1">
      <c r="A144" t="inlineStr">
        <is>
          <t>A 44913-2022</t>
        </is>
      </c>
      <c r="B144" s="1" t="n">
        <v>44841</v>
      </c>
      <c r="C144" s="1" t="n">
        <v>45758</v>
      </c>
      <c r="D144" t="inlineStr">
        <is>
          <t>GOTLANDS LÄN</t>
        </is>
      </c>
      <c r="E144" t="inlineStr">
        <is>
          <t>GOTLAND</t>
        </is>
      </c>
      <c r="G144" t="n">
        <v>8.800000000000001</v>
      </c>
      <c r="H144" t="n">
        <v>1</v>
      </c>
      <c r="I144" t="n">
        <v>1</v>
      </c>
      <c r="J144" t="n">
        <v>1</v>
      </c>
      <c r="K144" t="n">
        <v>0</v>
      </c>
      <c r="L144" t="n">
        <v>0</v>
      </c>
      <c r="M144" t="n">
        <v>0</v>
      </c>
      <c r="N144" t="n">
        <v>0</v>
      </c>
      <c r="O144" t="n">
        <v>1</v>
      </c>
      <c r="P144" t="n">
        <v>0</v>
      </c>
      <c r="Q144" t="n">
        <v>3</v>
      </c>
      <c r="R144" s="2" t="inlineStr">
        <is>
          <t>Odörspindling
Granbarkgnagare
Kärrknipprot</t>
        </is>
      </c>
      <c r="S144">
        <f>HYPERLINK("https://klasma.github.io/Logging_0980/artfynd/A 44913-2022 artfynd.xlsx", "A 44913-2022")</f>
        <v/>
      </c>
      <c r="T144">
        <f>HYPERLINK("https://klasma.github.io/Logging_0980/kartor/A 44913-2022 karta.png", "A 44913-2022")</f>
        <v/>
      </c>
      <c r="V144">
        <f>HYPERLINK("https://klasma.github.io/Logging_0980/klagomål/A 44913-2022 FSC-klagomål.docx", "A 44913-2022")</f>
        <v/>
      </c>
      <c r="W144">
        <f>HYPERLINK("https://klasma.github.io/Logging_0980/klagomålsmail/A 44913-2022 FSC-klagomål mail.docx", "A 44913-2022")</f>
        <v/>
      </c>
      <c r="X144">
        <f>HYPERLINK("https://klasma.github.io/Logging_0980/tillsyn/A 44913-2022 tillsynsbegäran.docx", "A 44913-2022")</f>
        <v/>
      </c>
      <c r="Y144">
        <f>HYPERLINK("https://klasma.github.io/Logging_0980/tillsynsmail/A 44913-2022 tillsynsbegäran mail.docx", "A 44913-2022")</f>
        <v/>
      </c>
    </row>
    <row r="145" ht="15" customHeight="1">
      <c r="A145" t="inlineStr">
        <is>
          <t>A 17982-2023</t>
        </is>
      </c>
      <c r="B145" s="1" t="n">
        <v>45040</v>
      </c>
      <c r="C145" s="1" t="n">
        <v>45758</v>
      </c>
      <c r="D145" t="inlineStr">
        <is>
          <t>GOTLANDS LÄN</t>
        </is>
      </c>
      <c r="E145" t="inlineStr">
        <is>
          <t>GOTLAND</t>
        </is>
      </c>
      <c r="G145" t="n">
        <v>2.2</v>
      </c>
      <c r="H145" t="n">
        <v>0</v>
      </c>
      <c r="I145" t="n">
        <v>0</v>
      </c>
      <c r="J145" t="n">
        <v>2</v>
      </c>
      <c r="K145" t="n">
        <v>0</v>
      </c>
      <c r="L145" t="n">
        <v>0</v>
      </c>
      <c r="M145" t="n">
        <v>1</v>
      </c>
      <c r="N145" t="n">
        <v>0</v>
      </c>
      <c r="O145" t="n">
        <v>3</v>
      </c>
      <c r="P145" t="n">
        <v>1</v>
      </c>
      <c r="Q145" t="n">
        <v>3</v>
      </c>
      <c r="R145" s="2" t="inlineStr">
        <is>
          <t>Lundalm
Krusfrö
Ängsskära</t>
        </is>
      </c>
      <c r="S145">
        <f>HYPERLINK("https://klasma.github.io/Logging_0980/artfynd/A 17982-2023 artfynd.xlsx", "A 17982-2023")</f>
        <v/>
      </c>
      <c r="T145">
        <f>HYPERLINK("https://klasma.github.io/Logging_0980/kartor/A 17982-2023 karta.png", "A 17982-2023")</f>
        <v/>
      </c>
      <c r="V145">
        <f>HYPERLINK("https://klasma.github.io/Logging_0980/klagomål/A 17982-2023 FSC-klagomål.docx", "A 17982-2023")</f>
        <v/>
      </c>
      <c r="W145">
        <f>HYPERLINK("https://klasma.github.io/Logging_0980/klagomålsmail/A 17982-2023 FSC-klagomål mail.docx", "A 17982-2023")</f>
        <v/>
      </c>
      <c r="X145">
        <f>HYPERLINK("https://klasma.github.io/Logging_0980/tillsyn/A 17982-2023 tillsynsbegäran.docx", "A 17982-2023")</f>
        <v/>
      </c>
      <c r="Y145">
        <f>HYPERLINK("https://klasma.github.io/Logging_0980/tillsynsmail/A 17982-2023 tillsynsbegäran mail.docx", "A 17982-2023")</f>
        <v/>
      </c>
    </row>
    <row r="146" ht="15" customHeight="1">
      <c r="A146" t="inlineStr">
        <is>
          <t>A 27041-2023</t>
        </is>
      </c>
      <c r="B146" s="1" t="n">
        <v>45095</v>
      </c>
      <c r="C146" s="1" t="n">
        <v>45758</v>
      </c>
      <c r="D146" t="inlineStr">
        <is>
          <t>GOTLANDS LÄN</t>
        </is>
      </c>
      <c r="E146" t="inlineStr">
        <is>
          <t>GOTLAND</t>
        </is>
      </c>
      <c r="G146" t="n">
        <v>5.3</v>
      </c>
      <c r="H146" t="n">
        <v>0</v>
      </c>
      <c r="I146" t="n">
        <v>2</v>
      </c>
      <c r="J146" t="n">
        <v>1</v>
      </c>
      <c r="K146" t="n">
        <v>0</v>
      </c>
      <c r="L146" t="n">
        <v>0</v>
      </c>
      <c r="M146" t="n">
        <v>0</v>
      </c>
      <c r="N146" t="n">
        <v>0</v>
      </c>
      <c r="O146" t="n">
        <v>1</v>
      </c>
      <c r="P146" t="n">
        <v>0</v>
      </c>
      <c r="Q146" t="n">
        <v>3</v>
      </c>
      <c r="R146" s="2" t="inlineStr">
        <is>
          <t>Odörspindling
Anisspindling
Besk kastanjemusseron</t>
        </is>
      </c>
      <c r="S146">
        <f>HYPERLINK("https://klasma.github.io/Logging_0980/artfynd/A 27041-2023 artfynd.xlsx", "A 27041-2023")</f>
        <v/>
      </c>
      <c r="T146">
        <f>HYPERLINK("https://klasma.github.io/Logging_0980/kartor/A 27041-2023 karta.png", "A 27041-2023")</f>
        <v/>
      </c>
      <c r="V146">
        <f>HYPERLINK("https://klasma.github.io/Logging_0980/klagomål/A 27041-2023 FSC-klagomål.docx", "A 27041-2023")</f>
        <v/>
      </c>
      <c r="W146">
        <f>HYPERLINK("https://klasma.github.io/Logging_0980/klagomålsmail/A 27041-2023 FSC-klagomål mail.docx", "A 27041-2023")</f>
        <v/>
      </c>
      <c r="X146">
        <f>HYPERLINK("https://klasma.github.io/Logging_0980/tillsyn/A 27041-2023 tillsynsbegäran.docx", "A 27041-2023")</f>
        <v/>
      </c>
      <c r="Y146">
        <f>HYPERLINK("https://klasma.github.io/Logging_0980/tillsynsmail/A 27041-2023 tillsynsbegäran mail.docx", "A 27041-2023")</f>
        <v/>
      </c>
    </row>
    <row r="147" ht="15" customHeight="1">
      <c r="A147" t="inlineStr">
        <is>
          <t>A 27280-2023</t>
        </is>
      </c>
      <c r="B147" s="1" t="n">
        <v>45096</v>
      </c>
      <c r="C147" s="1" t="n">
        <v>45758</v>
      </c>
      <c r="D147" t="inlineStr">
        <is>
          <t>GOTLANDS LÄN</t>
        </is>
      </c>
      <c r="E147" t="inlineStr">
        <is>
          <t>GOTLAND</t>
        </is>
      </c>
      <c r="G147" t="n">
        <v>2.7</v>
      </c>
      <c r="H147" t="n">
        <v>3</v>
      </c>
      <c r="I147" t="n">
        <v>0</v>
      </c>
      <c r="J147" t="n">
        <v>1</v>
      </c>
      <c r="K147" t="n">
        <v>0</v>
      </c>
      <c r="L147" t="n">
        <v>0</v>
      </c>
      <c r="M147" t="n">
        <v>0</v>
      </c>
      <c r="N147" t="n">
        <v>0</v>
      </c>
      <c r="O147" t="n">
        <v>1</v>
      </c>
      <c r="P147" t="n">
        <v>0</v>
      </c>
      <c r="Q147" t="n">
        <v>3</v>
      </c>
      <c r="R147" s="2" t="inlineStr">
        <is>
          <t>Mindre hackspett
Fläcknycklar
Grönvit nattviol</t>
        </is>
      </c>
      <c r="S147">
        <f>HYPERLINK("https://klasma.github.io/Logging_0980/artfynd/A 27280-2023 artfynd.xlsx", "A 27280-2023")</f>
        <v/>
      </c>
      <c r="T147">
        <f>HYPERLINK("https://klasma.github.io/Logging_0980/kartor/A 27280-2023 karta.png", "A 27280-2023")</f>
        <v/>
      </c>
      <c r="V147">
        <f>HYPERLINK("https://klasma.github.io/Logging_0980/klagomål/A 27280-2023 FSC-klagomål.docx", "A 27280-2023")</f>
        <v/>
      </c>
      <c r="W147">
        <f>HYPERLINK("https://klasma.github.io/Logging_0980/klagomålsmail/A 27280-2023 FSC-klagomål mail.docx", "A 27280-2023")</f>
        <v/>
      </c>
      <c r="X147">
        <f>HYPERLINK("https://klasma.github.io/Logging_0980/tillsyn/A 27280-2023 tillsynsbegäran.docx", "A 27280-2023")</f>
        <v/>
      </c>
      <c r="Y147">
        <f>HYPERLINK("https://klasma.github.io/Logging_0980/tillsynsmail/A 27280-2023 tillsynsbegäran mail.docx", "A 27280-2023")</f>
        <v/>
      </c>
      <c r="Z147">
        <f>HYPERLINK("https://klasma.github.io/Logging_0980/fåglar/A 27280-2023 prioriterade fågelarter.docx", "A 27280-2023")</f>
        <v/>
      </c>
    </row>
    <row r="148" ht="15" customHeight="1">
      <c r="A148" t="inlineStr">
        <is>
          <t>A 16542-2024</t>
        </is>
      </c>
      <c r="B148" s="1" t="n">
        <v>45408</v>
      </c>
      <c r="C148" s="1" t="n">
        <v>45758</v>
      </c>
      <c r="D148" t="inlineStr">
        <is>
          <t>GOTLANDS LÄN</t>
        </is>
      </c>
      <c r="E148" t="inlineStr">
        <is>
          <t>GOTLAND</t>
        </is>
      </c>
      <c r="G148" t="n">
        <v>1.6</v>
      </c>
      <c r="H148" t="n">
        <v>2</v>
      </c>
      <c r="I148" t="n">
        <v>2</v>
      </c>
      <c r="J148" t="n">
        <v>1</v>
      </c>
      <c r="K148" t="n">
        <v>0</v>
      </c>
      <c r="L148" t="n">
        <v>0</v>
      </c>
      <c r="M148" t="n">
        <v>0</v>
      </c>
      <c r="N148" t="n">
        <v>0</v>
      </c>
      <c r="O148" t="n">
        <v>1</v>
      </c>
      <c r="P148" t="n">
        <v>0</v>
      </c>
      <c r="Q148" t="n">
        <v>3</v>
      </c>
      <c r="R148" s="2" t="inlineStr">
        <is>
          <t>Tallticka
Nästrot
Tvåblad</t>
        </is>
      </c>
      <c r="S148">
        <f>HYPERLINK("https://klasma.github.io/Logging_0980/artfynd/A 16542-2024 artfynd.xlsx", "A 16542-2024")</f>
        <v/>
      </c>
      <c r="T148">
        <f>HYPERLINK("https://klasma.github.io/Logging_0980/kartor/A 16542-2024 karta.png", "A 16542-2024")</f>
        <v/>
      </c>
      <c r="V148">
        <f>HYPERLINK("https://klasma.github.io/Logging_0980/klagomål/A 16542-2024 FSC-klagomål.docx", "A 16542-2024")</f>
        <v/>
      </c>
      <c r="W148">
        <f>HYPERLINK("https://klasma.github.io/Logging_0980/klagomålsmail/A 16542-2024 FSC-klagomål mail.docx", "A 16542-2024")</f>
        <v/>
      </c>
      <c r="X148">
        <f>HYPERLINK("https://klasma.github.io/Logging_0980/tillsyn/A 16542-2024 tillsynsbegäran.docx", "A 16542-2024")</f>
        <v/>
      </c>
      <c r="Y148">
        <f>HYPERLINK("https://klasma.github.io/Logging_0980/tillsynsmail/A 16542-2024 tillsynsbegäran mail.docx", "A 16542-2024")</f>
        <v/>
      </c>
    </row>
    <row r="149" ht="15" customHeight="1">
      <c r="A149" t="inlineStr">
        <is>
          <t>A 17975-2024</t>
        </is>
      </c>
      <c r="B149" s="1" t="n">
        <v>45419</v>
      </c>
      <c r="C149" s="1" t="n">
        <v>45758</v>
      </c>
      <c r="D149" t="inlineStr">
        <is>
          <t>GOTLANDS LÄN</t>
        </is>
      </c>
      <c r="E149" t="inlineStr">
        <is>
          <t>GOTLAND</t>
        </is>
      </c>
      <c r="G149" t="n">
        <v>7.9</v>
      </c>
      <c r="H149" t="n">
        <v>0</v>
      </c>
      <c r="I149" t="n">
        <v>1</v>
      </c>
      <c r="J149" t="n">
        <v>1</v>
      </c>
      <c r="K149" t="n">
        <v>0</v>
      </c>
      <c r="L149" t="n">
        <v>1</v>
      </c>
      <c r="M149" t="n">
        <v>0</v>
      </c>
      <c r="N149" t="n">
        <v>0</v>
      </c>
      <c r="O149" t="n">
        <v>2</v>
      </c>
      <c r="P149" t="n">
        <v>1</v>
      </c>
      <c r="Q149" t="n">
        <v>3</v>
      </c>
      <c r="R149" s="2" t="inlineStr">
        <is>
          <t>Ask
Skugglosta
Strävlosta</t>
        </is>
      </c>
      <c r="S149">
        <f>HYPERLINK("https://klasma.github.io/Logging_0980/artfynd/A 17975-2024 artfynd.xlsx", "A 17975-2024")</f>
        <v/>
      </c>
      <c r="T149">
        <f>HYPERLINK("https://klasma.github.io/Logging_0980/kartor/A 17975-2024 karta.png", "A 17975-2024")</f>
        <v/>
      </c>
      <c r="V149">
        <f>HYPERLINK("https://klasma.github.io/Logging_0980/klagomål/A 17975-2024 FSC-klagomål.docx", "A 17975-2024")</f>
        <v/>
      </c>
      <c r="W149">
        <f>HYPERLINK("https://klasma.github.io/Logging_0980/klagomålsmail/A 17975-2024 FSC-klagomål mail.docx", "A 17975-2024")</f>
        <v/>
      </c>
      <c r="X149">
        <f>HYPERLINK("https://klasma.github.io/Logging_0980/tillsyn/A 17975-2024 tillsynsbegäran.docx", "A 17975-2024")</f>
        <v/>
      </c>
      <c r="Y149">
        <f>HYPERLINK("https://klasma.github.io/Logging_0980/tillsynsmail/A 17975-2024 tillsynsbegäran mail.docx", "A 17975-2024")</f>
        <v/>
      </c>
    </row>
    <row r="150" ht="15" customHeight="1">
      <c r="A150" t="inlineStr">
        <is>
          <t>A 24345-2024</t>
        </is>
      </c>
      <c r="B150" s="1" t="n">
        <v>45457</v>
      </c>
      <c r="C150" s="1" t="n">
        <v>45758</v>
      </c>
      <c r="D150" t="inlineStr">
        <is>
          <t>GOTLANDS LÄN</t>
        </is>
      </c>
      <c r="E150" t="inlineStr">
        <is>
          <t>GOTLAND</t>
        </is>
      </c>
      <c r="G150" t="n">
        <v>5.2</v>
      </c>
      <c r="H150" t="n">
        <v>1</v>
      </c>
      <c r="I150" t="n">
        <v>1</v>
      </c>
      <c r="J150" t="n">
        <v>2</v>
      </c>
      <c r="K150" t="n">
        <v>0</v>
      </c>
      <c r="L150" t="n">
        <v>0</v>
      </c>
      <c r="M150" t="n">
        <v>0</v>
      </c>
      <c r="N150" t="n">
        <v>0</v>
      </c>
      <c r="O150" t="n">
        <v>2</v>
      </c>
      <c r="P150" t="n">
        <v>0</v>
      </c>
      <c r="Q150" t="n">
        <v>3</v>
      </c>
      <c r="R150" s="2" t="inlineStr">
        <is>
          <t>Backtimjan
Dårgräsfjäril
Rödgul trumpetsvamp</t>
        </is>
      </c>
      <c r="S150">
        <f>HYPERLINK("https://klasma.github.io/Logging_0980/artfynd/A 24345-2024 artfynd.xlsx", "A 24345-2024")</f>
        <v/>
      </c>
      <c r="T150">
        <f>HYPERLINK("https://klasma.github.io/Logging_0980/kartor/A 24345-2024 karta.png", "A 24345-2024")</f>
        <v/>
      </c>
      <c r="V150">
        <f>HYPERLINK("https://klasma.github.io/Logging_0980/klagomål/A 24345-2024 FSC-klagomål.docx", "A 24345-2024")</f>
        <v/>
      </c>
      <c r="W150">
        <f>HYPERLINK("https://klasma.github.io/Logging_0980/klagomålsmail/A 24345-2024 FSC-klagomål mail.docx", "A 24345-2024")</f>
        <v/>
      </c>
      <c r="X150">
        <f>HYPERLINK("https://klasma.github.io/Logging_0980/tillsyn/A 24345-2024 tillsynsbegäran.docx", "A 24345-2024")</f>
        <v/>
      </c>
      <c r="Y150">
        <f>HYPERLINK("https://klasma.github.io/Logging_0980/tillsynsmail/A 24345-2024 tillsynsbegäran mail.docx", "A 24345-2024")</f>
        <v/>
      </c>
    </row>
    <row r="151" ht="15" customHeight="1">
      <c r="A151" t="inlineStr">
        <is>
          <t>A 25981-2024</t>
        </is>
      </c>
      <c r="B151" s="1" t="n">
        <v>45467</v>
      </c>
      <c r="C151" s="1" t="n">
        <v>45758</v>
      </c>
      <c r="D151" t="inlineStr">
        <is>
          <t>GOTLANDS LÄN</t>
        </is>
      </c>
      <c r="E151" t="inlineStr">
        <is>
          <t>GOTLAND</t>
        </is>
      </c>
      <c r="G151" t="n">
        <v>5.9</v>
      </c>
      <c r="H151" t="n">
        <v>3</v>
      </c>
      <c r="I151" t="n">
        <v>2</v>
      </c>
      <c r="J151" t="n">
        <v>0</v>
      </c>
      <c r="K151" t="n">
        <v>0</v>
      </c>
      <c r="L151" t="n">
        <v>0</v>
      </c>
      <c r="M151" t="n">
        <v>0</v>
      </c>
      <c r="N151" t="n">
        <v>0</v>
      </c>
      <c r="O151" t="n">
        <v>0</v>
      </c>
      <c r="P151" t="n">
        <v>0</v>
      </c>
      <c r="Q151" t="n">
        <v>3</v>
      </c>
      <c r="R151" s="2" t="inlineStr">
        <is>
          <t>Purpurknipprot
Skogsknipprot
Fläcknycklar</t>
        </is>
      </c>
      <c r="S151">
        <f>HYPERLINK("https://klasma.github.io/Logging_0980/artfynd/A 25981-2024 artfynd.xlsx", "A 25981-2024")</f>
        <v/>
      </c>
      <c r="T151">
        <f>HYPERLINK("https://klasma.github.io/Logging_0980/kartor/A 25981-2024 karta.png", "A 25981-2024")</f>
        <v/>
      </c>
      <c r="V151">
        <f>HYPERLINK("https://klasma.github.io/Logging_0980/klagomål/A 25981-2024 FSC-klagomål.docx", "A 25981-2024")</f>
        <v/>
      </c>
      <c r="W151">
        <f>HYPERLINK("https://klasma.github.io/Logging_0980/klagomålsmail/A 25981-2024 FSC-klagomål mail.docx", "A 25981-2024")</f>
        <v/>
      </c>
      <c r="X151">
        <f>HYPERLINK("https://klasma.github.io/Logging_0980/tillsyn/A 25981-2024 tillsynsbegäran.docx", "A 25981-2024")</f>
        <v/>
      </c>
      <c r="Y151">
        <f>HYPERLINK("https://klasma.github.io/Logging_0980/tillsynsmail/A 25981-2024 tillsynsbegäran mail.docx", "A 25981-2024")</f>
        <v/>
      </c>
    </row>
    <row r="152" ht="15" customHeight="1">
      <c r="A152" t="inlineStr">
        <is>
          <t>A 54940-2024</t>
        </is>
      </c>
      <c r="B152" s="1" t="n">
        <v>45618</v>
      </c>
      <c r="C152" s="1" t="n">
        <v>45758</v>
      </c>
      <c r="D152" t="inlineStr">
        <is>
          <t>GOTLANDS LÄN</t>
        </is>
      </c>
      <c r="E152" t="inlineStr">
        <is>
          <t>GOTLAND</t>
        </is>
      </c>
      <c r="G152" t="n">
        <v>1.2</v>
      </c>
      <c r="H152" t="n">
        <v>2</v>
      </c>
      <c r="I152" t="n">
        <v>0</v>
      </c>
      <c r="J152" t="n">
        <v>1</v>
      </c>
      <c r="K152" t="n">
        <v>0</v>
      </c>
      <c r="L152" t="n">
        <v>0</v>
      </c>
      <c r="M152" t="n">
        <v>0</v>
      </c>
      <c r="N152" t="n">
        <v>0</v>
      </c>
      <c r="O152" t="n">
        <v>1</v>
      </c>
      <c r="P152" t="n">
        <v>0</v>
      </c>
      <c r="Q152" t="n">
        <v>3</v>
      </c>
      <c r="R152" s="2" t="inlineStr">
        <is>
          <t>Ängsstarr
Brudsporre
Dactylorhiza incarnata subsp. incarnata</t>
        </is>
      </c>
      <c r="S152">
        <f>HYPERLINK("https://klasma.github.io/Logging_0980/artfynd/A 54940-2024 artfynd.xlsx", "A 54940-2024")</f>
        <v/>
      </c>
      <c r="T152">
        <f>HYPERLINK("https://klasma.github.io/Logging_0980/kartor/A 54940-2024 karta.png", "A 54940-2024")</f>
        <v/>
      </c>
      <c r="V152">
        <f>HYPERLINK("https://klasma.github.io/Logging_0980/klagomål/A 54940-2024 FSC-klagomål.docx", "A 54940-2024")</f>
        <v/>
      </c>
      <c r="W152">
        <f>HYPERLINK("https://klasma.github.io/Logging_0980/klagomålsmail/A 54940-2024 FSC-klagomål mail.docx", "A 54940-2024")</f>
        <v/>
      </c>
      <c r="X152">
        <f>HYPERLINK("https://klasma.github.io/Logging_0980/tillsyn/A 54940-2024 tillsynsbegäran.docx", "A 54940-2024")</f>
        <v/>
      </c>
      <c r="Y152">
        <f>HYPERLINK("https://klasma.github.io/Logging_0980/tillsynsmail/A 54940-2024 tillsynsbegäran mail.docx", "A 54940-2024")</f>
        <v/>
      </c>
    </row>
    <row r="153" ht="15" customHeight="1">
      <c r="A153" t="inlineStr">
        <is>
          <t>A 2318-2025</t>
        </is>
      </c>
      <c r="B153" s="1" t="n">
        <v>45673</v>
      </c>
      <c r="C153" s="1" t="n">
        <v>45758</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45758</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45758</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45758</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45758</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45758</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45758</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45758</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45758</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45758</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45758</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45758</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45758</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45758</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45758</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45758</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45758</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45758</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45758</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45758</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45758</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45758</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45758</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45758</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45758</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45758</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45758</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45758</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45758</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45758</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45758</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45758</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45758</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45758</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45758</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45758</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45758</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45758</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45758</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45758</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45758</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45758</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45758</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45758</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45758</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45758</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45758</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45758</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45758</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45758</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45758</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45758</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45758</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45758</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45758</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45758</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45758</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45758</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45758</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45758</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45758</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45758</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45758</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45758</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45758</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45758</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45758</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45758</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45758</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45758</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45758</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45758</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45758</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45758</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45758</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45758</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45758</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45758</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45758</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45758</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45758</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45758</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45758</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45758</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45758</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45758</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45758</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45758</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45758</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45758</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45758</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45758</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45758</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45758</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45758</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45758</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45758</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45758</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45758</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45758</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45758</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45758</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45758</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45758</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45758</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45758</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45758</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45758</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45758</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45758</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45758</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45758</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45758</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45758</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45758</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45758</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45758</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45758</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45758</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45758</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45758</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45758</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45758</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45758</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48155-2024</t>
        </is>
      </c>
      <c r="B277" s="1" t="n">
        <v>45589</v>
      </c>
      <c r="C277" s="1" t="n">
        <v>45758</v>
      </c>
      <c r="D277" t="inlineStr">
        <is>
          <t>GOTLANDS LÄN</t>
        </is>
      </c>
      <c r="E277" t="inlineStr">
        <is>
          <t>GOTLAND</t>
        </is>
      </c>
      <c r="G277" t="n">
        <v>2.4</v>
      </c>
      <c r="H277" t="n">
        <v>1</v>
      </c>
      <c r="I277" t="n">
        <v>0</v>
      </c>
      <c r="J277" t="n">
        <v>0</v>
      </c>
      <c r="K277" t="n">
        <v>0</v>
      </c>
      <c r="L277" t="n">
        <v>0</v>
      </c>
      <c r="M277" t="n">
        <v>0</v>
      </c>
      <c r="N277" t="n">
        <v>0</v>
      </c>
      <c r="O277" t="n">
        <v>0</v>
      </c>
      <c r="P277" t="n">
        <v>0</v>
      </c>
      <c r="Q277" t="n">
        <v>1</v>
      </c>
      <c r="R277" s="2" t="inlineStr">
        <is>
          <t>Gröngöling</t>
        </is>
      </c>
      <c r="S277">
        <f>HYPERLINK("https://klasma.github.io/Logging_0980/artfynd/A 48155-2024 artfynd.xlsx", "A 48155-2024")</f>
        <v/>
      </c>
      <c r="T277">
        <f>HYPERLINK("https://klasma.github.io/Logging_0980/kartor/A 48155-2024 karta.png", "A 48155-2024")</f>
        <v/>
      </c>
      <c r="V277">
        <f>HYPERLINK("https://klasma.github.io/Logging_0980/klagomål/A 48155-2024 FSC-klagomål.docx", "A 48155-2024")</f>
        <v/>
      </c>
      <c r="W277">
        <f>HYPERLINK("https://klasma.github.io/Logging_0980/klagomålsmail/A 48155-2024 FSC-klagomål mail.docx", "A 48155-2024")</f>
        <v/>
      </c>
      <c r="X277">
        <f>HYPERLINK("https://klasma.github.io/Logging_0980/tillsyn/A 48155-2024 tillsynsbegäran.docx", "A 48155-2024")</f>
        <v/>
      </c>
      <c r="Y277">
        <f>HYPERLINK("https://klasma.github.io/Logging_0980/tillsynsmail/A 48155-2024 tillsynsbegäran mail.docx", "A 48155-2024")</f>
        <v/>
      </c>
      <c r="Z277">
        <f>HYPERLINK("https://klasma.github.io/Logging_0980/fåglar/A 48155-2024 prioriterade fågelarter.docx", "A 48155-2024")</f>
        <v/>
      </c>
    </row>
    <row r="278" ht="15" customHeight="1">
      <c r="A278" t="inlineStr">
        <is>
          <t>A 49304-2024</t>
        </is>
      </c>
      <c r="B278" s="1" t="n">
        <v>45595</v>
      </c>
      <c r="C278" s="1" t="n">
        <v>45758</v>
      </c>
      <c r="D278" t="inlineStr">
        <is>
          <t>GOTLANDS LÄN</t>
        </is>
      </c>
      <c r="E278" t="inlineStr">
        <is>
          <t>GOTLAND</t>
        </is>
      </c>
      <c r="G278" t="n">
        <v>10.8</v>
      </c>
      <c r="H278" t="n">
        <v>0</v>
      </c>
      <c r="I278" t="n">
        <v>0</v>
      </c>
      <c r="J278" t="n">
        <v>1</v>
      </c>
      <c r="K278" t="n">
        <v>0</v>
      </c>
      <c r="L278" t="n">
        <v>0</v>
      </c>
      <c r="M278" t="n">
        <v>0</v>
      </c>
      <c r="N278" t="n">
        <v>0</v>
      </c>
      <c r="O278" t="n">
        <v>1</v>
      </c>
      <c r="P278" t="n">
        <v>0</v>
      </c>
      <c r="Q278" t="n">
        <v>1</v>
      </c>
      <c r="R278" s="2" t="inlineStr">
        <is>
          <t>Åkerranunkel</t>
        </is>
      </c>
      <c r="S278">
        <f>HYPERLINK("https://klasma.github.io/Logging_0980/artfynd/A 49304-2024 artfynd.xlsx", "A 49304-2024")</f>
        <v/>
      </c>
      <c r="T278">
        <f>HYPERLINK("https://klasma.github.io/Logging_0980/kartor/A 49304-2024 karta.png", "A 49304-2024")</f>
        <v/>
      </c>
      <c r="V278">
        <f>HYPERLINK("https://klasma.github.io/Logging_0980/klagomål/A 49304-2024 FSC-klagomål.docx", "A 49304-2024")</f>
        <v/>
      </c>
      <c r="W278">
        <f>HYPERLINK("https://klasma.github.io/Logging_0980/klagomålsmail/A 49304-2024 FSC-klagomål mail.docx", "A 49304-2024")</f>
        <v/>
      </c>
      <c r="X278">
        <f>HYPERLINK("https://klasma.github.io/Logging_0980/tillsyn/A 49304-2024 tillsynsbegäran.docx", "A 49304-2024")</f>
        <v/>
      </c>
      <c r="Y278">
        <f>HYPERLINK("https://klasma.github.io/Logging_0980/tillsynsmail/A 49304-2024 tillsynsbegäran mail.docx", "A 49304-2024")</f>
        <v/>
      </c>
    </row>
    <row r="279" ht="15" customHeight="1">
      <c r="A279" t="inlineStr">
        <is>
          <t>A 2476-2025</t>
        </is>
      </c>
      <c r="B279" s="1" t="n">
        <v>45673</v>
      </c>
      <c r="C279" s="1" t="n">
        <v>45758</v>
      </c>
      <c r="D279" t="inlineStr">
        <is>
          <t>GOTLANDS LÄN</t>
        </is>
      </c>
      <c r="E279" t="inlineStr">
        <is>
          <t>GOTLAND</t>
        </is>
      </c>
      <c r="G279" t="n">
        <v>3.1</v>
      </c>
      <c r="H279" t="n">
        <v>0</v>
      </c>
      <c r="I279" t="n">
        <v>1</v>
      </c>
      <c r="J279" t="n">
        <v>0</v>
      </c>
      <c r="K279" t="n">
        <v>0</v>
      </c>
      <c r="L279" t="n">
        <v>0</v>
      </c>
      <c r="M279" t="n">
        <v>0</v>
      </c>
      <c r="N279" t="n">
        <v>0</v>
      </c>
      <c r="O279" t="n">
        <v>0</v>
      </c>
      <c r="P279" t="n">
        <v>0</v>
      </c>
      <c r="Q279" t="n">
        <v>1</v>
      </c>
      <c r="R279" s="2" t="inlineStr">
        <is>
          <t>Kryddspindling</t>
        </is>
      </c>
      <c r="S279">
        <f>HYPERLINK("https://klasma.github.io/Logging_0980/artfynd/A 2476-2025 artfynd.xlsx", "A 2476-2025")</f>
        <v/>
      </c>
      <c r="T279">
        <f>HYPERLINK("https://klasma.github.io/Logging_0980/kartor/A 2476-2025 karta.png", "A 2476-2025")</f>
        <v/>
      </c>
      <c r="V279">
        <f>HYPERLINK("https://klasma.github.io/Logging_0980/klagomål/A 2476-2025 FSC-klagomål.docx", "A 2476-2025")</f>
        <v/>
      </c>
      <c r="W279">
        <f>HYPERLINK("https://klasma.github.io/Logging_0980/klagomålsmail/A 2476-2025 FSC-klagomål mail.docx", "A 2476-2025")</f>
        <v/>
      </c>
      <c r="X279">
        <f>HYPERLINK("https://klasma.github.io/Logging_0980/tillsyn/A 2476-2025 tillsynsbegäran.docx", "A 2476-2025")</f>
        <v/>
      </c>
      <c r="Y279">
        <f>HYPERLINK("https://klasma.github.io/Logging_0980/tillsynsmail/A 2476-2025 tillsynsbegäran mail.docx", "A 2476-2025")</f>
        <v/>
      </c>
    </row>
    <row r="280" ht="15" customHeight="1">
      <c r="A280" t="inlineStr">
        <is>
          <t>A 4984-2025</t>
        </is>
      </c>
      <c r="B280" s="1" t="n">
        <v>45691</v>
      </c>
      <c r="C280" s="1" t="n">
        <v>45758</v>
      </c>
      <c r="D280" t="inlineStr">
        <is>
          <t>GOTLANDS LÄN</t>
        </is>
      </c>
      <c r="E280" t="inlineStr">
        <is>
          <t>GOTLAND</t>
        </is>
      </c>
      <c r="G280" t="n">
        <v>1.3</v>
      </c>
      <c r="H280" t="n">
        <v>1</v>
      </c>
      <c r="I280" t="n">
        <v>0</v>
      </c>
      <c r="J280" t="n">
        <v>0</v>
      </c>
      <c r="K280" t="n">
        <v>0</v>
      </c>
      <c r="L280" t="n">
        <v>0</v>
      </c>
      <c r="M280" t="n">
        <v>0</v>
      </c>
      <c r="N280" t="n">
        <v>0</v>
      </c>
      <c r="O280" t="n">
        <v>0</v>
      </c>
      <c r="P280" t="n">
        <v>0</v>
      </c>
      <c r="Q280" t="n">
        <v>1</v>
      </c>
      <c r="R280" s="2" t="inlineStr">
        <is>
          <t>Kärrknipprot</t>
        </is>
      </c>
      <c r="S280">
        <f>HYPERLINK("https://klasma.github.io/Logging_0980/artfynd/A 4984-2025 artfynd.xlsx", "A 4984-2025")</f>
        <v/>
      </c>
      <c r="T280">
        <f>HYPERLINK("https://klasma.github.io/Logging_0980/kartor/A 4984-2025 karta.png", "A 4984-2025")</f>
        <v/>
      </c>
      <c r="V280">
        <f>HYPERLINK("https://klasma.github.io/Logging_0980/klagomål/A 4984-2025 FSC-klagomål.docx", "A 4984-2025")</f>
        <v/>
      </c>
      <c r="W280">
        <f>HYPERLINK("https://klasma.github.io/Logging_0980/klagomålsmail/A 4984-2025 FSC-klagomål mail.docx", "A 4984-2025")</f>
        <v/>
      </c>
      <c r="X280">
        <f>HYPERLINK("https://klasma.github.io/Logging_0980/tillsyn/A 4984-2025 tillsynsbegäran.docx", "A 4984-2025")</f>
        <v/>
      </c>
      <c r="Y280">
        <f>HYPERLINK("https://klasma.github.io/Logging_0980/tillsynsmail/A 4984-2025 tillsynsbegäran mail.docx", "A 4984-2025")</f>
        <v/>
      </c>
    </row>
    <row r="281" ht="15" customHeight="1">
      <c r="A281" t="inlineStr">
        <is>
          <t>A 7637-2025</t>
        </is>
      </c>
      <c r="B281" s="1" t="n">
        <v>45705</v>
      </c>
      <c r="C281" s="1" t="n">
        <v>45758</v>
      </c>
      <c r="D281" t="inlineStr">
        <is>
          <t>GOTLANDS LÄN</t>
        </is>
      </c>
      <c r="E281" t="inlineStr">
        <is>
          <t>GOTLAND</t>
        </is>
      </c>
      <c r="G281" t="n">
        <v>3.7</v>
      </c>
      <c r="H281" t="n">
        <v>0</v>
      </c>
      <c r="I281" t="n">
        <v>0</v>
      </c>
      <c r="J281" t="n">
        <v>0</v>
      </c>
      <c r="K281" t="n">
        <v>0</v>
      </c>
      <c r="L281" t="n">
        <v>0</v>
      </c>
      <c r="M281" t="n">
        <v>1</v>
      </c>
      <c r="N281" t="n">
        <v>0</v>
      </c>
      <c r="O281" t="n">
        <v>1</v>
      </c>
      <c r="P281" t="n">
        <v>1</v>
      </c>
      <c r="Q281" t="n">
        <v>1</v>
      </c>
      <c r="R281" s="2" t="inlineStr">
        <is>
          <t>Skogsalm</t>
        </is>
      </c>
      <c r="S281">
        <f>HYPERLINK("https://klasma.github.io/Logging_0980/artfynd/A 7637-2025 artfynd.xlsx", "A 7637-2025")</f>
        <v/>
      </c>
      <c r="T281">
        <f>HYPERLINK("https://klasma.github.io/Logging_0980/kartor/A 7637-2025 karta.png", "A 7637-2025")</f>
        <v/>
      </c>
      <c r="V281">
        <f>HYPERLINK("https://klasma.github.io/Logging_0980/klagomål/A 7637-2025 FSC-klagomål.docx", "A 7637-2025")</f>
        <v/>
      </c>
      <c r="W281">
        <f>HYPERLINK("https://klasma.github.io/Logging_0980/klagomålsmail/A 7637-2025 FSC-klagomål mail.docx", "A 7637-2025")</f>
        <v/>
      </c>
      <c r="X281">
        <f>HYPERLINK("https://klasma.github.io/Logging_0980/tillsyn/A 7637-2025 tillsynsbegäran.docx", "A 7637-2025")</f>
        <v/>
      </c>
      <c r="Y281">
        <f>HYPERLINK("https://klasma.github.io/Logging_0980/tillsynsmail/A 7637-2025 tillsynsbegäran mail.docx", "A 7637-2025")</f>
        <v/>
      </c>
    </row>
    <row r="282" ht="15" customHeight="1">
      <c r="A282" t="inlineStr">
        <is>
          <t>A 8725-2025</t>
        </is>
      </c>
      <c r="B282" s="1" t="n">
        <v>45712</v>
      </c>
      <c r="C282" s="1" t="n">
        <v>45758</v>
      </c>
      <c r="D282" t="inlineStr">
        <is>
          <t>GOTLANDS LÄN</t>
        </is>
      </c>
      <c r="E282" t="inlineStr">
        <is>
          <t>GOTLAND</t>
        </is>
      </c>
      <c r="G282" t="n">
        <v>4.4</v>
      </c>
      <c r="H282" t="n">
        <v>1</v>
      </c>
      <c r="I282" t="n">
        <v>0</v>
      </c>
      <c r="J282" t="n">
        <v>1</v>
      </c>
      <c r="K282" t="n">
        <v>0</v>
      </c>
      <c r="L282" t="n">
        <v>0</v>
      </c>
      <c r="M282" t="n">
        <v>0</v>
      </c>
      <c r="N282" t="n">
        <v>0</v>
      </c>
      <c r="O282" t="n">
        <v>1</v>
      </c>
      <c r="P282" t="n">
        <v>0</v>
      </c>
      <c r="Q282" t="n">
        <v>1</v>
      </c>
      <c r="R282" s="2" t="inlineStr">
        <is>
          <t>Spillkråka</t>
        </is>
      </c>
      <c r="S282">
        <f>HYPERLINK("https://klasma.github.io/Logging_0980/artfynd/A 8725-2025 artfynd.xlsx", "A 8725-2025")</f>
        <v/>
      </c>
      <c r="T282">
        <f>HYPERLINK("https://klasma.github.io/Logging_0980/kartor/A 8725-2025 karta.png", "A 8725-2025")</f>
        <v/>
      </c>
      <c r="V282">
        <f>HYPERLINK("https://klasma.github.io/Logging_0980/klagomål/A 8725-2025 FSC-klagomål.docx", "A 8725-2025")</f>
        <v/>
      </c>
      <c r="W282">
        <f>HYPERLINK("https://klasma.github.io/Logging_0980/klagomålsmail/A 8725-2025 FSC-klagomål mail.docx", "A 8725-2025")</f>
        <v/>
      </c>
      <c r="X282">
        <f>HYPERLINK("https://klasma.github.io/Logging_0980/tillsyn/A 8725-2025 tillsynsbegäran.docx", "A 8725-2025")</f>
        <v/>
      </c>
      <c r="Y282">
        <f>HYPERLINK("https://klasma.github.io/Logging_0980/tillsynsmail/A 8725-2025 tillsynsbegäran mail.docx", "A 8725-2025")</f>
        <v/>
      </c>
      <c r="Z282">
        <f>HYPERLINK("https://klasma.github.io/Logging_0980/fåglar/A 8725-2025 prioriterade fågelarter.docx", "A 8725-2025")</f>
        <v/>
      </c>
    </row>
    <row r="283" ht="15" customHeight="1">
      <c r="A283" t="inlineStr">
        <is>
          <t>A 10780-2025</t>
        </is>
      </c>
      <c r="B283" s="1" t="n">
        <v>45722</v>
      </c>
      <c r="C283" s="1" t="n">
        <v>45758</v>
      </c>
      <c r="D283" t="inlineStr">
        <is>
          <t>GOTLANDS LÄN</t>
        </is>
      </c>
      <c r="E283" t="inlineStr">
        <is>
          <t>GOTLAND</t>
        </is>
      </c>
      <c r="G283" t="n">
        <v>6.1</v>
      </c>
      <c r="H283" t="n">
        <v>1</v>
      </c>
      <c r="I283" t="n">
        <v>0</v>
      </c>
      <c r="J283" t="n">
        <v>0</v>
      </c>
      <c r="K283" t="n">
        <v>1</v>
      </c>
      <c r="L283" t="n">
        <v>0</v>
      </c>
      <c r="M283" t="n">
        <v>0</v>
      </c>
      <c r="N283" t="n">
        <v>0</v>
      </c>
      <c r="O283" t="n">
        <v>1</v>
      </c>
      <c r="P283" t="n">
        <v>1</v>
      </c>
      <c r="Q283" t="n">
        <v>1</v>
      </c>
      <c r="R283" s="2" t="inlineStr">
        <is>
          <t>Knärot</t>
        </is>
      </c>
      <c r="S283">
        <f>HYPERLINK("https://klasma.github.io/Logging_090980/artfynd/A 10780-2025 artfynd.xlsx", "A 10780-2025")</f>
        <v/>
      </c>
      <c r="T283">
        <f>HYPERLINK("https://klasma.github.io/Logging_090980/kartor/A 10780-2025 karta.png", "A 10780-2025")</f>
        <v/>
      </c>
      <c r="U283">
        <f>HYPERLINK("https://klasma.github.io/Logging_090980/knärot/A 10780-2025 karta knärot.png", "A 10780-2025")</f>
        <v/>
      </c>
      <c r="V283">
        <f>HYPERLINK("https://klasma.github.io/Logging_090980/klagomål/A 10780-2025 FSC-klagomål.docx", "A 10780-2025")</f>
        <v/>
      </c>
      <c r="W283">
        <f>HYPERLINK("https://klasma.github.io/Logging_090980/klagomålsmail/A 10780-2025 FSC-klagomål mail.docx", "A 10780-2025")</f>
        <v/>
      </c>
      <c r="X283">
        <f>HYPERLINK("https://klasma.github.io/Logging_090980/tillsyn/A 10780-2025 tillsynsbegäran.docx", "A 10780-2025")</f>
        <v/>
      </c>
      <c r="Y283">
        <f>HYPERLINK("https://klasma.github.io/Logging_090980/tillsynsmail/A 10780-2025 tillsynsbegäran mail.docx", "A 10780-2025")</f>
        <v/>
      </c>
    </row>
    <row r="284" ht="15" customHeight="1">
      <c r="A284" t="inlineStr">
        <is>
          <t>A 12324-2025</t>
        </is>
      </c>
      <c r="B284" s="1" t="n">
        <v>45730</v>
      </c>
      <c r="C284" s="1" t="n">
        <v>45758</v>
      </c>
      <c r="D284" t="inlineStr">
        <is>
          <t>GOTLANDS LÄN</t>
        </is>
      </c>
      <c r="E284" t="inlineStr">
        <is>
          <t>GOTLAND</t>
        </is>
      </c>
      <c r="G284" t="n">
        <v>5</v>
      </c>
      <c r="H284" t="n">
        <v>0</v>
      </c>
      <c r="I284" t="n">
        <v>0</v>
      </c>
      <c r="J284" t="n">
        <v>0</v>
      </c>
      <c r="K284" t="n">
        <v>1</v>
      </c>
      <c r="L284" t="n">
        <v>0</v>
      </c>
      <c r="M284" t="n">
        <v>0</v>
      </c>
      <c r="N284" t="n">
        <v>0</v>
      </c>
      <c r="O284" t="n">
        <v>1</v>
      </c>
      <c r="P284" t="n">
        <v>1</v>
      </c>
      <c r="Q284" t="n">
        <v>1</v>
      </c>
      <c r="R284" s="2" t="inlineStr">
        <is>
          <t>Sommarklynne</t>
        </is>
      </c>
      <c r="S284">
        <f>HYPERLINK("https://klasma.github.io/Logging_090980/artfynd/A 12324-2025 artfynd.xlsx", "A 12324-2025")</f>
        <v/>
      </c>
      <c r="T284">
        <f>HYPERLINK("https://klasma.github.io/Logging_090980/kartor/A 12324-2025 karta.png", "A 12324-2025")</f>
        <v/>
      </c>
      <c r="V284">
        <f>HYPERLINK("https://klasma.github.io/Logging_090980/klagomål/A 12324-2025 FSC-klagomål.docx", "A 12324-2025")</f>
        <v/>
      </c>
      <c r="W284">
        <f>HYPERLINK("https://klasma.github.io/Logging_090980/klagomålsmail/A 12324-2025 FSC-klagomål mail.docx", "A 12324-2025")</f>
        <v/>
      </c>
      <c r="X284">
        <f>HYPERLINK("https://klasma.github.io/Logging_090980/tillsyn/A 12324-2025 tillsynsbegäran.docx", "A 12324-2025")</f>
        <v/>
      </c>
      <c r="Y284">
        <f>HYPERLINK("https://klasma.github.io/Logging_090980/tillsynsmail/A 12324-2025 tillsynsbegäran mail.docx", "A 12324-2025")</f>
        <v/>
      </c>
    </row>
    <row r="285" ht="15" customHeight="1">
      <c r="A285" t="inlineStr">
        <is>
          <t>A 12924-2025</t>
        </is>
      </c>
      <c r="B285" s="1" t="n">
        <v>45734</v>
      </c>
      <c r="C285" s="1" t="n">
        <v>45758</v>
      </c>
      <c r="D285" t="inlineStr">
        <is>
          <t>GOTLANDS LÄN</t>
        </is>
      </c>
      <c r="E285" t="inlineStr">
        <is>
          <t>GOTLAND</t>
        </is>
      </c>
      <c r="G285" t="n">
        <v>11.7</v>
      </c>
      <c r="H285" t="n">
        <v>0</v>
      </c>
      <c r="I285" t="n">
        <v>0</v>
      </c>
      <c r="J285" t="n">
        <v>0</v>
      </c>
      <c r="K285" t="n">
        <v>1</v>
      </c>
      <c r="L285" t="n">
        <v>0</v>
      </c>
      <c r="M285" t="n">
        <v>0</v>
      </c>
      <c r="N285" t="n">
        <v>0</v>
      </c>
      <c r="O285" t="n">
        <v>1</v>
      </c>
      <c r="P285" t="n">
        <v>1</v>
      </c>
      <c r="Q285" t="n">
        <v>1</v>
      </c>
      <c r="R285" s="2" t="inlineStr">
        <is>
          <t>Gotlandsmåra</t>
        </is>
      </c>
      <c r="S285">
        <f>HYPERLINK("https://klasma.github.io/Logging_090980/artfynd/A 12924-2025 artfynd.xlsx", "A 12924-2025")</f>
        <v/>
      </c>
      <c r="T285">
        <f>HYPERLINK("https://klasma.github.io/Logging_090980/kartor/A 12924-2025 karta.png", "A 12924-2025")</f>
        <v/>
      </c>
      <c r="V285">
        <f>HYPERLINK("https://klasma.github.io/Logging_090980/klagomål/A 12924-2025 FSC-klagomål.docx", "A 12924-2025")</f>
        <v/>
      </c>
      <c r="W285">
        <f>HYPERLINK("https://klasma.github.io/Logging_090980/klagomålsmail/A 12924-2025 FSC-klagomål mail.docx", "A 12924-2025")</f>
        <v/>
      </c>
      <c r="X285">
        <f>HYPERLINK("https://klasma.github.io/Logging_090980/tillsyn/A 12924-2025 tillsynsbegäran.docx", "A 12924-2025")</f>
        <v/>
      </c>
      <c r="Y285">
        <f>HYPERLINK("https://klasma.github.io/Logging_090980/tillsynsmail/A 12924-2025 tillsynsbegäran mail.docx", "A 12924-2025")</f>
        <v/>
      </c>
    </row>
    <row r="286" ht="15" customHeight="1">
      <c r="A286" t="inlineStr">
        <is>
          <t>A 19159-2019</t>
        </is>
      </c>
      <c r="B286" s="1" t="n">
        <v>43564</v>
      </c>
      <c r="C286" s="1" t="n">
        <v>45758</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21380-2019</t>
        </is>
      </c>
      <c r="B287" s="1" t="n">
        <v>43579</v>
      </c>
      <c r="C287" s="1" t="n">
        <v>45758</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21894-2019</t>
        </is>
      </c>
      <c r="B288" s="1" t="n">
        <v>43584</v>
      </c>
      <c r="C288" s="1" t="n">
        <v>45758</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21925-2019</t>
        </is>
      </c>
      <c r="B289" s="1" t="n">
        <v>43584</v>
      </c>
      <c r="C289" s="1" t="n">
        <v>45758</v>
      </c>
      <c r="D289" t="inlineStr">
        <is>
          <t>GOTLANDS LÄN</t>
        </is>
      </c>
      <c r="E289" t="inlineStr">
        <is>
          <t>GOTLAND</t>
        </is>
      </c>
      <c r="G289" t="n">
        <v>2.1</v>
      </c>
      <c r="H289" t="n">
        <v>0</v>
      </c>
      <c r="I289" t="n">
        <v>0</v>
      </c>
      <c r="J289" t="n">
        <v>0</v>
      </c>
      <c r="K289" t="n">
        <v>0</v>
      </c>
      <c r="L289" t="n">
        <v>0</v>
      </c>
      <c r="M289" t="n">
        <v>0</v>
      </c>
      <c r="N289" t="n">
        <v>0</v>
      </c>
      <c r="O289" t="n">
        <v>0</v>
      </c>
      <c r="P289" t="n">
        <v>0</v>
      </c>
      <c r="Q289" t="n">
        <v>0</v>
      </c>
      <c r="R289" s="2" t="inlineStr"/>
    </row>
    <row r="290" ht="15" customHeight="1">
      <c r="A290" t="inlineStr">
        <is>
          <t>A 22457-2019</t>
        </is>
      </c>
      <c r="B290" s="1" t="n">
        <v>43587</v>
      </c>
      <c r="C290" s="1" t="n">
        <v>45758</v>
      </c>
      <c r="D290" t="inlineStr">
        <is>
          <t>GOTLANDS LÄN</t>
        </is>
      </c>
      <c r="E290" t="inlineStr">
        <is>
          <t>GOTLAND</t>
        </is>
      </c>
      <c r="G290" t="n">
        <v>0.3</v>
      </c>
      <c r="H290" t="n">
        <v>0</v>
      </c>
      <c r="I290" t="n">
        <v>0</v>
      </c>
      <c r="J290" t="n">
        <v>0</v>
      </c>
      <c r="K290" t="n">
        <v>0</v>
      </c>
      <c r="L290" t="n">
        <v>0</v>
      </c>
      <c r="M290" t="n">
        <v>0</v>
      </c>
      <c r="N290" t="n">
        <v>0</v>
      </c>
      <c r="O290" t="n">
        <v>0</v>
      </c>
      <c r="P290" t="n">
        <v>0</v>
      </c>
      <c r="Q290" t="n">
        <v>0</v>
      </c>
      <c r="R290" s="2" t="inlineStr"/>
    </row>
    <row r="291" ht="15" customHeight="1">
      <c r="A291" t="inlineStr">
        <is>
          <t>A 23044-2019</t>
        </is>
      </c>
      <c r="B291" s="1" t="n">
        <v>43591</v>
      </c>
      <c r="C291" s="1" t="n">
        <v>45758</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26595-2019</t>
        </is>
      </c>
      <c r="B292" s="1" t="n">
        <v>43612</v>
      </c>
      <c r="C292" s="1" t="n">
        <v>45758</v>
      </c>
      <c r="D292" t="inlineStr">
        <is>
          <t>GOTLANDS LÄN</t>
        </is>
      </c>
      <c r="E292" t="inlineStr">
        <is>
          <t>GOTLAND</t>
        </is>
      </c>
      <c r="G292" t="n">
        <v>0.2</v>
      </c>
      <c r="H292" t="n">
        <v>0</v>
      </c>
      <c r="I292" t="n">
        <v>0</v>
      </c>
      <c r="J292" t="n">
        <v>0</v>
      </c>
      <c r="K292" t="n">
        <v>0</v>
      </c>
      <c r="L292" t="n">
        <v>0</v>
      </c>
      <c r="M292" t="n">
        <v>0</v>
      </c>
      <c r="N292" t="n">
        <v>0</v>
      </c>
      <c r="O292" t="n">
        <v>0</v>
      </c>
      <c r="P292" t="n">
        <v>0</v>
      </c>
      <c r="Q292" t="n">
        <v>0</v>
      </c>
      <c r="R292" s="2" t="inlineStr"/>
    </row>
    <row r="293" ht="15" customHeight="1">
      <c r="A293" t="inlineStr">
        <is>
          <t>A 27795-2019</t>
        </is>
      </c>
      <c r="B293" s="1" t="n">
        <v>43612</v>
      </c>
      <c r="C293" s="1" t="n">
        <v>45758</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28977-2019</t>
        </is>
      </c>
      <c r="B294" s="1" t="n">
        <v>43628</v>
      </c>
      <c r="C294" s="1" t="n">
        <v>45758</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29470-2019</t>
        </is>
      </c>
      <c r="B295" s="1" t="n">
        <v>43629</v>
      </c>
      <c r="C295" s="1" t="n">
        <v>45758</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29469-2019</t>
        </is>
      </c>
      <c r="B296" s="1" t="n">
        <v>43629</v>
      </c>
      <c r="C296" s="1" t="n">
        <v>45758</v>
      </c>
      <c r="D296" t="inlineStr">
        <is>
          <t>GOTLANDS LÄN</t>
        </is>
      </c>
      <c r="E296" t="inlineStr">
        <is>
          <t>GOTLAND</t>
        </is>
      </c>
      <c r="G296" t="n">
        <v>1.7</v>
      </c>
      <c r="H296" t="n">
        <v>0</v>
      </c>
      <c r="I296" t="n">
        <v>0</v>
      </c>
      <c r="J296" t="n">
        <v>0</v>
      </c>
      <c r="K296" t="n">
        <v>0</v>
      </c>
      <c r="L296" t="n">
        <v>0</v>
      </c>
      <c r="M296" t="n">
        <v>0</v>
      </c>
      <c r="N296" t="n">
        <v>0</v>
      </c>
      <c r="O296" t="n">
        <v>0</v>
      </c>
      <c r="P296" t="n">
        <v>0</v>
      </c>
      <c r="Q296" t="n">
        <v>0</v>
      </c>
      <c r="R296" s="2" t="inlineStr"/>
    </row>
    <row r="297" ht="15" customHeight="1">
      <c r="A297" t="inlineStr">
        <is>
          <t>A 30033-2019</t>
        </is>
      </c>
      <c r="B297" s="1" t="n">
        <v>43630</v>
      </c>
      <c r="C297" s="1" t="n">
        <v>45758</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31396-2019</t>
        </is>
      </c>
      <c r="B298" s="1" t="n">
        <v>43636</v>
      </c>
      <c r="C298" s="1" t="n">
        <v>45758</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32061-2019</t>
        </is>
      </c>
      <c r="B299" s="1" t="n">
        <v>43643</v>
      </c>
      <c r="C299" s="1" t="n">
        <v>45758</v>
      </c>
      <c r="D299" t="inlineStr">
        <is>
          <t>GOTLANDS LÄN</t>
        </is>
      </c>
      <c r="E299" t="inlineStr">
        <is>
          <t>GOTLAND</t>
        </is>
      </c>
      <c r="G299" t="n">
        <v>7.5</v>
      </c>
      <c r="H299" t="n">
        <v>0</v>
      </c>
      <c r="I299" t="n">
        <v>0</v>
      </c>
      <c r="J299" t="n">
        <v>0</v>
      </c>
      <c r="K299" t="n">
        <v>0</v>
      </c>
      <c r="L299" t="n">
        <v>0</v>
      </c>
      <c r="M299" t="n">
        <v>0</v>
      </c>
      <c r="N299" t="n">
        <v>0</v>
      </c>
      <c r="O299" t="n">
        <v>0</v>
      </c>
      <c r="P299" t="n">
        <v>0</v>
      </c>
      <c r="Q299" t="n">
        <v>0</v>
      </c>
      <c r="R299" s="2" t="inlineStr"/>
    </row>
    <row r="300" ht="15" customHeight="1">
      <c r="A300" t="inlineStr">
        <is>
          <t>A 32949-2019</t>
        </is>
      </c>
      <c r="B300" s="1" t="n">
        <v>43648</v>
      </c>
      <c r="C300" s="1" t="n">
        <v>45758</v>
      </c>
      <c r="D300" t="inlineStr">
        <is>
          <t>GOTLANDS LÄN</t>
        </is>
      </c>
      <c r="E300" t="inlineStr">
        <is>
          <t>GOTLAND</t>
        </is>
      </c>
      <c r="G300" t="n">
        <v>0.9</v>
      </c>
      <c r="H300" t="n">
        <v>0</v>
      </c>
      <c r="I300" t="n">
        <v>0</v>
      </c>
      <c r="J300" t="n">
        <v>0</v>
      </c>
      <c r="K300" t="n">
        <v>0</v>
      </c>
      <c r="L300" t="n">
        <v>0</v>
      </c>
      <c r="M300" t="n">
        <v>0</v>
      </c>
      <c r="N300" t="n">
        <v>0</v>
      </c>
      <c r="O300" t="n">
        <v>0</v>
      </c>
      <c r="P300" t="n">
        <v>0</v>
      </c>
      <c r="Q300" t="n">
        <v>0</v>
      </c>
      <c r="R300" s="2" t="inlineStr"/>
    </row>
    <row r="301" ht="15" customHeight="1">
      <c r="A301" t="inlineStr">
        <is>
          <t>A 32964-2019</t>
        </is>
      </c>
      <c r="B301" s="1" t="n">
        <v>43648</v>
      </c>
      <c r="C301" s="1" t="n">
        <v>45758</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32970-2019</t>
        </is>
      </c>
      <c r="B302" s="1" t="n">
        <v>43648</v>
      </c>
      <c r="C302" s="1" t="n">
        <v>45758</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33673-2019</t>
        </is>
      </c>
      <c r="B303" s="1" t="n">
        <v>43651</v>
      </c>
      <c r="C303" s="1" t="n">
        <v>45758</v>
      </c>
      <c r="D303" t="inlineStr">
        <is>
          <t>GOTLANDS LÄN</t>
        </is>
      </c>
      <c r="E303" t="inlineStr">
        <is>
          <t>GOTLAND</t>
        </is>
      </c>
      <c r="G303" t="n">
        <v>3.8</v>
      </c>
      <c r="H303" t="n">
        <v>0</v>
      </c>
      <c r="I303" t="n">
        <v>0</v>
      </c>
      <c r="J303" t="n">
        <v>0</v>
      </c>
      <c r="K303" t="n">
        <v>0</v>
      </c>
      <c r="L303" t="n">
        <v>0</v>
      </c>
      <c r="M303" t="n">
        <v>0</v>
      </c>
      <c r="N303" t="n">
        <v>0</v>
      </c>
      <c r="O303" t="n">
        <v>0</v>
      </c>
      <c r="P303" t="n">
        <v>0</v>
      </c>
      <c r="Q303" t="n">
        <v>0</v>
      </c>
      <c r="R303" s="2" t="inlineStr"/>
    </row>
    <row r="304" ht="15" customHeight="1">
      <c r="A304" t="inlineStr">
        <is>
          <t>A 33668-2019</t>
        </is>
      </c>
      <c r="B304" s="1" t="n">
        <v>43651</v>
      </c>
      <c r="C304" s="1" t="n">
        <v>45758</v>
      </c>
      <c r="D304" t="inlineStr">
        <is>
          <t>GOTLANDS LÄN</t>
        </is>
      </c>
      <c r="E304" t="inlineStr">
        <is>
          <t>GOTLAND</t>
        </is>
      </c>
      <c r="G304" t="n">
        <v>9.4</v>
      </c>
      <c r="H304" t="n">
        <v>0</v>
      </c>
      <c r="I304" t="n">
        <v>0</v>
      </c>
      <c r="J304" t="n">
        <v>0</v>
      </c>
      <c r="K304" t="n">
        <v>0</v>
      </c>
      <c r="L304" t="n">
        <v>0</v>
      </c>
      <c r="M304" t="n">
        <v>0</v>
      </c>
      <c r="N304" t="n">
        <v>0</v>
      </c>
      <c r="O304" t="n">
        <v>0</v>
      </c>
      <c r="P304" t="n">
        <v>0</v>
      </c>
      <c r="Q304" t="n">
        <v>0</v>
      </c>
      <c r="R304" s="2" t="inlineStr"/>
    </row>
    <row r="305" ht="15" customHeight="1">
      <c r="A305" t="inlineStr">
        <is>
          <t>A 33674-2019</t>
        </is>
      </c>
      <c r="B305" s="1" t="n">
        <v>43651</v>
      </c>
      <c r="C305" s="1" t="n">
        <v>45758</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33646-2019</t>
        </is>
      </c>
      <c r="B306" s="1" t="n">
        <v>43651</v>
      </c>
      <c r="C306" s="1" t="n">
        <v>45758</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34790-2019</t>
        </is>
      </c>
      <c r="B307" s="1" t="n">
        <v>43658</v>
      </c>
      <c r="C307" s="1" t="n">
        <v>45758</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36344-2019</t>
        </is>
      </c>
      <c r="B308" s="1" t="n">
        <v>43661</v>
      </c>
      <c r="C308" s="1" t="n">
        <v>45758</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36072-2019</t>
        </is>
      </c>
      <c r="B309" s="1" t="n">
        <v>43668</v>
      </c>
      <c r="C309" s="1" t="n">
        <v>45758</v>
      </c>
      <c r="D309" t="inlineStr">
        <is>
          <t>GOTLANDS LÄN</t>
        </is>
      </c>
      <c r="E309" t="inlineStr">
        <is>
          <t>GOTLAND</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37028-2019</t>
        </is>
      </c>
      <c r="B310" s="1" t="n">
        <v>43675</v>
      </c>
      <c r="C310" s="1" t="n">
        <v>45758</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40205-2019</t>
        </is>
      </c>
      <c r="B311" s="1" t="n">
        <v>43693</v>
      </c>
      <c r="C311" s="1" t="n">
        <v>45758</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46423-2019</t>
        </is>
      </c>
      <c r="B312" s="1" t="n">
        <v>43719</v>
      </c>
      <c r="C312" s="1" t="n">
        <v>45758</v>
      </c>
      <c r="D312" t="inlineStr">
        <is>
          <t>GOTLANDS LÄN</t>
        </is>
      </c>
      <c r="E312" t="inlineStr">
        <is>
          <t>GOTLAND</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47141-2019</t>
        </is>
      </c>
      <c r="B313" s="1" t="n">
        <v>43721</v>
      </c>
      <c r="C313" s="1" t="n">
        <v>45758</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48459-2019</t>
        </is>
      </c>
      <c r="B314" s="1" t="n">
        <v>43727</v>
      </c>
      <c r="C314" s="1" t="n">
        <v>45758</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49769-2019</t>
        </is>
      </c>
      <c r="B315" s="1" t="n">
        <v>43733</v>
      </c>
      <c r="C315" s="1" t="n">
        <v>45758</v>
      </c>
      <c r="D315" t="inlineStr">
        <is>
          <t>GOTLANDS LÄN</t>
        </is>
      </c>
      <c r="E315" t="inlineStr">
        <is>
          <t>GOTLAND</t>
        </is>
      </c>
      <c r="G315" t="n">
        <v>22.3</v>
      </c>
      <c r="H315" t="n">
        <v>0</v>
      </c>
      <c r="I315" t="n">
        <v>0</v>
      </c>
      <c r="J315" t="n">
        <v>0</v>
      </c>
      <c r="K315" t="n">
        <v>0</v>
      </c>
      <c r="L315" t="n">
        <v>0</v>
      </c>
      <c r="M315" t="n">
        <v>0</v>
      </c>
      <c r="N315" t="n">
        <v>0</v>
      </c>
      <c r="O315" t="n">
        <v>0</v>
      </c>
      <c r="P315" t="n">
        <v>0</v>
      </c>
      <c r="Q315" t="n">
        <v>0</v>
      </c>
      <c r="R315" s="2" t="inlineStr"/>
    </row>
    <row r="316" ht="15" customHeight="1">
      <c r="A316" t="inlineStr">
        <is>
          <t>A 50463-2019</t>
        </is>
      </c>
      <c r="B316" s="1" t="n">
        <v>43735</v>
      </c>
      <c r="C316" s="1" t="n">
        <v>45758</v>
      </c>
      <c r="D316" t="inlineStr">
        <is>
          <t>GOTLANDS LÄN</t>
        </is>
      </c>
      <c r="E316" t="inlineStr">
        <is>
          <t>GOTLAND</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50632-2019</t>
        </is>
      </c>
      <c r="B317" s="1" t="n">
        <v>43737</v>
      </c>
      <c r="C317" s="1" t="n">
        <v>45758</v>
      </c>
      <c r="D317" t="inlineStr">
        <is>
          <t>GOTLANDS LÄN</t>
        </is>
      </c>
      <c r="E317" t="inlineStr">
        <is>
          <t>GOTLAND</t>
        </is>
      </c>
      <c r="G317" t="n">
        <v>7.7</v>
      </c>
      <c r="H317" t="n">
        <v>0</v>
      </c>
      <c r="I317" t="n">
        <v>0</v>
      </c>
      <c r="J317" t="n">
        <v>0</v>
      </c>
      <c r="K317" t="n">
        <v>0</v>
      </c>
      <c r="L317" t="n">
        <v>0</v>
      </c>
      <c r="M317" t="n">
        <v>0</v>
      </c>
      <c r="N317" t="n">
        <v>0</v>
      </c>
      <c r="O317" t="n">
        <v>0</v>
      </c>
      <c r="P317" t="n">
        <v>0</v>
      </c>
      <c r="Q317" t="n">
        <v>0</v>
      </c>
      <c r="R317" s="2" t="inlineStr"/>
    </row>
    <row r="318" ht="15" customHeight="1">
      <c r="A318" t="inlineStr">
        <is>
          <t>A 51577-2019</t>
        </is>
      </c>
      <c r="B318" s="1" t="n">
        <v>43740</v>
      </c>
      <c r="C318" s="1" t="n">
        <v>45758</v>
      </c>
      <c r="D318" t="inlineStr">
        <is>
          <t>GOTLANDS LÄN</t>
        </is>
      </c>
      <c r="E318" t="inlineStr">
        <is>
          <t>GOTLAND</t>
        </is>
      </c>
      <c r="G318" t="n">
        <v>6.5</v>
      </c>
      <c r="H318" t="n">
        <v>0</v>
      </c>
      <c r="I318" t="n">
        <v>0</v>
      </c>
      <c r="J318" t="n">
        <v>0</v>
      </c>
      <c r="K318" t="n">
        <v>0</v>
      </c>
      <c r="L318" t="n">
        <v>0</v>
      </c>
      <c r="M318" t="n">
        <v>0</v>
      </c>
      <c r="N318" t="n">
        <v>0</v>
      </c>
      <c r="O318" t="n">
        <v>0</v>
      </c>
      <c r="P318" t="n">
        <v>0</v>
      </c>
      <c r="Q318" t="n">
        <v>0</v>
      </c>
      <c r="R318" s="2" t="inlineStr"/>
    </row>
    <row r="319" ht="15" customHeight="1">
      <c r="A319" t="inlineStr">
        <is>
          <t>A 53783-2019</t>
        </is>
      </c>
      <c r="B319" s="1" t="n">
        <v>43750</v>
      </c>
      <c r="C319" s="1" t="n">
        <v>45758</v>
      </c>
      <c r="D319" t="inlineStr">
        <is>
          <t>GOTLANDS LÄN</t>
        </is>
      </c>
      <c r="E319" t="inlineStr">
        <is>
          <t>GOTLAND</t>
        </is>
      </c>
      <c r="G319" t="n">
        <v>3.1</v>
      </c>
      <c r="H319" t="n">
        <v>0</v>
      </c>
      <c r="I319" t="n">
        <v>0</v>
      </c>
      <c r="J319" t="n">
        <v>0</v>
      </c>
      <c r="K319" t="n">
        <v>0</v>
      </c>
      <c r="L319" t="n">
        <v>0</v>
      </c>
      <c r="M319" t="n">
        <v>0</v>
      </c>
      <c r="N319" t="n">
        <v>0</v>
      </c>
      <c r="O319" t="n">
        <v>0</v>
      </c>
      <c r="P319" t="n">
        <v>0</v>
      </c>
      <c r="Q319" t="n">
        <v>0</v>
      </c>
      <c r="R319" s="2" t="inlineStr"/>
    </row>
    <row r="320" ht="15" customHeight="1">
      <c r="A320" t="inlineStr">
        <is>
          <t>A 56238-2019</t>
        </is>
      </c>
      <c r="B320" s="1" t="n">
        <v>43762</v>
      </c>
      <c r="C320" s="1" t="n">
        <v>45758</v>
      </c>
      <c r="D320" t="inlineStr">
        <is>
          <t>GOTLANDS LÄN</t>
        </is>
      </c>
      <c r="E320" t="inlineStr">
        <is>
          <t>GOTLAND</t>
        </is>
      </c>
      <c r="G320" t="n">
        <v>5.8</v>
      </c>
      <c r="H320" t="n">
        <v>0</v>
      </c>
      <c r="I320" t="n">
        <v>0</v>
      </c>
      <c r="J320" t="n">
        <v>0</v>
      </c>
      <c r="K320" t="n">
        <v>0</v>
      </c>
      <c r="L320" t="n">
        <v>0</v>
      </c>
      <c r="M320" t="n">
        <v>0</v>
      </c>
      <c r="N320" t="n">
        <v>0</v>
      </c>
      <c r="O320" t="n">
        <v>0</v>
      </c>
      <c r="P320" t="n">
        <v>0</v>
      </c>
      <c r="Q320" t="n">
        <v>0</v>
      </c>
      <c r="R320" s="2" t="inlineStr"/>
    </row>
    <row r="321" ht="15" customHeight="1">
      <c r="A321" t="inlineStr">
        <is>
          <t>A 56845-2019</t>
        </is>
      </c>
      <c r="B321" s="1" t="n">
        <v>43765</v>
      </c>
      <c r="C321" s="1" t="n">
        <v>45758</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45758</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45758</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45758</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45758</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45758</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45758</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45758</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45758</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45758</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45758</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45758</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45758</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45758</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45758</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768-2020</t>
        </is>
      </c>
      <c r="B336" s="1" t="n">
        <v>43838</v>
      </c>
      <c r="C336" s="1" t="n">
        <v>45758</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1384-2020</t>
        </is>
      </c>
      <c r="B337" s="1" t="n">
        <v>43843</v>
      </c>
      <c r="C337" s="1" t="n">
        <v>45758</v>
      </c>
      <c r="D337" t="inlineStr">
        <is>
          <t>GOTLANDS LÄN</t>
        </is>
      </c>
      <c r="E337" t="inlineStr">
        <is>
          <t>GOTLAND</t>
        </is>
      </c>
      <c r="G337" t="n">
        <v>6</v>
      </c>
      <c r="H337" t="n">
        <v>0</v>
      </c>
      <c r="I337" t="n">
        <v>0</v>
      </c>
      <c r="J337" t="n">
        <v>0</v>
      </c>
      <c r="K337" t="n">
        <v>0</v>
      </c>
      <c r="L337" t="n">
        <v>0</v>
      </c>
      <c r="M337" t="n">
        <v>0</v>
      </c>
      <c r="N337" t="n">
        <v>0</v>
      </c>
      <c r="O337" t="n">
        <v>0</v>
      </c>
      <c r="P337" t="n">
        <v>0</v>
      </c>
      <c r="Q337" t="n">
        <v>0</v>
      </c>
      <c r="R337" s="2" t="inlineStr"/>
    </row>
    <row r="338" ht="15" customHeight="1">
      <c r="A338" t="inlineStr">
        <is>
          <t>A 1541-2020</t>
        </is>
      </c>
      <c r="B338" s="1" t="n">
        <v>43843</v>
      </c>
      <c r="C338" s="1" t="n">
        <v>45758</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2675-2020</t>
        </is>
      </c>
      <c r="B339" s="1" t="n">
        <v>43849</v>
      </c>
      <c r="C339" s="1" t="n">
        <v>45758</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4409-2020</t>
        </is>
      </c>
      <c r="B340" s="1" t="n">
        <v>43850</v>
      </c>
      <c r="C340" s="1" t="n">
        <v>45758</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5724-2020</t>
        </is>
      </c>
      <c r="B341" s="1" t="n">
        <v>43862</v>
      </c>
      <c r="C341" s="1" t="n">
        <v>45758</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5731-2020</t>
        </is>
      </c>
      <c r="B342" s="1" t="n">
        <v>43862</v>
      </c>
      <c r="C342" s="1" t="n">
        <v>45758</v>
      </c>
      <c r="D342" t="inlineStr">
        <is>
          <t>GOTLANDS LÄN</t>
        </is>
      </c>
      <c r="E342" t="inlineStr">
        <is>
          <t>GOTLAND</t>
        </is>
      </c>
      <c r="G342" t="n">
        <v>2.2</v>
      </c>
      <c r="H342" t="n">
        <v>0</v>
      </c>
      <c r="I342" t="n">
        <v>0</v>
      </c>
      <c r="J342" t="n">
        <v>0</v>
      </c>
      <c r="K342" t="n">
        <v>0</v>
      </c>
      <c r="L342" t="n">
        <v>0</v>
      </c>
      <c r="M342" t="n">
        <v>0</v>
      </c>
      <c r="N342" t="n">
        <v>0</v>
      </c>
      <c r="O342" t="n">
        <v>0</v>
      </c>
      <c r="P342" t="n">
        <v>0</v>
      </c>
      <c r="Q342" t="n">
        <v>0</v>
      </c>
      <c r="R342" s="2" t="inlineStr"/>
    </row>
    <row r="343" ht="15" customHeight="1">
      <c r="A343" t="inlineStr">
        <is>
          <t>A 5723-2020</t>
        </is>
      </c>
      <c r="B343" s="1" t="n">
        <v>43862</v>
      </c>
      <c r="C343" s="1" t="n">
        <v>45758</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5727-2020</t>
        </is>
      </c>
      <c r="B344" s="1" t="n">
        <v>43862</v>
      </c>
      <c r="C344" s="1" t="n">
        <v>45758</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6226-2020</t>
        </is>
      </c>
      <c r="B345" s="1" t="n">
        <v>43865</v>
      </c>
      <c r="C345" s="1" t="n">
        <v>45758</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6611-2020</t>
        </is>
      </c>
      <c r="B346" s="1" t="n">
        <v>43867</v>
      </c>
      <c r="C346" s="1" t="n">
        <v>45758</v>
      </c>
      <c r="D346" t="inlineStr">
        <is>
          <t>GOTLANDS LÄN</t>
        </is>
      </c>
      <c r="E346" t="inlineStr">
        <is>
          <t>GOTLAND</t>
        </is>
      </c>
      <c r="G346" t="n">
        <v>3.3</v>
      </c>
      <c r="H346" t="n">
        <v>0</v>
      </c>
      <c r="I346" t="n">
        <v>0</v>
      </c>
      <c r="J346" t="n">
        <v>0</v>
      </c>
      <c r="K346" t="n">
        <v>0</v>
      </c>
      <c r="L346" t="n">
        <v>0</v>
      </c>
      <c r="M346" t="n">
        <v>0</v>
      </c>
      <c r="N346" t="n">
        <v>0</v>
      </c>
      <c r="O346" t="n">
        <v>0</v>
      </c>
      <c r="P346" t="n">
        <v>0</v>
      </c>
      <c r="Q346" t="n">
        <v>0</v>
      </c>
      <c r="R346" s="2" t="inlineStr"/>
    </row>
    <row r="347" ht="15" customHeight="1">
      <c r="A347" t="inlineStr">
        <is>
          <t>A 8217-2020</t>
        </is>
      </c>
      <c r="B347" s="1" t="n">
        <v>43874</v>
      </c>
      <c r="C347" s="1" t="n">
        <v>45758</v>
      </c>
      <c r="D347" t="inlineStr">
        <is>
          <t>GOTLANDS LÄN</t>
        </is>
      </c>
      <c r="E347" t="inlineStr">
        <is>
          <t>GOTLAND</t>
        </is>
      </c>
      <c r="F347" t="inlineStr">
        <is>
          <t>Kyrkan</t>
        </is>
      </c>
      <c r="G347" t="n">
        <v>1</v>
      </c>
      <c r="H347" t="n">
        <v>0</v>
      </c>
      <c r="I347" t="n">
        <v>0</v>
      </c>
      <c r="J347" t="n">
        <v>0</v>
      </c>
      <c r="K347" t="n">
        <v>0</v>
      </c>
      <c r="L347" t="n">
        <v>0</v>
      </c>
      <c r="M347" t="n">
        <v>0</v>
      </c>
      <c r="N347" t="n">
        <v>0</v>
      </c>
      <c r="O347" t="n">
        <v>0</v>
      </c>
      <c r="P347" t="n">
        <v>0</v>
      </c>
      <c r="Q347" t="n">
        <v>0</v>
      </c>
      <c r="R347" s="2" t="inlineStr"/>
    </row>
    <row r="348" ht="15" customHeight="1">
      <c r="A348" t="inlineStr">
        <is>
          <t>A 8872-2020</t>
        </is>
      </c>
      <c r="B348" s="1" t="n">
        <v>43878</v>
      </c>
      <c r="C348" s="1" t="n">
        <v>45758</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9502-2020</t>
        </is>
      </c>
      <c r="B349" s="1" t="n">
        <v>43880</v>
      </c>
      <c r="C349" s="1" t="n">
        <v>45758</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10932-2020</t>
        </is>
      </c>
      <c r="B350" s="1" t="n">
        <v>43889</v>
      </c>
      <c r="C350" s="1" t="n">
        <v>45758</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10931-2020</t>
        </is>
      </c>
      <c r="B351" s="1" t="n">
        <v>43889</v>
      </c>
      <c r="C351" s="1" t="n">
        <v>45758</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12309-2020</t>
        </is>
      </c>
      <c r="B352" s="1" t="n">
        <v>43895</v>
      </c>
      <c r="C352" s="1" t="n">
        <v>45758</v>
      </c>
      <c r="D352" t="inlineStr">
        <is>
          <t>GOTLANDS LÄN</t>
        </is>
      </c>
      <c r="E352" t="inlineStr">
        <is>
          <t>GOTLAND</t>
        </is>
      </c>
      <c r="G352" t="n">
        <v>0.9</v>
      </c>
      <c r="H352" t="n">
        <v>0</v>
      </c>
      <c r="I352" t="n">
        <v>0</v>
      </c>
      <c r="J352" t="n">
        <v>0</v>
      </c>
      <c r="K352" t="n">
        <v>0</v>
      </c>
      <c r="L352" t="n">
        <v>0</v>
      </c>
      <c r="M352" t="n">
        <v>0</v>
      </c>
      <c r="N352" t="n">
        <v>0</v>
      </c>
      <c r="O352" t="n">
        <v>0</v>
      </c>
      <c r="P352" t="n">
        <v>0</v>
      </c>
      <c r="Q352" t="n">
        <v>0</v>
      </c>
      <c r="R352" s="2" t="inlineStr"/>
    </row>
    <row r="353" ht="15" customHeight="1">
      <c r="A353" t="inlineStr">
        <is>
          <t>A 13940-2020</t>
        </is>
      </c>
      <c r="B353" s="1" t="n">
        <v>43903</v>
      </c>
      <c r="C353" s="1" t="n">
        <v>45758</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13930-2020</t>
        </is>
      </c>
      <c r="B354" s="1" t="n">
        <v>43906</v>
      </c>
      <c r="C354" s="1" t="n">
        <v>45758</v>
      </c>
      <c r="D354" t="inlineStr">
        <is>
          <t>GOTLANDS LÄN</t>
        </is>
      </c>
      <c r="E354" t="inlineStr">
        <is>
          <t>GOTLAND</t>
        </is>
      </c>
      <c r="G354" t="n">
        <v>4</v>
      </c>
      <c r="H354" t="n">
        <v>0</v>
      </c>
      <c r="I354" t="n">
        <v>0</v>
      </c>
      <c r="J354" t="n">
        <v>0</v>
      </c>
      <c r="K354" t="n">
        <v>0</v>
      </c>
      <c r="L354" t="n">
        <v>0</v>
      </c>
      <c r="M354" t="n">
        <v>0</v>
      </c>
      <c r="N354" t="n">
        <v>0</v>
      </c>
      <c r="O354" t="n">
        <v>0</v>
      </c>
      <c r="P354" t="n">
        <v>0</v>
      </c>
      <c r="Q354" t="n">
        <v>0</v>
      </c>
      <c r="R354" s="2" t="inlineStr"/>
    </row>
    <row r="355" ht="15" customHeight="1">
      <c r="A355" t="inlineStr">
        <is>
          <t>A 13995-2020</t>
        </is>
      </c>
      <c r="B355" s="1" t="n">
        <v>43906</v>
      </c>
      <c r="C355" s="1" t="n">
        <v>45758</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13987-2020</t>
        </is>
      </c>
      <c r="B356" s="1" t="n">
        <v>43906</v>
      </c>
      <c r="C356" s="1" t="n">
        <v>45758</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14073-2020</t>
        </is>
      </c>
      <c r="B357" s="1" t="n">
        <v>43907</v>
      </c>
      <c r="C357" s="1" t="n">
        <v>45758</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14074-2020</t>
        </is>
      </c>
      <c r="B358" s="1" t="n">
        <v>43907</v>
      </c>
      <c r="C358" s="1" t="n">
        <v>45758</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16452-2020</t>
        </is>
      </c>
      <c r="B359" s="1" t="n">
        <v>43909</v>
      </c>
      <c r="C359" s="1" t="n">
        <v>45758</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14995-2020</t>
        </is>
      </c>
      <c r="B360" s="1" t="n">
        <v>43910</v>
      </c>
      <c r="C360" s="1" t="n">
        <v>45758</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15202-2020</t>
        </is>
      </c>
      <c r="B361" s="1" t="n">
        <v>43913</v>
      </c>
      <c r="C361" s="1" t="n">
        <v>45758</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15197-2020</t>
        </is>
      </c>
      <c r="B362" s="1" t="n">
        <v>43913</v>
      </c>
      <c r="C362" s="1" t="n">
        <v>45758</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15888-2020</t>
        </is>
      </c>
      <c r="B363" s="1" t="n">
        <v>43915</v>
      </c>
      <c r="C363" s="1" t="n">
        <v>45758</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16133-2020</t>
        </is>
      </c>
      <c r="B364" s="1" t="n">
        <v>43916</v>
      </c>
      <c r="C364" s="1" t="n">
        <v>45758</v>
      </c>
      <c r="D364" t="inlineStr">
        <is>
          <t>GOTLANDS LÄN</t>
        </is>
      </c>
      <c r="E364" t="inlineStr">
        <is>
          <t>GOTLAND</t>
        </is>
      </c>
      <c r="G364" t="n">
        <v>6.7</v>
      </c>
      <c r="H364" t="n">
        <v>0</v>
      </c>
      <c r="I364" t="n">
        <v>0</v>
      </c>
      <c r="J364" t="n">
        <v>0</v>
      </c>
      <c r="K364" t="n">
        <v>0</v>
      </c>
      <c r="L364" t="n">
        <v>0</v>
      </c>
      <c r="M364" t="n">
        <v>0</v>
      </c>
      <c r="N364" t="n">
        <v>0</v>
      </c>
      <c r="O364" t="n">
        <v>0</v>
      </c>
      <c r="P364" t="n">
        <v>0</v>
      </c>
      <c r="Q364" t="n">
        <v>0</v>
      </c>
      <c r="R364" s="2" t="inlineStr"/>
    </row>
    <row r="365" ht="15" customHeight="1">
      <c r="A365" t="inlineStr">
        <is>
          <t>A 17403-2020</t>
        </is>
      </c>
      <c r="B365" s="1" t="n">
        <v>43917</v>
      </c>
      <c r="C365" s="1" t="n">
        <v>45758</v>
      </c>
      <c r="D365" t="inlineStr">
        <is>
          <t>GOTLANDS LÄN</t>
        </is>
      </c>
      <c r="E365" t="inlineStr">
        <is>
          <t>GOTLAND</t>
        </is>
      </c>
      <c r="G365" t="n">
        <v>4.4</v>
      </c>
      <c r="H365" t="n">
        <v>0</v>
      </c>
      <c r="I365" t="n">
        <v>0</v>
      </c>
      <c r="J365" t="n">
        <v>0</v>
      </c>
      <c r="K365" t="n">
        <v>0</v>
      </c>
      <c r="L365" t="n">
        <v>0</v>
      </c>
      <c r="M365" t="n">
        <v>0</v>
      </c>
      <c r="N365" t="n">
        <v>0</v>
      </c>
      <c r="O365" t="n">
        <v>0</v>
      </c>
      <c r="P365" t="n">
        <v>0</v>
      </c>
      <c r="Q365" t="n">
        <v>0</v>
      </c>
      <c r="R365" s="2" t="inlineStr"/>
    </row>
    <row r="366" ht="15" customHeight="1">
      <c r="A366" t="inlineStr">
        <is>
          <t>A 17869-2020</t>
        </is>
      </c>
      <c r="B366" s="1" t="n">
        <v>43924</v>
      </c>
      <c r="C366" s="1" t="n">
        <v>45758</v>
      </c>
      <c r="D366" t="inlineStr">
        <is>
          <t>GOTLANDS LÄN</t>
        </is>
      </c>
      <c r="E366" t="inlineStr">
        <is>
          <t>GOTLAND</t>
        </is>
      </c>
      <c r="G366" t="n">
        <v>2.7</v>
      </c>
      <c r="H366" t="n">
        <v>0</v>
      </c>
      <c r="I366" t="n">
        <v>0</v>
      </c>
      <c r="J366" t="n">
        <v>0</v>
      </c>
      <c r="K366" t="n">
        <v>0</v>
      </c>
      <c r="L366" t="n">
        <v>0</v>
      </c>
      <c r="M366" t="n">
        <v>0</v>
      </c>
      <c r="N366" t="n">
        <v>0</v>
      </c>
      <c r="O366" t="n">
        <v>0</v>
      </c>
      <c r="P366" t="n">
        <v>0</v>
      </c>
      <c r="Q366" t="n">
        <v>0</v>
      </c>
      <c r="R366" s="2" t="inlineStr"/>
    </row>
    <row r="367" ht="15" customHeight="1">
      <c r="A367" t="inlineStr">
        <is>
          <t>A 19900-2020</t>
        </is>
      </c>
      <c r="B367" s="1" t="n">
        <v>43942</v>
      </c>
      <c r="C367" s="1" t="n">
        <v>45758</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21568-2020</t>
        </is>
      </c>
      <c r="B368" s="1" t="n">
        <v>43956</v>
      </c>
      <c r="C368" s="1" t="n">
        <v>45758</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22093-2020</t>
        </is>
      </c>
      <c r="B369" s="1" t="n">
        <v>43959</v>
      </c>
      <c r="C369" s="1" t="n">
        <v>45758</v>
      </c>
      <c r="D369" t="inlineStr">
        <is>
          <t>GOTLANDS LÄN</t>
        </is>
      </c>
      <c r="E369" t="inlineStr">
        <is>
          <t>GOTLAND</t>
        </is>
      </c>
      <c r="F369" t="inlineStr">
        <is>
          <t>Kommuner</t>
        </is>
      </c>
      <c r="G369" t="n">
        <v>0.6</v>
      </c>
      <c r="H369" t="n">
        <v>0</v>
      </c>
      <c r="I369" t="n">
        <v>0</v>
      </c>
      <c r="J369" t="n">
        <v>0</v>
      </c>
      <c r="K369" t="n">
        <v>0</v>
      </c>
      <c r="L369" t="n">
        <v>0</v>
      </c>
      <c r="M369" t="n">
        <v>0</v>
      </c>
      <c r="N369" t="n">
        <v>0</v>
      </c>
      <c r="O369" t="n">
        <v>0</v>
      </c>
      <c r="P369" t="n">
        <v>0</v>
      </c>
      <c r="Q369" t="n">
        <v>0</v>
      </c>
      <c r="R369" s="2" t="inlineStr"/>
    </row>
    <row r="370" ht="15" customHeight="1">
      <c r="A370" t="inlineStr">
        <is>
          <t>A 22329-2020</t>
        </is>
      </c>
      <c r="B370" s="1" t="n">
        <v>43962</v>
      </c>
      <c r="C370" s="1" t="n">
        <v>45758</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22333-2020</t>
        </is>
      </c>
      <c r="B371" s="1" t="n">
        <v>43962</v>
      </c>
      <c r="C371" s="1" t="n">
        <v>45758</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23498-2020</t>
        </is>
      </c>
      <c r="B372" s="1" t="n">
        <v>43969</v>
      </c>
      <c r="C372" s="1" t="n">
        <v>45758</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23728-2020</t>
        </is>
      </c>
      <c r="B373" s="1" t="n">
        <v>43970</v>
      </c>
      <c r="C373" s="1" t="n">
        <v>45758</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24537-2020</t>
        </is>
      </c>
      <c r="B374" s="1" t="n">
        <v>43977</v>
      </c>
      <c r="C374" s="1" t="n">
        <v>45758</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25039-2020</t>
        </is>
      </c>
      <c r="B375" s="1" t="n">
        <v>43979</v>
      </c>
      <c r="C375" s="1" t="n">
        <v>45758</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26117-2020</t>
        </is>
      </c>
      <c r="B376" s="1" t="n">
        <v>43985</v>
      </c>
      <c r="C376" s="1" t="n">
        <v>45758</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27322-2020</t>
        </is>
      </c>
      <c r="B377" s="1" t="n">
        <v>43992</v>
      </c>
      <c r="C377" s="1" t="n">
        <v>45758</v>
      </c>
      <c r="D377" t="inlineStr">
        <is>
          <t>GOTLANDS LÄN</t>
        </is>
      </c>
      <c r="E377" t="inlineStr">
        <is>
          <t>GOTLAND</t>
        </is>
      </c>
      <c r="F377" t="inlineStr">
        <is>
          <t>Övriga statliga verk och myndigheter</t>
        </is>
      </c>
      <c r="G377" t="n">
        <v>7.4</v>
      </c>
      <c r="H377" t="n">
        <v>0</v>
      </c>
      <c r="I377" t="n">
        <v>0</v>
      </c>
      <c r="J377" t="n">
        <v>0</v>
      </c>
      <c r="K377" t="n">
        <v>0</v>
      </c>
      <c r="L377" t="n">
        <v>0</v>
      </c>
      <c r="M377" t="n">
        <v>0</v>
      </c>
      <c r="N377" t="n">
        <v>0</v>
      </c>
      <c r="O377" t="n">
        <v>0</v>
      </c>
      <c r="P377" t="n">
        <v>0</v>
      </c>
      <c r="Q377" t="n">
        <v>0</v>
      </c>
      <c r="R377" s="2" t="inlineStr"/>
    </row>
    <row r="378" ht="15" customHeight="1">
      <c r="A378" t="inlineStr">
        <is>
          <t>A 27334-2020</t>
        </is>
      </c>
      <c r="B378" s="1" t="n">
        <v>43992</v>
      </c>
      <c r="C378" s="1" t="n">
        <v>45758</v>
      </c>
      <c r="D378" t="inlineStr">
        <is>
          <t>GOTLANDS LÄN</t>
        </is>
      </c>
      <c r="E378" t="inlineStr">
        <is>
          <t>GOTLAND</t>
        </is>
      </c>
      <c r="F378" t="inlineStr">
        <is>
          <t>Övriga statliga verk och myndigheter</t>
        </is>
      </c>
      <c r="G378" t="n">
        <v>5.4</v>
      </c>
      <c r="H378" t="n">
        <v>0</v>
      </c>
      <c r="I378" t="n">
        <v>0</v>
      </c>
      <c r="J378" t="n">
        <v>0</v>
      </c>
      <c r="K378" t="n">
        <v>0</v>
      </c>
      <c r="L378" t="n">
        <v>0</v>
      </c>
      <c r="M378" t="n">
        <v>0</v>
      </c>
      <c r="N378" t="n">
        <v>0</v>
      </c>
      <c r="O378" t="n">
        <v>0</v>
      </c>
      <c r="P378" t="n">
        <v>0</v>
      </c>
      <c r="Q378" t="n">
        <v>0</v>
      </c>
      <c r="R378" s="2" t="inlineStr"/>
    </row>
    <row r="379" ht="15" customHeight="1">
      <c r="A379" t="inlineStr">
        <is>
          <t>A 27723-2020</t>
        </is>
      </c>
      <c r="B379" s="1" t="n">
        <v>43994</v>
      </c>
      <c r="C379" s="1" t="n">
        <v>45758</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27719-2020</t>
        </is>
      </c>
      <c r="B380" s="1" t="n">
        <v>43994</v>
      </c>
      <c r="C380" s="1" t="n">
        <v>45758</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27713-2020</t>
        </is>
      </c>
      <c r="B381" s="1" t="n">
        <v>43994</v>
      </c>
      <c r="C381" s="1" t="n">
        <v>45758</v>
      </c>
      <c r="D381" t="inlineStr">
        <is>
          <t>GOTLANDS LÄN</t>
        </is>
      </c>
      <c r="E381" t="inlineStr">
        <is>
          <t>GOTLAND</t>
        </is>
      </c>
      <c r="F381" t="inlineStr">
        <is>
          <t>Övriga statliga verk och myndigheter</t>
        </is>
      </c>
      <c r="G381" t="n">
        <v>0.8</v>
      </c>
      <c r="H381" t="n">
        <v>0</v>
      </c>
      <c r="I381" t="n">
        <v>0</v>
      </c>
      <c r="J381" t="n">
        <v>0</v>
      </c>
      <c r="K381" t="n">
        <v>0</v>
      </c>
      <c r="L381" t="n">
        <v>0</v>
      </c>
      <c r="M381" t="n">
        <v>0</v>
      </c>
      <c r="N381" t="n">
        <v>0</v>
      </c>
      <c r="O381" t="n">
        <v>0</v>
      </c>
      <c r="P381" t="n">
        <v>0</v>
      </c>
      <c r="Q381" t="n">
        <v>0</v>
      </c>
      <c r="R381" s="2" t="inlineStr"/>
    </row>
    <row r="382" ht="15" customHeight="1">
      <c r="A382" t="inlineStr">
        <is>
          <t>A 29529-2020</t>
        </is>
      </c>
      <c r="B382" s="1" t="n">
        <v>44005</v>
      </c>
      <c r="C382" s="1" t="n">
        <v>45758</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29915-2020</t>
        </is>
      </c>
      <c r="B383" s="1" t="n">
        <v>44006</v>
      </c>
      <c r="C383" s="1" t="n">
        <v>45758</v>
      </c>
      <c r="D383" t="inlineStr">
        <is>
          <t>GOTLANDS LÄN</t>
        </is>
      </c>
      <c r="E383" t="inlineStr">
        <is>
          <t>GOTLAND</t>
        </is>
      </c>
      <c r="F383" t="inlineStr">
        <is>
          <t>Kommuner</t>
        </is>
      </c>
      <c r="G383" t="n">
        <v>5.8</v>
      </c>
      <c r="H383" t="n">
        <v>0</v>
      </c>
      <c r="I383" t="n">
        <v>0</v>
      </c>
      <c r="J383" t="n">
        <v>0</v>
      </c>
      <c r="K383" t="n">
        <v>0</v>
      </c>
      <c r="L383" t="n">
        <v>0</v>
      </c>
      <c r="M383" t="n">
        <v>0</v>
      </c>
      <c r="N383" t="n">
        <v>0</v>
      </c>
      <c r="O383" t="n">
        <v>0</v>
      </c>
      <c r="P383" t="n">
        <v>0</v>
      </c>
      <c r="Q383" t="n">
        <v>0</v>
      </c>
      <c r="R383" s="2" t="inlineStr"/>
    </row>
    <row r="384" ht="15" customHeight="1">
      <c r="A384" t="inlineStr">
        <is>
          <t>A 30980-2020</t>
        </is>
      </c>
      <c r="B384" s="1" t="n">
        <v>44011</v>
      </c>
      <c r="C384" s="1" t="n">
        <v>45758</v>
      </c>
      <c r="D384" t="inlineStr">
        <is>
          <t>GOTLANDS LÄN</t>
        </is>
      </c>
      <c r="E384" t="inlineStr">
        <is>
          <t>GOTLAND</t>
        </is>
      </c>
      <c r="G384" t="n">
        <v>17.9</v>
      </c>
      <c r="H384" t="n">
        <v>0</v>
      </c>
      <c r="I384" t="n">
        <v>0</v>
      </c>
      <c r="J384" t="n">
        <v>0</v>
      </c>
      <c r="K384" t="n">
        <v>0</v>
      </c>
      <c r="L384" t="n">
        <v>0</v>
      </c>
      <c r="M384" t="n">
        <v>0</v>
      </c>
      <c r="N384" t="n">
        <v>0</v>
      </c>
      <c r="O384" t="n">
        <v>0</v>
      </c>
      <c r="P384" t="n">
        <v>0</v>
      </c>
      <c r="Q384" t="n">
        <v>0</v>
      </c>
      <c r="R384" s="2" t="inlineStr"/>
    </row>
    <row r="385" ht="15" customHeight="1">
      <c r="A385" t="inlineStr">
        <is>
          <t>A 32804-2020</t>
        </is>
      </c>
      <c r="B385" s="1" t="n">
        <v>44018</v>
      </c>
      <c r="C385" s="1" t="n">
        <v>45758</v>
      </c>
      <c r="D385" t="inlineStr">
        <is>
          <t>GOTLANDS LÄN</t>
        </is>
      </c>
      <c r="E385" t="inlineStr">
        <is>
          <t>GOTLAND</t>
        </is>
      </c>
      <c r="G385" t="n">
        <v>19.3</v>
      </c>
      <c r="H385" t="n">
        <v>0</v>
      </c>
      <c r="I385" t="n">
        <v>0</v>
      </c>
      <c r="J385" t="n">
        <v>0</v>
      </c>
      <c r="K385" t="n">
        <v>0</v>
      </c>
      <c r="L385" t="n">
        <v>0</v>
      </c>
      <c r="M385" t="n">
        <v>0</v>
      </c>
      <c r="N385" t="n">
        <v>0</v>
      </c>
      <c r="O385" t="n">
        <v>0</v>
      </c>
      <c r="P385" t="n">
        <v>0</v>
      </c>
      <c r="Q385" t="n">
        <v>0</v>
      </c>
      <c r="R385" s="2" t="inlineStr"/>
    </row>
    <row r="386" ht="15" customHeight="1">
      <c r="A386" t="inlineStr">
        <is>
          <t>A 32974-2020</t>
        </is>
      </c>
      <c r="B386" s="1" t="n">
        <v>44020</v>
      </c>
      <c r="C386" s="1" t="n">
        <v>45758</v>
      </c>
      <c r="D386" t="inlineStr">
        <is>
          <t>GOTLANDS LÄN</t>
        </is>
      </c>
      <c r="E386" t="inlineStr">
        <is>
          <t>GOTLAND</t>
        </is>
      </c>
      <c r="F386" t="inlineStr">
        <is>
          <t>Kyrkan</t>
        </is>
      </c>
      <c r="G386" t="n">
        <v>0.7</v>
      </c>
      <c r="H386" t="n">
        <v>0</v>
      </c>
      <c r="I386" t="n">
        <v>0</v>
      </c>
      <c r="J386" t="n">
        <v>0</v>
      </c>
      <c r="K386" t="n">
        <v>0</v>
      </c>
      <c r="L386" t="n">
        <v>0</v>
      </c>
      <c r="M386" t="n">
        <v>0</v>
      </c>
      <c r="N386" t="n">
        <v>0</v>
      </c>
      <c r="O386" t="n">
        <v>0</v>
      </c>
      <c r="P386" t="n">
        <v>0</v>
      </c>
      <c r="Q386" t="n">
        <v>0</v>
      </c>
      <c r="R386" s="2" t="inlineStr"/>
    </row>
    <row r="387" ht="15" customHeight="1">
      <c r="A387" t="inlineStr">
        <is>
          <t>A 35074-2020</t>
        </is>
      </c>
      <c r="B387" s="1" t="n">
        <v>44039</v>
      </c>
      <c r="C387" s="1" t="n">
        <v>45758</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36073-2020</t>
        </is>
      </c>
      <c r="B388" s="1" t="n">
        <v>44048</v>
      </c>
      <c r="C388" s="1" t="n">
        <v>45758</v>
      </c>
      <c r="D388" t="inlineStr">
        <is>
          <t>GOTLANDS LÄN</t>
        </is>
      </c>
      <c r="E388" t="inlineStr">
        <is>
          <t>GOTLAND</t>
        </is>
      </c>
      <c r="G388" t="n">
        <v>10.1</v>
      </c>
      <c r="H388" t="n">
        <v>0</v>
      </c>
      <c r="I388" t="n">
        <v>0</v>
      </c>
      <c r="J388" t="n">
        <v>0</v>
      </c>
      <c r="K388" t="n">
        <v>0</v>
      </c>
      <c r="L388" t="n">
        <v>0</v>
      </c>
      <c r="M388" t="n">
        <v>0</v>
      </c>
      <c r="N388" t="n">
        <v>0</v>
      </c>
      <c r="O388" t="n">
        <v>0</v>
      </c>
      <c r="P388" t="n">
        <v>0</v>
      </c>
      <c r="Q388" t="n">
        <v>0</v>
      </c>
      <c r="R388" s="2" t="inlineStr"/>
    </row>
    <row r="389" ht="15" customHeight="1">
      <c r="A389" t="inlineStr">
        <is>
          <t>A 36076-2020</t>
        </is>
      </c>
      <c r="B389" s="1" t="n">
        <v>44048</v>
      </c>
      <c r="C389" s="1" t="n">
        <v>45758</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36284-2020</t>
        </is>
      </c>
      <c r="B390" s="1" t="n">
        <v>44049</v>
      </c>
      <c r="C390" s="1" t="n">
        <v>45758</v>
      </c>
      <c r="D390" t="inlineStr">
        <is>
          <t>GOTLANDS LÄN</t>
        </is>
      </c>
      <c r="E390" t="inlineStr">
        <is>
          <t>GOTLAND</t>
        </is>
      </c>
      <c r="G390" t="n">
        <v>3.3</v>
      </c>
      <c r="H390" t="n">
        <v>0</v>
      </c>
      <c r="I390" t="n">
        <v>0</v>
      </c>
      <c r="J390" t="n">
        <v>0</v>
      </c>
      <c r="K390" t="n">
        <v>0</v>
      </c>
      <c r="L390" t="n">
        <v>0</v>
      </c>
      <c r="M390" t="n">
        <v>0</v>
      </c>
      <c r="N390" t="n">
        <v>0</v>
      </c>
      <c r="O390" t="n">
        <v>0</v>
      </c>
      <c r="P390" t="n">
        <v>0</v>
      </c>
      <c r="Q390" t="n">
        <v>0</v>
      </c>
      <c r="R390" s="2" t="inlineStr"/>
    </row>
    <row r="391" ht="15" customHeight="1">
      <c r="A391" t="inlineStr">
        <is>
          <t>A 37204-2020</t>
        </is>
      </c>
      <c r="B391" s="1" t="n">
        <v>44054</v>
      </c>
      <c r="C391" s="1" t="n">
        <v>45758</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38709-2020</t>
        </is>
      </c>
      <c r="B392" s="1" t="n">
        <v>44061</v>
      </c>
      <c r="C392" s="1" t="n">
        <v>45758</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39477-2020</t>
        </is>
      </c>
      <c r="B393" s="1" t="n">
        <v>44064</v>
      </c>
      <c r="C393" s="1" t="n">
        <v>45758</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41109-2020</t>
        </is>
      </c>
      <c r="B394" s="1" t="n">
        <v>44069</v>
      </c>
      <c r="C394" s="1" t="n">
        <v>45758</v>
      </c>
      <c r="D394" t="inlineStr">
        <is>
          <t>GOTLANDS LÄN</t>
        </is>
      </c>
      <c r="E394" t="inlineStr">
        <is>
          <t>GOTLAND</t>
        </is>
      </c>
      <c r="G394" t="n">
        <v>2.5</v>
      </c>
      <c r="H394" t="n">
        <v>0</v>
      </c>
      <c r="I394" t="n">
        <v>0</v>
      </c>
      <c r="J394" t="n">
        <v>0</v>
      </c>
      <c r="K394" t="n">
        <v>0</v>
      </c>
      <c r="L394" t="n">
        <v>0</v>
      </c>
      <c r="M394" t="n">
        <v>0</v>
      </c>
      <c r="N394" t="n">
        <v>0</v>
      </c>
      <c r="O394" t="n">
        <v>0</v>
      </c>
      <c r="P394" t="n">
        <v>0</v>
      </c>
      <c r="Q394" t="n">
        <v>0</v>
      </c>
      <c r="R394" s="2" t="inlineStr"/>
    </row>
    <row r="395" ht="15" customHeight="1">
      <c r="A395" t="inlineStr">
        <is>
          <t>A 41576-2020</t>
        </is>
      </c>
      <c r="B395" s="1" t="n">
        <v>44074</v>
      </c>
      <c r="C395" s="1" t="n">
        <v>45758</v>
      </c>
      <c r="D395" t="inlineStr">
        <is>
          <t>GOTLANDS LÄN</t>
        </is>
      </c>
      <c r="E395" t="inlineStr">
        <is>
          <t>GOTLAND</t>
        </is>
      </c>
      <c r="G395" t="n">
        <v>8.4</v>
      </c>
      <c r="H395" t="n">
        <v>0</v>
      </c>
      <c r="I395" t="n">
        <v>0</v>
      </c>
      <c r="J395" t="n">
        <v>0</v>
      </c>
      <c r="K395" t="n">
        <v>0</v>
      </c>
      <c r="L395" t="n">
        <v>0</v>
      </c>
      <c r="M395" t="n">
        <v>0</v>
      </c>
      <c r="N395" t="n">
        <v>0</v>
      </c>
      <c r="O395" t="n">
        <v>0</v>
      </c>
      <c r="P395" t="n">
        <v>0</v>
      </c>
      <c r="Q395" t="n">
        <v>0</v>
      </c>
      <c r="R395" s="2" t="inlineStr"/>
    </row>
    <row r="396" ht="15" customHeight="1">
      <c r="A396" t="inlineStr">
        <is>
          <t>A 45921-2020</t>
        </is>
      </c>
      <c r="B396" s="1" t="n">
        <v>44088</v>
      </c>
      <c r="C396" s="1" t="n">
        <v>45758</v>
      </c>
      <c r="D396" t="inlineStr">
        <is>
          <t>GOTLANDS LÄN</t>
        </is>
      </c>
      <c r="E396" t="inlineStr">
        <is>
          <t>GOTLAND</t>
        </is>
      </c>
      <c r="G396" t="n">
        <v>6.5</v>
      </c>
      <c r="H396" t="n">
        <v>0</v>
      </c>
      <c r="I396" t="n">
        <v>0</v>
      </c>
      <c r="J396" t="n">
        <v>0</v>
      </c>
      <c r="K396" t="n">
        <v>0</v>
      </c>
      <c r="L396" t="n">
        <v>0</v>
      </c>
      <c r="M396" t="n">
        <v>0</v>
      </c>
      <c r="N396" t="n">
        <v>0</v>
      </c>
      <c r="O396" t="n">
        <v>0</v>
      </c>
      <c r="P396" t="n">
        <v>0</v>
      </c>
      <c r="Q396" t="n">
        <v>0</v>
      </c>
      <c r="R396" s="2" t="inlineStr"/>
    </row>
    <row r="397" ht="15" customHeight="1">
      <c r="A397" t="inlineStr">
        <is>
          <t>A 46019-2020</t>
        </is>
      </c>
      <c r="B397" s="1" t="n">
        <v>44091</v>
      </c>
      <c r="C397" s="1" t="n">
        <v>45758</v>
      </c>
      <c r="D397" t="inlineStr">
        <is>
          <t>GOTLANDS LÄN</t>
        </is>
      </c>
      <c r="E397" t="inlineStr">
        <is>
          <t>GOTLAND</t>
        </is>
      </c>
      <c r="G397" t="n">
        <v>1.8</v>
      </c>
      <c r="H397" t="n">
        <v>0</v>
      </c>
      <c r="I397" t="n">
        <v>0</v>
      </c>
      <c r="J397" t="n">
        <v>0</v>
      </c>
      <c r="K397" t="n">
        <v>0</v>
      </c>
      <c r="L397" t="n">
        <v>0</v>
      </c>
      <c r="M397" t="n">
        <v>0</v>
      </c>
      <c r="N397" t="n">
        <v>0</v>
      </c>
      <c r="O397" t="n">
        <v>0</v>
      </c>
      <c r="P397" t="n">
        <v>0</v>
      </c>
      <c r="Q397" t="n">
        <v>0</v>
      </c>
      <c r="R397" s="2" t="inlineStr"/>
    </row>
    <row r="398" ht="15" customHeight="1">
      <c r="A398" t="inlineStr">
        <is>
          <t>A 46778-2020</t>
        </is>
      </c>
      <c r="B398" s="1" t="n">
        <v>44096</v>
      </c>
      <c r="C398" s="1" t="n">
        <v>45758</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53641-2020</t>
        </is>
      </c>
      <c r="B399" s="1" t="n">
        <v>44124</v>
      </c>
      <c r="C399" s="1" t="n">
        <v>45758</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53665-2020</t>
        </is>
      </c>
      <c r="B400" s="1" t="n">
        <v>44124</v>
      </c>
      <c r="C400" s="1" t="n">
        <v>45758</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59052-2020</t>
        </is>
      </c>
      <c r="B401" s="1" t="n">
        <v>44147</v>
      </c>
      <c r="C401" s="1" t="n">
        <v>45758</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59630-2020</t>
        </is>
      </c>
      <c r="B402" s="1" t="n">
        <v>44150</v>
      </c>
      <c r="C402" s="1" t="n">
        <v>45758</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60356-2020</t>
        </is>
      </c>
      <c r="B403" s="1" t="n">
        <v>44152</v>
      </c>
      <c r="C403" s="1" t="n">
        <v>45758</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62120-2020</t>
        </is>
      </c>
      <c r="B404" s="1" t="n">
        <v>44158</v>
      </c>
      <c r="C404" s="1" t="n">
        <v>45758</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64380-2020</t>
        </is>
      </c>
      <c r="B405" s="1" t="n">
        <v>44168</v>
      </c>
      <c r="C405" s="1" t="n">
        <v>45758</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65126-2020</t>
        </is>
      </c>
      <c r="B406" s="1" t="n">
        <v>44168</v>
      </c>
      <c r="C406" s="1" t="n">
        <v>45758</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65537-2020</t>
        </is>
      </c>
      <c r="B407" s="1" t="n">
        <v>44173</v>
      </c>
      <c r="C407" s="1" t="n">
        <v>45758</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69643-2020</t>
        </is>
      </c>
      <c r="B408" s="1" t="n">
        <v>44195</v>
      </c>
      <c r="C408" s="1" t="n">
        <v>45758</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14-2021</t>
        </is>
      </c>
      <c r="B409" s="1" t="n">
        <v>44197</v>
      </c>
      <c r="C409" s="1" t="n">
        <v>45758</v>
      </c>
      <c r="D409" t="inlineStr">
        <is>
          <t>GOTLANDS LÄN</t>
        </is>
      </c>
      <c r="E409" t="inlineStr">
        <is>
          <t>GOTLAND</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1229-2021</t>
        </is>
      </c>
      <c r="B410" s="1" t="n">
        <v>44208</v>
      </c>
      <c r="C410" s="1" t="n">
        <v>45758</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2292-2021</t>
        </is>
      </c>
      <c r="B411" s="1" t="n">
        <v>44212</v>
      </c>
      <c r="C411" s="1" t="n">
        <v>45758</v>
      </c>
      <c r="D411" t="inlineStr">
        <is>
          <t>GOTLANDS LÄN</t>
        </is>
      </c>
      <c r="E411" t="inlineStr">
        <is>
          <t>GOTLAND</t>
        </is>
      </c>
      <c r="G411" t="n">
        <v>3</v>
      </c>
      <c r="H411" t="n">
        <v>0</v>
      </c>
      <c r="I411" t="n">
        <v>0</v>
      </c>
      <c r="J411" t="n">
        <v>0</v>
      </c>
      <c r="K411" t="n">
        <v>0</v>
      </c>
      <c r="L411" t="n">
        <v>0</v>
      </c>
      <c r="M411" t="n">
        <v>0</v>
      </c>
      <c r="N411" t="n">
        <v>0</v>
      </c>
      <c r="O411" t="n">
        <v>0</v>
      </c>
      <c r="P411" t="n">
        <v>0</v>
      </c>
      <c r="Q411" t="n">
        <v>0</v>
      </c>
      <c r="R411" s="2" t="inlineStr"/>
    </row>
    <row r="412" ht="15" customHeight="1">
      <c r="A412" t="inlineStr">
        <is>
          <t>A 2608-2021</t>
        </is>
      </c>
      <c r="B412" s="1" t="n">
        <v>44214</v>
      </c>
      <c r="C412" s="1" t="n">
        <v>45758</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3319-2021</t>
        </is>
      </c>
      <c r="B413" s="1" t="n">
        <v>44216</v>
      </c>
      <c r="C413" s="1" t="n">
        <v>45758</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3172-2021</t>
        </is>
      </c>
      <c r="B414" s="1" t="n">
        <v>44217</v>
      </c>
      <c r="C414" s="1" t="n">
        <v>45758</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3271-2021</t>
        </is>
      </c>
      <c r="B415" s="1" t="n">
        <v>44217</v>
      </c>
      <c r="C415" s="1" t="n">
        <v>45758</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8329-2021</t>
        </is>
      </c>
      <c r="B416" s="1" t="n">
        <v>44244</v>
      </c>
      <c r="C416" s="1" t="n">
        <v>45758</v>
      </c>
      <c r="D416" t="inlineStr">
        <is>
          <t>GOTLANDS LÄN</t>
        </is>
      </c>
      <c r="E416" t="inlineStr">
        <is>
          <t>GOTLAND</t>
        </is>
      </c>
      <c r="F416" t="inlineStr">
        <is>
          <t>Kyrkan</t>
        </is>
      </c>
      <c r="G416" t="n">
        <v>4.5</v>
      </c>
      <c r="H416" t="n">
        <v>0</v>
      </c>
      <c r="I416" t="n">
        <v>0</v>
      </c>
      <c r="J416" t="n">
        <v>0</v>
      </c>
      <c r="K416" t="n">
        <v>0</v>
      </c>
      <c r="L416" t="n">
        <v>0</v>
      </c>
      <c r="M416" t="n">
        <v>0</v>
      </c>
      <c r="N416" t="n">
        <v>0</v>
      </c>
      <c r="O416" t="n">
        <v>0</v>
      </c>
      <c r="P416" t="n">
        <v>0</v>
      </c>
      <c r="Q416" t="n">
        <v>0</v>
      </c>
      <c r="R416" s="2" t="inlineStr"/>
    </row>
    <row r="417" ht="15" customHeight="1">
      <c r="A417" t="inlineStr">
        <is>
          <t>A 8700-2021</t>
        </is>
      </c>
      <c r="B417" s="1" t="n">
        <v>44246</v>
      </c>
      <c r="C417" s="1" t="n">
        <v>45758</v>
      </c>
      <c r="D417" t="inlineStr">
        <is>
          <t>GOTLANDS LÄN</t>
        </is>
      </c>
      <c r="E417" t="inlineStr">
        <is>
          <t>GOTLAND</t>
        </is>
      </c>
      <c r="G417" t="n">
        <v>0.1</v>
      </c>
      <c r="H417" t="n">
        <v>0</v>
      </c>
      <c r="I417" t="n">
        <v>0</v>
      </c>
      <c r="J417" t="n">
        <v>0</v>
      </c>
      <c r="K417" t="n">
        <v>0</v>
      </c>
      <c r="L417" t="n">
        <v>0</v>
      </c>
      <c r="M417" t="n">
        <v>0</v>
      </c>
      <c r="N417" t="n">
        <v>0</v>
      </c>
      <c r="O417" t="n">
        <v>0</v>
      </c>
      <c r="P417" t="n">
        <v>0</v>
      </c>
      <c r="Q417" t="n">
        <v>0</v>
      </c>
      <c r="R417" s="2" t="inlineStr"/>
    </row>
    <row r="418" ht="15" customHeight="1">
      <c r="A418" t="inlineStr">
        <is>
          <t>A 11400-2021</t>
        </is>
      </c>
      <c r="B418" s="1" t="n">
        <v>44263</v>
      </c>
      <c r="C418" s="1" t="n">
        <v>45758</v>
      </c>
      <c r="D418" t="inlineStr">
        <is>
          <t>GOTLANDS LÄN</t>
        </is>
      </c>
      <c r="E418" t="inlineStr">
        <is>
          <t>GOTLAND</t>
        </is>
      </c>
      <c r="G418" t="n">
        <v>5.6</v>
      </c>
      <c r="H418" t="n">
        <v>0</v>
      </c>
      <c r="I418" t="n">
        <v>0</v>
      </c>
      <c r="J418" t="n">
        <v>0</v>
      </c>
      <c r="K418" t="n">
        <v>0</v>
      </c>
      <c r="L418" t="n">
        <v>0</v>
      </c>
      <c r="M418" t="n">
        <v>0</v>
      </c>
      <c r="N418" t="n">
        <v>0</v>
      </c>
      <c r="O418" t="n">
        <v>0</v>
      </c>
      <c r="P418" t="n">
        <v>0</v>
      </c>
      <c r="Q418" t="n">
        <v>0</v>
      </c>
      <c r="R418" s="2" t="inlineStr"/>
    </row>
    <row r="419" ht="15" customHeight="1">
      <c r="A419" t="inlineStr">
        <is>
          <t>A 11402-2021</t>
        </is>
      </c>
      <c r="B419" s="1" t="n">
        <v>44263</v>
      </c>
      <c r="C419" s="1" t="n">
        <v>45758</v>
      </c>
      <c r="D419" t="inlineStr">
        <is>
          <t>GOTLANDS LÄN</t>
        </is>
      </c>
      <c r="E419" t="inlineStr">
        <is>
          <t>GOTLAND</t>
        </is>
      </c>
      <c r="G419" t="n">
        <v>2.9</v>
      </c>
      <c r="H419" t="n">
        <v>0</v>
      </c>
      <c r="I419" t="n">
        <v>0</v>
      </c>
      <c r="J419" t="n">
        <v>0</v>
      </c>
      <c r="K419" t="n">
        <v>0</v>
      </c>
      <c r="L419" t="n">
        <v>0</v>
      </c>
      <c r="M419" t="n">
        <v>0</v>
      </c>
      <c r="N419" t="n">
        <v>0</v>
      </c>
      <c r="O419" t="n">
        <v>0</v>
      </c>
      <c r="P419" t="n">
        <v>0</v>
      </c>
      <c r="Q419" t="n">
        <v>0</v>
      </c>
      <c r="R419" s="2" t="inlineStr"/>
    </row>
    <row r="420" ht="15" customHeight="1">
      <c r="A420" t="inlineStr">
        <is>
          <t>A 12318-2021</t>
        </is>
      </c>
      <c r="B420" s="1" t="n">
        <v>44266</v>
      </c>
      <c r="C420" s="1" t="n">
        <v>45758</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13274-2021</t>
        </is>
      </c>
      <c r="B421" s="1" t="n">
        <v>44272</v>
      </c>
      <c r="C421" s="1" t="n">
        <v>45758</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14536-2021</t>
        </is>
      </c>
      <c r="B422" s="1" t="n">
        <v>44279</v>
      </c>
      <c r="C422" s="1" t="n">
        <v>45758</v>
      </c>
      <c r="D422" t="inlineStr">
        <is>
          <t>GOTLANDS LÄN</t>
        </is>
      </c>
      <c r="E422" t="inlineStr">
        <is>
          <t>GOTLAND</t>
        </is>
      </c>
      <c r="G422" t="n">
        <v>8.5</v>
      </c>
      <c r="H422" t="n">
        <v>0</v>
      </c>
      <c r="I422" t="n">
        <v>0</v>
      </c>
      <c r="J422" t="n">
        <v>0</v>
      </c>
      <c r="K422" t="n">
        <v>0</v>
      </c>
      <c r="L422" t="n">
        <v>0</v>
      </c>
      <c r="M422" t="n">
        <v>0</v>
      </c>
      <c r="N422" t="n">
        <v>0</v>
      </c>
      <c r="O422" t="n">
        <v>0</v>
      </c>
      <c r="P422" t="n">
        <v>0</v>
      </c>
      <c r="Q422" t="n">
        <v>0</v>
      </c>
      <c r="R422" s="2" t="inlineStr"/>
    </row>
    <row r="423" ht="15" customHeight="1">
      <c r="A423" t="inlineStr">
        <is>
          <t>A 14804-2021</t>
        </is>
      </c>
      <c r="B423" s="1" t="n">
        <v>44280</v>
      </c>
      <c r="C423" s="1" t="n">
        <v>45758</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15127-2021</t>
        </is>
      </c>
      <c r="B424" s="1" t="n">
        <v>44283</v>
      </c>
      <c r="C424" s="1" t="n">
        <v>45758</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16435-2021</t>
        </is>
      </c>
      <c r="B425" s="1" t="n">
        <v>44293</v>
      </c>
      <c r="C425" s="1" t="n">
        <v>45758</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17254-2021</t>
        </is>
      </c>
      <c r="B426" s="1" t="n">
        <v>44298</v>
      </c>
      <c r="C426" s="1" t="n">
        <v>45758</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17227-2021</t>
        </is>
      </c>
      <c r="B427" s="1" t="n">
        <v>44298</v>
      </c>
      <c r="C427" s="1" t="n">
        <v>45758</v>
      </c>
      <c r="D427" t="inlineStr">
        <is>
          <t>GOTLANDS LÄN</t>
        </is>
      </c>
      <c r="E427" t="inlineStr">
        <is>
          <t>GOTLAND</t>
        </is>
      </c>
      <c r="G427" t="n">
        <v>6.2</v>
      </c>
      <c r="H427" t="n">
        <v>0</v>
      </c>
      <c r="I427" t="n">
        <v>0</v>
      </c>
      <c r="J427" t="n">
        <v>0</v>
      </c>
      <c r="K427" t="n">
        <v>0</v>
      </c>
      <c r="L427" t="n">
        <v>0</v>
      </c>
      <c r="M427" t="n">
        <v>0</v>
      </c>
      <c r="N427" t="n">
        <v>0</v>
      </c>
      <c r="O427" t="n">
        <v>0</v>
      </c>
      <c r="P427" t="n">
        <v>0</v>
      </c>
      <c r="Q427" t="n">
        <v>0</v>
      </c>
      <c r="R427" s="2" t="inlineStr"/>
    </row>
    <row r="428" ht="15" customHeight="1">
      <c r="A428" t="inlineStr">
        <is>
          <t>A 17199-2021</t>
        </is>
      </c>
      <c r="B428" s="1" t="n">
        <v>44298</v>
      </c>
      <c r="C428" s="1" t="n">
        <v>45758</v>
      </c>
      <c r="D428" t="inlineStr">
        <is>
          <t>GOTLANDS LÄN</t>
        </is>
      </c>
      <c r="E428" t="inlineStr">
        <is>
          <t>GOTLAND</t>
        </is>
      </c>
      <c r="G428" t="n">
        <v>9.6</v>
      </c>
      <c r="H428" t="n">
        <v>0</v>
      </c>
      <c r="I428" t="n">
        <v>0</v>
      </c>
      <c r="J428" t="n">
        <v>0</v>
      </c>
      <c r="K428" t="n">
        <v>0</v>
      </c>
      <c r="L428" t="n">
        <v>0</v>
      </c>
      <c r="M428" t="n">
        <v>0</v>
      </c>
      <c r="N428" t="n">
        <v>0</v>
      </c>
      <c r="O428" t="n">
        <v>0</v>
      </c>
      <c r="P428" t="n">
        <v>0</v>
      </c>
      <c r="Q428" t="n">
        <v>0</v>
      </c>
      <c r="R428" s="2" t="inlineStr"/>
    </row>
    <row r="429" ht="15" customHeight="1">
      <c r="A429" t="inlineStr">
        <is>
          <t>A 17585-2021</t>
        </is>
      </c>
      <c r="B429" s="1" t="n">
        <v>44299</v>
      </c>
      <c r="C429" s="1" t="n">
        <v>45758</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17920-2021</t>
        </is>
      </c>
      <c r="B430" s="1" t="n">
        <v>44301</v>
      </c>
      <c r="C430" s="1" t="n">
        <v>45758</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18038-2021</t>
        </is>
      </c>
      <c r="B431" s="1" t="n">
        <v>44302</v>
      </c>
      <c r="C431" s="1" t="n">
        <v>45758</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19447-2021</t>
        </is>
      </c>
      <c r="B432" s="1" t="n">
        <v>44310</v>
      </c>
      <c r="C432" s="1" t="n">
        <v>45758</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19448-2021</t>
        </is>
      </c>
      <c r="B433" s="1" t="n">
        <v>44310</v>
      </c>
      <c r="C433" s="1" t="n">
        <v>45758</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19892-2021</t>
        </is>
      </c>
      <c r="B434" s="1" t="n">
        <v>44312</v>
      </c>
      <c r="C434" s="1" t="n">
        <v>45758</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19901-2021</t>
        </is>
      </c>
      <c r="B435" s="1" t="n">
        <v>44312</v>
      </c>
      <c r="C435" s="1" t="n">
        <v>45758</v>
      </c>
      <c r="D435" t="inlineStr">
        <is>
          <t>GOTLANDS LÄN</t>
        </is>
      </c>
      <c r="E435" t="inlineStr">
        <is>
          <t>GOTLAND</t>
        </is>
      </c>
      <c r="G435" t="n">
        <v>4.5</v>
      </c>
      <c r="H435" t="n">
        <v>0</v>
      </c>
      <c r="I435" t="n">
        <v>0</v>
      </c>
      <c r="J435" t="n">
        <v>0</v>
      </c>
      <c r="K435" t="n">
        <v>0</v>
      </c>
      <c r="L435" t="n">
        <v>0</v>
      </c>
      <c r="M435" t="n">
        <v>0</v>
      </c>
      <c r="N435" t="n">
        <v>0</v>
      </c>
      <c r="O435" t="n">
        <v>0</v>
      </c>
      <c r="P435" t="n">
        <v>0</v>
      </c>
      <c r="Q435" t="n">
        <v>0</v>
      </c>
      <c r="R435" s="2" t="inlineStr"/>
    </row>
    <row r="436" ht="15" customHeight="1">
      <c r="A436" t="inlineStr">
        <is>
          <t>A 19939-2021</t>
        </is>
      </c>
      <c r="B436" s="1" t="n">
        <v>44313</v>
      </c>
      <c r="C436" s="1" t="n">
        <v>45758</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20111-2021</t>
        </is>
      </c>
      <c r="B437" s="1" t="n">
        <v>44314</v>
      </c>
      <c r="C437" s="1" t="n">
        <v>45758</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21507-2021</t>
        </is>
      </c>
      <c r="B438" s="1" t="n">
        <v>44321</v>
      </c>
      <c r="C438" s="1" t="n">
        <v>45758</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22155-2021</t>
        </is>
      </c>
      <c r="B439" s="1" t="n">
        <v>44325</v>
      </c>
      <c r="C439" s="1" t="n">
        <v>45758</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23910-2021</t>
        </is>
      </c>
      <c r="B440" s="1" t="n">
        <v>44335</v>
      </c>
      <c r="C440" s="1" t="n">
        <v>45758</v>
      </c>
      <c r="D440" t="inlineStr">
        <is>
          <t>GOTLANDS LÄN</t>
        </is>
      </c>
      <c r="E440" t="inlineStr">
        <is>
          <t>GOTLAND</t>
        </is>
      </c>
      <c r="G440" t="n">
        <v>1.5</v>
      </c>
      <c r="H440" t="n">
        <v>0</v>
      </c>
      <c r="I440" t="n">
        <v>0</v>
      </c>
      <c r="J440" t="n">
        <v>0</v>
      </c>
      <c r="K440" t="n">
        <v>0</v>
      </c>
      <c r="L440" t="n">
        <v>0</v>
      </c>
      <c r="M440" t="n">
        <v>0</v>
      </c>
      <c r="N440" t="n">
        <v>0</v>
      </c>
      <c r="O440" t="n">
        <v>0</v>
      </c>
      <c r="P440" t="n">
        <v>0</v>
      </c>
      <c r="Q440" t="n">
        <v>0</v>
      </c>
      <c r="R440" s="2" t="inlineStr"/>
    </row>
    <row r="441" ht="15" customHeight="1">
      <c r="A441" t="inlineStr">
        <is>
          <t>A 24001-2021</t>
        </is>
      </c>
      <c r="B441" s="1" t="n">
        <v>44335</v>
      </c>
      <c r="C441" s="1" t="n">
        <v>45758</v>
      </c>
      <c r="D441" t="inlineStr">
        <is>
          <t>GOTLANDS LÄN</t>
        </is>
      </c>
      <c r="E441" t="inlineStr">
        <is>
          <t>GOTLAND</t>
        </is>
      </c>
      <c r="G441" t="n">
        <v>3.4</v>
      </c>
      <c r="H441" t="n">
        <v>0</v>
      </c>
      <c r="I441" t="n">
        <v>0</v>
      </c>
      <c r="J441" t="n">
        <v>0</v>
      </c>
      <c r="K441" t="n">
        <v>0</v>
      </c>
      <c r="L441" t="n">
        <v>0</v>
      </c>
      <c r="M441" t="n">
        <v>0</v>
      </c>
      <c r="N441" t="n">
        <v>0</v>
      </c>
      <c r="O441" t="n">
        <v>0</v>
      </c>
      <c r="P441" t="n">
        <v>0</v>
      </c>
      <c r="Q441" t="n">
        <v>0</v>
      </c>
      <c r="R441" s="2" t="inlineStr"/>
    </row>
    <row r="442" ht="15" customHeight="1">
      <c r="A442" t="inlineStr">
        <is>
          <t>A 26810-2021</t>
        </is>
      </c>
      <c r="B442" s="1" t="n">
        <v>44349</v>
      </c>
      <c r="C442" s="1" t="n">
        <v>45758</v>
      </c>
      <c r="D442" t="inlineStr">
        <is>
          <t>GOTLANDS LÄN</t>
        </is>
      </c>
      <c r="E442" t="inlineStr">
        <is>
          <t>GOTLAND</t>
        </is>
      </c>
      <c r="G442" t="n">
        <v>3.5</v>
      </c>
      <c r="H442" t="n">
        <v>0</v>
      </c>
      <c r="I442" t="n">
        <v>0</v>
      </c>
      <c r="J442" t="n">
        <v>0</v>
      </c>
      <c r="K442" t="n">
        <v>0</v>
      </c>
      <c r="L442" t="n">
        <v>0</v>
      </c>
      <c r="M442" t="n">
        <v>0</v>
      </c>
      <c r="N442" t="n">
        <v>0</v>
      </c>
      <c r="O442" t="n">
        <v>0</v>
      </c>
      <c r="P442" t="n">
        <v>0</v>
      </c>
      <c r="Q442" t="n">
        <v>0</v>
      </c>
      <c r="R442" s="2" t="inlineStr"/>
    </row>
    <row r="443" ht="15" customHeight="1">
      <c r="A443" t="inlineStr">
        <is>
          <t>A 26857-2021</t>
        </is>
      </c>
      <c r="B443" s="1" t="n">
        <v>44349</v>
      </c>
      <c r="C443" s="1" t="n">
        <v>45758</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26867-2021</t>
        </is>
      </c>
      <c r="B444" s="1" t="n">
        <v>44349</v>
      </c>
      <c r="C444" s="1" t="n">
        <v>45758</v>
      </c>
      <c r="D444" t="inlineStr">
        <is>
          <t>GOTLANDS LÄN</t>
        </is>
      </c>
      <c r="E444" t="inlineStr">
        <is>
          <t>GOTLAND</t>
        </is>
      </c>
      <c r="G444" t="n">
        <v>5.7</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45758</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30055-2021</t>
        </is>
      </c>
      <c r="B446" s="1" t="n">
        <v>44363</v>
      </c>
      <c r="C446" s="1" t="n">
        <v>45758</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31264-2021</t>
        </is>
      </c>
      <c r="B447" s="1" t="n">
        <v>44368</v>
      </c>
      <c r="C447" s="1" t="n">
        <v>45758</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31981-2021</t>
        </is>
      </c>
      <c r="B448" s="1" t="n">
        <v>44370</v>
      </c>
      <c r="C448" s="1" t="n">
        <v>45758</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32647-2021</t>
        </is>
      </c>
      <c r="B449" s="1" t="n">
        <v>44375</v>
      </c>
      <c r="C449" s="1" t="n">
        <v>45758</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32691-2021</t>
        </is>
      </c>
      <c r="B450" s="1" t="n">
        <v>44375</v>
      </c>
      <c r="C450" s="1" t="n">
        <v>45758</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32958-2021</t>
        </is>
      </c>
      <c r="B451" s="1" t="n">
        <v>44376</v>
      </c>
      <c r="C451" s="1" t="n">
        <v>45758</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36313-2021</t>
        </is>
      </c>
      <c r="B452" s="1" t="n">
        <v>44390</v>
      </c>
      <c r="C452" s="1" t="n">
        <v>45758</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37037-2021</t>
        </is>
      </c>
      <c r="B453" s="1" t="n">
        <v>44393</v>
      </c>
      <c r="C453" s="1" t="n">
        <v>45758</v>
      </c>
      <c r="D453" t="inlineStr">
        <is>
          <t>GOTLANDS LÄN</t>
        </is>
      </c>
      <c r="E453" t="inlineStr">
        <is>
          <t>GOTLAND</t>
        </is>
      </c>
      <c r="G453" t="n">
        <v>10.2</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45758</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42688-2021</t>
        </is>
      </c>
      <c r="B455" s="1" t="n">
        <v>44428</v>
      </c>
      <c r="C455" s="1" t="n">
        <v>45758</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44304-2021</t>
        </is>
      </c>
      <c r="B456" s="1" t="n">
        <v>44434</v>
      </c>
      <c r="C456" s="1" t="n">
        <v>45758</v>
      </c>
      <c r="D456" t="inlineStr">
        <is>
          <t>GOTLANDS LÄN</t>
        </is>
      </c>
      <c r="E456" t="inlineStr">
        <is>
          <t>GOTLAND</t>
        </is>
      </c>
      <c r="G456" t="n">
        <v>5.8</v>
      </c>
      <c r="H456" t="n">
        <v>0</v>
      </c>
      <c r="I456" t="n">
        <v>0</v>
      </c>
      <c r="J456" t="n">
        <v>0</v>
      </c>
      <c r="K456" t="n">
        <v>0</v>
      </c>
      <c r="L456" t="n">
        <v>0</v>
      </c>
      <c r="M456" t="n">
        <v>0</v>
      </c>
      <c r="N456" t="n">
        <v>0</v>
      </c>
      <c r="O456" t="n">
        <v>0</v>
      </c>
      <c r="P456" t="n">
        <v>0</v>
      </c>
      <c r="Q456" t="n">
        <v>0</v>
      </c>
      <c r="R456" s="2" t="inlineStr"/>
    </row>
    <row r="457" ht="15" customHeight="1">
      <c r="A457" t="inlineStr">
        <is>
          <t>A 44649-2021</t>
        </is>
      </c>
      <c r="B457" s="1" t="n">
        <v>44437</v>
      </c>
      <c r="C457" s="1" t="n">
        <v>45758</v>
      </c>
      <c r="D457" t="inlineStr">
        <is>
          <t>GOTLANDS LÄN</t>
        </is>
      </c>
      <c r="E457" t="inlineStr">
        <is>
          <t>GOTLAND</t>
        </is>
      </c>
      <c r="G457" t="n">
        <v>8.1</v>
      </c>
      <c r="H457" t="n">
        <v>0</v>
      </c>
      <c r="I457" t="n">
        <v>0</v>
      </c>
      <c r="J457" t="n">
        <v>0</v>
      </c>
      <c r="K457" t="n">
        <v>0</v>
      </c>
      <c r="L457" t="n">
        <v>0</v>
      </c>
      <c r="M457" t="n">
        <v>0</v>
      </c>
      <c r="N457" t="n">
        <v>0</v>
      </c>
      <c r="O457" t="n">
        <v>0</v>
      </c>
      <c r="P457" t="n">
        <v>0</v>
      </c>
      <c r="Q457" t="n">
        <v>0</v>
      </c>
      <c r="R457" s="2" t="inlineStr"/>
    </row>
    <row r="458" ht="15" customHeight="1">
      <c r="A458" t="inlineStr">
        <is>
          <t>A 46362-2021</t>
        </is>
      </c>
      <c r="B458" s="1" t="n">
        <v>44442</v>
      </c>
      <c r="C458" s="1" t="n">
        <v>45758</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46389-2021</t>
        </is>
      </c>
      <c r="B459" s="1" t="n">
        <v>44443</v>
      </c>
      <c r="C459" s="1" t="n">
        <v>45758</v>
      </c>
      <c r="D459" t="inlineStr">
        <is>
          <t>GOTLANDS LÄN</t>
        </is>
      </c>
      <c r="E459" t="inlineStr">
        <is>
          <t>GOTLAND</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47369-2021</t>
        </is>
      </c>
      <c r="B460" s="1" t="n">
        <v>44447</v>
      </c>
      <c r="C460" s="1" t="n">
        <v>45758</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50892-2021</t>
        </is>
      </c>
      <c r="B461" s="1" t="n">
        <v>44459</v>
      </c>
      <c r="C461" s="1" t="n">
        <v>45758</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v>
      </c>
      <c r="C462" s="1" t="n">
        <v>45758</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53479-2021</t>
        </is>
      </c>
      <c r="B463" s="1" t="n">
        <v>44468</v>
      </c>
      <c r="C463" s="1" t="n">
        <v>45758</v>
      </c>
      <c r="D463" t="inlineStr">
        <is>
          <t>GOTLANDS LÄN</t>
        </is>
      </c>
      <c r="E463" t="inlineStr">
        <is>
          <t>GOTLAND</t>
        </is>
      </c>
      <c r="G463" t="n">
        <v>8</v>
      </c>
      <c r="H463" t="n">
        <v>0</v>
      </c>
      <c r="I463" t="n">
        <v>0</v>
      </c>
      <c r="J463" t="n">
        <v>0</v>
      </c>
      <c r="K463" t="n">
        <v>0</v>
      </c>
      <c r="L463" t="n">
        <v>0</v>
      </c>
      <c r="M463" t="n">
        <v>0</v>
      </c>
      <c r="N463" t="n">
        <v>0</v>
      </c>
      <c r="O463" t="n">
        <v>0</v>
      </c>
      <c r="P463" t="n">
        <v>0</v>
      </c>
      <c r="Q463" t="n">
        <v>0</v>
      </c>
      <c r="R463" s="2" t="inlineStr"/>
    </row>
    <row r="464" ht="15" customHeight="1">
      <c r="A464" t="inlineStr">
        <is>
          <t>A 56951-2021</t>
        </is>
      </c>
      <c r="B464" s="1" t="n">
        <v>44482</v>
      </c>
      <c r="C464" s="1" t="n">
        <v>45758</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57219-2021</t>
        </is>
      </c>
      <c r="B465" s="1" t="n">
        <v>44483</v>
      </c>
      <c r="C465" s="1" t="n">
        <v>45758</v>
      </c>
      <c r="D465" t="inlineStr">
        <is>
          <t>GOTLANDS LÄN</t>
        </is>
      </c>
      <c r="E465" t="inlineStr">
        <is>
          <t>GOTLAND</t>
        </is>
      </c>
      <c r="F465" t="inlineStr">
        <is>
          <t>Kyrkan</t>
        </is>
      </c>
      <c r="G465" t="n">
        <v>4</v>
      </c>
      <c r="H465" t="n">
        <v>0</v>
      </c>
      <c r="I465" t="n">
        <v>0</v>
      </c>
      <c r="J465" t="n">
        <v>0</v>
      </c>
      <c r="K465" t="n">
        <v>0</v>
      </c>
      <c r="L465" t="n">
        <v>0</v>
      </c>
      <c r="M465" t="n">
        <v>0</v>
      </c>
      <c r="N465" t="n">
        <v>0</v>
      </c>
      <c r="O465" t="n">
        <v>0</v>
      </c>
      <c r="P465" t="n">
        <v>0</v>
      </c>
      <c r="Q465" t="n">
        <v>0</v>
      </c>
      <c r="R465" s="2" t="inlineStr"/>
    </row>
    <row r="466" ht="15" customHeight="1">
      <c r="A466" t="inlineStr">
        <is>
          <t>A 58224-2021</t>
        </is>
      </c>
      <c r="B466" s="1" t="n">
        <v>44487</v>
      </c>
      <c r="C466" s="1" t="n">
        <v>45758</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58600-2021</t>
        </is>
      </c>
      <c r="B467" s="1" t="n">
        <v>44488</v>
      </c>
      <c r="C467" s="1" t="n">
        <v>45758</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58815-2021</t>
        </is>
      </c>
      <c r="B468" s="1" t="n">
        <v>44489</v>
      </c>
      <c r="C468" s="1" t="n">
        <v>45758</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60607-2021</t>
        </is>
      </c>
      <c r="B469" s="1" t="n">
        <v>44496</v>
      </c>
      <c r="C469" s="1" t="n">
        <v>45758</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60675-2021</t>
        </is>
      </c>
      <c r="B470" s="1" t="n">
        <v>44496</v>
      </c>
      <c r="C470" s="1" t="n">
        <v>45758</v>
      </c>
      <c r="D470" t="inlineStr">
        <is>
          <t>GOTLANDS LÄN</t>
        </is>
      </c>
      <c r="E470" t="inlineStr">
        <is>
          <t>GOTLAND</t>
        </is>
      </c>
      <c r="G470" t="n">
        <v>4.6</v>
      </c>
      <c r="H470" t="n">
        <v>0</v>
      </c>
      <c r="I470" t="n">
        <v>0</v>
      </c>
      <c r="J470" t="n">
        <v>0</v>
      </c>
      <c r="K470" t="n">
        <v>0</v>
      </c>
      <c r="L470" t="n">
        <v>0</v>
      </c>
      <c r="M470" t="n">
        <v>0</v>
      </c>
      <c r="N470" t="n">
        <v>0</v>
      </c>
      <c r="O470" t="n">
        <v>0</v>
      </c>
      <c r="P470" t="n">
        <v>0</v>
      </c>
      <c r="Q470" t="n">
        <v>0</v>
      </c>
      <c r="R470" s="2" t="inlineStr"/>
    </row>
    <row r="471" ht="15" customHeight="1">
      <c r="A471" t="inlineStr">
        <is>
          <t>A 62915-2021</t>
        </is>
      </c>
      <c r="B471" s="1" t="n">
        <v>44504</v>
      </c>
      <c r="C471" s="1" t="n">
        <v>45758</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63229-2021</t>
        </is>
      </c>
      <c r="B472" s="1" t="n">
        <v>44508</v>
      </c>
      <c r="C472" s="1" t="n">
        <v>45758</v>
      </c>
      <c r="D472" t="inlineStr">
        <is>
          <t>GOTLANDS LÄN</t>
        </is>
      </c>
      <c r="E472" t="inlineStr">
        <is>
          <t>GOTLAND</t>
        </is>
      </c>
      <c r="F472" t="inlineStr">
        <is>
          <t>Kyrkan</t>
        </is>
      </c>
      <c r="G472" t="n">
        <v>3.8</v>
      </c>
      <c r="H472" t="n">
        <v>0</v>
      </c>
      <c r="I472" t="n">
        <v>0</v>
      </c>
      <c r="J472" t="n">
        <v>0</v>
      </c>
      <c r="K472" t="n">
        <v>0</v>
      </c>
      <c r="L472" t="n">
        <v>0</v>
      </c>
      <c r="M472" t="n">
        <v>0</v>
      </c>
      <c r="N472" t="n">
        <v>0</v>
      </c>
      <c r="O472" t="n">
        <v>0</v>
      </c>
      <c r="P472" t="n">
        <v>0</v>
      </c>
      <c r="Q472" t="n">
        <v>0</v>
      </c>
      <c r="R472" s="2" t="inlineStr"/>
    </row>
    <row r="473" ht="15" customHeight="1">
      <c r="A473" t="inlineStr">
        <is>
          <t>A 64208-2021</t>
        </is>
      </c>
      <c r="B473" s="1" t="n">
        <v>44510</v>
      </c>
      <c r="C473" s="1" t="n">
        <v>45758</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65393-2021</t>
        </is>
      </c>
      <c r="B474" s="1" t="n">
        <v>44515</v>
      </c>
      <c r="C474" s="1" t="n">
        <v>45758</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65901-2021</t>
        </is>
      </c>
      <c r="B475" s="1" t="n">
        <v>44516</v>
      </c>
      <c r="C475" s="1" t="n">
        <v>45758</v>
      </c>
      <c r="D475" t="inlineStr">
        <is>
          <t>GOTLANDS LÄN</t>
        </is>
      </c>
      <c r="E475" t="inlineStr">
        <is>
          <t>GOTLAND</t>
        </is>
      </c>
      <c r="G475" t="n">
        <v>4.9</v>
      </c>
      <c r="H475" t="n">
        <v>0</v>
      </c>
      <c r="I475" t="n">
        <v>0</v>
      </c>
      <c r="J475" t="n">
        <v>0</v>
      </c>
      <c r="K475" t="n">
        <v>0</v>
      </c>
      <c r="L475" t="n">
        <v>0</v>
      </c>
      <c r="M475" t="n">
        <v>0</v>
      </c>
      <c r="N475" t="n">
        <v>0</v>
      </c>
      <c r="O475" t="n">
        <v>0</v>
      </c>
      <c r="P475" t="n">
        <v>0</v>
      </c>
      <c r="Q475" t="n">
        <v>0</v>
      </c>
      <c r="R475" s="2" t="inlineStr"/>
    </row>
    <row r="476" ht="15" customHeight="1">
      <c r="A476" t="inlineStr">
        <is>
          <t>A 69112-2021</t>
        </is>
      </c>
      <c r="B476" s="1" t="n">
        <v>44530</v>
      </c>
      <c r="C476" s="1" t="n">
        <v>45758</v>
      </c>
      <c r="D476" t="inlineStr">
        <is>
          <t>GOTLANDS LÄN</t>
        </is>
      </c>
      <c r="E476" t="inlineStr">
        <is>
          <t>GOTLAND</t>
        </is>
      </c>
      <c r="G476" t="n">
        <v>4.2</v>
      </c>
      <c r="H476" t="n">
        <v>0</v>
      </c>
      <c r="I476" t="n">
        <v>0</v>
      </c>
      <c r="J476" t="n">
        <v>0</v>
      </c>
      <c r="K476" t="n">
        <v>0</v>
      </c>
      <c r="L476" t="n">
        <v>0</v>
      </c>
      <c r="M476" t="n">
        <v>0</v>
      </c>
      <c r="N476" t="n">
        <v>0</v>
      </c>
      <c r="O476" t="n">
        <v>0</v>
      </c>
      <c r="P476" t="n">
        <v>0</v>
      </c>
      <c r="Q476" t="n">
        <v>0</v>
      </c>
      <c r="R476" s="2" t="inlineStr"/>
    </row>
    <row r="477" ht="15" customHeight="1">
      <c r="A477" t="inlineStr">
        <is>
          <t>A 70997-2021</t>
        </is>
      </c>
      <c r="B477" s="1" t="n">
        <v>44538</v>
      </c>
      <c r="C477" s="1" t="n">
        <v>45758</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71010-2021</t>
        </is>
      </c>
      <c r="B478" s="1" t="n">
        <v>44538</v>
      </c>
      <c r="C478" s="1" t="n">
        <v>45758</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71620-2021</t>
        </is>
      </c>
      <c r="B479" s="1" t="n">
        <v>44542</v>
      </c>
      <c r="C479" s="1" t="n">
        <v>45758</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72626-2021</t>
        </is>
      </c>
      <c r="B480" s="1" t="n">
        <v>44546</v>
      </c>
      <c r="C480" s="1" t="n">
        <v>45758</v>
      </c>
      <c r="D480" t="inlineStr">
        <is>
          <t>GOTLANDS LÄN</t>
        </is>
      </c>
      <c r="E480" t="inlineStr">
        <is>
          <t>GOTLAND</t>
        </is>
      </c>
      <c r="G480" t="n">
        <v>7.3</v>
      </c>
      <c r="H480" t="n">
        <v>0</v>
      </c>
      <c r="I480" t="n">
        <v>0</v>
      </c>
      <c r="J480" t="n">
        <v>0</v>
      </c>
      <c r="K480" t="n">
        <v>0</v>
      </c>
      <c r="L480" t="n">
        <v>0</v>
      </c>
      <c r="M480" t="n">
        <v>0</v>
      </c>
      <c r="N480" t="n">
        <v>0</v>
      </c>
      <c r="O480" t="n">
        <v>0</v>
      </c>
      <c r="P480" t="n">
        <v>0</v>
      </c>
      <c r="Q480" t="n">
        <v>0</v>
      </c>
      <c r="R480" s="2" t="inlineStr"/>
    </row>
    <row r="481" ht="15" customHeight="1">
      <c r="A481" t="inlineStr">
        <is>
          <t>A 411-2022</t>
        </is>
      </c>
      <c r="B481" s="1" t="n">
        <v>44565</v>
      </c>
      <c r="C481" s="1" t="n">
        <v>45758</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4262-2022</t>
        </is>
      </c>
      <c r="B482" s="1" t="n">
        <v>44588</v>
      </c>
      <c r="C482" s="1" t="n">
        <v>45758</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8055-2022</t>
        </is>
      </c>
      <c r="B483" s="1" t="n">
        <v>44609</v>
      </c>
      <c r="C483" s="1" t="n">
        <v>45758</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8036-2022</t>
        </is>
      </c>
      <c r="B484" s="1" t="n">
        <v>44609</v>
      </c>
      <c r="C484" s="1" t="n">
        <v>45758</v>
      </c>
      <c r="D484" t="inlineStr">
        <is>
          <t>GOTLANDS LÄN</t>
        </is>
      </c>
      <c r="E484" t="inlineStr">
        <is>
          <t>GOTLAND</t>
        </is>
      </c>
      <c r="G484" t="n">
        <v>6.1</v>
      </c>
      <c r="H484" t="n">
        <v>0</v>
      </c>
      <c r="I484" t="n">
        <v>0</v>
      </c>
      <c r="J484" t="n">
        <v>0</v>
      </c>
      <c r="K484" t="n">
        <v>0</v>
      </c>
      <c r="L484" t="n">
        <v>0</v>
      </c>
      <c r="M484" t="n">
        <v>0</v>
      </c>
      <c r="N484" t="n">
        <v>0</v>
      </c>
      <c r="O484" t="n">
        <v>0</v>
      </c>
      <c r="P484" t="n">
        <v>0</v>
      </c>
      <c r="Q484" t="n">
        <v>0</v>
      </c>
      <c r="R484" s="2" t="inlineStr"/>
    </row>
    <row r="485" ht="15" customHeight="1">
      <c r="A485" t="inlineStr">
        <is>
          <t>A 8045-2022</t>
        </is>
      </c>
      <c r="B485" s="1" t="n">
        <v>44609</v>
      </c>
      <c r="C485" s="1" t="n">
        <v>45758</v>
      </c>
      <c r="D485" t="inlineStr">
        <is>
          <t>GOTLANDS LÄN</t>
        </is>
      </c>
      <c r="E485" t="inlineStr">
        <is>
          <t>GOTLAND</t>
        </is>
      </c>
      <c r="G485" t="n">
        <v>7</v>
      </c>
      <c r="H485" t="n">
        <v>0</v>
      </c>
      <c r="I485" t="n">
        <v>0</v>
      </c>
      <c r="J485" t="n">
        <v>0</v>
      </c>
      <c r="K485" t="n">
        <v>0</v>
      </c>
      <c r="L485" t="n">
        <v>0</v>
      </c>
      <c r="M485" t="n">
        <v>0</v>
      </c>
      <c r="N485" t="n">
        <v>0</v>
      </c>
      <c r="O485" t="n">
        <v>0</v>
      </c>
      <c r="P485" t="n">
        <v>0</v>
      </c>
      <c r="Q485" t="n">
        <v>0</v>
      </c>
      <c r="R485" s="2" t="inlineStr"/>
    </row>
    <row r="486" ht="15" customHeight="1">
      <c r="A486" t="inlineStr">
        <is>
          <t>A 10650-2022</t>
        </is>
      </c>
      <c r="B486" s="1" t="n">
        <v>44624</v>
      </c>
      <c r="C486" s="1" t="n">
        <v>45758</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11029-2022</t>
        </is>
      </c>
      <c r="B487" s="1" t="n">
        <v>44628</v>
      </c>
      <c r="C487" s="1" t="n">
        <v>45758</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13498-2022</t>
        </is>
      </c>
      <c r="B488" s="1" t="n">
        <v>44647</v>
      </c>
      <c r="C488" s="1" t="n">
        <v>45758</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13500-2022</t>
        </is>
      </c>
      <c r="B489" s="1" t="n">
        <v>44647</v>
      </c>
      <c r="C489" s="1" t="n">
        <v>45758</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13643-2022</t>
        </is>
      </c>
      <c r="B490" s="1" t="n">
        <v>44648</v>
      </c>
      <c r="C490" s="1" t="n">
        <v>45758</v>
      </c>
      <c r="D490" t="inlineStr">
        <is>
          <t>GOTLANDS LÄN</t>
        </is>
      </c>
      <c r="E490" t="inlineStr">
        <is>
          <t>GOTLAND</t>
        </is>
      </c>
      <c r="G490" t="n">
        <v>1.5</v>
      </c>
      <c r="H490" t="n">
        <v>0</v>
      </c>
      <c r="I490" t="n">
        <v>0</v>
      </c>
      <c r="J490" t="n">
        <v>0</v>
      </c>
      <c r="K490" t="n">
        <v>0</v>
      </c>
      <c r="L490" t="n">
        <v>0</v>
      </c>
      <c r="M490" t="n">
        <v>0</v>
      </c>
      <c r="N490" t="n">
        <v>0</v>
      </c>
      <c r="O490" t="n">
        <v>0</v>
      </c>
      <c r="P490" t="n">
        <v>0</v>
      </c>
      <c r="Q490" t="n">
        <v>0</v>
      </c>
      <c r="R490" s="2" t="inlineStr"/>
    </row>
    <row r="491" ht="15" customHeight="1">
      <c r="A491" t="inlineStr">
        <is>
          <t>A 14413-2022</t>
        </is>
      </c>
      <c r="B491" s="1" t="n">
        <v>44652</v>
      </c>
      <c r="C491" s="1" t="n">
        <v>45758</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15713-2022</t>
        </is>
      </c>
      <c r="B492" s="1" t="n">
        <v>44663</v>
      </c>
      <c r="C492" s="1" t="n">
        <v>45758</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15710-2022</t>
        </is>
      </c>
      <c r="B493" s="1" t="n">
        <v>44663</v>
      </c>
      <c r="C493" s="1" t="n">
        <v>45758</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16858-2022</t>
        </is>
      </c>
      <c r="B494" s="1" t="n">
        <v>44674</v>
      </c>
      <c r="C494" s="1" t="n">
        <v>45758</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17147-2022</t>
        </is>
      </c>
      <c r="B495" s="1" t="n">
        <v>44677</v>
      </c>
      <c r="C495" s="1" t="n">
        <v>45758</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17354-2022</t>
        </is>
      </c>
      <c r="B496" s="1" t="n">
        <v>44678</v>
      </c>
      <c r="C496" s="1" t="n">
        <v>45758</v>
      </c>
      <c r="D496" t="inlineStr">
        <is>
          <t>GOTLANDS LÄN</t>
        </is>
      </c>
      <c r="E496" t="inlineStr">
        <is>
          <t>GOTLAND</t>
        </is>
      </c>
      <c r="G496" t="n">
        <v>7.1</v>
      </c>
      <c r="H496" t="n">
        <v>0</v>
      </c>
      <c r="I496" t="n">
        <v>0</v>
      </c>
      <c r="J496" t="n">
        <v>0</v>
      </c>
      <c r="K496" t="n">
        <v>0</v>
      </c>
      <c r="L496" t="n">
        <v>0</v>
      </c>
      <c r="M496" t="n">
        <v>0</v>
      </c>
      <c r="N496" t="n">
        <v>0</v>
      </c>
      <c r="O496" t="n">
        <v>0</v>
      </c>
      <c r="P496" t="n">
        <v>0</v>
      </c>
      <c r="Q496" t="n">
        <v>0</v>
      </c>
      <c r="R496" s="2" t="inlineStr"/>
    </row>
    <row r="497" ht="15" customHeight="1">
      <c r="A497" t="inlineStr">
        <is>
          <t>A 17381-2022</t>
        </is>
      </c>
      <c r="B497" s="1" t="n">
        <v>44678</v>
      </c>
      <c r="C497" s="1" t="n">
        <v>45758</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17780-2022</t>
        </is>
      </c>
      <c r="B498" s="1" t="n">
        <v>44682</v>
      </c>
      <c r="C498" s="1" t="n">
        <v>45758</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20165-2022</t>
        </is>
      </c>
      <c r="B499" s="1" t="n">
        <v>44698</v>
      </c>
      <c r="C499" s="1" t="n">
        <v>45758</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45758</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20990-2022</t>
        </is>
      </c>
      <c r="B501" s="1" t="n">
        <v>44703</v>
      </c>
      <c r="C501" s="1" t="n">
        <v>45758</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20993-2022</t>
        </is>
      </c>
      <c r="B502" s="1" t="n">
        <v>44703</v>
      </c>
      <c r="C502" s="1" t="n">
        <v>45758</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21247-2022</t>
        </is>
      </c>
      <c r="B503" s="1" t="n">
        <v>44705</v>
      </c>
      <c r="C503" s="1" t="n">
        <v>45758</v>
      </c>
      <c r="D503" t="inlineStr">
        <is>
          <t>GOTLANDS LÄN</t>
        </is>
      </c>
      <c r="E503" t="inlineStr">
        <is>
          <t>GOTLAND</t>
        </is>
      </c>
      <c r="G503" t="n">
        <v>16.2</v>
      </c>
      <c r="H503" t="n">
        <v>0</v>
      </c>
      <c r="I503" t="n">
        <v>0</v>
      </c>
      <c r="J503" t="n">
        <v>0</v>
      </c>
      <c r="K503" t="n">
        <v>0</v>
      </c>
      <c r="L503" t="n">
        <v>0</v>
      </c>
      <c r="M503" t="n">
        <v>0</v>
      </c>
      <c r="N503" t="n">
        <v>0</v>
      </c>
      <c r="O503" t="n">
        <v>0</v>
      </c>
      <c r="P503" t="n">
        <v>0</v>
      </c>
      <c r="Q503" t="n">
        <v>0</v>
      </c>
      <c r="R503" s="2" t="inlineStr"/>
    </row>
    <row r="504" ht="15" customHeight="1">
      <c r="A504" t="inlineStr">
        <is>
          <t>A 22287-2022</t>
        </is>
      </c>
      <c r="B504" s="1" t="n">
        <v>44712</v>
      </c>
      <c r="C504" s="1" t="n">
        <v>45758</v>
      </c>
      <c r="D504" t="inlineStr">
        <is>
          <t>GOTLANDS LÄN</t>
        </is>
      </c>
      <c r="E504" t="inlineStr">
        <is>
          <t>GOTLAND</t>
        </is>
      </c>
      <c r="G504" t="n">
        <v>6.1</v>
      </c>
      <c r="H504" t="n">
        <v>0</v>
      </c>
      <c r="I504" t="n">
        <v>0</v>
      </c>
      <c r="J504" t="n">
        <v>0</v>
      </c>
      <c r="K504" t="n">
        <v>0</v>
      </c>
      <c r="L504" t="n">
        <v>0</v>
      </c>
      <c r="M504" t="n">
        <v>0</v>
      </c>
      <c r="N504" t="n">
        <v>0</v>
      </c>
      <c r="O504" t="n">
        <v>0</v>
      </c>
      <c r="P504" t="n">
        <v>0</v>
      </c>
      <c r="Q504" t="n">
        <v>0</v>
      </c>
      <c r="R504" s="2" t="inlineStr"/>
    </row>
    <row r="505" ht="15" customHeight="1">
      <c r="A505" t="inlineStr">
        <is>
          <t>A 22498-2022</t>
        </is>
      </c>
      <c r="B505" s="1" t="n">
        <v>44713</v>
      </c>
      <c r="C505" s="1" t="n">
        <v>45758</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22495-2022</t>
        </is>
      </c>
      <c r="B506" s="1" t="n">
        <v>44713</v>
      </c>
      <c r="C506" s="1" t="n">
        <v>45758</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24123-2022</t>
        </is>
      </c>
      <c r="B507" s="1" t="n">
        <v>44725</v>
      </c>
      <c r="C507" s="1" t="n">
        <v>45758</v>
      </c>
      <c r="D507" t="inlineStr">
        <is>
          <t>GOTLANDS LÄN</t>
        </is>
      </c>
      <c r="E507" t="inlineStr">
        <is>
          <t>GOTLAND</t>
        </is>
      </c>
      <c r="G507" t="n">
        <v>6</v>
      </c>
      <c r="H507" t="n">
        <v>0</v>
      </c>
      <c r="I507" t="n">
        <v>0</v>
      </c>
      <c r="J507" t="n">
        <v>0</v>
      </c>
      <c r="K507" t="n">
        <v>0</v>
      </c>
      <c r="L507" t="n">
        <v>0</v>
      </c>
      <c r="M507" t="n">
        <v>0</v>
      </c>
      <c r="N507" t="n">
        <v>0</v>
      </c>
      <c r="O507" t="n">
        <v>0</v>
      </c>
      <c r="P507" t="n">
        <v>0</v>
      </c>
      <c r="Q507" t="n">
        <v>0</v>
      </c>
      <c r="R507" s="2" t="inlineStr"/>
    </row>
    <row r="508" ht="15" customHeight="1">
      <c r="A508" t="inlineStr">
        <is>
          <t>A 24235-2022</t>
        </is>
      </c>
      <c r="B508" s="1" t="n">
        <v>44725</v>
      </c>
      <c r="C508" s="1" t="n">
        <v>45758</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45758</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27095-2022</t>
        </is>
      </c>
      <c r="B510" s="1" t="n">
        <v>44741</v>
      </c>
      <c r="C510" s="1" t="n">
        <v>45758</v>
      </c>
      <c r="D510" t="inlineStr">
        <is>
          <t>GOTLANDS LÄN</t>
        </is>
      </c>
      <c r="E510" t="inlineStr">
        <is>
          <t>GOTLAND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29809-2022</t>
        </is>
      </c>
      <c r="B511" s="1" t="n">
        <v>44755</v>
      </c>
      <c r="C511" s="1" t="n">
        <v>45758</v>
      </c>
      <c r="D511" t="inlineStr">
        <is>
          <t>GOTLANDS LÄN</t>
        </is>
      </c>
      <c r="E511" t="inlineStr">
        <is>
          <t>GOTLAND</t>
        </is>
      </c>
      <c r="G511" t="n">
        <v>11.5</v>
      </c>
      <c r="H511" t="n">
        <v>0</v>
      </c>
      <c r="I511" t="n">
        <v>0</v>
      </c>
      <c r="J511" t="n">
        <v>0</v>
      </c>
      <c r="K511" t="n">
        <v>0</v>
      </c>
      <c r="L511" t="n">
        <v>0</v>
      </c>
      <c r="M511" t="n">
        <v>0</v>
      </c>
      <c r="N511" t="n">
        <v>0</v>
      </c>
      <c r="O511" t="n">
        <v>0</v>
      </c>
      <c r="P511" t="n">
        <v>0</v>
      </c>
      <c r="Q511" t="n">
        <v>0</v>
      </c>
      <c r="R511" s="2" t="inlineStr"/>
    </row>
    <row r="512" ht="15" customHeight="1">
      <c r="A512" t="inlineStr">
        <is>
          <t>A 30282-2022</t>
        </is>
      </c>
      <c r="B512" s="1" t="n">
        <v>44760</v>
      </c>
      <c r="C512" s="1" t="n">
        <v>45758</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31239-2022</t>
        </is>
      </c>
      <c r="B513" s="1" t="n">
        <v>44771</v>
      </c>
      <c r="C513" s="1" t="n">
        <v>45758</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37569-2022</t>
        </is>
      </c>
      <c r="B514" s="1" t="n">
        <v>44809</v>
      </c>
      <c r="C514" s="1" t="n">
        <v>45758</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39302-2022</t>
        </is>
      </c>
      <c r="B515" s="1" t="n">
        <v>44817</v>
      </c>
      <c r="C515" s="1" t="n">
        <v>45758</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39496-2022</t>
        </is>
      </c>
      <c r="B516" s="1" t="n">
        <v>44818</v>
      </c>
      <c r="C516" s="1" t="n">
        <v>45758</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39479-2022</t>
        </is>
      </c>
      <c r="B517" s="1" t="n">
        <v>44818</v>
      </c>
      <c r="C517" s="1" t="n">
        <v>45758</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39764-2022</t>
        </is>
      </c>
      <c r="B518" s="1" t="n">
        <v>44819</v>
      </c>
      <c r="C518" s="1" t="n">
        <v>45758</v>
      </c>
      <c r="D518" t="inlineStr">
        <is>
          <t>GOTLANDS LÄN</t>
        </is>
      </c>
      <c r="E518" t="inlineStr">
        <is>
          <t>GOTLAND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40294-2022</t>
        </is>
      </c>
      <c r="B519" s="1" t="n">
        <v>44821</v>
      </c>
      <c r="C519" s="1" t="n">
        <v>45758</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40478-2022</t>
        </is>
      </c>
      <c r="B520" s="1" t="n">
        <v>44823</v>
      </c>
      <c r="C520" s="1" t="n">
        <v>45758</v>
      </c>
      <c r="D520" t="inlineStr">
        <is>
          <t>GOTLANDS LÄN</t>
        </is>
      </c>
      <c r="E520" t="inlineStr">
        <is>
          <t>GOTLAND</t>
        </is>
      </c>
      <c r="G520" t="n">
        <v>6.3</v>
      </c>
      <c r="H520" t="n">
        <v>0</v>
      </c>
      <c r="I520" t="n">
        <v>0</v>
      </c>
      <c r="J520" t="n">
        <v>0</v>
      </c>
      <c r="K520" t="n">
        <v>0</v>
      </c>
      <c r="L520" t="n">
        <v>0</v>
      </c>
      <c r="M520" t="n">
        <v>0</v>
      </c>
      <c r="N520" t="n">
        <v>0</v>
      </c>
      <c r="O520" t="n">
        <v>0</v>
      </c>
      <c r="P520" t="n">
        <v>0</v>
      </c>
      <c r="Q520" t="n">
        <v>0</v>
      </c>
      <c r="R520" s="2" t="inlineStr"/>
    </row>
    <row r="521" ht="15" customHeight="1">
      <c r="A521" t="inlineStr">
        <is>
          <t>A 43081-2022</t>
        </is>
      </c>
      <c r="B521" s="1" t="n">
        <v>44833</v>
      </c>
      <c r="C521" s="1" t="n">
        <v>45758</v>
      </c>
      <c r="D521" t="inlineStr">
        <is>
          <t>GOTLANDS LÄN</t>
        </is>
      </c>
      <c r="E521" t="inlineStr">
        <is>
          <t>GOTLAND</t>
        </is>
      </c>
      <c r="G521" t="n">
        <v>6.8</v>
      </c>
      <c r="H521" t="n">
        <v>0</v>
      </c>
      <c r="I521" t="n">
        <v>0</v>
      </c>
      <c r="J521" t="n">
        <v>0</v>
      </c>
      <c r="K521" t="n">
        <v>0</v>
      </c>
      <c r="L521" t="n">
        <v>0</v>
      </c>
      <c r="M521" t="n">
        <v>0</v>
      </c>
      <c r="N521" t="n">
        <v>0</v>
      </c>
      <c r="O521" t="n">
        <v>0</v>
      </c>
      <c r="P521" t="n">
        <v>0</v>
      </c>
      <c r="Q521" t="n">
        <v>0</v>
      </c>
      <c r="R521" s="2" t="inlineStr"/>
    </row>
    <row r="522" ht="15" customHeight="1">
      <c r="A522" t="inlineStr">
        <is>
          <t>A 44102-2022</t>
        </is>
      </c>
      <c r="B522" s="1" t="n">
        <v>44839</v>
      </c>
      <c r="C522" s="1" t="n">
        <v>45758</v>
      </c>
      <c r="D522" t="inlineStr">
        <is>
          <t>GOTLANDS LÄN</t>
        </is>
      </c>
      <c r="E522" t="inlineStr">
        <is>
          <t>GOTLAND</t>
        </is>
      </c>
      <c r="G522" t="n">
        <v>4.2</v>
      </c>
      <c r="H522" t="n">
        <v>0</v>
      </c>
      <c r="I522" t="n">
        <v>0</v>
      </c>
      <c r="J522" t="n">
        <v>0</v>
      </c>
      <c r="K522" t="n">
        <v>0</v>
      </c>
      <c r="L522" t="n">
        <v>0</v>
      </c>
      <c r="M522" t="n">
        <v>0</v>
      </c>
      <c r="N522" t="n">
        <v>0</v>
      </c>
      <c r="O522" t="n">
        <v>0</v>
      </c>
      <c r="P522" t="n">
        <v>0</v>
      </c>
      <c r="Q522" t="n">
        <v>0</v>
      </c>
      <c r="R522" s="2" t="inlineStr"/>
    </row>
    <row r="523" ht="15" customHeight="1">
      <c r="A523" t="inlineStr">
        <is>
          <t>A 44108-2022</t>
        </is>
      </c>
      <c r="B523" s="1" t="n">
        <v>44839</v>
      </c>
      <c r="C523" s="1" t="n">
        <v>45758</v>
      </c>
      <c r="D523" t="inlineStr">
        <is>
          <t>GOTLANDS LÄN</t>
        </is>
      </c>
      <c r="E523" t="inlineStr">
        <is>
          <t>GOTLAND</t>
        </is>
      </c>
      <c r="G523" t="n">
        <v>12.9</v>
      </c>
      <c r="H523" t="n">
        <v>0</v>
      </c>
      <c r="I523" t="n">
        <v>0</v>
      </c>
      <c r="J523" t="n">
        <v>0</v>
      </c>
      <c r="K523" t="n">
        <v>0</v>
      </c>
      <c r="L523" t="n">
        <v>0</v>
      </c>
      <c r="M523" t="n">
        <v>0</v>
      </c>
      <c r="N523" t="n">
        <v>0</v>
      </c>
      <c r="O523" t="n">
        <v>0</v>
      </c>
      <c r="P523" t="n">
        <v>0</v>
      </c>
      <c r="Q523" t="n">
        <v>0</v>
      </c>
      <c r="R523" s="2" t="inlineStr"/>
    </row>
    <row r="524" ht="15" customHeight="1">
      <c r="A524" t="inlineStr">
        <is>
          <t>A 44207-2022</t>
        </is>
      </c>
      <c r="B524" s="1" t="n">
        <v>44839</v>
      </c>
      <c r="C524" s="1" t="n">
        <v>45758</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44204-2022</t>
        </is>
      </c>
      <c r="B525" s="1" t="n">
        <v>44839</v>
      </c>
      <c r="C525" s="1" t="n">
        <v>45758</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44228-2022</t>
        </is>
      </c>
      <c r="B526" s="1" t="n">
        <v>44839</v>
      </c>
      <c r="C526" s="1" t="n">
        <v>45758</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44878-2022</t>
        </is>
      </c>
      <c r="B527" s="1" t="n">
        <v>44839</v>
      </c>
      <c r="C527" s="1" t="n">
        <v>45758</v>
      </c>
      <c r="D527" t="inlineStr">
        <is>
          <t>GOTLANDS LÄN</t>
        </is>
      </c>
      <c r="E527" t="inlineStr">
        <is>
          <t>GOTLAND</t>
        </is>
      </c>
      <c r="G527" t="n">
        <v>4</v>
      </c>
      <c r="H527" t="n">
        <v>0</v>
      </c>
      <c r="I527" t="n">
        <v>0</v>
      </c>
      <c r="J527" t="n">
        <v>0</v>
      </c>
      <c r="K527" t="n">
        <v>0</v>
      </c>
      <c r="L527" t="n">
        <v>0</v>
      </c>
      <c r="M527" t="n">
        <v>0</v>
      </c>
      <c r="N527" t="n">
        <v>0</v>
      </c>
      <c r="O527" t="n">
        <v>0</v>
      </c>
      <c r="P527" t="n">
        <v>0</v>
      </c>
      <c r="Q527" t="n">
        <v>0</v>
      </c>
      <c r="R527" s="2" t="inlineStr"/>
    </row>
    <row r="528" ht="15" customHeight="1">
      <c r="A528" t="inlineStr">
        <is>
          <t>A 44919-2022</t>
        </is>
      </c>
      <c r="B528" s="1" t="n">
        <v>44841</v>
      </c>
      <c r="C528" s="1" t="n">
        <v>45758</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44942-2022</t>
        </is>
      </c>
      <c r="B529" s="1" t="n">
        <v>44841</v>
      </c>
      <c r="C529" s="1" t="n">
        <v>45758</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46189-2022</t>
        </is>
      </c>
      <c r="B530" s="1" t="n">
        <v>44847</v>
      </c>
      <c r="C530" s="1" t="n">
        <v>45758</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47231-2022</t>
        </is>
      </c>
      <c r="B531" s="1" t="n">
        <v>44852</v>
      </c>
      <c r="C531" s="1" t="n">
        <v>45758</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48734-2022</t>
        </is>
      </c>
      <c r="B532" s="1" t="n">
        <v>44855</v>
      </c>
      <c r="C532" s="1" t="n">
        <v>45758</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49812-2022</t>
        </is>
      </c>
      <c r="B533" s="1" t="n">
        <v>44862</v>
      </c>
      <c r="C533" s="1" t="n">
        <v>45758</v>
      </c>
      <c r="D533" t="inlineStr">
        <is>
          <t>GOTLANDS LÄN</t>
        </is>
      </c>
      <c r="E533" t="inlineStr">
        <is>
          <t>GOTLAND</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50810-2022</t>
        </is>
      </c>
      <c r="B534" s="1" t="n">
        <v>44867</v>
      </c>
      <c r="C534" s="1" t="n">
        <v>45758</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51591-2022</t>
        </is>
      </c>
      <c r="B535" s="1" t="n">
        <v>44871</v>
      </c>
      <c r="C535" s="1" t="n">
        <v>45758</v>
      </c>
      <c r="D535" t="inlineStr">
        <is>
          <t>GOTLANDS LÄN</t>
        </is>
      </c>
      <c r="E535" t="inlineStr">
        <is>
          <t>GOTLAND</t>
        </is>
      </c>
      <c r="G535" t="n">
        <v>1.5</v>
      </c>
      <c r="H535" t="n">
        <v>0</v>
      </c>
      <c r="I535" t="n">
        <v>0</v>
      </c>
      <c r="J535" t="n">
        <v>0</v>
      </c>
      <c r="K535" t="n">
        <v>0</v>
      </c>
      <c r="L535" t="n">
        <v>0</v>
      </c>
      <c r="M535" t="n">
        <v>0</v>
      </c>
      <c r="N535" t="n">
        <v>0</v>
      </c>
      <c r="O535" t="n">
        <v>0</v>
      </c>
      <c r="P535" t="n">
        <v>0</v>
      </c>
      <c r="Q535" t="n">
        <v>0</v>
      </c>
      <c r="R535" s="2" t="inlineStr"/>
    </row>
    <row r="536" ht="15" customHeight="1">
      <c r="A536" t="inlineStr">
        <is>
          <t>A 53725-2022</t>
        </is>
      </c>
      <c r="B536" s="1" t="n">
        <v>44875</v>
      </c>
      <c r="C536" s="1" t="n">
        <v>45758</v>
      </c>
      <c r="D536" t="inlineStr">
        <is>
          <t>GOTLANDS LÄN</t>
        </is>
      </c>
      <c r="E536" t="inlineStr">
        <is>
          <t>GOTLAND</t>
        </is>
      </c>
      <c r="F536" t="inlineStr">
        <is>
          <t>Övriga statliga verk och myndigheter</t>
        </is>
      </c>
      <c r="G536" t="n">
        <v>6.2</v>
      </c>
      <c r="H536" t="n">
        <v>0</v>
      </c>
      <c r="I536" t="n">
        <v>0</v>
      </c>
      <c r="J536" t="n">
        <v>0</v>
      </c>
      <c r="K536" t="n">
        <v>0</v>
      </c>
      <c r="L536" t="n">
        <v>0</v>
      </c>
      <c r="M536" t="n">
        <v>0</v>
      </c>
      <c r="N536" t="n">
        <v>0</v>
      </c>
      <c r="O536" t="n">
        <v>0</v>
      </c>
      <c r="P536" t="n">
        <v>0</v>
      </c>
      <c r="Q536" t="n">
        <v>0</v>
      </c>
      <c r="R536" s="2" t="inlineStr"/>
    </row>
    <row r="537" ht="15" customHeight="1">
      <c r="A537" t="inlineStr">
        <is>
          <t>A 53722-2022</t>
        </is>
      </c>
      <c r="B537" s="1" t="n">
        <v>44875</v>
      </c>
      <c r="C537" s="1" t="n">
        <v>45758</v>
      </c>
      <c r="D537" t="inlineStr">
        <is>
          <t>GOTLANDS LÄN</t>
        </is>
      </c>
      <c r="E537" t="inlineStr">
        <is>
          <t>GOTLAND</t>
        </is>
      </c>
      <c r="F537" t="inlineStr">
        <is>
          <t>Övriga statliga verk och myndigheter</t>
        </is>
      </c>
      <c r="G537" t="n">
        <v>8</v>
      </c>
      <c r="H537" t="n">
        <v>0</v>
      </c>
      <c r="I537" t="n">
        <v>0</v>
      </c>
      <c r="J537" t="n">
        <v>0</v>
      </c>
      <c r="K537" t="n">
        <v>0</v>
      </c>
      <c r="L537" t="n">
        <v>0</v>
      </c>
      <c r="M537" t="n">
        <v>0</v>
      </c>
      <c r="N537" t="n">
        <v>0</v>
      </c>
      <c r="O537" t="n">
        <v>0</v>
      </c>
      <c r="P537" t="n">
        <v>0</v>
      </c>
      <c r="Q537" t="n">
        <v>0</v>
      </c>
      <c r="R537" s="2" t="inlineStr"/>
    </row>
    <row r="538" ht="15" customHeight="1">
      <c r="A538" t="inlineStr">
        <is>
          <t>A 53727-2022</t>
        </is>
      </c>
      <c r="B538" s="1" t="n">
        <v>44875</v>
      </c>
      <c r="C538" s="1" t="n">
        <v>45758</v>
      </c>
      <c r="D538" t="inlineStr">
        <is>
          <t>GOTLANDS LÄN</t>
        </is>
      </c>
      <c r="E538" t="inlineStr">
        <is>
          <t>GOTLAND</t>
        </is>
      </c>
      <c r="F538" t="inlineStr">
        <is>
          <t>Övriga statliga verk och myndigheter</t>
        </is>
      </c>
      <c r="G538" t="n">
        <v>3.6</v>
      </c>
      <c r="H538" t="n">
        <v>0</v>
      </c>
      <c r="I538" t="n">
        <v>0</v>
      </c>
      <c r="J538" t="n">
        <v>0</v>
      </c>
      <c r="K538" t="n">
        <v>0</v>
      </c>
      <c r="L538" t="n">
        <v>0</v>
      </c>
      <c r="M538" t="n">
        <v>0</v>
      </c>
      <c r="N538" t="n">
        <v>0</v>
      </c>
      <c r="O538" t="n">
        <v>0</v>
      </c>
      <c r="P538" t="n">
        <v>0</v>
      </c>
      <c r="Q538" t="n">
        <v>0</v>
      </c>
      <c r="R538" s="2" t="inlineStr"/>
    </row>
    <row r="539" ht="15" customHeight="1">
      <c r="A539" t="inlineStr">
        <is>
          <t>A 53225-2022</t>
        </is>
      </c>
      <c r="B539" s="1" t="n">
        <v>44876</v>
      </c>
      <c r="C539" s="1" t="n">
        <v>45758</v>
      </c>
      <c r="D539" t="inlineStr">
        <is>
          <t>GOTLANDS LÄN</t>
        </is>
      </c>
      <c r="E539" t="inlineStr">
        <is>
          <t>GOTLAND</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54074-2022</t>
        </is>
      </c>
      <c r="B540" s="1" t="n">
        <v>44881</v>
      </c>
      <c r="C540" s="1" t="n">
        <v>45758</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54073-2022</t>
        </is>
      </c>
      <c r="B541" s="1" t="n">
        <v>44881</v>
      </c>
      <c r="C541" s="1" t="n">
        <v>45758</v>
      </c>
      <c r="D541" t="inlineStr">
        <is>
          <t>GOTLANDS LÄN</t>
        </is>
      </c>
      <c r="E541" t="inlineStr">
        <is>
          <t>GOTLAND</t>
        </is>
      </c>
      <c r="G541" t="n">
        <v>3.8</v>
      </c>
      <c r="H541" t="n">
        <v>0</v>
      </c>
      <c r="I541" t="n">
        <v>0</v>
      </c>
      <c r="J541" t="n">
        <v>0</v>
      </c>
      <c r="K541" t="n">
        <v>0</v>
      </c>
      <c r="L541" t="n">
        <v>0</v>
      </c>
      <c r="M541" t="n">
        <v>0</v>
      </c>
      <c r="N541" t="n">
        <v>0</v>
      </c>
      <c r="O541" t="n">
        <v>0</v>
      </c>
      <c r="P541" t="n">
        <v>0</v>
      </c>
      <c r="Q541" t="n">
        <v>0</v>
      </c>
      <c r="R541" s="2" t="inlineStr"/>
    </row>
    <row r="542" ht="15" customHeight="1">
      <c r="A542" t="inlineStr">
        <is>
          <t>A 54268-2022</t>
        </is>
      </c>
      <c r="B542" s="1" t="n">
        <v>44882</v>
      </c>
      <c r="C542" s="1" t="n">
        <v>45758</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55866-2022</t>
        </is>
      </c>
      <c r="B543" s="1" t="n">
        <v>44888</v>
      </c>
      <c r="C543" s="1" t="n">
        <v>45758</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56928-2022</t>
        </is>
      </c>
      <c r="B544" s="1" t="n">
        <v>44894</v>
      </c>
      <c r="C544" s="1" t="n">
        <v>45758</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58388-2022</t>
        </is>
      </c>
      <c r="B545" s="1" t="n">
        <v>44894</v>
      </c>
      <c r="C545" s="1" t="n">
        <v>45758</v>
      </c>
      <c r="D545" t="inlineStr">
        <is>
          <t>GOTLANDS LÄN</t>
        </is>
      </c>
      <c r="E545" t="inlineStr">
        <is>
          <t>GOTLAND</t>
        </is>
      </c>
      <c r="F545" t="inlineStr">
        <is>
          <t>Övriga statliga verk och myndigheter</t>
        </is>
      </c>
      <c r="G545" t="n">
        <v>3.1</v>
      </c>
      <c r="H545" t="n">
        <v>0</v>
      </c>
      <c r="I545" t="n">
        <v>0</v>
      </c>
      <c r="J545" t="n">
        <v>0</v>
      </c>
      <c r="K545" t="n">
        <v>0</v>
      </c>
      <c r="L545" t="n">
        <v>0</v>
      </c>
      <c r="M545" t="n">
        <v>0</v>
      </c>
      <c r="N545" t="n">
        <v>0</v>
      </c>
      <c r="O545" t="n">
        <v>0</v>
      </c>
      <c r="P545" t="n">
        <v>0</v>
      </c>
      <c r="Q545" t="n">
        <v>0</v>
      </c>
      <c r="R545" s="2" t="inlineStr"/>
    </row>
    <row r="546" ht="15" customHeight="1">
      <c r="A546" t="inlineStr">
        <is>
          <t>A 57534-2022</t>
        </is>
      </c>
      <c r="B546" s="1" t="n">
        <v>44896</v>
      </c>
      <c r="C546" s="1" t="n">
        <v>45758</v>
      </c>
      <c r="D546" t="inlineStr">
        <is>
          <t>GOTLANDS LÄN</t>
        </is>
      </c>
      <c r="E546" t="inlineStr">
        <is>
          <t>GOTLAND</t>
        </is>
      </c>
      <c r="G546" t="n">
        <v>0.6</v>
      </c>
      <c r="H546" t="n">
        <v>0</v>
      </c>
      <c r="I546" t="n">
        <v>0</v>
      </c>
      <c r="J546" t="n">
        <v>0</v>
      </c>
      <c r="K546" t="n">
        <v>0</v>
      </c>
      <c r="L546" t="n">
        <v>0</v>
      </c>
      <c r="M546" t="n">
        <v>0</v>
      </c>
      <c r="N546" t="n">
        <v>0</v>
      </c>
      <c r="O546" t="n">
        <v>0</v>
      </c>
      <c r="P546" t="n">
        <v>0</v>
      </c>
      <c r="Q546" t="n">
        <v>0</v>
      </c>
      <c r="R546" s="2" t="inlineStr"/>
    </row>
    <row r="547" ht="15" customHeight="1">
      <c r="A547" t="inlineStr">
        <is>
          <t>A 57522-2022</t>
        </is>
      </c>
      <c r="B547" s="1" t="n">
        <v>44896</v>
      </c>
      <c r="C547" s="1" t="n">
        <v>45758</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57685-2022</t>
        </is>
      </c>
      <c r="B548" s="1" t="n">
        <v>44897</v>
      </c>
      <c r="C548" s="1" t="n">
        <v>45758</v>
      </c>
      <c r="D548" t="inlineStr">
        <is>
          <t>GOTLANDS LÄN</t>
        </is>
      </c>
      <c r="E548" t="inlineStr">
        <is>
          <t>GOTLAND</t>
        </is>
      </c>
      <c r="G548" t="n">
        <v>3.7</v>
      </c>
      <c r="H548" t="n">
        <v>0</v>
      </c>
      <c r="I548" t="n">
        <v>0</v>
      </c>
      <c r="J548" t="n">
        <v>0</v>
      </c>
      <c r="K548" t="n">
        <v>0</v>
      </c>
      <c r="L548" t="n">
        <v>0</v>
      </c>
      <c r="M548" t="n">
        <v>0</v>
      </c>
      <c r="N548" t="n">
        <v>0</v>
      </c>
      <c r="O548" t="n">
        <v>0</v>
      </c>
      <c r="P548" t="n">
        <v>0</v>
      </c>
      <c r="Q548" t="n">
        <v>0</v>
      </c>
      <c r="R548" s="2" t="inlineStr"/>
    </row>
    <row r="549" ht="15" customHeight="1">
      <c r="A549" t="inlineStr">
        <is>
          <t>A 57947-2022</t>
        </is>
      </c>
      <c r="B549" s="1" t="n">
        <v>44900</v>
      </c>
      <c r="C549" s="1" t="n">
        <v>45758</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58479-2022</t>
        </is>
      </c>
      <c r="B550" s="1" t="n">
        <v>44902</v>
      </c>
      <c r="C550" s="1" t="n">
        <v>45758</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58476-2022</t>
        </is>
      </c>
      <c r="B551" s="1" t="n">
        <v>44902</v>
      </c>
      <c r="C551" s="1" t="n">
        <v>45758</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59874-2022</t>
        </is>
      </c>
      <c r="B552" s="1" t="n">
        <v>44908</v>
      </c>
      <c r="C552" s="1" t="n">
        <v>45758</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60086-2022</t>
        </is>
      </c>
      <c r="B553" s="1" t="n">
        <v>44909</v>
      </c>
      <c r="C553" s="1" t="n">
        <v>45758</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59986-2022</t>
        </is>
      </c>
      <c r="B554" s="1" t="n">
        <v>44909</v>
      </c>
      <c r="C554" s="1" t="n">
        <v>45758</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60372-2022</t>
        </is>
      </c>
      <c r="B555" s="1" t="n">
        <v>44910</v>
      </c>
      <c r="C555" s="1" t="n">
        <v>45758</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61100-2022</t>
        </is>
      </c>
      <c r="B556" s="1" t="n">
        <v>44915</v>
      </c>
      <c r="C556" s="1" t="n">
        <v>45758</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61570-2022</t>
        </is>
      </c>
      <c r="B557" s="1" t="n">
        <v>44916</v>
      </c>
      <c r="C557" s="1" t="n">
        <v>45758</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61563-2022</t>
        </is>
      </c>
      <c r="B558" s="1" t="n">
        <v>44916</v>
      </c>
      <c r="C558" s="1" t="n">
        <v>45758</v>
      </c>
      <c r="D558" t="inlineStr">
        <is>
          <t>GOTLANDS LÄN</t>
        </is>
      </c>
      <c r="E558" t="inlineStr">
        <is>
          <t>GOTLAND</t>
        </is>
      </c>
      <c r="G558" t="n">
        <v>3.4</v>
      </c>
      <c r="H558" t="n">
        <v>0</v>
      </c>
      <c r="I558" t="n">
        <v>0</v>
      </c>
      <c r="J558" t="n">
        <v>0</v>
      </c>
      <c r="K558" t="n">
        <v>0</v>
      </c>
      <c r="L558" t="n">
        <v>0</v>
      </c>
      <c r="M558" t="n">
        <v>0</v>
      </c>
      <c r="N558" t="n">
        <v>0</v>
      </c>
      <c r="O558" t="n">
        <v>0</v>
      </c>
      <c r="P558" t="n">
        <v>0</v>
      </c>
      <c r="Q558" t="n">
        <v>0</v>
      </c>
      <c r="R558" s="2" t="inlineStr"/>
    </row>
    <row r="559" ht="15" customHeight="1">
      <c r="A559" t="inlineStr">
        <is>
          <t>A 62155-2022</t>
        </is>
      </c>
      <c r="B559" s="1" t="n">
        <v>44922</v>
      </c>
      <c r="C559" s="1" t="n">
        <v>45758</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62164-2022</t>
        </is>
      </c>
      <c r="B560" s="1" t="n">
        <v>44922</v>
      </c>
      <c r="C560" s="1" t="n">
        <v>45758</v>
      </c>
      <c r="D560" t="inlineStr">
        <is>
          <t>GOTLANDS LÄN</t>
        </is>
      </c>
      <c r="E560" t="inlineStr">
        <is>
          <t>GOTLAND</t>
        </is>
      </c>
      <c r="G560" t="n">
        <v>3.8</v>
      </c>
      <c r="H560" t="n">
        <v>0</v>
      </c>
      <c r="I560" t="n">
        <v>0</v>
      </c>
      <c r="J560" t="n">
        <v>0</v>
      </c>
      <c r="K560" t="n">
        <v>0</v>
      </c>
      <c r="L560" t="n">
        <v>0</v>
      </c>
      <c r="M560" t="n">
        <v>0</v>
      </c>
      <c r="N560" t="n">
        <v>0</v>
      </c>
      <c r="O560" t="n">
        <v>0</v>
      </c>
      <c r="P560" t="n">
        <v>0</v>
      </c>
      <c r="Q560" t="n">
        <v>0</v>
      </c>
      <c r="R560" s="2" t="inlineStr"/>
    </row>
    <row r="561" ht="15" customHeight="1">
      <c r="A561" t="inlineStr">
        <is>
          <t>A 62182-2022</t>
        </is>
      </c>
      <c r="B561" s="1" t="n">
        <v>44922</v>
      </c>
      <c r="C561" s="1" t="n">
        <v>45758</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62193-2022</t>
        </is>
      </c>
      <c r="B562" s="1" t="n">
        <v>44922</v>
      </c>
      <c r="C562" s="1" t="n">
        <v>45758</v>
      </c>
      <c r="D562" t="inlineStr">
        <is>
          <t>GOTLANDS LÄN</t>
        </is>
      </c>
      <c r="E562" t="inlineStr">
        <is>
          <t>GOTLAND</t>
        </is>
      </c>
      <c r="G562" t="n">
        <v>5.6</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45758</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45758</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45758</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45758</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45758</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45758</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45758</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45758</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45758</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45758</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45758</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45758</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45758</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45758</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45758</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45758</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45758</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45758</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45758</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45758</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45758</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45758</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45758</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45758</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45758</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45758</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45758</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45758</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45758</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45758</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45758</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45758</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45758</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45758</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45758</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45758</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45758</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45758</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45758</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45758</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45758</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45758</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45758</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45758</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45758</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45758</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45758</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45758</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45758</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45758</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45758</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45758</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45758</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45758</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45758</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45758</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45758</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45758</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45758</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45758</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45758</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45758</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45758</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45758</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45758</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45758</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45758</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45758</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45758</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45758</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45758</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45758</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45758</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45758</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45758</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45758</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45758</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45758</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45758</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45758</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45758</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45758</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45758</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45758</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45758</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45758</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45758</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45758</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45758</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45758</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45758</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45758</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45758</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45758</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45758</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45758</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45758</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45758</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45758</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45758</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45758</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45758</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45758</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45758</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45758</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45758</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45758</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45758</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45758</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45758</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45758</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45758</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45758</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45758</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45758</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45758</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45758</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45758</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45758</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45758</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45758</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45758</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45758</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45758</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45758</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45758</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45758</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45758</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45758</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45758</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45758</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45758</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45758</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45758</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45758</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45758</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45758</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45758</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45758</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45758</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45758</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45758</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45758</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45758</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45758</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45758</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45758</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45758</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45758</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45758</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45758</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45758</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45758</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45758</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45758</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45758</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45758</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45758</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45758</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45758</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45758</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45758</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45758</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45758</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45758</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45758</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45758</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45758</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45758</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45758</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45758</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45758</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45758</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45758</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45758</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45758</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45758</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45758</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45758</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45758</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45758</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45758</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45758</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45758</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45758</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45758</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45758</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45758</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45758</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45758</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45758</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45758</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45758</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45758</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45758</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45758</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45758</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45758</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45758</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45758</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45758</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45758</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45758</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45758</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45758</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45758</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45758</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45758</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45758</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45758</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45758</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45758</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45758</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45758</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45758</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45758</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45758</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45758</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45758</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45758</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45758</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45758</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45758</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45758</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45758</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45758</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45758</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45758</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45758</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45758</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45758</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45758</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45758</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45758</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45758</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45758</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45758</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45758</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45758</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45758</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45758</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45758</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45758</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45758</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45758</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45758</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45758</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45758</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45758</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45758</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45758</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45758</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45758</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45758</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45758</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45758</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45758</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45758</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45758</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45758</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45758</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45758</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45758</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45758</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45758</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45758</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45758</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45758</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45758</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45758</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45758</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45758</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45758</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45758</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45758</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45758</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45758</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45758</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45758</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45758</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45758</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45758</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45758</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45758</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45758</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45758</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45758</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45758</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45758</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45758</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45758</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45758</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45758</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45758</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45758</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45758</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45758</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45758</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45758</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45758</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45758</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45758</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45758</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45758</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45758</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45758</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45758</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45758</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45758</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45758</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45758</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45758</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45758</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45758</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45758</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45758</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45758</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45758</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45758</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45758</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45758</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45758</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45758</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45758</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45758</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45758</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45758</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45758</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45758</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45758</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45758</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45758</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45758</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45758</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45758</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45758</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45758</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45758</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45758</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45758</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45758</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45758</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45758</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45758</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45758</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45758</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45758</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45758</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45758</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45758</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45758</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45758</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45758</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45758</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45758</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45758</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45758</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45758</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45758</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45758</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45758</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45758</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45758</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45758</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45758</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45758</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45758</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45758</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45758</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45758</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45758</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45758</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45758</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45758</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45758</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45758</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45758</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45758</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45758</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45758</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45758</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45758</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45758</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45758</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45758</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45758</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45758</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45758</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45758</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45758</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45758</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45758</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45758</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45758</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45758</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45758</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45758</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45758</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45758</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45758</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45758</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45758</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45758</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45758</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45758</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45758</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45758</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45758</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45758</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45758</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45758</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45758</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45758</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45758</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45758</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45758</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45758</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45758</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45758</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45758</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45758</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45758</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45758</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45758</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45758</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45758</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45758</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45758</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45758</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45758</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45758</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45758</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45758</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45758</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45758</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45758</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45758</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45758</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45758</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45758</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45758</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45758</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45758</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45758</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45758</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45758</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45758</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45758</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45758</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45758</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45758</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45758</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45758</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45758</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45758</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45758</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45758</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45758</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45758</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45758</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45758</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45758</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45758</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45758</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45758</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45758</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45758</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45758</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45758</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45758</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45758</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45758</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45758</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45758</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45758</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45758</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45758</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45758</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45758</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45758</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45758</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45758</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45758</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45758</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45758</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45758</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45758</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45758</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45758</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45758</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45758</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45758</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45758</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45758</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45758</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45758</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45758</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45758</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45758</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45758</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45758</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45758</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45758</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45758</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45758</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45758</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45758</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45758</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45758</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45758</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45758</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45758</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45758</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45758</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45758</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45758</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45758</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45758</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45758</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45758</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45758</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45758</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45758</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45758</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45758</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45758</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45758</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45758</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45758</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45758</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45758</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45758</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45758</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45758</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45758</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45758</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45758</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45758</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45758</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45758</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45758</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45758</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17144-2025</t>
        </is>
      </c>
      <c r="B1105" s="1" t="n">
        <v>45756</v>
      </c>
      <c r="C1105" s="1" t="n">
        <v>45758</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c r="A1106" t="inlineStr">
        <is>
          <t>A 17343-2025</t>
        </is>
      </c>
      <c r="B1106" s="1" t="n">
        <v>45756</v>
      </c>
      <c r="C1106" s="1" t="n">
        <v>45758</v>
      </c>
      <c r="D1106" t="inlineStr">
        <is>
          <t>GOTLANDS LÄN</t>
        </is>
      </c>
      <c r="E1106" t="inlineStr">
        <is>
          <t>GOTLAND</t>
        </is>
      </c>
      <c r="G1106" t="n">
        <v>9.699999999999999</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2025-04-11T16:36:50Z</dcterms:created>
  <dcterms:modified xmlns:dcterms="http://purl.org/dc/terms/" xmlns:xsi="http://www.w3.org/2001/XMLSchema-instance" xsi:type="dcterms:W3CDTF">2025-04-11T16:36:51Z</dcterms:modified>
</cp:coreProperties>
</file>