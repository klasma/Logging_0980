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46113</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46113</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46113</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8645-2025</t>
        </is>
      </c>
      <c r="B20" s="1" t="n">
        <v>45712</v>
      </c>
      <c r="C20" s="1" t="n">
        <v>46113</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46113</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46113</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46113</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46113</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46113</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46113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46113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46113</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46113</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46113</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46113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46113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46113</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46113</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46113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28287-2024</t>
        </is>
      </c>
      <c r="B39" s="1" t="n">
        <v>45477</v>
      </c>
      <c r="C39" s="1" t="n">
        <v>46113</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46113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46113</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46113</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46113</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46113</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46113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46113</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14354-2024</t>
        </is>
      </c>
      <c r="B47" s="1" t="n">
        <v>45393</v>
      </c>
      <c r="C47" s="1" t="n">
        <v>46113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46113</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46113</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46113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46113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46113</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46113</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46113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46113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46113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56687-2025</t>
        </is>
      </c>
      <c r="B65" s="1" t="n">
        <v>45975.84065972222</v>
      </c>
      <c r="C65" s="1" t="n">
        <v>46113</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46113</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46113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46113</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46113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46113</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46113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46113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46113</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46113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46113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46113</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16375-2025</t>
        </is>
      </c>
      <c r="B80" s="1" t="n">
        <v>45751.41064814815</v>
      </c>
      <c r="C80" s="1" t="n">
        <v>46113</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46113</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35293-2025</t>
        </is>
      </c>
      <c r="B82" s="1" t="n">
        <v>45854.39438657407</v>
      </c>
      <c r="C82" s="1" t="n">
        <v>46113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10274-2026</t>
        </is>
      </c>
      <c r="B83" s="1" t="n">
        <v>46076.58261574074</v>
      </c>
      <c r="C83" s="1" t="n">
        <v>46113</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52245-2025</t>
        </is>
      </c>
      <c r="B84" s="1" t="n">
        <v>45953.47115740741</v>
      </c>
      <c r="C84" s="1" t="n">
        <v>46113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46113</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46113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46113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46113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46113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46113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46113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46113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46113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44933-2022</t>
        </is>
      </c>
      <c r="B94" s="1" t="n">
        <v>44841</v>
      </c>
      <c r="C94" s="1" t="n">
        <v>46113</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46113</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54523-2023</t>
        </is>
      </c>
      <c r="B96" s="1" t="n">
        <v>45233</v>
      </c>
      <c r="C96" s="1" t="n">
        <v>46113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57463-2025</t>
        </is>
      </c>
      <c r="B97" s="1" t="n">
        <v>45980.54174768519</v>
      </c>
      <c r="C97" s="1" t="n">
        <v>46113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46113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20833-2024</t>
        </is>
      </c>
      <c r="B99" s="1" t="n">
        <v>45439</v>
      </c>
      <c r="C99" s="1" t="n">
        <v>46113</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13203-2026</t>
        </is>
      </c>
      <c r="B100" s="1" t="n">
        <v>46093</v>
      </c>
      <c r="C100" s="1" t="n">
        <v>46113</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46113</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46113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46113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46113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46113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46113</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43013-2022</t>
        </is>
      </c>
      <c r="B109" s="1" t="n">
        <v>44833</v>
      </c>
      <c r="C109" s="1" t="n">
        <v>46113</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5235-2025</t>
        </is>
      </c>
      <c r="B110" s="1" t="n">
        <v>45692.26797453704</v>
      </c>
      <c r="C110" s="1" t="n">
        <v>46113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55334-2024</t>
        </is>
      </c>
      <c r="B111" s="1" t="n">
        <v>45621</v>
      </c>
      <c r="C111" s="1" t="n">
        <v>46113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53552-2021</t>
        </is>
      </c>
      <c r="B112" s="1" t="n">
        <v>44468</v>
      </c>
      <c r="C112" s="1" t="n">
        <v>46113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49709-2025</t>
        </is>
      </c>
      <c r="B113" s="1" t="n">
        <v>45939.68228009259</v>
      </c>
      <c r="C113" s="1" t="n">
        <v>46113</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17982-2023</t>
        </is>
      </c>
      <c r="B114" s="1" t="n">
        <v>45040</v>
      </c>
      <c r="C114" s="1" t="n">
        <v>46113</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17975-2024</t>
        </is>
      </c>
      <c r="B115" s="1" t="n">
        <v>45419.85546296297</v>
      </c>
      <c r="C115" s="1" t="n">
        <v>46113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30490-2025</t>
        </is>
      </c>
      <c r="B116" s="1" t="n">
        <v>45830</v>
      </c>
      <c r="C116" s="1" t="n">
        <v>46113</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13499-2022</t>
        </is>
      </c>
      <c r="B117" s="1" t="n">
        <v>44647.79203703703</v>
      </c>
      <c r="C117" s="1" t="n">
        <v>46113</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46113</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1520-2026</t>
        </is>
      </c>
      <c r="B119" s="1" t="n">
        <v>46034.35891203704</v>
      </c>
      <c r="C119" s="1" t="n">
        <v>46113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20831-2024</t>
        </is>
      </c>
      <c r="B120" s="1" t="n">
        <v>45439</v>
      </c>
      <c r="C120" s="1" t="n">
        <v>46113</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73144-2021</t>
        </is>
      </c>
      <c r="B121" s="1" t="n">
        <v>44550</v>
      </c>
      <c r="C121" s="1" t="n">
        <v>46113</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46113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46113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20838-2024</t>
        </is>
      </c>
      <c r="B128" s="1" t="n">
        <v>45439</v>
      </c>
      <c r="C128" s="1" t="n">
        <v>46113</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20429-2025</t>
        </is>
      </c>
      <c r="B129" s="1" t="n">
        <v>45775.47728009259</v>
      </c>
      <c r="C129" s="1" t="n">
        <v>46113</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54357-2024</t>
        </is>
      </c>
      <c r="B130" s="1" t="n">
        <v>45617.40662037037</v>
      </c>
      <c r="C130" s="1" t="n">
        <v>46113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46113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46113</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46113</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46113</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46113</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62760-2025</t>
        </is>
      </c>
      <c r="B136" s="1" t="n">
        <v>46008</v>
      </c>
      <c r="C136" s="1" t="n">
        <v>46113</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63162-2025</t>
        </is>
      </c>
      <c r="B137" s="1" t="n">
        <v>46010.37629629629</v>
      </c>
      <c r="C137" s="1" t="n">
        <v>46113</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28276-2024</t>
        </is>
      </c>
      <c r="B138" s="1" t="n">
        <v>45477</v>
      </c>
      <c r="C138" s="1" t="n">
        <v>46113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10440-2024</t>
        </is>
      </c>
      <c r="B141" s="1" t="n">
        <v>45366.32818287037</v>
      </c>
      <c r="C141" s="1" t="n">
        <v>46113</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10218-2025</t>
        </is>
      </c>
      <c r="B142" s="1" t="n">
        <v>45720</v>
      </c>
      <c r="C142" s="1" t="n">
        <v>46113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15637-2024</t>
        </is>
      </c>
      <c r="B143" s="1" t="n">
        <v>45403.6684837963</v>
      </c>
      <c r="C143" s="1" t="n">
        <v>46113</v>
      </c>
      <c r="D143" t="inlineStr">
        <is>
          <t>GOTLANDS LÄN</t>
        </is>
      </c>
      <c r="E143" t="inlineStr">
        <is>
          <t>GOTLAND</t>
        </is>
      </c>
      <c r="G143" t="n">
        <v>4.1</v>
      </c>
      <c r="H143" t="n">
        <v>1</v>
      </c>
      <c r="I143" t="n">
        <v>0</v>
      </c>
      <c r="J143" t="n">
        <v>0</v>
      </c>
      <c r="K143" t="n">
        <v>0</v>
      </c>
      <c r="L143" t="n">
        <v>0</v>
      </c>
      <c r="M143" t="n">
        <v>0</v>
      </c>
      <c r="N143" t="n">
        <v>0</v>
      </c>
      <c r="O143" t="n">
        <v>0</v>
      </c>
      <c r="P143" t="n">
        <v>0</v>
      </c>
      <c r="Q143" t="n">
        <v>1</v>
      </c>
      <c r="R143" s="2" t="inlineStr">
        <is>
          <t>Blåsippa</t>
        </is>
      </c>
      <c r="S143">
        <f>HYPERLINK("https://klasma.github.io/Logging_0980/artfynd/A 15637-2024 artfynd.xlsx", "A 15637-2024")</f>
        <v/>
      </c>
      <c r="T143">
        <f>HYPERLINK("https://klasma.github.io/Logging_0980/kartor/A 15637-2024 karta.png", "A 15637-2024")</f>
        <v/>
      </c>
      <c r="V143">
        <f>HYPERLINK("https://klasma.github.io/Logging_0980/klagomål/A 15637-2024 FSC-klagomål.docx", "A 15637-2024")</f>
        <v/>
      </c>
      <c r="W143">
        <f>HYPERLINK("https://klasma.github.io/Logging_0980/klagomålsmail/A 15637-2024 FSC-klagomål mail.docx", "A 15637-2024")</f>
        <v/>
      </c>
      <c r="X143">
        <f>HYPERLINK("https://klasma.github.io/Logging_0980/tillsyn/A 15637-2024 tillsynsbegäran.docx", "A 15637-2024")</f>
        <v/>
      </c>
      <c r="Y143">
        <f>HYPERLINK("https://klasma.github.io/Logging_0980/tillsynsmail/A 15637-2024 tillsynsbegäran mail.docx", "A 15637-2024")</f>
        <v/>
      </c>
    </row>
    <row r="144" ht="15" customHeight="1">
      <c r="A144" t="inlineStr">
        <is>
          <t>A 39812-2025</t>
        </is>
      </c>
      <c r="B144" s="1" t="n">
        <v>45891</v>
      </c>
      <c r="C144" s="1" t="n">
        <v>46113</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12379-2024</t>
        </is>
      </c>
      <c r="B145" s="1" t="n">
        <v>45379.28155092592</v>
      </c>
      <c r="C145" s="1" t="n">
        <v>46113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46113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2476-2025</t>
        </is>
      </c>
      <c r="B147" s="1" t="n">
        <v>45673</v>
      </c>
      <c r="C147" s="1" t="n">
        <v>46113</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44304-2021</t>
        </is>
      </c>
      <c r="B148" s="1" t="n">
        <v>44434</v>
      </c>
      <c r="C148" s="1" t="n">
        <v>46113</v>
      </c>
      <c r="D148" t="inlineStr">
        <is>
          <t>GOTLANDS LÄN</t>
        </is>
      </c>
      <c r="E148" t="inlineStr">
        <is>
          <t>GOTLAND</t>
        </is>
      </c>
      <c r="G148" t="n">
        <v>5.8</v>
      </c>
      <c r="H148" t="n">
        <v>0</v>
      </c>
      <c r="I148" t="n">
        <v>0</v>
      </c>
      <c r="J148" t="n">
        <v>1</v>
      </c>
      <c r="K148" t="n">
        <v>0</v>
      </c>
      <c r="L148" t="n">
        <v>0</v>
      </c>
      <c r="M148" t="n">
        <v>0</v>
      </c>
      <c r="N148" t="n">
        <v>0</v>
      </c>
      <c r="O148" t="n">
        <v>1</v>
      </c>
      <c r="P148" t="n">
        <v>0</v>
      </c>
      <c r="Q148" t="n">
        <v>1</v>
      </c>
      <c r="R148" s="2" t="inlineStr">
        <is>
          <t>Svinrot</t>
        </is>
      </c>
      <c r="S148">
        <f>HYPERLINK("https://klasma.github.io/Logging_0980/artfynd/A 44304-2021 artfynd.xlsx", "A 44304-2021")</f>
        <v/>
      </c>
      <c r="T148">
        <f>HYPERLINK("https://klasma.github.io/Logging_0980/kartor/A 44304-2021 karta.png", "A 44304-2021")</f>
        <v/>
      </c>
      <c r="V148">
        <f>HYPERLINK("https://klasma.github.io/Logging_0980/klagomål/A 44304-2021 FSC-klagomål.docx", "A 44304-2021")</f>
        <v/>
      </c>
      <c r="W148">
        <f>HYPERLINK("https://klasma.github.io/Logging_0980/klagomålsmail/A 44304-2021 FSC-klagomål mail.docx", "A 44304-2021")</f>
        <v/>
      </c>
      <c r="X148">
        <f>HYPERLINK("https://klasma.github.io/Logging_0980/tillsyn/A 44304-2021 tillsynsbegäran.docx", "A 44304-2021")</f>
        <v/>
      </c>
      <c r="Y148">
        <f>HYPERLINK("https://klasma.github.io/Logging_0980/tillsynsmail/A 44304-2021 tillsynsbegäran mail.docx", "A 44304-2021")</f>
        <v/>
      </c>
    </row>
    <row r="149" ht="15" customHeight="1">
      <c r="A149" t="inlineStr">
        <is>
          <t>A 35467-2021</t>
        </is>
      </c>
      <c r="B149" s="1" t="n">
        <v>44385</v>
      </c>
      <c r="C149" s="1" t="n">
        <v>46113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10995-2023</t>
        </is>
      </c>
      <c r="B150" s="1" t="n">
        <v>44986</v>
      </c>
      <c r="C150" s="1" t="n">
        <v>46113</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44619-2025</t>
        </is>
      </c>
      <c r="B151" s="1" t="n">
        <v>45917</v>
      </c>
      <c r="C151" s="1" t="n">
        <v>46113</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62552-2022</t>
        </is>
      </c>
      <c r="B152" s="1" t="n">
        <v>44924</v>
      </c>
      <c r="C152" s="1" t="n">
        <v>46113</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44088-2022</t>
        </is>
      </c>
      <c r="B153" s="1" t="n">
        <v>44839</v>
      </c>
      <c r="C153" s="1" t="n">
        <v>46113</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25977-2024</t>
        </is>
      </c>
      <c r="B154" s="1" t="n">
        <v>45467.69356481481</v>
      </c>
      <c r="C154" s="1" t="n">
        <v>46113</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65927-2021</t>
        </is>
      </c>
      <c r="B155" s="1" t="n">
        <v>44516</v>
      </c>
      <c r="C155" s="1" t="n">
        <v>46113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44308-2021</t>
        </is>
      </c>
      <c r="B156" s="1" t="n">
        <v>44434</v>
      </c>
      <c r="C156" s="1" t="n">
        <v>46113</v>
      </c>
      <c r="D156" t="inlineStr">
        <is>
          <t>GOTLANDS LÄN</t>
        </is>
      </c>
      <c r="E156" t="inlineStr">
        <is>
          <t>GOTLAND</t>
        </is>
      </c>
      <c r="G156" t="n">
        <v>5.9</v>
      </c>
      <c r="H156" t="n">
        <v>0</v>
      </c>
      <c r="I156" t="n">
        <v>1</v>
      </c>
      <c r="J156" t="n">
        <v>0</v>
      </c>
      <c r="K156" t="n">
        <v>0</v>
      </c>
      <c r="L156" t="n">
        <v>0</v>
      </c>
      <c r="M156" t="n">
        <v>0</v>
      </c>
      <c r="N156" t="n">
        <v>0</v>
      </c>
      <c r="O156" t="n">
        <v>0</v>
      </c>
      <c r="P156" t="n">
        <v>0</v>
      </c>
      <c r="Q156" t="n">
        <v>1</v>
      </c>
      <c r="R156" s="2" t="inlineStr">
        <is>
          <t>Svavelriska</t>
        </is>
      </c>
      <c r="S156">
        <f>HYPERLINK("https://klasma.github.io/Logging_0980/artfynd/A 44308-2021 artfynd.xlsx", "A 44308-2021")</f>
        <v/>
      </c>
      <c r="T156">
        <f>HYPERLINK("https://klasma.github.io/Logging_0980/kartor/A 44308-2021 karta.png", "A 44308-2021")</f>
        <v/>
      </c>
      <c r="V156">
        <f>HYPERLINK("https://klasma.github.io/Logging_0980/klagomål/A 44308-2021 FSC-klagomål.docx", "A 44308-2021")</f>
        <v/>
      </c>
      <c r="W156">
        <f>HYPERLINK("https://klasma.github.io/Logging_0980/klagomålsmail/A 44308-2021 FSC-klagomål mail.docx", "A 44308-2021")</f>
        <v/>
      </c>
      <c r="X156">
        <f>HYPERLINK("https://klasma.github.io/Logging_0980/tillsyn/A 44308-2021 tillsynsbegäran.docx", "A 44308-2021")</f>
        <v/>
      </c>
      <c r="Y156">
        <f>HYPERLINK("https://klasma.github.io/Logging_0980/tillsynsmail/A 44308-2021 tillsynsbegäran mail.docx", "A 44308-2021")</f>
        <v/>
      </c>
    </row>
    <row r="157" ht="15" customHeight="1">
      <c r="A157" t="inlineStr">
        <is>
          <t>A 61796-2022</t>
        </is>
      </c>
      <c r="B157" s="1" t="n">
        <v>44917</v>
      </c>
      <c r="C157" s="1" t="n">
        <v>46113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447-2023</t>
        </is>
      </c>
      <c r="B158" s="1" t="n">
        <v>44929</v>
      </c>
      <c r="C158" s="1" t="n">
        <v>46113</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49726-2025</t>
        </is>
      </c>
      <c r="B159" s="1" t="n">
        <v>45939.84466435185</v>
      </c>
      <c r="C159" s="1" t="n">
        <v>46113</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947-2023</t>
        </is>
      </c>
      <c r="B160" s="1" t="n">
        <v>44934</v>
      </c>
      <c r="C160" s="1" t="n">
        <v>46113</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49304-2024</t>
        </is>
      </c>
      <c r="B161" s="1" t="n">
        <v>45595.54996527778</v>
      </c>
      <c r="C161" s="1" t="n">
        <v>46113</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26461-2025</t>
        </is>
      </c>
      <c r="B162" s="1" t="n">
        <v>45807.43337962963</v>
      </c>
      <c r="C162" s="1" t="n">
        <v>46113</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63576-2021</t>
        </is>
      </c>
      <c r="B163" s="1" t="n">
        <v>44508</v>
      </c>
      <c r="C163" s="1" t="n">
        <v>46113</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46113</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27589-2023</t>
        </is>
      </c>
      <c r="B165" s="1" t="n">
        <v>45097</v>
      </c>
      <c r="C165" s="1" t="n">
        <v>46113</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1477-2024</t>
        </is>
      </c>
      <c r="B166" s="1" t="n">
        <v>45305.37987268518</v>
      </c>
      <c r="C166" s="1" t="n">
        <v>46113</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35574-2024</t>
        </is>
      </c>
      <c r="B167" s="1" t="n">
        <v>45531</v>
      </c>
      <c r="C167" s="1" t="n">
        <v>46113</v>
      </c>
      <c r="D167" t="inlineStr">
        <is>
          <t>GOTLANDS LÄN</t>
        </is>
      </c>
      <c r="E167" t="inlineStr">
        <is>
          <t>GOTLAND</t>
        </is>
      </c>
      <c r="G167" t="n">
        <v>5.7</v>
      </c>
      <c r="H167" t="n">
        <v>0</v>
      </c>
      <c r="I167" t="n">
        <v>1</v>
      </c>
      <c r="J167" t="n">
        <v>0</v>
      </c>
      <c r="K167" t="n">
        <v>0</v>
      </c>
      <c r="L167" t="n">
        <v>0</v>
      </c>
      <c r="M167" t="n">
        <v>0</v>
      </c>
      <c r="N167" t="n">
        <v>0</v>
      </c>
      <c r="O167" t="n">
        <v>0</v>
      </c>
      <c r="P167" t="n">
        <v>0</v>
      </c>
      <c r="Q167" t="n">
        <v>1</v>
      </c>
      <c r="R167" s="2" t="inlineStr">
        <is>
          <t>Murgröna</t>
        </is>
      </c>
      <c r="S167">
        <f>HYPERLINK("https://klasma.github.io/Logging_0980/artfynd/A 35574-2024 artfynd.xlsx", "A 35574-2024")</f>
        <v/>
      </c>
      <c r="T167">
        <f>HYPERLINK("https://klasma.github.io/Logging_0980/kartor/A 35574-2024 karta.png", "A 35574-2024")</f>
        <v/>
      </c>
      <c r="V167">
        <f>HYPERLINK("https://klasma.github.io/Logging_0980/klagomål/A 35574-2024 FSC-klagomål.docx", "A 35574-2024")</f>
        <v/>
      </c>
      <c r="W167">
        <f>HYPERLINK("https://klasma.github.io/Logging_0980/klagomålsmail/A 35574-2024 FSC-klagomål mail.docx", "A 35574-2024")</f>
        <v/>
      </c>
      <c r="X167">
        <f>HYPERLINK("https://klasma.github.io/Logging_0980/tillsyn/A 35574-2024 tillsynsbegäran.docx", "A 35574-2024")</f>
        <v/>
      </c>
      <c r="Y167">
        <f>HYPERLINK("https://klasma.github.io/Logging_0980/tillsynsmail/A 35574-2024 tillsynsbegäran mail.docx", "A 35574-2024")</f>
        <v/>
      </c>
    </row>
    <row r="168" ht="15" customHeight="1">
      <c r="A168" t="inlineStr">
        <is>
          <t>A 7637-2025</t>
        </is>
      </c>
      <c r="B168" s="1" t="n">
        <v>45705.77181712963</v>
      </c>
      <c r="C168" s="1" t="n">
        <v>46113</v>
      </c>
      <c r="D168" t="inlineStr">
        <is>
          <t>GOTLANDS LÄN</t>
        </is>
      </c>
      <c r="E168" t="inlineStr">
        <is>
          <t>GOTLAND</t>
        </is>
      </c>
      <c r="G168" t="n">
        <v>3.7</v>
      </c>
      <c r="H168" t="n">
        <v>0</v>
      </c>
      <c r="I168" t="n">
        <v>0</v>
      </c>
      <c r="J168" t="n">
        <v>0</v>
      </c>
      <c r="K168" t="n">
        <v>0</v>
      </c>
      <c r="L168" t="n">
        <v>0</v>
      </c>
      <c r="M168" t="n">
        <v>1</v>
      </c>
      <c r="N168" t="n">
        <v>0</v>
      </c>
      <c r="O168" t="n">
        <v>1</v>
      </c>
      <c r="P168" t="n">
        <v>1</v>
      </c>
      <c r="Q168" t="n">
        <v>1</v>
      </c>
      <c r="R168" s="2" t="inlineStr">
        <is>
          <t>Skogsalm</t>
        </is>
      </c>
      <c r="S168">
        <f>HYPERLINK("https://klasma.github.io/Logging_0980/artfynd/A 7637-2025 artfynd.xlsx", "A 7637-2025")</f>
        <v/>
      </c>
      <c r="T168">
        <f>HYPERLINK("https://klasma.github.io/Logging_0980/kartor/A 7637-2025 karta.png", "A 7637-2025")</f>
        <v/>
      </c>
      <c r="V168">
        <f>HYPERLINK("https://klasma.github.io/Logging_0980/klagomål/A 7637-2025 FSC-klagomål.docx", "A 7637-2025")</f>
        <v/>
      </c>
      <c r="W168">
        <f>HYPERLINK("https://klasma.github.io/Logging_0980/klagomålsmail/A 7637-2025 FSC-klagomål mail.docx", "A 7637-2025")</f>
        <v/>
      </c>
      <c r="X168">
        <f>HYPERLINK("https://klasma.github.io/Logging_0980/tillsyn/A 7637-2025 tillsynsbegäran.docx", "A 7637-2025")</f>
        <v/>
      </c>
      <c r="Y168">
        <f>HYPERLINK("https://klasma.github.io/Logging_0980/tillsynsmail/A 7637-2025 tillsynsbegäran mail.docx", "A 7637-2025")</f>
        <v/>
      </c>
    </row>
    <row r="169" ht="15" customHeight="1">
      <c r="A169" t="inlineStr">
        <is>
          <t>A 6303-2024</t>
        </is>
      </c>
      <c r="B169" s="1" t="n">
        <v>45338.35376157407</v>
      </c>
      <c r="C169" s="1" t="n">
        <v>46113</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34809-2024</t>
        </is>
      </c>
      <c r="B170" s="1" t="n">
        <v>45526</v>
      </c>
      <c r="C170" s="1" t="n">
        <v>46113</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34141-2024</t>
        </is>
      </c>
      <c r="B171" s="1" t="n">
        <v>45524.36229166666</v>
      </c>
      <c r="C171" s="1" t="n">
        <v>46113</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46113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63149-2025</t>
        </is>
      </c>
      <c r="B173" s="1" t="n">
        <v>46010</v>
      </c>
      <c r="C173" s="1" t="n">
        <v>46113</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61561-2023</t>
        </is>
      </c>
      <c r="B174" s="1" t="n">
        <v>45265</v>
      </c>
      <c r="C174" s="1" t="n">
        <v>46113</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11708-2026</t>
        </is>
      </c>
      <c r="B175" s="1" t="n">
        <v>46084</v>
      </c>
      <c r="C175" s="1" t="n">
        <v>46113</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10013-2026</t>
        </is>
      </c>
      <c r="B176" s="1" t="n">
        <v>46073</v>
      </c>
      <c r="C176" s="1" t="n">
        <v>46113</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12924-2025</t>
        </is>
      </c>
      <c r="B177" s="1" t="n">
        <v>45734</v>
      </c>
      <c r="C177" s="1" t="n">
        <v>46113</v>
      </c>
      <c r="D177" t="inlineStr">
        <is>
          <t>GOTLANDS LÄN</t>
        </is>
      </c>
      <c r="E177" t="inlineStr">
        <is>
          <t>GOTLAND</t>
        </is>
      </c>
      <c r="G177" t="n">
        <v>11.7</v>
      </c>
      <c r="H177" t="n">
        <v>0</v>
      </c>
      <c r="I177" t="n">
        <v>0</v>
      </c>
      <c r="J177" t="n">
        <v>0</v>
      </c>
      <c r="K177" t="n">
        <v>1</v>
      </c>
      <c r="L177" t="n">
        <v>0</v>
      </c>
      <c r="M177" t="n">
        <v>0</v>
      </c>
      <c r="N177" t="n">
        <v>0</v>
      </c>
      <c r="O177" t="n">
        <v>1</v>
      </c>
      <c r="P177" t="n">
        <v>1</v>
      </c>
      <c r="Q177" t="n">
        <v>1</v>
      </c>
      <c r="R177" s="2" t="inlineStr">
        <is>
          <t>Gotlandsmåra</t>
        </is>
      </c>
      <c r="S177">
        <f>HYPERLINK("https://klasma.github.io/Logging_0980/artfynd/A 12924-2025 artfynd.xlsx", "A 12924-2025")</f>
        <v/>
      </c>
      <c r="T177">
        <f>HYPERLINK("https://klasma.github.io/Logging_0980/kartor/A 12924-2025 karta.png", "A 12924-2025")</f>
        <v/>
      </c>
      <c r="V177">
        <f>HYPERLINK("https://klasma.github.io/Logging_0980/klagomål/A 12924-2025 FSC-klagomål.docx", "A 12924-2025")</f>
        <v/>
      </c>
      <c r="W177">
        <f>HYPERLINK("https://klasma.github.io/Logging_0980/klagomålsmail/A 12924-2025 FSC-klagomål mail.docx", "A 12924-2025")</f>
        <v/>
      </c>
      <c r="X177">
        <f>HYPERLINK("https://klasma.github.io/Logging_0980/tillsyn/A 12924-2025 tillsynsbegäran.docx", "A 12924-2025")</f>
        <v/>
      </c>
      <c r="Y177">
        <f>HYPERLINK("https://klasma.github.io/Logging_0980/tillsynsmail/A 12924-2025 tillsynsbegäran mail.docx", "A 12924-2025")</f>
        <v/>
      </c>
    </row>
    <row r="178" ht="15" customHeight="1">
      <c r="A178" t="inlineStr">
        <is>
          <t>A 22782-2023</t>
        </is>
      </c>
      <c r="B178" s="1" t="n">
        <v>45072</v>
      </c>
      <c r="C178" s="1" t="n">
        <v>46113</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46113</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46113</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46113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46113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46113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46113</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46113</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19901-2021</t>
        </is>
      </c>
      <c r="B186" s="1" t="n">
        <v>44312</v>
      </c>
      <c r="C186" s="1" t="n">
        <v>46113</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46113</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46113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46113</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46113</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46113</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46113</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46113</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46113</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46113</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46113</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46113</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46113</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42688-2021</t>
        </is>
      </c>
      <c r="B202" s="1" t="n">
        <v>44428</v>
      </c>
      <c r="C202" s="1" t="n">
        <v>46113</v>
      </c>
      <c r="D202" t="inlineStr">
        <is>
          <t>GOTLANDS LÄN</t>
        </is>
      </c>
      <c r="E202" t="inlineStr">
        <is>
          <t>GOTLAND</t>
        </is>
      </c>
      <c r="G202" t="n">
        <v>0.6</v>
      </c>
      <c r="H202" t="n">
        <v>0</v>
      </c>
      <c r="I202" t="n">
        <v>0</v>
      </c>
      <c r="J202" t="n">
        <v>0</v>
      </c>
      <c r="K202" t="n">
        <v>0</v>
      </c>
      <c r="L202" t="n">
        <v>0</v>
      </c>
      <c r="M202" t="n">
        <v>0</v>
      </c>
      <c r="N202" t="n">
        <v>0</v>
      </c>
      <c r="O202" t="n">
        <v>0</v>
      </c>
      <c r="P202" t="n">
        <v>0</v>
      </c>
      <c r="Q202" t="n">
        <v>0</v>
      </c>
      <c r="R202" s="2" t="inlineStr"/>
    </row>
    <row r="203" ht="15" customHeight="1">
      <c r="A203" t="inlineStr">
        <is>
          <t>A 24123-2022</t>
        </is>
      </c>
      <c r="B203" s="1" t="n">
        <v>44725.4384375</v>
      </c>
      <c r="C203" s="1" t="n">
        <v>46113</v>
      </c>
      <c r="D203" t="inlineStr">
        <is>
          <t>GOTLANDS LÄN</t>
        </is>
      </c>
      <c r="E203" t="inlineStr">
        <is>
          <t>GOTLAND</t>
        </is>
      </c>
      <c r="G203" t="n">
        <v>6</v>
      </c>
      <c r="H203" t="n">
        <v>0</v>
      </c>
      <c r="I203" t="n">
        <v>0</v>
      </c>
      <c r="J203" t="n">
        <v>0</v>
      </c>
      <c r="K203" t="n">
        <v>0</v>
      </c>
      <c r="L203" t="n">
        <v>0</v>
      </c>
      <c r="M203" t="n">
        <v>0</v>
      </c>
      <c r="N203" t="n">
        <v>0</v>
      </c>
      <c r="O203" t="n">
        <v>0</v>
      </c>
      <c r="P203" t="n">
        <v>0</v>
      </c>
      <c r="Q203" t="n">
        <v>0</v>
      </c>
      <c r="R203" s="2" t="inlineStr"/>
    </row>
    <row r="204" ht="15" customHeight="1">
      <c r="A204" t="inlineStr">
        <is>
          <t>A 44207-2022</t>
        </is>
      </c>
      <c r="B204" s="1" t="n">
        <v>44839</v>
      </c>
      <c r="C204" s="1" t="n">
        <v>46113</v>
      </c>
      <c r="D204" t="inlineStr">
        <is>
          <t>GOTLANDS LÄN</t>
        </is>
      </c>
      <c r="E204" t="inlineStr">
        <is>
          <t>GOTLAND</t>
        </is>
      </c>
      <c r="G204" t="n">
        <v>3.8</v>
      </c>
      <c r="H204" t="n">
        <v>0</v>
      </c>
      <c r="I204" t="n">
        <v>0</v>
      </c>
      <c r="J204" t="n">
        <v>0</v>
      </c>
      <c r="K204" t="n">
        <v>0</v>
      </c>
      <c r="L204" t="n">
        <v>0</v>
      </c>
      <c r="M204" t="n">
        <v>0</v>
      </c>
      <c r="N204" t="n">
        <v>0</v>
      </c>
      <c r="O204" t="n">
        <v>0</v>
      </c>
      <c r="P204" t="n">
        <v>0</v>
      </c>
      <c r="Q204" t="n">
        <v>0</v>
      </c>
      <c r="R204" s="2" t="inlineStr"/>
    </row>
    <row r="205" ht="15" customHeight="1">
      <c r="A205" t="inlineStr">
        <is>
          <t>A 19447-2021</t>
        </is>
      </c>
      <c r="B205" s="1" t="n">
        <v>44310.72780092592</v>
      </c>
      <c r="C205" s="1" t="n">
        <v>46113</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46113</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46113</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46113</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46113</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46113</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46113</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46113</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46113</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46113</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46113</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46113</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46113</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46113</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46113</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46113</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57652-2023</t>
        </is>
      </c>
      <c r="B224" s="1" t="n">
        <v>45246</v>
      </c>
      <c r="C224" s="1" t="n">
        <v>46113</v>
      </c>
      <c r="D224" t="inlineStr">
        <is>
          <t>GOTLANDS LÄN</t>
        </is>
      </c>
      <c r="E224" t="inlineStr">
        <is>
          <t>GOTLAND</t>
        </is>
      </c>
      <c r="G224" t="n">
        <v>7.2</v>
      </c>
      <c r="H224" t="n">
        <v>0</v>
      </c>
      <c r="I224" t="n">
        <v>0</v>
      </c>
      <c r="J224" t="n">
        <v>0</v>
      </c>
      <c r="K224" t="n">
        <v>0</v>
      </c>
      <c r="L224" t="n">
        <v>0</v>
      </c>
      <c r="M224" t="n">
        <v>0</v>
      </c>
      <c r="N224" t="n">
        <v>0</v>
      </c>
      <c r="O224" t="n">
        <v>0</v>
      </c>
      <c r="P224" t="n">
        <v>0</v>
      </c>
      <c r="Q224" t="n">
        <v>0</v>
      </c>
      <c r="R224" s="2" t="inlineStr"/>
    </row>
    <row r="225" ht="15" customHeight="1">
      <c r="A225" t="inlineStr">
        <is>
          <t>A 57356-2023</t>
        </is>
      </c>
      <c r="B225" s="1" t="n">
        <v>45240</v>
      </c>
      <c r="C225" s="1" t="n">
        <v>46113</v>
      </c>
      <c r="D225" t="inlineStr">
        <is>
          <t>GOTLANDS LÄN</t>
        </is>
      </c>
      <c r="E225" t="inlineStr">
        <is>
          <t>GOTLAND</t>
        </is>
      </c>
      <c r="G225" t="n">
        <v>6.4</v>
      </c>
      <c r="H225" t="n">
        <v>0</v>
      </c>
      <c r="I225" t="n">
        <v>0</v>
      </c>
      <c r="J225" t="n">
        <v>0</v>
      </c>
      <c r="K225" t="n">
        <v>0</v>
      </c>
      <c r="L225" t="n">
        <v>0</v>
      </c>
      <c r="M225" t="n">
        <v>0</v>
      </c>
      <c r="N225" t="n">
        <v>0</v>
      </c>
      <c r="O225" t="n">
        <v>0</v>
      </c>
      <c r="P225" t="n">
        <v>0</v>
      </c>
      <c r="Q225" t="n">
        <v>0</v>
      </c>
      <c r="R225" s="2" t="inlineStr"/>
    </row>
    <row r="226" ht="15" customHeight="1">
      <c r="A226" t="inlineStr">
        <is>
          <t>A 10656-2024</t>
        </is>
      </c>
      <c r="B226" s="1" t="n">
        <v>45368</v>
      </c>
      <c r="C226" s="1" t="n">
        <v>46113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20356-2022</t>
        </is>
      </c>
      <c r="B227" s="1" t="n">
        <v>44699</v>
      </c>
      <c r="C227" s="1" t="n">
        <v>46113</v>
      </c>
      <c r="D227" t="inlineStr">
        <is>
          <t>GOTLANDS LÄN</t>
        </is>
      </c>
      <c r="E227" t="inlineStr">
        <is>
          <t>GOTLAND</t>
        </is>
      </c>
      <c r="F227" t="inlineStr">
        <is>
          <t>Övriga Aktiebolag</t>
        </is>
      </c>
      <c r="G227" t="n">
        <v>4.4</v>
      </c>
      <c r="H227" t="n">
        <v>0</v>
      </c>
      <c r="I227" t="n">
        <v>0</v>
      </c>
      <c r="J227" t="n">
        <v>0</v>
      </c>
      <c r="K227" t="n">
        <v>0</v>
      </c>
      <c r="L227" t="n">
        <v>0</v>
      </c>
      <c r="M227" t="n">
        <v>0</v>
      </c>
      <c r="N227" t="n">
        <v>0</v>
      </c>
      <c r="O227" t="n">
        <v>0</v>
      </c>
      <c r="P227" t="n">
        <v>0</v>
      </c>
      <c r="Q227" t="n">
        <v>0</v>
      </c>
      <c r="R227" s="2" t="inlineStr"/>
    </row>
    <row r="228" ht="15" customHeight="1">
      <c r="A228" t="inlineStr">
        <is>
          <t>A 28506-2023</t>
        </is>
      </c>
      <c r="B228" s="1" t="n">
        <v>45103</v>
      </c>
      <c r="C228" s="1" t="n">
        <v>46113</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21420-2024</t>
        </is>
      </c>
      <c r="B229" s="1" t="n">
        <v>45441.38293981482</v>
      </c>
      <c r="C229" s="1" t="n">
        <v>46113</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49315-2024</t>
        </is>
      </c>
      <c r="B230" s="1" t="n">
        <v>45595</v>
      </c>
      <c r="C230" s="1" t="n">
        <v>46113</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23188-2025</t>
        </is>
      </c>
      <c r="B231" s="1" t="n">
        <v>45791</v>
      </c>
      <c r="C231" s="1" t="n">
        <v>46113</v>
      </c>
      <c r="D231" t="inlineStr">
        <is>
          <t>GOTLANDS LÄN</t>
        </is>
      </c>
      <c r="E231" t="inlineStr">
        <is>
          <t>GOTLAND</t>
        </is>
      </c>
      <c r="G231" t="n">
        <v>6.2</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46113</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46113</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2676-2023</t>
        </is>
      </c>
      <c r="B234" s="1" t="n">
        <v>44944</v>
      </c>
      <c r="C234" s="1" t="n">
        <v>46113</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23473-2025</t>
        </is>
      </c>
      <c r="B235" s="1" t="n">
        <v>45792</v>
      </c>
      <c r="C235" s="1" t="n">
        <v>46113</v>
      </c>
      <c r="D235" t="inlineStr">
        <is>
          <t>GOTLANDS LÄN</t>
        </is>
      </c>
      <c r="E235" t="inlineStr">
        <is>
          <t>GOTLAND</t>
        </is>
      </c>
      <c r="G235" t="n">
        <v>3.6</v>
      </c>
      <c r="H235" t="n">
        <v>0</v>
      </c>
      <c r="I235" t="n">
        <v>0</v>
      </c>
      <c r="J235" t="n">
        <v>0</v>
      </c>
      <c r="K235" t="n">
        <v>0</v>
      </c>
      <c r="L235" t="n">
        <v>0</v>
      </c>
      <c r="M235" t="n">
        <v>0</v>
      </c>
      <c r="N235" t="n">
        <v>0</v>
      </c>
      <c r="O235" t="n">
        <v>0</v>
      </c>
      <c r="P235" t="n">
        <v>0</v>
      </c>
      <c r="Q235" t="n">
        <v>0</v>
      </c>
      <c r="R235" s="2" t="inlineStr"/>
    </row>
    <row r="236" ht="15" customHeight="1">
      <c r="A236" t="inlineStr">
        <is>
          <t>A 3150-2025</t>
        </is>
      </c>
      <c r="B236" s="1" t="n">
        <v>45679.28974537037</v>
      </c>
      <c r="C236" s="1" t="n">
        <v>46113</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8484-2025</t>
        </is>
      </c>
      <c r="B237" s="1" t="n">
        <v>45709</v>
      </c>
      <c r="C237" s="1" t="n">
        <v>46113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7635-2025</t>
        </is>
      </c>
      <c r="B238" s="1" t="n">
        <v>45705</v>
      </c>
      <c r="C238" s="1" t="n">
        <v>46113</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7636-2025</t>
        </is>
      </c>
      <c r="B239" s="1" t="n">
        <v>45705.7687962963</v>
      </c>
      <c r="C239" s="1" t="n">
        <v>46113</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7639-2025</t>
        </is>
      </c>
      <c r="B240" s="1" t="n">
        <v>45705.77465277778</v>
      </c>
      <c r="C240" s="1" t="n">
        <v>46113</v>
      </c>
      <c r="D240" t="inlineStr">
        <is>
          <t>GOTLANDS LÄN</t>
        </is>
      </c>
      <c r="E240" t="inlineStr">
        <is>
          <t>GOTLAND</t>
        </is>
      </c>
      <c r="G240" t="n">
        <v>1</v>
      </c>
      <c r="H240" t="n">
        <v>0</v>
      </c>
      <c r="I240" t="n">
        <v>0</v>
      </c>
      <c r="J240" t="n">
        <v>0</v>
      </c>
      <c r="K240" t="n">
        <v>0</v>
      </c>
      <c r="L240" t="n">
        <v>0</v>
      </c>
      <c r="M240" t="n">
        <v>0</v>
      </c>
      <c r="N240" t="n">
        <v>0</v>
      </c>
      <c r="O240" t="n">
        <v>0</v>
      </c>
      <c r="P240" t="n">
        <v>0</v>
      </c>
      <c r="Q240" t="n">
        <v>0</v>
      </c>
      <c r="R240" s="2" t="inlineStr"/>
    </row>
    <row r="241" ht="15" customHeight="1">
      <c r="A241" t="inlineStr">
        <is>
          <t>A 13498-2022</t>
        </is>
      </c>
      <c r="B241" s="1" t="n">
        <v>44647.78866898148</v>
      </c>
      <c r="C241" s="1" t="n">
        <v>46113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13500-2022</t>
        </is>
      </c>
      <c r="B242" s="1" t="n">
        <v>44647.79513888889</v>
      </c>
      <c r="C242" s="1" t="n">
        <v>46113</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23856-2025</t>
        </is>
      </c>
      <c r="B243" s="1" t="n">
        <v>45793</v>
      </c>
      <c r="C243" s="1" t="n">
        <v>46113</v>
      </c>
      <c r="D243" t="inlineStr">
        <is>
          <t>GOTLANDS LÄN</t>
        </is>
      </c>
      <c r="E243" t="inlineStr">
        <is>
          <t>GOTLAND</t>
        </is>
      </c>
      <c r="G243" t="n">
        <v>4.4</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46113</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48734-2022</t>
        </is>
      </c>
      <c r="B245" s="1" t="n">
        <v>44855</v>
      </c>
      <c r="C245" s="1" t="n">
        <v>46113</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14141-2024</t>
        </is>
      </c>
      <c r="B246" s="1" t="n">
        <v>45392.85193287037</v>
      </c>
      <c r="C246" s="1" t="n">
        <v>46113</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15073-2025</t>
        </is>
      </c>
      <c r="B247" s="1" t="n">
        <v>45743</v>
      </c>
      <c r="C247" s="1" t="n">
        <v>46113</v>
      </c>
      <c r="D247" t="inlineStr">
        <is>
          <t>GOTLANDS LÄN</t>
        </is>
      </c>
      <c r="E247" t="inlineStr">
        <is>
          <t>GOTLAND</t>
        </is>
      </c>
      <c r="G247" t="n">
        <v>12.1</v>
      </c>
      <c r="H247" t="n">
        <v>0</v>
      </c>
      <c r="I247" t="n">
        <v>0</v>
      </c>
      <c r="J247" t="n">
        <v>0</v>
      </c>
      <c r="K247" t="n">
        <v>0</v>
      </c>
      <c r="L247" t="n">
        <v>0</v>
      </c>
      <c r="M247" t="n">
        <v>0</v>
      </c>
      <c r="N247" t="n">
        <v>0</v>
      </c>
      <c r="O247" t="n">
        <v>0</v>
      </c>
      <c r="P247" t="n">
        <v>0</v>
      </c>
      <c r="Q247" t="n">
        <v>0</v>
      </c>
      <c r="R247" s="2" t="inlineStr"/>
    </row>
    <row r="248" ht="15" customHeight="1">
      <c r="A248" t="inlineStr">
        <is>
          <t>A 29809-2022</t>
        </is>
      </c>
      <c r="B248" s="1" t="n">
        <v>44755.8713425926</v>
      </c>
      <c r="C248" s="1" t="n">
        <v>46113</v>
      </c>
      <c r="D248" t="inlineStr">
        <is>
          <t>GOTLANDS LÄN</t>
        </is>
      </c>
      <c r="E248" t="inlineStr">
        <is>
          <t>GOTLAND</t>
        </is>
      </c>
      <c r="G248" t="n">
        <v>11.5</v>
      </c>
      <c r="H248" t="n">
        <v>0</v>
      </c>
      <c r="I248" t="n">
        <v>0</v>
      </c>
      <c r="J248" t="n">
        <v>0</v>
      </c>
      <c r="K248" t="n">
        <v>0</v>
      </c>
      <c r="L248" t="n">
        <v>0</v>
      </c>
      <c r="M248" t="n">
        <v>0</v>
      </c>
      <c r="N248" t="n">
        <v>0</v>
      </c>
      <c r="O248" t="n">
        <v>0</v>
      </c>
      <c r="P248" t="n">
        <v>0</v>
      </c>
      <c r="Q248" t="n">
        <v>0</v>
      </c>
      <c r="R248" s="2" t="inlineStr"/>
    </row>
    <row r="249" ht="15" customHeight="1">
      <c r="A249" t="inlineStr">
        <is>
          <t>A 21507-2021</t>
        </is>
      </c>
      <c r="B249" s="1" t="n">
        <v>44321</v>
      </c>
      <c r="C249" s="1" t="n">
        <v>46113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6749-2025</t>
        </is>
      </c>
      <c r="B250" s="1" t="n">
        <v>45700</v>
      </c>
      <c r="C250" s="1" t="n">
        <v>46113</v>
      </c>
      <c r="D250" t="inlineStr">
        <is>
          <t>GOTLANDS LÄN</t>
        </is>
      </c>
      <c r="E250" t="inlineStr">
        <is>
          <t>GOTLAND</t>
        </is>
      </c>
      <c r="G250" t="n">
        <v>4.5</v>
      </c>
      <c r="H250" t="n">
        <v>0</v>
      </c>
      <c r="I250" t="n">
        <v>0</v>
      </c>
      <c r="J250" t="n">
        <v>0</v>
      </c>
      <c r="K250" t="n">
        <v>0</v>
      </c>
      <c r="L250" t="n">
        <v>0</v>
      </c>
      <c r="M250" t="n">
        <v>0</v>
      </c>
      <c r="N250" t="n">
        <v>0</v>
      </c>
      <c r="O250" t="n">
        <v>0</v>
      </c>
      <c r="P250" t="n">
        <v>0</v>
      </c>
      <c r="Q250" t="n">
        <v>0</v>
      </c>
      <c r="R250" s="2" t="inlineStr"/>
    </row>
    <row r="251" ht="15" customHeight="1">
      <c r="A251" t="inlineStr">
        <is>
          <t>A 18993-2025</t>
        </is>
      </c>
      <c r="B251" s="1" t="n">
        <v>45764</v>
      </c>
      <c r="C251" s="1" t="n">
        <v>46113</v>
      </c>
      <c r="D251" t="inlineStr">
        <is>
          <t>GOTLANDS LÄN</t>
        </is>
      </c>
      <c r="E251" t="inlineStr">
        <is>
          <t>GOTLAND</t>
        </is>
      </c>
      <c r="G251" t="n">
        <v>3</v>
      </c>
      <c r="H251" t="n">
        <v>0</v>
      </c>
      <c r="I251" t="n">
        <v>0</v>
      </c>
      <c r="J251" t="n">
        <v>0</v>
      </c>
      <c r="K251" t="n">
        <v>0</v>
      </c>
      <c r="L251" t="n">
        <v>0</v>
      </c>
      <c r="M251" t="n">
        <v>0</v>
      </c>
      <c r="N251" t="n">
        <v>0</v>
      </c>
      <c r="O251" t="n">
        <v>0</v>
      </c>
      <c r="P251" t="n">
        <v>0</v>
      </c>
      <c r="Q251" t="n">
        <v>0</v>
      </c>
      <c r="R251" s="2" t="inlineStr"/>
    </row>
    <row r="252" ht="15" customHeight="1">
      <c r="A252" t="inlineStr">
        <is>
          <t>A 57219-2021</t>
        </is>
      </c>
      <c r="B252" s="1" t="n">
        <v>44483</v>
      </c>
      <c r="C252" s="1" t="n">
        <v>46113</v>
      </c>
      <c r="D252" t="inlineStr">
        <is>
          <t>GOTLANDS LÄN</t>
        </is>
      </c>
      <c r="E252" t="inlineStr">
        <is>
          <t>GOTLAND</t>
        </is>
      </c>
      <c r="F252" t="inlineStr">
        <is>
          <t>Kyrkan</t>
        </is>
      </c>
      <c r="G252" t="n">
        <v>4</v>
      </c>
      <c r="H252" t="n">
        <v>0</v>
      </c>
      <c r="I252" t="n">
        <v>0</v>
      </c>
      <c r="J252" t="n">
        <v>0</v>
      </c>
      <c r="K252" t="n">
        <v>0</v>
      </c>
      <c r="L252" t="n">
        <v>0</v>
      </c>
      <c r="M252" t="n">
        <v>0</v>
      </c>
      <c r="N252" t="n">
        <v>0</v>
      </c>
      <c r="O252" t="n">
        <v>0</v>
      </c>
      <c r="P252" t="n">
        <v>0</v>
      </c>
      <c r="Q252" t="n">
        <v>0</v>
      </c>
      <c r="R252" s="2" t="inlineStr"/>
    </row>
    <row r="253" ht="15" customHeight="1">
      <c r="A253" t="inlineStr">
        <is>
          <t>A 23698-2025</t>
        </is>
      </c>
      <c r="B253" s="1" t="n">
        <v>45793</v>
      </c>
      <c r="C253" s="1" t="n">
        <v>46113</v>
      </c>
      <c r="D253" t="inlineStr">
        <is>
          <t>GOTLANDS LÄN</t>
        </is>
      </c>
      <c r="E253" t="inlineStr">
        <is>
          <t>GOTLAND</t>
        </is>
      </c>
      <c r="G253" t="n">
        <v>0.8</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46113</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12599-2025</t>
        </is>
      </c>
      <c r="B255" s="1" t="n">
        <v>45733.29546296296</v>
      </c>
      <c r="C255" s="1" t="n">
        <v>46113</v>
      </c>
      <c r="D255" t="inlineStr">
        <is>
          <t>GOTLANDS LÄN</t>
        </is>
      </c>
      <c r="E255" t="inlineStr">
        <is>
          <t>GOTLAND</t>
        </is>
      </c>
      <c r="G255" t="n">
        <v>4.7</v>
      </c>
      <c r="H255" t="n">
        <v>0</v>
      </c>
      <c r="I255" t="n">
        <v>0</v>
      </c>
      <c r="J255" t="n">
        <v>0</v>
      </c>
      <c r="K255" t="n">
        <v>0</v>
      </c>
      <c r="L255" t="n">
        <v>0</v>
      </c>
      <c r="M255" t="n">
        <v>0</v>
      </c>
      <c r="N255" t="n">
        <v>0</v>
      </c>
      <c r="O255" t="n">
        <v>0</v>
      </c>
      <c r="P255" t="n">
        <v>0</v>
      </c>
      <c r="Q255" t="n">
        <v>0</v>
      </c>
      <c r="R255" s="2" t="inlineStr"/>
    </row>
    <row r="256" ht="15" customHeight="1">
      <c r="A256" t="inlineStr">
        <is>
          <t>A 35141-2025</t>
        </is>
      </c>
      <c r="B256" s="1" t="n">
        <v>45852.65206018519</v>
      </c>
      <c r="C256" s="1" t="n">
        <v>46113</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46113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57685-2022</t>
        </is>
      </c>
      <c r="B258" s="1" t="n">
        <v>44897.4777662037</v>
      </c>
      <c r="C258" s="1" t="n">
        <v>46113</v>
      </c>
      <c r="D258" t="inlineStr">
        <is>
          <t>GOTLANDS LÄN</t>
        </is>
      </c>
      <c r="E258" t="inlineStr">
        <is>
          <t>GOTLAND</t>
        </is>
      </c>
      <c r="G258" t="n">
        <v>3.7</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46113</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30815-2023</t>
        </is>
      </c>
      <c r="B260" s="1" t="n">
        <v>45112</v>
      </c>
      <c r="C260" s="1" t="n">
        <v>46113</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4868-2024</t>
        </is>
      </c>
      <c r="B261" s="1" t="n">
        <v>45329</v>
      </c>
      <c r="C261" s="1" t="n">
        <v>46113</v>
      </c>
      <c r="D261" t="inlineStr">
        <is>
          <t>GOTLANDS LÄN</t>
        </is>
      </c>
      <c r="E261" t="inlineStr">
        <is>
          <t>GOTLAND</t>
        </is>
      </c>
      <c r="G261" t="n">
        <v>7.1</v>
      </c>
      <c r="H261" t="n">
        <v>0</v>
      </c>
      <c r="I261" t="n">
        <v>0</v>
      </c>
      <c r="J261" t="n">
        <v>0</v>
      </c>
      <c r="K261" t="n">
        <v>0</v>
      </c>
      <c r="L261" t="n">
        <v>0</v>
      </c>
      <c r="M261" t="n">
        <v>0</v>
      </c>
      <c r="N261" t="n">
        <v>0</v>
      </c>
      <c r="O261" t="n">
        <v>0</v>
      </c>
      <c r="P261" t="n">
        <v>0</v>
      </c>
      <c r="Q261" t="n">
        <v>0</v>
      </c>
      <c r="R261" s="2" t="inlineStr"/>
    </row>
    <row r="262" ht="15" customHeight="1">
      <c r="A262" t="inlineStr">
        <is>
          <t>A 39819-2025</t>
        </is>
      </c>
      <c r="B262" s="1" t="n">
        <v>45891.53418981482</v>
      </c>
      <c r="C262" s="1" t="n">
        <v>46113</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39814-2025</t>
        </is>
      </c>
      <c r="B263" s="1" t="n">
        <v>45891.52694444444</v>
      </c>
      <c r="C263" s="1" t="n">
        <v>46113</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39849-2025</t>
        </is>
      </c>
      <c r="B264" s="1" t="n">
        <v>45891.58502314815</v>
      </c>
      <c r="C264" s="1" t="n">
        <v>46113</v>
      </c>
      <c r="D264" t="inlineStr">
        <is>
          <t>GOTLANDS LÄN</t>
        </is>
      </c>
      <c r="E264" t="inlineStr">
        <is>
          <t>GOTLAND</t>
        </is>
      </c>
      <c r="G264" t="n">
        <v>6.1</v>
      </c>
      <c r="H264" t="n">
        <v>0</v>
      </c>
      <c r="I264" t="n">
        <v>0</v>
      </c>
      <c r="J264" t="n">
        <v>0</v>
      </c>
      <c r="K264" t="n">
        <v>0</v>
      </c>
      <c r="L264" t="n">
        <v>0</v>
      </c>
      <c r="M264" t="n">
        <v>0</v>
      </c>
      <c r="N264" t="n">
        <v>0</v>
      </c>
      <c r="O264" t="n">
        <v>0</v>
      </c>
      <c r="P264" t="n">
        <v>0</v>
      </c>
      <c r="Q264" t="n">
        <v>0</v>
      </c>
      <c r="R264" s="2" t="inlineStr"/>
    </row>
    <row r="265" ht="15" customHeight="1">
      <c r="A265" t="inlineStr">
        <is>
          <t>A 32330-2024</t>
        </is>
      </c>
      <c r="B265" s="1" t="n">
        <v>45512</v>
      </c>
      <c r="C265" s="1" t="n">
        <v>46113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46113</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46113</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46113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23516-2023</t>
        </is>
      </c>
      <c r="B269" s="1" t="n">
        <v>45076.93391203704</v>
      </c>
      <c r="C269" s="1" t="n">
        <v>46113</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46113</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9613-2025</t>
        </is>
      </c>
      <c r="B273" s="1" t="n">
        <v>45715</v>
      </c>
      <c r="C273" s="1" t="n">
        <v>46113</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64660-2023</t>
        </is>
      </c>
      <c r="B274" s="1" t="n">
        <v>45281.60122685185</v>
      </c>
      <c r="C274" s="1" t="n">
        <v>46113</v>
      </c>
      <c r="D274" t="inlineStr">
        <is>
          <t>GOTLANDS LÄN</t>
        </is>
      </c>
      <c r="E274" t="inlineStr">
        <is>
          <t>GOTLAND</t>
        </is>
      </c>
      <c r="G274" t="n">
        <v>6.3</v>
      </c>
      <c r="H274" t="n">
        <v>0</v>
      </c>
      <c r="I274" t="n">
        <v>0</v>
      </c>
      <c r="J274" t="n">
        <v>0</v>
      </c>
      <c r="K274" t="n">
        <v>0</v>
      </c>
      <c r="L274" t="n">
        <v>0</v>
      </c>
      <c r="M274" t="n">
        <v>0</v>
      </c>
      <c r="N274" t="n">
        <v>0</v>
      </c>
      <c r="O274" t="n">
        <v>0</v>
      </c>
      <c r="P274" t="n">
        <v>0</v>
      </c>
      <c r="Q274" t="n">
        <v>0</v>
      </c>
      <c r="R274" s="2" t="inlineStr"/>
    </row>
    <row r="275" ht="15" customHeight="1">
      <c r="A275" t="inlineStr">
        <is>
          <t>A 40499-2025</t>
        </is>
      </c>
      <c r="B275" s="1" t="n">
        <v>45896.32517361111</v>
      </c>
      <c r="C275" s="1" t="n">
        <v>46113</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46113</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63763-2023</t>
        </is>
      </c>
      <c r="B277" s="1" t="n">
        <v>45278.33944444444</v>
      </c>
      <c r="C277" s="1" t="n">
        <v>46113</v>
      </c>
      <c r="D277" t="inlineStr">
        <is>
          <t>GOTLANDS LÄN</t>
        </is>
      </c>
      <c r="E277" t="inlineStr">
        <is>
          <t>GOTLAND</t>
        </is>
      </c>
      <c r="G277" t="n">
        <v>0.5</v>
      </c>
      <c r="H277" t="n">
        <v>0</v>
      </c>
      <c r="I277" t="n">
        <v>0</v>
      </c>
      <c r="J277" t="n">
        <v>0</v>
      </c>
      <c r="K277" t="n">
        <v>0</v>
      </c>
      <c r="L277" t="n">
        <v>0</v>
      </c>
      <c r="M277" t="n">
        <v>0</v>
      </c>
      <c r="N277" t="n">
        <v>0</v>
      </c>
      <c r="O277" t="n">
        <v>0</v>
      </c>
      <c r="P277" t="n">
        <v>0</v>
      </c>
      <c r="Q277" t="n">
        <v>0</v>
      </c>
      <c r="R277" s="2" t="inlineStr"/>
    </row>
    <row r="278" ht="15" customHeight="1">
      <c r="A278" t="inlineStr">
        <is>
          <t>A 15595-2024</t>
        </is>
      </c>
      <c r="B278" s="1" t="n">
        <v>45401.81480324074</v>
      </c>
      <c r="C278" s="1" t="n">
        <v>46113</v>
      </c>
      <c r="D278" t="inlineStr">
        <is>
          <t>GOTLANDS LÄN</t>
        </is>
      </c>
      <c r="E278" t="inlineStr">
        <is>
          <t>GOTLAND</t>
        </is>
      </c>
      <c r="G278" t="n">
        <v>6.4</v>
      </c>
      <c r="H278" t="n">
        <v>0</v>
      </c>
      <c r="I278" t="n">
        <v>0</v>
      </c>
      <c r="J278" t="n">
        <v>0</v>
      </c>
      <c r="K278" t="n">
        <v>0</v>
      </c>
      <c r="L278" t="n">
        <v>0</v>
      </c>
      <c r="M278" t="n">
        <v>0</v>
      </c>
      <c r="N278" t="n">
        <v>0</v>
      </c>
      <c r="O278" t="n">
        <v>0</v>
      </c>
      <c r="P278" t="n">
        <v>0</v>
      </c>
      <c r="Q278" t="n">
        <v>0</v>
      </c>
      <c r="R278" s="2" t="inlineStr"/>
    </row>
    <row r="279" ht="15" customHeight="1">
      <c r="A279" t="inlineStr">
        <is>
          <t>A 5751-2024</t>
        </is>
      </c>
      <c r="B279" s="1" t="n">
        <v>45335.32702546296</v>
      </c>
      <c r="C279" s="1" t="n">
        <v>46113</v>
      </c>
      <c r="D279" t="inlineStr">
        <is>
          <t>GOTLANDS LÄN</t>
        </is>
      </c>
      <c r="E279" t="inlineStr">
        <is>
          <t>GOTLAND</t>
        </is>
      </c>
      <c r="G279" t="n">
        <v>4.2</v>
      </c>
      <c r="H279" t="n">
        <v>0</v>
      </c>
      <c r="I279" t="n">
        <v>0</v>
      </c>
      <c r="J279" t="n">
        <v>0</v>
      </c>
      <c r="K279" t="n">
        <v>0</v>
      </c>
      <c r="L279" t="n">
        <v>0</v>
      </c>
      <c r="M279" t="n">
        <v>0</v>
      </c>
      <c r="N279" t="n">
        <v>0</v>
      </c>
      <c r="O279" t="n">
        <v>0</v>
      </c>
      <c r="P279" t="n">
        <v>0</v>
      </c>
      <c r="Q279" t="n">
        <v>0</v>
      </c>
      <c r="R279" s="2" t="inlineStr"/>
    </row>
    <row r="280" ht="15" customHeight="1">
      <c r="A280" t="inlineStr">
        <is>
          <t>A 39278-2025</t>
        </is>
      </c>
      <c r="B280" s="1" t="n">
        <v>45889</v>
      </c>
      <c r="C280" s="1" t="n">
        <v>46113</v>
      </c>
      <c r="D280" t="inlineStr">
        <is>
          <t>GOTLANDS LÄN</t>
        </is>
      </c>
      <c r="E280" t="inlineStr">
        <is>
          <t>GOTLAND</t>
        </is>
      </c>
      <c r="G280" t="n">
        <v>3.7</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46113</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46113</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24966-2023</t>
        </is>
      </c>
      <c r="B283" s="1" t="n">
        <v>45085</v>
      </c>
      <c r="C283" s="1" t="n">
        <v>46113</v>
      </c>
      <c r="D283" t="inlineStr">
        <is>
          <t>GOTLANDS LÄN</t>
        </is>
      </c>
      <c r="E283" t="inlineStr">
        <is>
          <t>GOTLAND</t>
        </is>
      </c>
      <c r="G283" t="n">
        <v>7</v>
      </c>
      <c r="H283" t="n">
        <v>0</v>
      </c>
      <c r="I283" t="n">
        <v>0</v>
      </c>
      <c r="J283" t="n">
        <v>0</v>
      </c>
      <c r="K283" t="n">
        <v>0</v>
      </c>
      <c r="L283" t="n">
        <v>0</v>
      </c>
      <c r="M283" t="n">
        <v>0</v>
      </c>
      <c r="N283" t="n">
        <v>0</v>
      </c>
      <c r="O283" t="n">
        <v>0</v>
      </c>
      <c r="P283" t="n">
        <v>0</v>
      </c>
      <c r="Q283" t="n">
        <v>0</v>
      </c>
      <c r="R283" s="2" t="inlineStr"/>
    </row>
    <row r="284" ht="15" customHeight="1">
      <c r="A284" t="inlineStr">
        <is>
          <t>A 46189-2022</t>
        </is>
      </c>
      <c r="B284" s="1" t="n">
        <v>44847</v>
      </c>
      <c r="C284" s="1" t="n">
        <v>46113</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41435-2025</t>
        </is>
      </c>
      <c r="B285" s="1" t="n">
        <v>45901.39974537037</v>
      </c>
      <c r="C285" s="1" t="n">
        <v>46113</v>
      </c>
      <c r="D285" t="inlineStr">
        <is>
          <t>GOTLANDS LÄN</t>
        </is>
      </c>
      <c r="E285" t="inlineStr">
        <is>
          <t>GOTLAND</t>
        </is>
      </c>
      <c r="G285" t="n">
        <v>4.9</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46113</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22031-2024</t>
        </is>
      </c>
      <c r="B287" s="1" t="n">
        <v>45443.60075231481</v>
      </c>
      <c r="C287" s="1" t="n">
        <v>46113</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1734-2025</t>
        </is>
      </c>
      <c r="B288" s="1" t="n">
        <v>45671.3840625</v>
      </c>
      <c r="C288" s="1" t="n">
        <v>46113</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49314-2024</t>
        </is>
      </c>
      <c r="B289" s="1" t="n">
        <v>45595.55893518519</v>
      </c>
      <c r="C289" s="1" t="n">
        <v>46113</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20993-2023</t>
        </is>
      </c>
      <c r="B290" s="1" t="n">
        <v>45056</v>
      </c>
      <c r="C290" s="1" t="n">
        <v>46113</v>
      </c>
      <c r="D290" t="inlineStr">
        <is>
          <t>GOTLANDS LÄN</t>
        </is>
      </c>
      <c r="E290" t="inlineStr">
        <is>
          <t>GOTLAND</t>
        </is>
      </c>
      <c r="G290" t="n">
        <v>7.1</v>
      </c>
      <c r="H290" t="n">
        <v>0</v>
      </c>
      <c r="I290" t="n">
        <v>0</v>
      </c>
      <c r="J290" t="n">
        <v>0</v>
      </c>
      <c r="K290" t="n">
        <v>0</v>
      </c>
      <c r="L290" t="n">
        <v>0</v>
      </c>
      <c r="M290" t="n">
        <v>0</v>
      </c>
      <c r="N290" t="n">
        <v>0</v>
      </c>
      <c r="O290" t="n">
        <v>0</v>
      </c>
      <c r="P290" t="n">
        <v>0</v>
      </c>
      <c r="Q290" t="n">
        <v>0</v>
      </c>
      <c r="R290" s="2" t="inlineStr"/>
    </row>
    <row r="291" ht="15" customHeight="1">
      <c r="A291" t="inlineStr">
        <is>
          <t>A 44919-2022</t>
        </is>
      </c>
      <c r="B291" s="1" t="n">
        <v>44841</v>
      </c>
      <c r="C291" s="1" t="n">
        <v>46113</v>
      </c>
      <c r="D291" t="inlineStr">
        <is>
          <t>GOTLANDS LÄN</t>
        </is>
      </c>
      <c r="E291" t="inlineStr">
        <is>
          <t>GOTLAND</t>
        </is>
      </c>
      <c r="G291" t="n">
        <v>2.2</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46113</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2125-2025</t>
        </is>
      </c>
      <c r="B293" s="1" t="n">
        <v>45672.64940972222</v>
      </c>
      <c r="C293" s="1" t="n">
        <v>46113</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12155-2023</t>
        </is>
      </c>
      <c r="B294" s="1" t="n">
        <v>44998.49106481481</v>
      </c>
      <c r="C294" s="1" t="n">
        <v>46113</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457-2023</t>
        </is>
      </c>
      <c r="B295" s="1" t="n">
        <v>44929.87238425926</v>
      </c>
      <c r="C295" s="1" t="n">
        <v>46113</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459-2023</t>
        </is>
      </c>
      <c r="B296" s="1" t="n">
        <v>44929.87423611111</v>
      </c>
      <c r="C296" s="1" t="n">
        <v>46113</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38234-2023</t>
        </is>
      </c>
      <c r="B297" s="1" t="n">
        <v>45161.56663194444</v>
      </c>
      <c r="C297" s="1" t="n">
        <v>46113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46113</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42608-2025</t>
        </is>
      </c>
      <c r="B299" s="1" t="n">
        <v>45905</v>
      </c>
      <c r="C299" s="1" t="n">
        <v>46113</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46113</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50744-2024</t>
        </is>
      </c>
      <c r="B301" s="1" t="n">
        <v>45602.4187037037</v>
      </c>
      <c r="C301" s="1" t="n">
        <v>46113</v>
      </c>
      <c r="D301" t="inlineStr">
        <is>
          <t>GOTLANDS LÄN</t>
        </is>
      </c>
      <c r="E301" t="inlineStr">
        <is>
          <t>GOTLAND</t>
        </is>
      </c>
      <c r="G301" t="n">
        <v>3.2</v>
      </c>
      <c r="H301" t="n">
        <v>0</v>
      </c>
      <c r="I301" t="n">
        <v>0</v>
      </c>
      <c r="J301" t="n">
        <v>0</v>
      </c>
      <c r="K301" t="n">
        <v>0</v>
      </c>
      <c r="L301" t="n">
        <v>0</v>
      </c>
      <c r="M301" t="n">
        <v>0</v>
      </c>
      <c r="N301" t="n">
        <v>0</v>
      </c>
      <c r="O301" t="n">
        <v>0</v>
      </c>
      <c r="P301" t="n">
        <v>0</v>
      </c>
      <c r="Q301" t="n">
        <v>0</v>
      </c>
      <c r="R301" s="2" t="inlineStr"/>
    </row>
    <row r="302" ht="15" customHeight="1">
      <c r="A302" t="inlineStr">
        <is>
          <t>A 16373-2025</t>
        </is>
      </c>
      <c r="B302" s="1" t="n">
        <v>45751</v>
      </c>
      <c r="C302" s="1" t="n">
        <v>46113</v>
      </c>
      <c r="D302" t="inlineStr">
        <is>
          <t>GOTLANDS LÄN</t>
        </is>
      </c>
      <c r="E302" t="inlineStr">
        <is>
          <t>GOTLAND</t>
        </is>
      </c>
      <c r="G302" t="n">
        <v>1.5</v>
      </c>
      <c r="H302" t="n">
        <v>0</v>
      </c>
      <c r="I302" t="n">
        <v>0</v>
      </c>
      <c r="J302" t="n">
        <v>0</v>
      </c>
      <c r="K302" t="n">
        <v>0</v>
      </c>
      <c r="L302" t="n">
        <v>0</v>
      </c>
      <c r="M302" t="n">
        <v>0</v>
      </c>
      <c r="N302" t="n">
        <v>0</v>
      </c>
      <c r="O302" t="n">
        <v>0</v>
      </c>
      <c r="P302" t="n">
        <v>0</v>
      </c>
      <c r="Q302" t="n">
        <v>0</v>
      </c>
      <c r="R302" s="2" t="inlineStr"/>
    </row>
    <row r="303" ht="15" customHeight="1">
      <c r="A303" t="inlineStr">
        <is>
          <t>A 53934-2024</t>
        </is>
      </c>
      <c r="B303" s="1" t="n">
        <v>45615</v>
      </c>
      <c r="C303" s="1" t="n">
        <v>46113</v>
      </c>
      <c r="D303" t="inlineStr">
        <is>
          <t>GOTLANDS LÄN</t>
        </is>
      </c>
      <c r="E303" t="inlineStr">
        <is>
          <t>GOTLAND</t>
        </is>
      </c>
      <c r="G303" t="n">
        <v>5</v>
      </c>
      <c r="H303" t="n">
        <v>0</v>
      </c>
      <c r="I303" t="n">
        <v>0</v>
      </c>
      <c r="J303" t="n">
        <v>0</v>
      </c>
      <c r="K303" t="n">
        <v>0</v>
      </c>
      <c r="L303" t="n">
        <v>0</v>
      </c>
      <c r="M303" t="n">
        <v>0</v>
      </c>
      <c r="N303" t="n">
        <v>0</v>
      </c>
      <c r="O303" t="n">
        <v>0</v>
      </c>
      <c r="P303" t="n">
        <v>0</v>
      </c>
      <c r="Q303" t="n">
        <v>0</v>
      </c>
      <c r="R303" s="2" t="inlineStr"/>
    </row>
    <row r="304" ht="15" customHeight="1">
      <c r="A304" t="inlineStr">
        <is>
          <t>A 44649-2021</t>
        </is>
      </c>
      <c r="B304" s="1" t="n">
        <v>44437</v>
      </c>
      <c r="C304" s="1" t="n">
        <v>46113</v>
      </c>
      <c r="D304" t="inlineStr">
        <is>
          <t>GOTLANDS LÄN</t>
        </is>
      </c>
      <c r="E304" t="inlineStr">
        <is>
          <t>GOTLAND</t>
        </is>
      </c>
      <c r="G304" t="n">
        <v>8.1</v>
      </c>
      <c r="H304" t="n">
        <v>0</v>
      </c>
      <c r="I304" t="n">
        <v>0</v>
      </c>
      <c r="J304" t="n">
        <v>0</v>
      </c>
      <c r="K304" t="n">
        <v>0</v>
      </c>
      <c r="L304" t="n">
        <v>0</v>
      </c>
      <c r="M304" t="n">
        <v>0</v>
      </c>
      <c r="N304" t="n">
        <v>0</v>
      </c>
      <c r="O304" t="n">
        <v>0</v>
      </c>
      <c r="P304" t="n">
        <v>0</v>
      </c>
      <c r="Q304" t="n">
        <v>0</v>
      </c>
      <c r="R304" s="2" t="inlineStr"/>
    </row>
    <row r="305" ht="15" customHeight="1">
      <c r="A305" t="inlineStr">
        <is>
          <t>A 9947-2024</t>
        </is>
      </c>
      <c r="B305" s="1" t="n">
        <v>45363</v>
      </c>
      <c r="C305" s="1" t="n">
        <v>46113</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46113</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17682-2024</t>
        </is>
      </c>
      <c r="B307" s="1" t="n">
        <v>45418.42966435185</v>
      </c>
      <c r="C307" s="1" t="n">
        <v>46113</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57522-2022</t>
        </is>
      </c>
      <c r="B308" s="1" t="n">
        <v>44896</v>
      </c>
      <c r="C308" s="1" t="n">
        <v>46113</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1446-2025</t>
        </is>
      </c>
      <c r="B309" s="1" t="n">
        <v>45669.86035879629</v>
      </c>
      <c r="C309" s="1" t="n">
        <v>46113</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43911-2025</t>
        </is>
      </c>
      <c r="B310" s="1" t="n">
        <v>45914.3881712963</v>
      </c>
      <c r="C310" s="1" t="n">
        <v>46113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46113</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27593-2023</t>
        </is>
      </c>
      <c r="B312" s="1" t="n">
        <v>45097</v>
      </c>
      <c r="C312" s="1" t="n">
        <v>46113</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43951-2025</t>
        </is>
      </c>
      <c r="B313" s="1" t="n">
        <v>45915.38119212963</v>
      </c>
      <c r="C313" s="1" t="n">
        <v>46113</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46113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46113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43901-2023</t>
        </is>
      </c>
      <c r="B316" s="1" t="n">
        <v>45187</v>
      </c>
      <c r="C316" s="1" t="n">
        <v>46113</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10746-2025</t>
        </is>
      </c>
      <c r="B317" s="1" t="n">
        <v>45722.42766203704</v>
      </c>
      <c r="C317" s="1" t="n">
        <v>46113</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16501-2023</t>
        </is>
      </c>
      <c r="B318" s="1" t="n">
        <v>45029</v>
      </c>
      <c r="C318" s="1" t="n">
        <v>46113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63516-2023</t>
        </is>
      </c>
      <c r="B319" s="1" t="n">
        <v>45274</v>
      </c>
      <c r="C319" s="1" t="n">
        <v>46113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5462-2025</t>
        </is>
      </c>
      <c r="B320" s="1" t="n">
        <v>45693.29331018519</v>
      </c>
      <c r="C320" s="1" t="n">
        <v>46113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24001-2021</t>
        </is>
      </c>
      <c r="B321" s="1" t="n">
        <v>44335</v>
      </c>
      <c r="C321" s="1" t="n">
        <v>46113</v>
      </c>
      <c r="D321" t="inlineStr">
        <is>
          <t>GOTLANDS LÄN</t>
        </is>
      </c>
      <c r="E321" t="inlineStr">
        <is>
          <t>GOTLAND</t>
        </is>
      </c>
      <c r="G321" t="n">
        <v>3.4</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46113</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46113</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46113</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30365-2024</t>
        </is>
      </c>
      <c r="B325" s="1" t="n">
        <v>45491.3716087963</v>
      </c>
      <c r="C325" s="1" t="n">
        <v>46113</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1681-2023</t>
        </is>
      </c>
      <c r="B326" s="1" t="n">
        <v>44938.39715277778</v>
      </c>
      <c r="C326" s="1" t="n">
        <v>46113</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46113</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46113</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46113</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46113</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1273-2023</t>
        </is>
      </c>
      <c r="B331" s="1" t="n">
        <v>44936</v>
      </c>
      <c r="C331" s="1" t="n">
        <v>46113</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46113</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58780-2024</t>
        </is>
      </c>
      <c r="B333" s="1" t="n">
        <v>45635.84113425926</v>
      </c>
      <c r="C333" s="1" t="n">
        <v>46113</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46113</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45692-2023</t>
        </is>
      </c>
      <c r="B335" s="1" t="n">
        <v>45195</v>
      </c>
      <c r="C335" s="1" t="n">
        <v>46113</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46113</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46113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5884-2025</t>
        </is>
      </c>
      <c r="B338" s="1" t="n">
        <v>45695.37482638889</v>
      </c>
      <c r="C338" s="1" t="n">
        <v>46113</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5897-2025</t>
        </is>
      </c>
      <c r="B339" s="1" t="n">
        <v>45695.39273148148</v>
      </c>
      <c r="C339" s="1" t="n">
        <v>46113</v>
      </c>
      <c r="D339" t="inlineStr">
        <is>
          <t>GOTLANDS LÄN</t>
        </is>
      </c>
      <c r="E339" t="inlineStr">
        <is>
          <t>GOTLAND</t>
        </is>
      </c>
      <c r="G339" t="n">
        <v>3.7</v>
      </c>
      <c r="H339" t="n">
        <v>0</v>
      </c>
      <c r="I339" t="n">
        <v>0</v>
      </c>
      <c r="J339" t="n">
        <v>0</v>
      </c>
      <c r="K339" t="n">
        <v>0</v>
      </c>
      <c r="L339" t="n">
        <v>0</v>
      </c>
      <c r="M339" t="n">
        <v>0</v>
      </c>
      <c r="N339" t="n">
        <v>0</v>
      </c>
      <c r="O339" t="n">
        <v>0</v>
      </c>
      <c r="P339" t="n">
        <v>0</v>
      </c>
      <c r="Q339" t="n">
        <v>0</v>
      </c>
      <c r="R339" s="2" t="inlineStr"/>
    </row>
    <row r="340" ht="15" customHeight="1">
      <c r="A340" t="inlineStr">
        <is>
          <t>A 46836-2025</t>
        </is>
      </c>
      <c r="B340" s="1" t="n">
        <v>45928.31511574074</v>
      </c>
      <c r="C340" s="1" t="n">
        <v>46113</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49693-2023</t>
        </is>
      </c>
      <c r="B341" s="1" t="n">
        <v>45212.38138888889</v>
      </c>
      <c r="C341" s="1" t="n">
        <v>46113</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49697-2023</t>
        </is>
      </c>
      <c r="B342" s="1" t="n">
        <v>45212.38909722222</v>
      </c>
      <c r="C342" s="1" t="n">
        <v>46113</v>
      </c>
      <c r="D342" t="inlineStr">
        <is>
          <t>GOTLANDS LÄN</t>
        </is>
      </c>
      <c r="E342" t="inlineStr">
        <is>
          <t>GOTLAND</t>
        </is>
      </c>
      <c r="G342" t="n">
        <v>4.4</v>
      </c>
      <c r="H342" t="n">
        <v>0</v>
      </c>
      <c r="I342" t="n">
        <v>0</v>
      </c>
      <c r="J342" t="n">
        <v>0</v>
      </c>
      <c r="K342" t="n">
        <v>0</v>
      </c>
      <c r="L342" t="n">
        <v>0</v>
      </c>
      <c r="M342" t="n">
        <v>0</v>
      </c>
      <c r="N342" t="n">
        <v>0</v>
      </c>
      <c r="O342" t="n">
        <v>0</v>
      </c>
      <c r="P342" t="n">
        <v>0</v>
      </c>
      <c r="Q342" t="n">
        <v>0</v>
      </c>
      <c r="R342" s="2" t="inlineStr"/>
    </row>
    <row r="343" ht="15" customHeight="1">
      <c r="A343" t="inlineStr">
        <is>
          <t>A 28285-2024</t>
        </is>
      </c>
      <c r="B343" s="1" t="n">
        <v>45477</v>
      </c>
      <c r="C343" s="1" t="n">
        <v>46113</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61100-2022</t>
        </is>
      </c>
      <c r="B344" s="1" t="n">
        <v>44915</v>
      </c>
      <c r="C344" s="1" t="n">
        <v>46113</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61682-2024</t>
        </is>
      </c>
      <c r="B345" s="1" t="n">
        <v>45647.48824074074</v>
      </c>
      <c r="C345" s="1" t="n">
        <v>46113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17901-2023</t>
        </is>
      </c>
      <c r="B346" s="1" t="n">
        <v>45039</v>
      </c>
      <c r="C346" s="1" t="n">
        <v>46113</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52892-2021</t>
        </is>
      </c>
      <c r="B347" s="1" t="n">
        <v>44467.49048611111</v>
      </c>
      <c r="C347" s="1" t="n">
        <v>46113</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47637-2025</t>
        </is>
      </c>
      <c r="B348" s="1" t="n">
        <v>45931.49753472222</v>
      </c>
      <c r="C348" s="1" t="n">
        <v>46113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46396-2023</t>
        </is>
      </c>
      <c r="B349" s="1" t="n">
        <v>45197</v>
      </c>
      <c r="C349" s="1" t="n">
        <v>46113</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25796-2025</t>
        </is>
      </c>
      <c r="B350" s="1" t="n">
        <v>45804.39543981481</v>
      </c>
      <c r="C350" s="1" t="n">
        <v>46113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58388-2022</t>
        </is>
      </c>
      <c r="B351" s="1" t="n">
        <v>44894</v>
      </c>
      <c r="C351" s="1" t="n">
        <v>46113</v>
      </c>
      <c r="D351" t="inlineStr">
        <is>
          <t>GOTLANDS LÄN</t>
        </is>
      </c>
      <c r="E351" t="inlineStr">
        <is>
          <t>GOTLAND</t>
        </is>
      </c>
      <c r="F351" t="inlineStr">
        <is>
          <t>Övriga statliga verk och myndigheter</t>
        </is>
      </c>
      <c r="G351" t="n">
        <v>3.1</v>
      </c>
      <c r="H351" t="n">
        <v>0</v>
      </c>
      <c r="I351" t="n">
        <v>0</v>
      </c>
      <c r="J351" t="n">
        <v>0</v>
      </c>
      <c r="K351" t="n">
        <v>0</v>
      </c>
      <c r="L351" t="n">
        <v>0</v>
      </c>
      <c r="M351" t="n">
        <v>0</v>
      </c>
      <c r="N351" t="n">
        <v>0</v>
      </c>
      <c r="O351" t="n">
        <v>0</v>
      </c>
      <c r="P351" t="n">
        <v>0</v>
      </c>
      <c r="Q351" t="n">
        <v>0</v>
      </c>
      <c r="R351" s="2" t="inlineStr"/>
    </row>
    <row r="352" ht="15" customHeight="1">
      <c r="A352" t="inlineStr">
        <is>
          <t>A 21792-2024</t>
        </is>
      </c>
      <c r="B352" s="1" t="n">
        <v>45442.64326388889</v>
      </c>
      <c r="C352" s="1" t="n">
        <v>46113</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46113</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46113</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34312-2024</t>
        </is>
      </c>
      <c r="B355" s="1" t="n">
        <v>45524.69703703704</v>
      </c>
      <c r="C355" s="1" t="n">
        <v>46113</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46113</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17688-2024</t>
        </is>
      </c>
      <c r="B357" s="1" t="n">
        <v>45418.43575231481</v>
      </c>
      <c r="C357" s="1" t="n">
        <v>46113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7837-2024</t>
        </is>
      </c>
      <c r="B358" s="1" t="n">
        <v>45349.83787037037</v>
      </c>
      <c r="C358" s="1" t="n">
        <v>46113</v>
      </c>
      <c r="D358" t="inlineStr">
        <is>
          <t>GOTLANDS LÄN</t>
        </is>
      </c>
      <c r="E358" t="inlineStr">
        <is>
          <t>GOTLAND</t>
        </is>
      </c>
      <c r="G358" t="n">
        <v>5</v>
      </c>
      <c r="H358" t="n">
        <v>0</v>
      </c>
      <c r="I358" t="n">
        <v>0</v>
      </c>
      <c r="J358" t="n">
        <v>0</v>
      </c>
      <c r="K358" t="n">
        <v>0</v>
      </c>
      <c r="L358" t="n">
        <v>0</v>
      </c>
      <c r="M358" t="n">
        <v>0</v>
      </c>
      <c r="N358" t="n">
        <v>0</v>
      </c>
      <c r="O358" t="n">
        <v>0</v>
      </c>
      <c r="P358" t="n">
        <v>0</v>
      </c>
      <c r="Q358" t="n">
        <v>0</v>
      </c>
      <c r="R358" s="2" t="inlineStr"/>
    </row>
    <row r="359" ht="15" customHeight="1">
      <c r="A359" t="inlineStr">
        <is>
          <t>A 69112-2021</t>
        </is>
      </c>
      <c r="B359" s="1" t="n">
        <v>44530</v>
      </c>
      <c r="C359" s="1" t="n">
        <v>46113</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47578-2025</t>
        </is>
      </c>
      <c r="B360" s="1" t="n">
        <v>45931</v>
      </c>
      <c r="C360" s="1" t="n">
        <v>46113</v>
      </c>
      <c r="D360" t="inlineStr">
        <is>
          <t>GOTLANDS LÄN</t>
        </is>
      </c>
      <c r="E360" t="inlineStr">
        <is>
          <t>GOTLAND</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7638-2025</t>
        </is>
      </c>
      <c r="B361" s="1" t="n">
        <v>45705.77306712963</v>
      </c>
      <c r="C361" s="1" t="n">
        <v>46113</v>
      </c>
      <c r="D361" t="inlineStr">
        <is>
          <t>GOTLANDS LÄN</t>
        </is>
      </c>
      <c r="E361" t="inlineStr">
        <is>
          <t>GOTLAND</t>
        </is>
      </c>
      <c r="G361" t="n">
        <v>2.2</v>
      </c>
      <c r="H361" t="n">
        <v>0</v>
      </c>
      <c r="I361" t="n">
        <v>0</v>
      </c>
      <c r="J361" t="n">
        <v>0</v>
      </c>
      <c r="K361" t="n">
        <v>0</v>
      </c>
      <c r="L361" t="n">
        <v>0</v>
      </c>
      <c r="M361" t="n">
        <v>0</v>
      </c>
      <c r="N361" t="n">
        <v>0</v>
      </c>
      <c r="O361" t="n">
        <v>0</v>
      </c>
      <c r="P361" t="n">
        <v>0</v>
      </c>
      <c r="Q361" t="n">
        <v>0</v>
      </c>
      <c r="R361" s="2" t="inlineStr"/>
    </row>
    <row r="362" ht="15" customHeight="1">
      <c r="A362" t="inlineStr">
        <is>
          <t>A 50482-2024</t>
        </is>
      </c>
      <c r="B362" s="1" t="n">
        <v>45601.48114583334</v>
      </c>
      <c r="C362" s="1" t="n">
        <v>46113</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4568-2025</t>
        </is>
      </c>
      <c r="B363" s="1" t="n">
        <v>45687</v>
      </c>
      <c r="C363" s="1" t="n">
        <v>46113</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1394-2023</t>
        </is>
      </c>
      <c r="B364" s="1" t="n">
        <v>44936.72997685185</v>
      </c>
      <c r="C364" s="1" t="n">
        <v>46113</v>
      </c>
      <c r="D364" t="inlineStr">
        <is>
          <t>GOTLANDS LÄN</t>
        </is>
      </c>
      <c r="E364" t="inlineStr">
        <is>
          <t>GOTLAND</t>
        </is>
      </c>
      <c r="G364" t="n">
        <v>2.1</v>
      </c>
      <c r="H364" t="n">
        <v>0</v>
      </c>
      <c r="I364" t="n">
        <v>0</v>
      </c>
      <c r="J364" t="n">
        <v>0</v>
      </c>
      <c r="K364" t="n">
        <v>0</v>
      </c>
      <c r="L364" t="n">
        <v>0</v>
      </c>
      <c r="M364" t="n">
        <v>0</v>
      </c>
      <c r="N364" t="n">
        <v>0</v>
      </c>
      <c r="O364" t="n">
        <v>0</v>
      </c>
      <c r="P364" t="n">
        <v>0</v>
      </c>
      <c r="Q364" t="n">
        <v>0</v>
      </c>
      <c r="R364" s="2" t="inlineStr"/>
    </row>
    <row r="365" ht="15" customHeight="1">
      <c r="A365" t="inlineStr">
        <is>
          <t>A 49724-2025</t>
        </is>
      </c>
      <c r="B365" s="1" t="n">
        <v>45939.83730324074</v>
      </c>
      <c r="C365" s="1" t="n">
        <v>46113</v>
      </c>
      <c r="D365" t="inlineStr">
        <is>
          <t>GOTLANDS LÄN</t>
        </is>
      </c>
      <c r="E365" t="inlineStr">
        <is>
          <t>GOTLAND</t>
        </is>
      </c>
      <c r="F365" t="inlineStr">
        <is>
          <t>Kyrkan</t>
        </is>
      </c>
      <c r="G365" t="n">
        <v>3.1</v>
      </c>
      <c r="H365" t="n">
        <v>0</v>
      </c>
      <c r="I365" t="n">
        <v>0</v>
      </c>
      <c r="J365" t="n">
        <v>0</v>
      </c>
      <c r="K365" t="n">
        <v>0</v>
      </c>
      <c r="L365" t="n">
        <v>0</v>
      </c>
      <c r="M365" t="n">
        <v>0</v>
      </c>
      <c r="N365" t="n">
        <v>0</v>
      </c>
      <c r="O365" t="n">
        <v>0</v>
      </c>
      <c r="P365" t="n">
        <v>0</v>
      </c>
      <c r="Q365" t="n">
        <v>0</v>
      </c>
      <c r="R365" s="2" t="inlineStr"/>
    </row>
    <row r="366" ht="15" customHeight="1">
      <c r="A366" t="inlineStr">
        <is>
          <t>A 49730-2025</t>
        </is>
      </c>
      <c r="B366" s="1" t="n">
        <v>45939.87613425926</v>
      </c>
      <c r="C366" s="1" t="n">
        <v>46113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58230-2024</t>
        </is>
      </c>
      <c r="B367" s="1" t="n">
        <v>45632.51625</v>
      </c>
      <c r="C367" s="1" t="n">
        <v>46113</v>
      </c>
      <c r="D367" t="inlineStr">
        <is>
          <t>GOTLANDS LÄN</t>
        </is>
      </c>
      <c r="E367" t="inlineStr">
        <is>
          <t>GOTLAND</t>
        </is>
      </c>
      <c r="G367" t="n">
        <v>7.3</v>
      </c>
      <c r="H367" t="n">
        <v>0</v>
      </c>
      <c r="I367" t="n">
        <v>0</v>
      </c>
      <c r="J367" t="n">
        <v>0</v>
      </c>
      <c r="K367" t="n">
        <v>0</v>
      </c>
      <c r="L367" t="n">
        <v>0</v>
      </c>
      <c r="M367" t="n">
        <v>0</v>
      </c>
      <c r="N367" t="n">
        <v>0</v>
      </c>
      <c r="O367" t="n">
        <v>0</v>
      </c>
      <c r="P367" t="n">
        <v>0</v>
      </c>
      <c r="Q367" t="n">
        <v>0</v>
      </c>
      <c r="R367" s="2" t="inlineStr"/>
    </row>
    <row r="368" ht="15" customHeight="1">
      <c r="A368" t="inlineStr">
        <is>
          <t>A 1462-2025</t>
        </is>
      </c>
      <c r="B368" s="1" t="n">
        <v>45670.36319444444</v>
      </c>
      <c r="C368" s="1" t="n">
        <v>46113</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35512-2023</t>
        </is>
      </c>
      <c r="B369" s="1" t="n">
        <v>45147.25623842593</v>
      </c>
      <c r="C369" s="1" t="n">
        <v>46113</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5905-2024</t>
        </is>
      </c>
      <c r="B370" s="1" t="n">
        <v>45335.88993055555</v>
      </c>
      <c r="C370" s="1" t="n">
        <v>46113</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46113</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46113</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50421-2025</t>
        </is>
      </c>
      <c r="B373" s="1" t="n">
        <v>45944.66049768519</v>
      </c>
      <c r="C373" s="1" t="n">
        <v>46113</v>
      </c>
      <c r="D373" t="inlineStr">
        <is>
          <t>GOTLANDS LÄN</t>
        </is>
      </c>
      <c r="E373" t="inlineStr">
        <is>
          <t>GOTLAND</t>
        </is>
      </c>
      <c r="G373" t="n">
        <v>3.9</v>
      </c>
      <c r="H373" t="n">
        <v>0</v>
      </c>
      <c r="I373" t="n">
        <v>0</v>
      </c>
      <c r="J373" t="n">
        <v>0</v>
      </c>
      <c r="K373" t="n">
        <v>0</v>
      </c>
      <c r="L373" t="n">
        <v>0</v>
      </c>
      <c r="M373" t="n">
        <v>0</v>
      </c>
      <c r="N373" t="n">
        <v>0</v>
      </c>
      <c r="O373" t="n">
        <v>0</v>
      </c>
      <c r="P373" t="n">
        <v>0</v>
      </c>
      <c r="Q373" t="n">
        <v>0</v>
      </c>
      <c r="R373" s="2" t="inlineStr"/>
    </row>
    <row r="374" ht="15" customHeight="1">
      <c r="A374" t="inlineStr">
        <is>
          <t>A 1291-2023</t>
        </is>
      </c>
      <c r="B374" s="1" t="n">
        <v>44936.47561342592</v>
      </c>
      <c r="C374" s="1" t="n">
        <v>46113</v>
      </c>
      <c r="D374" t="inlineStr">
        <is>
          <t>GOTLANDS LÄN</t>
        </is>
      </c>
      <c r="E374" t="inlineStr">
        <is>
          <t>GOTLAND</t>
        </is>
      </c>
      <c r="G374" t="n">
        <v>7.4</v>
      </c>
      <c r="H374" t="n">
        <v>0</v>
      </c>
      <c r="I374" t="n">
        <v>0</v>
      </c>
      <c r="J374" t="n">
        <v>0</v>
      </c>
      <c r="K374" t="n">
        <v>0</v>
      </c>
      <c r="L374" t="n">
        <v>0</v>
      </c>
      <c r="M374" t="n">
        <v>0</v>
      </c>
      <c r="N374" t="n">
        <v>0</v>
      </c>
      <c r="O374" t="n">
        <v>0</v>
      </c>
      <c r="P374" t="n">
        <v>0</v>
      </c>
      <c r="Q374" t="n">
        <v>0</v>
      </c>
      <c r="R374" s="2" t="inlineStr"/>
    </row>
    <row r="375" ht="15" customHeight="1">
      <c r="A375" t="inlineStr">
        <is>
          <t>A 25129-2023</t>
        </is>
      </c>
      <c r="B375" s="1" t="n">
        <v>45086.44261574074</v>
      </c>
      <c r="C375" s="1" t="n">
        <v>46113</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46113</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46113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5386-2023</t>
        </is>
      </c>
      <c r="B378" s="1" t="n">
        <v>44959</v>
      </c>
      <c r="C378" s="1" t="n">
        <v>46113</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50928-2025</t>
        </is>
      </c>
      <c r="B379" s="1" t="n">
        <v>45946.67896990741</v>
      </c>
      <c r="C379" s="1" t="n">
        <v>46113</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7026-2023</t>
        </is>
      </c>
      <c r="B380" s="1" t="n">
        <v>44968.30340277778</v>
      </c>
      <c r="C380" s="1" t="n">
        <v>46113</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20855-2023</t>
        </is>
      </c>
      <c r="B381" s="1" t="n">
        <v>45058.82172453704</v>
      </c>
      <c r="C381" s="1" t="n">
        <v>46113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1000-2024</t>
        </is>
      </c>
      <c r="B382" s="1" t="n">
        <v>45301.63371527778</v>
      </c>
      <c r="C382" s="1" t="n">
        <v>46113</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1010-2024</t>
        </is>
      </c>
      <c r="B383" s="1" t="n">
        <v>45301</v>
      </c>
      <c r="C383" s="1" t="n">
        <v>46113</v>
      </c>
      <c r="D383" t="inlineStr">
        <is>
          <t>GOTLANDS LÄN</t>
        </is>
      </c>
      <c r="E383" t="inlineStr">
        <is>
          <t>GOTLAND</t>
        </is>
      </c>
      <c r="G383" t="n">
        <v>2.4</v>
      </c>
      <c r="H383" t="n">
        <v>0</v>
      </c>
      <c r="I383" t="n">
        <v>0</v>
      </c>
      <c r="J383" t="n">
        <v>0</v>
      </c>
      <c r="K383" t="n">
        <v>0</v>
      </c>
      <c r="L383" t="n">
        <v>0</v>
      </c>
      <c r="M383" t="n">
        <v>0</v>
      </c>
      <c r="N383" t="n">
        <v>0</v>
      </c>
      <c r="O383" t="n">
        <v>0</v>
      </c>
      <c r="P383" t="n">
        <v>0</v>
      </c>
      <c r="Q383" t="n">
        <v>0</v>
      </c>
      <c r="R383" s="2" t="inlineStr"/>
    </row>
    <row r="384" ht="15" customHeight="1">
      <c r="A384" t="inlineStr">
        <is>
          <t>A 26457-2025</t>
        </is>
      </c>
      <c r="B384" s="1" t="n">
        <v>45807.42773148148</v>
      </c>
      <c r="C384" s="1" t="n">
        <v>46113</v>
      </c>
      <c r="D384" t="inlineStr">
        <is>
          <t>GOTLANDS LÄN</t>
        </is>
      </c>
      <c r="E384" t="inlineStr">
        <is>
          <t>GOTLAND</t>
        </is>
      </c>
      <c r="G384" t="n">
        <v>5.7</v>
      </c>
      <c r="H384" t="n">
        <v>0</v>
      </c>
      <c r="I384" t="n">
        <v>0</v>
      </c>
      <c r="J384" t="n">
        <v>0</v>
      </c>
      <c r="K384" t="n">
        <v>0</v>
      </c>
      <c r="L384" t="n">
        <v>0</v>
      </c>
      <c r="M384" t="n">
        <v>0</v>
      </c>
      <c r="N384" t="n">
        <v>0</v>
      </c>
      <c r="O384" t="n">
        <v>0</v>
      </c>
      <c r="P384" t="n">
        <v>0</v>
      </c>
      <c r="Q384" t="n">
        <v>0</v>
      </c>
      <c r="R384" s="2" t="inlineStr"/>
    </row>
    <row r="385" ht="15" customHeight="1">
      <c r="A385" t="inlineStr">
        <is>
          <t>A 26467-2025</t>
        </is>
      </c>
      <c r="B385" s="1" t="n">
        <v>45807.44640046296</v>
      </c>
      <c r="C385" s="1" t="n">
        <v>46113</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47762-2023</t>
        </is>
      </c>
      <c r="B386" s="1" t="n">
        <v>45203.86256944444</v>
      </c>
      <c r="C386" s="1" t="n">
        <v>46113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51262-2025</t>
        </is>
      </c>
      <c r="B387" s="1" t="n">
        <v>45949.49872685185</v>
      </c>
      <c r="C387" s="1" t="n">
        <v>46113</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26465-2025</t>
        </is>
      </c>
      <c r="B388" s="1" t="n">
        <v>45807.44377314814</v>
      </c>
      <c r="C388" s="1" t="n">
        <v>46113</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46113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26660-2025</t>
        </is>
      </c>
      <c r="B390" s="1" t="n">
        <v>45810.39737268518</v>
      </c>
      <c r="C390" s="1" t="n">
        <v>46113</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60086-2022</t>
        </is>
      </c>
      <c r="B391" s="1" t="n">
        <v>44909</v>
      </c>
      <c r="C391" s="1" t="n">
        <v>46113</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28480-2023</t>
        </is>
      </c>
      <c r="B392" s="1" t="n">
        <v>45103</v>
      </c>
      <c r="C392" s="1" t="n">
        <v>46113</v>
      </c>
      <c r="D392" t="inlineStr">
        <is>
          <t>GOTLANDS LÄN</t>
        </is>
      </c>
      <c r="E392" t="inlineStr">
        <is>
          <t>GOTLAND</t>
        </is>
      </c>
      <c r="G392" t="n">
        <v>5.7</v>
      </c>
      <c r="H392" t="n">
        <v>0</v>
      </c>
      <c r="I392" t="n">
        <v>0</v>
      </c>
      <c r="J392" t="n">
        <v>0</v>
      </c>
      <c r="K392" t="n">
        <v>0</v>
      </c>
      <c r="L392" t="n">
        <v>0</v>
      </c>
      <c r="M392" t="n">
        <v>0</v>
      </c>
      <c r="N392" t="n">
        <v>0</v>
      </c>
      <c r="O392" t="n">
        <v>0</v>
      </c>
      <c r="P392" t="n">
        <v>0</v>
      </c>
      <c r="Q392" t="n">
        <v>0</v>
      </c>
      <c r="R392" s="2" t="inlineStr"/>
    </row>
    <row r="393" ht="15" customHeight="1">
      <c r="A393" t="inlineStr">
        <is>
          <t>A 28485-2023</t>
        </is>
      </c>
      <c r="B393" s="1" t="n">
        <v>45103.43731481482</v>
      </c>
      <c r="C393" s="1" t="n">
        <v>46113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46113</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45190.69520833333</v>
      </c>
      <c r="C395" s="1" t="n">
        <v>46113</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52249-2025</t>
        </is>
      </c>
      <c r="B396" s="1" t="n">
        <v>45953.48637731482</v>
      </c>
      <c r="C396" s="1" t="n">
        <v>46113</v>
      </c>
      <c r="D396" t="inlineStr">
        <is>
          <t>GOTLANDS LÄN</t>
        </is>
      </c>
      <c r="E396" t="inlineStr">
        <is>
          <t>GOTLAND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37222-2021</t>
        </is>
      </c>
      <c r="B397" s="1" t="n">
        <v>44396</v>
      </c>
      <c r="C397" s="1" t="n">
        <v>46113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3964-2024</t>
        </is>
      </c>
      <c r="B398" s="1" t="n">
        <v>45322</v>
      </c>
      <c r="C398" s="1" t="n">
        <v>46113</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52637-2025</t>
        </is>
      </c>
      <c r="B399" s="1" t="n">
        <v>45954.75099537037</v>
      </c>
      <c r="C399" s="1" t="n">
        <v>46113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45084-2024</t>
        </is>
      </c>
      <c r="B400" s="1" t="n">
        <v>45575</v>
      </c>
      <c r="C400" s="1" t="n">
        <v>46113</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27371-2025</t>
        </is>
      </c>
      <c r="B401" s="1" t="n">
        <v>45812</v>
      </c>
      <c r="C401" s="1" t="n">
        <v>46113</v>
      </c>
      <c r="D401" t="inlineStr">
        <is>
          <t>GOTLANDS LÄN</t>
        </is>
      </c>
      <c r="E401" t="inlineStr">
        <is>
          <t>GOTLAND</t>
        </is>
      </c>
      <c r="G401" t="n">
        <v>8</v>
      </c>
      <c r="H401" t="n">
        <v>0</v>
      </c>
      <c r="I401" t="n">
        <v>0</v>
      </c>
      <c r="J401" t="n">
        <v>0</v>
      </c>
      <c r="K401" t="n">
        <v>0</v>
      </c>
      <c r="L401" t="n">
        <v>0</v>
      </c>
      <c r="M401" t="n">
        <v>0</v>
      </c>
      <c r="N401" t="n">
        <v>0</v>
      </c>
      <c r="O401" t="n">
        <v>0</v>
      </c>
      <c r="P401" t="n">
        <v>0</v>
      </c>
      <c r="Q401" t="n">
        <v>0</v>
      </c>
      <c r="R401" s="2" t="inlineStr"/>
    </row>
    <row r="402" ht="15" customHeight="1">
      <c r="A402" t="inlineStr">
        <is>
          <t>A 27355-2025</t>
        </is>
      </c>
      <c r="B402" s="1" t="n">
        <v>45812</v>
      </c>
      <c r="C402" s="1" t="n">
        <v>46113</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6739-2025</t>
        </is>
      </c>
      <c r="B403" s="1" t="n">
        <v>45700</v>
      </c>
      <c r="C403" s="1" t="n">
        <v>46113</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7850-2025</t>
        </is>
      </c>
      <c r="B404" s="1" t="n">
        <v>45706</v>
      </c>
      <c r="C404" s="1" t="n">
        <v>46113</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46113</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46113</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5217-2023</t>
        </is>
      </c>
      <c r="B407" s="1" t="n">
        <v>44959.39582175926</v>
      </c>
      <c r="C407" s="1" t="n">
        <v>46113</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8444-2025</t>
        </is>
      </c>
      <c r="B408" s="1" t="n">
        <v>45709</v>
      </c>
      <c r="C408" s="1" t="n">
        <v>46113</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1677-2023</t>
        </is>
      </c>
      <c r="B409" s="1" t="n">
        <v>44938</v>
      </c>
      <c r="C409" s="1" t="n">
        <v>46113</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45244-2024</t>
        </is>
      </c>
      <c r="B410" s="1" t="n">
        <v>45576</v>
      </c>
      <c r="C410" s="1" t="n">
        <v>46113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8260-2023</t>
        </is>
      </c>
      <c r="B411" s="1" t="n">
        <v>44974.61608796296</v>
      </c>
      <c r="C411" s="1" t="n">
        <v>46113</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64969-2023</t>
        </is>
      </c>
      <c r="B412" s="1" t="n">
        <v>45284.54009259259</v>
      </c>
      <c r="C412" s="1" t="n">
        <v>46113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48843-2024</t>
        </is>
      </c>
      <c r="B413" s="1" t="n">
        <v>45593</v>
      </c>
      <c r="C413" s="1" t="n">
        <v>46113</v>
      </c>
      <c r="D413" t="inlineStr">
        <is>
          <t>GOTLANDS LÄN</t>
        </is>
      </c>
      <c r="E413" t="inlineStr">
        <is>
          <t>GOTLAND</t>
        </is>
      </c>
      <c r="G413" t="n">
        <v>0.5</v>
      </c>
      <c r="H413" t="n">
        <v>0</v>
      </c>
      <c r="I413" t="n">
        <v>0</v>
      </c>
      <c r="J413" t="n">
        <v>0</v>
      </c>
      <c r="K413" t="n">
        <v>0</v>
      </c>
      <c r="L413" t="n">
        <v>0</v>
      </c>
      <c r="M413" t="n">
        <v>0</v>
      </c>
      <c r="N413" t="n">
        <v>0</v>
      </c>
      <c r="O413" t="n">
        <v>0</v>
      </c>
      <c r="P413" t="n">
        <v>0</v>
      </c>
      <c r="Q413" t="n">
        <v>0</v>
      </c>
      <c r="R413" s="2" t="inlineStr"/>
    </row>
    <row r="414" ht="15" customHeight="1">
      <c r="A414" t="inlineStr">
        <is>
          <t>A 17541-2024</t>
        </is>
      </c>
      <c r="B414" s="1" t="n">
        <v>45415</v>
      </c>
      <c r="C414" s="1" t="n">
        <v>46113</v>
      </c>
      <c r="D414" t="inlineStr">
        <is>
          <t>GOTLANDS LÄN</t>
        </is>
      </c>
      <c r="E414" t="inlineStr">
        <is>
          <t>GOTLAND</t>
        </is>
      </c>
      <c r="G414" t="n">
        <v>2.6</v>
      </c>
      <c r="H414" t="n">
        <v>0</v>
      </c>
      <c r="I414" t="n">
        <v>0</v>
      </c>
      <c r="J414" t="n">
        <v>0</v>
      </c>
      <c r="K414" t="n">
        <v>0</v>
      </c>
      <c r="L414" t="n">
        <v>0</v>
      </c>
      <c r="M414" t="n">
        <v>0</v>
      </c>
      <c r="N414" t="n">
        <v>0</v>
      </c>
      <c r="O414" t="n">
        <v>0</v>
      </c>
      <c r="P414" t="n">
        <v>0</v>
      </c>
      <c r="Q414" t="n">
        <v>0</v>
      </c>
      <c r="R414" s="2" t="inlineStr"/>
    </row>
    <row r="415" ht="15" customHeight="1">
      <c r="A415" t="inlineStr">
        <is>
          <t>A 19905-2025</t>
        </is>
      </c>
      <c r="B415" s="1" t="n">
        <v>45771</v>
      </c>
      <c r="C415" s="1" t="n">
        <v>46113</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2241-2025</t>
        </is>
      </c>
      <c r="B416" s="1" t="n">
        <v>45673.48710648148</v>
      </c>
      <c r="C416" s="1" t="n">
        <v>46113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29196-2025</t>
        </is>
      </c>
      <c r="B417" s="1" t="n">
        <v>45822</v>
      </c>
      <c r="C417" s="1" t="n">
        <v>46113</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29207-2025</t>
        </is>
      </c>
      <c r="B418" s="1" t="n">
        <v>45823</v>
      </c>
      <c r="C418" s="1" t="n">
        <v>46113</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15434-2024</t>
        </is>
      </c>
      <c r="B419" s="1" t="n">
        <v>45401.38836805556</v>
      </c>
      <c r="C419" s="1" t="n">
        <v>46113</v>
      </c>
      <c r="D419" t="inlineStr">
        <is>
          <t>GOTLANDS LÄN</t>
        </is>
      </c>
      <c r="E419" t="inlineStr">
        <is>
          <t>GOTLAND</t>
        </is>
      </c>
      <c r="G419" t="n">
        <v>2.5</v>
      </c>
      <c r="H419" t="n">
        <v>0</v>
      </c>
      <c r="I419" t="n">
        <v>0</v>
      </c>
      <c r="J419" t="n">
        <v>0</v>
      </c>
      <c r="K419" t="n">
        <v>0</v>
      </c>
      <c r="L419" t="n">
        <v>0</v>
      </c>
      <c r="M419" t="n">
        <v>0</v>
      </c>
      <c r="N419" t="n">
        <v>0</v>
      </c>
      <c r="O419" t="n">
        <v>0</v>
      </c>
      <c r="P419" t="n">
        <v>0</v>
      </c>
      <c r="Q419" t="n">
        <v>0</v>
      </c>
      <c r="R419" s="2" t="inlineStr"/>
    </row>
    <row r="420" ht="15" customHeight="1">
      <c r="A420" t="inlineStr">
        <is>
          <t>A 5943-2024</t>
        </is>
      </c>
      <c r="B420" s="1" t="n">
        <v>45336</v>
      </c>
      <c r="C420" s="1" t="n">
        <v>46113</v>
      </c>
      <c r="D420" t="inlineStr">
        <is>
          <t>GOTLANDS LÄN</t>
        </is>
      </c>
      <c r="E420" t="inlineStr">
        <is>
          <t>GOTLAND</t>
        </is>
      </c>
      <c r="G420" t="n">
        <v>4.3</v>
      </c>
      <c r="H420" t="n">
        <v>0</v>
      </c>
      <c r="I420" t="n">
        <v>0</v>
      </c>
      <c r="J420" t="n">
        <v>0</v>
      </c>
      <c r="K420" t="n">
        <v>0</v>
      </c>
      <c r="L420" t="n">
        <v>0</v>
      </c>
      <c r="M420" t="n">
        <v>0</v>
      </c>
      <c r="N420" t="n">
        <v>0</v>
      </c>
      <c r="O420" t="n">
        <v>0</v>
      </c>
      <c r="P420" t="n">
        <v>0</v>
      </c>
      <c r="Q420" t="n">
        <v>0</v>
      </c>
      <c r="R420" s="2" t="inlineStr"/>
    </row>
    <row r="421" ht="15" customHeight="1">
      <c r="A421" t="inlineStr">
        <is>
          <t>A 54073-2022</t>
        </is>
      </c>
      <c r="B421" s="1" t="n">
        <v>44881.50380787037</v>
      </c>
      <c r="C421" s="1" t="n">
        <v>46113</v>
      </c>
      <c r="D421" t="inlineStr">
        <is>
          <t>GOTLANDS LÄN</t>
        </is>
      </c>
      <c r="E421" t="inlineStr">
        <is>
          <t>GOTLAND</t>
        </is>
      </c>
      <c r="G421" t="n">
        <v>3.8</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46113</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41038-2023</t>
        </is>
      </c>
      <c r="B423" s="1" t="n">
        <v>45173.60959490741</v>
      </c>
      <c r="C423" s="1" t="n">
        <v>46113</v>
      </c>
      <c r="D423" t="inlineStr">
        <is>
          <t>GOTLANDS LÄN</t>
        </is>
      </c>
      <c r="E423" t="inlineStr">
        <is>
          <t>GOTLAND</t>
        </is>
      </c>
      <c r="G423" t="n">
        <v>2.7</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46113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30061-2025</t>
        </is>
      </c>
      <c r="B425" s="1" t="n">
        <v>45826.61488425926</v>
      </c>
      <c r="C425" s="1" t="n">
        <v>46113</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56688-2025</t>
        </is>
      </c>
      <c r="B426" s="1" t="n">
        <v>45975.84331018518</v>
      </c>
      <c r="C426" s="1" t="n">
        <v>46113</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14427-2024</t>
        </is>
      </c>
      <c r="B427" s="1" t="n">
        <v>45394</v>
      </c>
      <c r="C427" s="1" t="n">
        <v>46113</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58160-2024</t>
        </is>
      </c>
      <c r="B428" s="1" t="n">
        <v>45632.44927083333</v>
      </c>
      <c r="C428" s="1" t="n">
        <v>46113</v>
      </c>
      <c r="D428" t="inlineStr">
        <is>
          <t>GOTLANDS LÄN</t>
        </is>
      </c>
      <c r="E428" t="inlineStr">
        <is>
          <t>GOTLAND</t>
        </is>
      </c>
      <c r="G428" t="n">
        <v>5.6</v>
      </c>
      <c r="H428" t="n">
        <v>0</v>
      </c>
      <c r="I428" t="n">
        <v>0</v>
      </c>
      <c r="J428" t="n">
        <v>0</v>
      </c>
      <c r="K428" t="n">
        <v>0</v>
      </c>
      <c r="L428" t="n">
        <v>0</v>
      </c>
      <c r="M428" t="n">
        <v>0</v>
      </c>
      <c r="N428" t="n">
        <v>0</v>
      </c>
      <c r="O428" t="n">
        <v>0</v>
      </c>
      <c r="P428" t="n">
        <v>0</v>
      </c>
      <c r="Q428" t="n">
        <v>0</v>
      </c>
      <c r="R428" s="2" t="inlineStr"/>
    </row>
    <row r="429" ht="15" customHeight="1">
      <c r="A429" t="inlineStr">
        <is>
          <t>A 31802-2024</t>
        </is>
      </c>
      <c r="B429" s="1" t="n">
        <v>45509</v>
      </c>
      <c r="C429" s="1" t="n">
        <v>46113</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44609.44362268518</v>
      </c>
      <c r="C430" s="1" t="n">
        <v>46113</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12846-2025</t>
        </is>
      </c>
      <c r="B431" s="1" t="n">
        <v>45733.65049768519</v>
      </c>
      <c r="C431" s="1" t="n">
        <v>46113</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46949-2024</t>
        </is>
      </c>
      <c r="B432" s="1" t="n">
        <v>45585</v>
      </c>
      <c r="C432" s="1" t="n">
        <v>46113</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10650-2022</t>
        </is>
      </c>
      <c r="B433" s="1" t="n">
        <v>44624.57945601852</v>
      </c>
      <c r="C433" s="1" t="n">
        <v>46113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59197-2025</t>
        </is>
      </c>
      <c r="B434" s="1" t="n">
        <v>45988.59846064815</v>
      </c>
      <c r="C434" s="1" t="n">
        <v>46113</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11634-2024</t>
        </is>
      </c>
      <c r="B435" s="1" t="n">
        <v>45373</v>
      </c>
      <c r="C435" s="1" t="n">
        <v>46113</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1351-2025</t>
        </is>
      </c>
      <c r="B436" s="1" t="n">
        <v>45667.62246527777</v>
      </c>
      <c r="C436" s="1" t="n">
        <v>46113</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39496-2022</t>
        </is>
      </c>
      <c r="B437" s="1" t="n">
        <v>44818</v>
      </c>
      <c r="C437" s="1" t="n">
        <v>46113</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36319-2025</t>
        </is>
      </c>
      <c r="B438" s="1" t="n">
        <v>45868</v>
      </c>
      <c r="C438" s="1" t="n">
        <v>46113</v>
      </c>
      <c r="D438" t="inlineStr">
        <is>
          <t>GOTLANDS LÄN</t>
        </is>
      </c>
      <c r="E438" t="inlineStr">
        <is>
          <t>GOTLAND</t>
        </is>
      </c>
      <c r="G438" t="n">
        <v>2.9</v>
      </c>
      <c r="H438" t="n">
        <v>0</v>
      </c>
      <c r="I438" t="n">
        <v>0</v>
      </c>
      <c r="J438" t="n">
        <v>0</v>
      </c>
      <c r="K438" t="n">
        <v>0</v>
      </c>
      <c r="L438" t="n">
        <v>0</v>
      </c>
      <c r="M438" t="n">
        <v>0</v>
      </c>
      <c r="N438" t="n">
        <v>0</v>
      </c>
      <c r="O438" t="n">
        <v>0</v>
      </c>
      <c r="P438" t="n">
        <v>0</v>
      </c>
      <c r="Q438" t="n">
        <v>0</v>
      </c>
      <c r="R438" s="2" t="inlineStr"/>
    </row>
    <row r="439" ht="15" customHeight="1">
      <c r="A439" t="inlineStr">
        <is>
          <t>A 49874-2024</t>
        </is>
      </c>
      <c r="B439" s="1" t="n">
        <v>45597.49274305555</v>
      </c>
      <c r="C439" s="1" t="n">
        <v>46113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42201-2023</t>
        </is>
      </c>
      <c r="B440" s="1" t="n">
        <v>45179</v>
      </c>
      <c r="C440" s="1" t="n">
        <v>46113</v>
      </c>
      <c r="D440" t="inlineStr">
        <is>
          <t>GOTLANDS LÄN</t>
        </is>
      </c>
      <c r="E440" t="inlineStr">
        <is>
          <t>GOTLAND</t>
        </is>
      </c>
      <c r="G440" t="n">
        <v>11.9</v>
      </c>
      <c r="H440" t="n">
        <v>0</v>
      </c>
      <c r="I440" t="n">
        <v>0</v>
      </c>
      <c r="J440" t="n">
        <v>0</v>
      </c>
      <c r="K440" t="n">
        <v>0</v>
      </c>
      <c r="L440" t="n">
        <v>0</v>
      </c>
      <c r="M440" t="n">
        <v>0</v>
      </c>
      <c r="N440" t="n">
        <v>0</v>
      </c>
      <c r="O440" t="n">
        <v>0</v>
      </c>
      <c r="P440" t="n">
        <v>0</v>
      </c>
      <c r="Q440" t="n">
        <v>0</v>
      </c>
      <c r="R440" s="2" t="inlineStr"/>
    </row>
    <row r="441" ht="15" customHeight="1">
      <c r="A441" t="inlineStr">
        <is>
          <t>A 46400-2023</t>
        </is>
      </c>
      <c r="B441" s="1" t="n">
        <v>45197.49290509259</v>
      </c>
      <c r="C441" s="1" t="n">
        <v>46113</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9875-2025</t>
        </is>
      </c>
      <c r="B442" s="1" t="n">
        <v>45716</v>
      </c>
      <c r="C442" s="1" t="n">
        <v>46113</v>
      </c>
      <c r="D442" t="inlineStr">
        <is>
          <t>GOTLANDS LÄN</t>
        </is>
      </c>
      <c r="E442" t="inlineStr">
        <is>
          <t>GOTLAND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21164-2024</t>
        </is>
      </c>
      <c r="B443" s="1" t="n">
        <v>45440</v>
      </c>
      <c r="C443" s="1" t="n">
        <v>46113</v>
      </c>
      <c r="D443" t="inlineStr">
        <is>
          <t>GOTLANDS LÄN</t>
        </is>
      </c>
      <c r="E443" t="inlineStr">
        <is>
          <t>GOTLAND</t>
        </is>
      </c>
      <c r="G443" t="n">
        <v>6.3</v>
      </c>
      <c r="H443" t="n">
        <v>0</v>
      </c>
      <c r="I443" t="n">
        <v>0</v>
      </c>
      <c r="J443" t="n">
        <v>0</v>
      </c>
      <c r="K443" t="n">
        <v>0</v>
      </c>
      <c r="L443" t="n">
        <v>0</v>
      </c>
      <c r="M443" t="n">
        <v>0</v>
      </c>
      <c r="N443" t="n">
        <v>0</v>
      </c>
      <c r="O443" t="n">
        <v>0</v>
      </c>
      <c r="P443" t="n">
        <v>0</v>
      </c>
      <c r="Q443" t="n">
        <v>0</v>
      </c>
      <c r="R443" s="2" t="inlineStr"/>
    </row>
    <row r="444" ht="15" customHeight="1">
      <c r="A444" t="inlineStr">
        <is>
          <t>A 32379-2025</t>
        </is>
      </c>
      <c r="B444" s="1" t="n">
        <v>45837</v>
      </c>
      <c r="C444" s="1" t="n">
        <v>46113</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8045-2022</t>
        </is>
      </c>
      <c r="B445" s="1" t="n">
        <v>44609</v>
      </c>
      <c r="C445" s="1" t="n">
        <v>46113</v>
      </c>
      <c r="D445" t="inlineStr">
        <is>
          <t>GOTLANDS LÄN</t>
        </is>
      </c>
      <c r="E445" t="inlineStr">
        <is>
          <t>GOTLAND</t>
        </is>
      </c>
      <c r="G445" t="n">
        <v>7</v>
      </c>
      <c r="H445" t="n">
        <v>0</v>
      </c>
      <c r="I445" t="n">
        <v>0</v>
      </c>
      <c r="J445" t="n">
        <v>0</v>
      </c>
      <c r="K445" t="n">
        <v>0</v>
      </c>
      <c r="L445" t="n">
        <v>0</v>
      </c>
      <c r="M445" t="n">
        <v>0</v>
      </c>
      <c r="N445" t="n">
        <v>0</v>
      </c>
      <c r="O445" t="n">
        <v>0</v>
      </c>
      <c r="P445" t="n">
        <v>0</v>
      </c>
      <c r="Q445" t="n">
        <v>0</v>
      </c>
      <c r="R445" s="2" t="inlineStr"/>
    </row>
    <row r="446" ht="15" customHeight="1">
      <c r="A446" t="inlineStr">
        <is>
          <t>A 22897-2023</t>
        </is>
      </c>
      <c r="B446" s="1" t="n">
        <v>45072.55239583334</v>
      </c>
      <c r="C446" s="1" t="n">
        <v>46113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61897-2024</t>
        </is>
      </c>
      <c r="B447" s="1" t="n">
        <v>45652.75685185185</v>
      </c>
      <c r="C447" s="1" t="n">
        <v>46113</v>
      </c>
      <c r="D447" t="inlineStr">
        <is>
          <t>GOTLANDS LÄN</t>
        </is>
      </c>
      <c r="E447" t="inlineStr">
        <is>
          <t>GOTLAND</t>
        </is>
      </c>
      <c r="G447" t="n">
        <v>6.4</v>
      </c>
      <c r="H447" t="n">
        <v>0</v>
      </c>
      <c r="I447" t="n">
        <v>0</v>
      </c>
      <c r="J447" t="n">
        <v>0</v>
      </c>
      <c r="K447" t="n">
        <v>0</v>
      </c>
      <c r="L447" t="n">
        <v>0</v>
      </c>
      <c r="M447" t="n">
        <v>0</v>
      </c>
      <c r="N447" t="n">
        <v>0</v>
      </c>
      <c r="O447" t="n">
        <v>0</v>
      </c>
      <c r="P447" t="n">
        <v>0</v>
      </c>
      <c r="Q447" t="n">
        <v>0</v>
      </c>
      <c r="R447" s="2" t="inlineStr"/>
    </row>
    <row r="448" ht="15" customHeight="1">
      <c r="A448" t="inlineStr">
        <is>
          <t>A 49962-2023</t>
        </is>
      </c>
      <c r="B448" s="1" t="n">
        <v>45215.38775462963</v>
      </c>
      <c r="C448" s="1" t="n">
        <v>46113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32467-2025</t>
        </is>
      </c>
      <c r="B449" s="1" t="n">
        <v>45838.42111111111</v>
      </c>
      <c r="C449" s="1" t="n">
        <v>46113</v>
      </c>
      <c r="D449" t="inlineStr">
        <is>
          <t>GOTLANDS LÄN</t>
        </is>
      </c>
      <c r="E449" t="inlineStr">
        <is>
          <t>GOTLAND</t>
        </is>
      </c>
      <c r="G449" t="n">
        <v>4.3</v>
      </c>
      <c r="H449" t="n">
        <v>0</v>
      </c>
      <c r="I449" t="n">
        <v>0</v>
      </c>
      <c r="J449" t="n">
        <v>0</v>
      </c>
      <c r="K449" t="n">
        <v>0</v>
      </c>
      <c r="L449" t="n">
        <v>0</v>
      </c>
      <c r="M449" t="n">
        <v>0</v>
      </c>
      <c r="N449" t="n">
        <v>0</v>
      </c>
      <c r="O449" t="n">
        <v>0</v>
      </c>
      <c r="P449" t="n">
        <v>0</v>
      </c>
      <c r="Q449" t="n">
        <v>0</v>
      </c>
      <c r="R449" s="2" t="inlineStr"/>
    </row>
    <row r="450" ht="15" customHeight="1">
      <c r="A450" t="inlineStr">
        <is>
          <t>A 16109-2025</t>
        </is>
      </c>
      <c r="B450" s="1" t="n">
        <v>45750</v>
      </c>
      <c r="C450" s="1" t="n">
        <v>46113</v>
      </c>
      <c r="D450" t="inlineStr">
        <is>
          <t>GOTLANDS LÄN</t>
        </is>
      </c>
      <c r="E450" t="inlineStr">
        <is>
          <t>GOTLAND</t>
        </is>
      </c>
      <c r="G450" t="n">
        <v>4.9</v>
      </c>
      <c r="H450" t="n">
        <v>0</v>
      </c>
      <c r="I450" t="n">
        <v>0</v>
      </c>
      <c r="J450" t="n">
        <v>0</v>
      </c>
      <c r="K450" t="n">
        <v>0</v>
      </c>
      <c r="L450" t="n">
        <v>0</v>
      </c>
      <c r="M450" t="n">
        <v>0</v>
      </c>
      <c r="N450" t="n">
        <v>0</v>
      </c>
      <c r="O450" t="n">
        <v>0</v>
      </c>
      <c r="P450" t="n">
        <v>0</v>
      </c>
      <c r="Q450" t="n">
        <v>0</v>
      </c>
      <c r="R450" s="2" t="inlineStr"/>
    </row>
    <row r="451" ht="15" customHeight="1">
      <c r="A451" t="inlineStr">
        <is>
          <t>A 62066-2025</t>
        </is>
      </c>
      <c r="B451" s="1" t="n">
        <v>46006.34738425926</v>
      </c>
      <c r="C451" s="1" t="n">
        <v>46113</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20165-2022</t>
        </is>
      </c>
      <c r="B452" s="1" t="n">
        <v>44698.49854166667</v>
      </c>
      <c r="C452" s="1" t="n">
        <v>46113</v>
      </c>
      <c r="D452" t="inlineStr">
        <is>
          <t>GOTLANDS LÄN</t>
        </is>
      </c>
      <c r="E452" t="inlineStr">
        <is>
          <t>GOTLAND</t>
        </is>
      </c>
      <c r="G452" t="n">
        <v>4.1</v>
      </c>
      <c r="H452" t="n">
        <v>0</v>
      </c>
      <c r="I452" t="n">
        <v>0</v>
      </c>
      <c r="J452" t="n">
        <v>0</v>
      </c>
      <c r="K452" t="n">
        <v>0</v>
      </c>
      <c r="L452" t="n">
        <v>0</v>
      </c>
      <c r="M452" t="n">
        <v>0</v>
      </c>
      <c r="N452" t="n">
        <v>0</v>
      </c>
      <c r="O452" t="n">
        <v>0</v>
      </c>
      <c r="P452" t="n">
        <v>0</v>
      </c>
      <c r="Q452" t="n">
        <v>0</v>
      </c>
      <c r="R452" s="2" t="inlineStr"/>
    </row>
    <row r="453" ht="15" customHeight="1">
      <c r="A453" t="inlineStr">
        <is>
          <t>A 62103-2025</t>
        </is>
      </c>
      <c r="B453" s="1" t="n">
        <v>46006</v>
      </c>
      <c r="C453" s="1" t="n">
        <v>46113</v>
      </c>
      <c r="D453" t="inlineStr">
        <is>
          <t>GOTLANDS LÄN</t>
        </is>
      </c>
      <c r="E453" t="inlineStr">
        <is>
          <t>GOTLAND</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40294-2022</t>
        </is>
      </c>
      <c r="B454" s="1" t="n">
        <v>44821</v>
      </c>
      <c r="C454" s="1" t="n">
        <v>46113</v>
      </c>
      <c r="D454" t="inlineStr">
        <is>
          <t>GOTLANDS LÄN</t>
        </is>
      </c>
      <c r="E454" t="inlineStr">
        <is>
          <t>GOTLAND</t>
        </is>
      </c>
      <c r="G454" t="n">
        <v>1.6</v>
      </c>
      <c r="H454" t="n">
        <v>0</v>
      </c>
      <c r="I454" t="n">
        <v>0</v>
      </c>
      <c r="J454" t="n">
        <v>0</v>
      </c>
      <c r="K454" t="n">
        <v>0</v>
      </c>
      <c r="L454" t="n">
        <v>0</v>
      </c>
      <c r="M454" t="n">
        <v>0</v>
      </c>
      <c r="N454" t="n">
        <v>0</v>
      </c>
      <c r="O454" t="n">
        <v>0</v>
      </c>
      <c r="P454" t="n">
        <v>0</v>
      </c>
      <c r="Q454" t="n">
        <v>0</v>
      </c>
      <c r="R454" s="2" t="inlineStr"/>
    </row>
    <row r="455" ht="15" customHeight="1">
      <c r="A455" t="inlineStr">
        <is>
          <t>A 12032-2025</t>
        </is>
      </c>
      <c r="B455" s="1" t="n">
        <v>45728.64472222222</v>
      </c>
      <c r="C455" s="1" t="n">
        <v>46113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46113</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46113</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43231-2023</t>
        </is>
      </c>
      <c r="B458" s="1" t="n">
        <v>45183.47025462963</v>
      </c>
      <c r="C458" s="1" t="n">
        <v>46113</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17532-2024</t>
        </is>
      </c>
      <c r="B459" s="1" t="n">
        <v>45415</v>
      </c>
      <c r="C459" s="1" t="n">
        <v>46113</v>
      </c>
      <c r="D459" t="inlineStr">
        <is>
          <t>GOTLANDS LÄN</t>
        </is>
      </c>
      <c r="E459" t="inlineStr">
        <is>
          <t>GOTLAND</t>
        </is>
      </c>
      <c r="G459" t="n">
        <v>4.3</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3935-2025</t>
        </is>
      </c>
      <c r="B461" s="1" t="n">
        <v>45684.46070601852</v>
      </c>
      <c r="C461" s="1" t="n">
        <v>46113</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54584-2025</t>
        </is>
      </c>
      <c r="B462" s="1" t="n">
        <v>45965.71788194445</v>
      </c>
      <c r="C462" s="1" t="n">
        <v>46113</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20225-2025</t>
        </is>
      </c>
      <c r="B463" s="1" t="n">
        <v>45772.65802083333</v>
      </c>
      <c r="C463" s="1" t="n">
        <v>46113</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883-2025</t>
        </is>
      </c>
      <c r="B464" s="1" t="n">
        <v>45665</v>
      </c>
      <c r="C464" s="1" t="n">
        <v>46113</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38649-2025</t>
        </is>
      </c>
      <c r="B465" s="1" t="n">
        <v>45884</v>
      </c>
      <c r="C465" s="1" t="n">
        <v>46113</v>
      </c>
      <c r="D465" t="inlineStr">
        <is>
          <t>GOTLANDS LÄN</t>
        </is>
      </c>
      <c r="E465" t="inlineStr">
        <is>
          <t>GOTLAND</t>
        </is>
      </c>
      <c r="G465" t="n">
        <v>1.5</v>
      </c>
      <c r="H465" t="n">
        <v>0</v>
      </c>
      <c r="I465" t="n">
        <v>0</v>
      </c>
      <c r="J465" t="n">
        <v>0</v>
      </c>
      <c r="K465" t="n">
        <v>0</v>
      </c>
      <c r="L465" t="n">
        <v>0</v>
      </c>
      <c r="M465" t="n">
        <v>0</v>
      </c>
      <c r="N465" t="n">
        <v>0</v>
      </c>
      <c r="O465" t="n">
        <v>0</v>
      </c>
      <c r="P465" t="n">
        <v>0</v>
      </c>
      <c r="Q465" t="n">
        <v>0</v>
      </c>
      <c r="R465" s="2" t="inlineStr"/>
    </row>
    <row r="466" ht="15" customHeight="1">
      <c r="A466" t="inlineStr">
        <is>
          <t>A 61078-2025</t>
        </is>
      </c>
      <c r="B466" s="1" t="n">
        <v>46000</v>
      </c>
      <c r="C466" s="1" t="n">
        <v>46113</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1066-2024</t>
        </is>
      </c>
      <c r="B467" s="1" t="n">
        <v>45302.285</v>
      </c>
      <c r="C467" s="1" t="n">
        <v>46113</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17144-2025</t>
        </is>
      </c>
      <c r="B468" s="1" t="n">
        <v>45755.9499537037</v>
      </c>
      <c r="C468" s="1" t="n">
        <v>46113</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36-2026</t>
        </is>
      </c>
      <c r="B469" s="1" t="n">
        <v>46024.38886574074</v>
      </c>
      <c r="C469" s="1" t="n">
        <v>46113</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62674-2025</t>
        </is>
      </c>
      <c r="B470" s="1" t="n">
        <v>46008</v>
      </c>
      <c r="C470" s="1" t="n">
        <v>46113</v>
      </c>
      <c r="D470" t="inlineStr">
        <is>
          <t>GOTLANDS LÄN</t>
        </is>
      </c>
      <c r="E470" t="inlineStr">
        <is>
          <t>GOTLAND</t>
        </is>
      </c>
      <c r="G470" t="n">
        <v>5</v>
      </c>
      <c r="H470" t="n">
        <v>0</v>
      </c>
      <c r="I470" t="n">
        <v>0</v>
      </c>
      <c r="J470" t="n">
        <v>0</v>
      </c>
      <c r="K470" t="n">
        <v>0</v>
      </c>
      <c r="L470" t="n">
        <v>0</v>
      </c>
      <c r="M470" t="n">
        <v>0</v>
      </c>
      <c r="N470" t="n">
        <v>0</v>
      </c>
      <c r="O470" t="n">
        <v>0</v>
      </c>
      <c r="P470" t="n">
        <v>0</v>
      </c>
      <c r="Q470" t="n">
        <v>0</v>
      </c>
      <c r="R470" s="2" t="inlineStr"/>
    </row>
    <row r="471" ht="15" customHeight="1">
      <c r="A471" t="inlineStr">
        <is>
          <t>A 15413-2025</t>
        </is>
      </c>
      <c r="B471" s="1" t="n">
        <v>45747.451875</v>
      </c>
      <c r="C471" s="1" t="n">
        <v>46113</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9543-2026</t>
        </is>
      </c>
      <c r="B472" s="1" t="n">
        <v>46071.62486111111</v>
      </c>
      <c r="C472" s="1" t="n">
        <v>46113</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56009-2024</t>
        </is>
      </c>
      <c r="B473" s="1" t="n">
        <v>45623.80864583333</v>
      </c>
      <c r="C473" s="1" t="n">
        <v>46113</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9521-2026</t>
        </is>
      </c>
      <c r="B474" s="1" t="n">
        <v>46071.59969907408</v>
      </c>
      <c r="C474" s="1" t="n">
        <v>46113</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9524-2026</t>
        </is>
      </c>
      <c r="B475" s="1" t="n">
        <v>46071.60108796296</v>
      </c>
      <c r="C475" s="1" t="n">
        <v>46113</v>
      </c>
      <c r="D475" t="inlineStr">
        <is>
          <t>GOTLANDS LÄN</t>
        </is>
      </c>
      <c r="E475" t="inlineStr">
        <is>
          <t>GOTLAND</t>
        </is>
      </c>
      <c r="G475" t="n">
        <v>2.5</v>
      </c>
      <c r="H475" t="n">
        <v>0</v>
      </c>
      <c r="I475" t="n">
        <v>0</v>
      </c>
      <c r="J475" t="n">
        <v>0</v>
      </c>
      <c r="K475" t="n">
        <v>0</v>
      </c>
      <c r="L475" t="n">
        <v>0</v>
      </c>
      <c r="M475" t="n">
        <v>0</v>
      </c>
      <c r="N475" t="n">
        <v>0</v>
      </c>
      <c r="O475" t="n">
        <v>0</v>
      </c>
      <c r="P475" t="n">
        <v>0</v>
      </c>
      <c r="Q475" t="n">
        <v>0</v>
      </c>
      <c r="R475" s="2" t="inlineStr"/>
    </row>
    <row r="476" ht="15" customHeight="1">
      <c r="A476" t="inlineStr">
        <is>
          <t>A 42338-2023</t>
        </is>
      </c>
      <c r="B476" s="1" t="n">
        <v>45180</v>
      </c>
      <c r="C476" s="1" t="n">
        <v>46113</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35123-2025</t>
        </is>
      </c>
      <c r="B477" s="1" t="n">
        <v>45852.614375</v>
      </c>
      <c r="C477" s="1" t="n">
        <v>46113</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9518-2026</t>
        </is>
      </c>
      <c r="B478" s="1" t="n">
        <v>46071.59653935185</v>
      </c>
      <c r="C478" s="1" t="n">
        <v>46113</v>
      </c>
      <c r="D478" t="inlineStr">
        <is>
          <t>GOTLANDS LÄN</t>
        </is>
      </c>
      <c r="E478" t="inlineStr">
        <is>
          <t>GOTLAND</t>
        </is>
      </c>
      <c r="G478" t="n">
        <v>6.2</v>
      </c>
      <c r="H478" t="n">
        <v>0</v>
      </c>
      <c r="I478" t="n">
        <v>0</v>
      </c>
      <c r="J478" t="n">
        <v>0</v>
      </c>
      <c r="K478" t="n">
        <v>0</v>
      </c>
      <c r="L478" t="n">
        <v>0</v>
      </c>
      <c r="M478" t="n">
        <v>0</v>
      </c>
      <c r="N478" t="n">
        <v>0</v>
      </c>
      <c r="O478" t="n">
        <v>0</v>
      </c>
      <c r="P478" t="n">
        <v>0</v>
      </c>
      <c r="Q478" t="n">
        <v>0</v>
      </c>
      <c r="R478" s="2" t="inlineStr"/>
    </row>
    <row r="479" ht="15" customHeight="1">
      <c r="A479" t="inlineStr">
        <is>
          <t>A 9519-2026</t>
        </is>
      </c>
      <c r="B479" s="1" t="n">
        <v>46071.59820601852</v>
      </c>
      <c r="C479" s="1" t="n">
        <v>46113</v>
      </c>
      <c r="D479" t="inlineStr">
        <is>
          <t>GOTLANDS LÄN</t>
        </is>
      </c>
      <c r="E479" t="inlineStr">
        <is>
          <t>GOTLAND</t>
        </is>
      </c>
      <c r="G479" t="n">
        <v>4</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46113</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9540-2026</t>
        </is>
      </c>
      <c r="B481" s="1" t="n">
        <v>46071.61961805556</v>
      </c>
      <c r="C481" s="1" t="n">
        <v>46113</v>
      </c>
      <c r="D481" t="inlineStr">
        <is>
          <t>GOTLANDS LÄN</t>
        </is>
      </c>
      <c r="E481" t="inlineStr">
        <is>
          <t>GOTLAND</t>
        </is>
      </c>
      <c r="G481" t="n">
        <v>2.8</v>
      </c>
      <c r="H481" t="n">
        <v>0</v>
      </c>
      <c r="I481" t="n">
        <v>0</v>
      </c>
      <c r="J481" t="n">
        <v>0</v>
      </c>
      <c r="K481" t="n">
        <v>0</v>
      </c>
      <c r="L481" t="n">
        <v>0</v>
      </c>
      <c r="M481" t="n">
        <v>0</v>
      </c>
      <c r="N481" t="n">
        <v>0</v>
      </c>
      <c r="O481" t="n">
        <v>0</v>
      </c>
      <c r="P481" t="n">
        <v>0</v>
      </c>
      <c r="Q481" t="n">
        <v>0</v>
      </c>
      <c r="R481" s="2" t="inlineStr"/>
    </row>
    <row r="482" ht="15" customHeight="1">
      <c r="A482" t="inlineStr">
        <is>
          <t>A 9504-2026</t>
        </is>
      </c>
      <c r="B482" s="1" t="n">
        <v>46071.57730324074</v>
      </c>
      <c r="C482" s="1" t="n">
        <v>46113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63152-2025</t>
        </is>
      </c>
      <c r="B483" s="1" t="n">
        <v>46010</v>
      </c>
      <c r="C483" s="1" t="n">
        <v>46113</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30104-2025</t>
        </is>
      </c>
      <c r="B484" s="1" t="n">
        <v>45826.68806712963</v>
      </c>
      <c r="C484" s="1" t="n">
        <v>46113</v>
      </c>
      <c r="D484" t="inlineStr">
        <is>
          <t>GOTLANDS LÄN</t>
        </is>
      </c>
      <c r="E484" t="inlineStr">
        <is>
          <t>GOTLAND</t>
        </is>
      </c>
      <c r="G484" t="n">
        <v>15.4</v>
      </c>
      <c r="H484" t="n">
        <v>0</v>
      </c>
      <c r="I484" t="n">
        <v>0</v>
      </c>
      <c r="J484" t="n">
        <v>0</v>
      </c>
      <c r="K484" t="n">
        <v>0</v>
      </c>
      <c r="L484" t="n">
        <v>0</v>
      </c>
      <c r="M484" t="n">
        <v>0</v>
      </c>
      <c r="N484" t="n">
        <v>0</v>
      </c>
      <c r="O484" t="n">
        <v>0</v>
      </c>
      <c r="P484" t="n">
        <v>0</v>
      </c>
      <c r="Q484" t="n">
        <v>0</v>
      </c>
      <c r="R484" s="2" t="inlineStr"/>
    </row>
    <row r="485" ht="15" customHeight="1">
      <c r="A485" t="inlineStr">
        <is>
          <t>A 9901-2026</t>
        </is>
      </c>
      <c r="B485" s="1" t="n">
        <v>46073.40391203704</v>
      </c>
      <c r="C485" s="1" t="n">
        <v>46113</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35290-2025</t>
        </is>
      </c>
      <c r="B486" s="1" t="n">
        <v>45854.38502314815</v>
      </c>
      <c r="C486" s="1" t="n">
        <v>46113</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32669-2024</t>
        </is>
      </c>
      <c r="B487" s="1" t="n">
        <v>45514</v>
      </c>
      <c r="C487" s="1" t="n">
        <v>46113</v>
      </c>
      <c r="D487" t="inlineStr">
        <is>
          <t>GOTLANDS LÄN</t>
        </is>
      </c>
      <c r="E487" t="inlineStr">
        <is>
          <t>GOTLAND</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35537-2025</t>
        </is>
      </c>
      <c r="B488" s="1" t="n">
        <v>45856</v>
      </c>
      <c r="C488" s="1" t="n">
        <v>46113</v>
      </c>
      <c r="D488" t="inlineStr">
        <is>
          <t>GOTLANDS LÄN</t>
        </is>
      </c>
      <c r="E488" t="inlineStr">
        <is>
          <t>GOTLAND</t>
        </is>
      </c>
      <c r="G488" t="n">
        <v>16.8</v>
      </c>
      <c r="H488" t="n">
        <v>0</v>
      </c>
      <c r="I488" t="n">
        <v>0</v>
      </c>
      <c r="J488" t="n">
        <v>0</v>
      </c>
      <c r="K488" t="n">
        <v>0</v>
      </c>
      <c r="L488" t="n">
        <v>0</v>
      </c>
      <c r="M488" t="n">
        <v>0</v>
      </c>
      <c r="N488" t="n">
        <v>0</v>
      </c>
      <c r="O488" t="n">
        <v>0</v>
      </c>
      <c r="P488" t="n">
        <v>0</v>
      </c>
      <c r="Q488" t="n">
        <v>0</v>
      </c>
      <c r="R488" s="2" t="inlineStr"/>
    </row>
    <row r="489" ht="15" customHeight="1">
      <c r="A489" t="inlineStr">
        <is>
          <t>A 1355-2026</t>
        </is>
      </c>
      <c r="B489" s="1" t="n">
        <v>46031.59909722222</v>
      </c>
      <c r="C489" s="1" t="n">
        <v>46113</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10486-2026</t>
        </is>
      </c>
      <c r="B490" s="1" t="n">
        <v>46077.51425925926</v>
      </c>
      <c r="C490" s="1" t="n">
        <v>46113</v>
      </c>
      <c r="D490" t="inlineStr">
        <is>
          <t>GOTLANDS LÄN</t>
        </is>
      </c>
      <c r="E490" t="inlineStr">
        <is>
          <t>GOTLAND</t>
        </is>
      </c>
      <c r="G490" t="n">
        <v>3.5</v>
      </c>
      <c r="H490" t="n">
        <v>0</v>
      </c>
      <c r="I490" t="n">
        <v>0</v>
      </c>
      <c r="J490" t="n">
        <v>0</v>
      </c>
      <c r="K490" t="n">
        <v>0</v>
      </c>
      <c r="L490" t="n">
        <v>0</v>
      </c>
      <c r="M490" t="n">
        <v>0</v>
      </c>
      <c r="N490" t="n">
        <v>0</v>
      </c>
      <c r="O490" t="n">
        <v>0</v>
      </c>
      <c r="P490" t="n">
        <v>0</v>
      </c>
      <c r="Q490" t="n">
        <v>0</v>
      </c>
      <c r="R490" s="2" t="inlineStr"/>
    </row>
    <row r="491" ht="15" customHeight="1">
      <c r="A491" t="inlineStr">
        <is>
          <t>A 581-2023</t>
        </is>
      </c>
      <c r="B491" s="1" t="n">
        <v>44930</v>
      </c>
      <c r="C491" s="1" t="n">
        <v>46113</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61386-2023</t>
        </is>
      </c>
      <c r="B492" s="1" t="n">
        <v>45264</v>
      </c>
      <c r="C492" s="1" t="n">
        <v>46113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873-2024</t>
        </is>
      </c>
      <c r="B493" s="1" t="n">
        <v>45301</v>
      </c>
      <c r="C493" s="1" t="n">
        <v>46113</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49411-2023</t>
        </is>
      </c>
      <c r="B494" s="1" t="n">
        <v>45205</v>
      </c>
      <c r="C494" s="1" t="n">
        <v>46113</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22275-2023</t>
        </is>
      </c>
      <c r="B495" s="1" t="n">
        <v>45070.39875</v>
      </c>
      <c r="C495" s="1" t="n">
        <v>46113</v>
      </c>
      <c r="D495" t="inlineStr">
        <is>
          <t>GOTLANDS LÄN</t>
        </is>
      </c>
      <c r="E495" t="inlineStr">
        <is>
          <t>GOTLAND</t>
        </is>
      </c>
      <c r="G495" t="n">
        <v>7.2</v>
      </c>
      <c r="H495" t="n">
        <v>0</v>
      </c>
      <c r="I495" t="n">
        <v>0</v>
      </c>
      <c r="J495" t="n">
        <v>0</v>
      </c>
      <c r="K495" t="n">
        <v>0</v>
      </c>
      <c r="L495" t="n">
        <v>0</v>
      </c>
      <c r="M495" t="n">
        <v>0</v>
      </c>
      <c r="N495" t="n">
        <v>0</v>
      </c>
      <c r="O495" t="n">
        <v>0</v>
      </c>
      <c r="P495" t="n">
        <v>0</v>
      </c>
      <c r="Q495" t="n">
        <v>0</v>
      </c>
      <c r="R495" s="2" t="inlineStr"/>
    </row>
    <row r="496" ht="15" customHeight="1">
      <c r="A496" t="inlineStr">
        <is>
          <t>A 12322-2025</t>
        </is>
      </c>
      <c r="B496" s="1" t="n">
        <v>45730</v>
      </c>
      <c r="C496" s="1" t="n">
        <v>46113</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10284-2026</t>
        </is>
      </c>
      <c r="B497" s="1" t="n">
        <v>46076</v>
      </c>
      <c r="C497" s="1" t="n">
        <v>46113</v>
      </c>
      <c r="D497" t="inlineStr">
        <is>
          <t>GOTLANDS LÄN</t>
        </is>
      </c>
      <c r="E497" t="inlineStr">
        <is>
          <t>GOTLAND</t>
        </is>
      </c>
      <c r="G497" t="n">
        <v>5.2</v>
      </c>
      <c r="H497" t="n">
        <v>0</v>
      </c>
      <c r="I497" t="n">
        <v>0</v>
      </c>
      <c r="J497" t="n">
        <v>0</v>
      </c>
      <c r="K497" t="n">
        <v>0</v>
      </c>
      <c r="L497" t="n">
        <v>0</v>
      </c>
      <c r="M497" t="n">
        <v>0</v>
      </c>
      <c r="N497" t="n">
        <v>0</v>
      </c>
      <c r="O497" t="n">
        <v>0</v>
      </c>
      <c r="P497" t="n">
        <v>0</v>
      </c>
      <c r="Q497" t="n">
        <v>0</v>
      </c>
      <c r="R497" s="2" t="inlineStr"/>
    </row>
    <row r="498" ht="15" customHeight="1">
      <c r="A498" t="inlineStr">
        <is>
          <t>A 1898-2026</t>
        </is>
      </c>
      <c r="B498" s="1" t="n">
        <v>46035.52024305556</v>
      </c>
      <c r="C498" s="1" t="n">
        <v>46113</v>
      </c>
      <c r="D498" t="inlineStr">
        <is>
          <t>GOTLANDS LÄN</t>
        </is>
      </c>
      <c r="E498" t="inlineStr">
        <is>
          <t>GOTLAND</t>
        </is>
      </c>
      <c r="G498" t="n">
        <v>3.7</v>
      </c>
      <c r="H498" t="n">
        <v>0</v>
      </c>
      <c r="I498" t="n">
        <v>0</v>
      </c>
      <c r="J498" t="n">
        <v>0</v>
      </c>
      <c r="K498" t="n">
        <v>0</v>
      </c>
      <c r="L498" t="n">
        <v>0</v>
      </c>
      <c r="M498" t="n">
        <v>0</v>
      </c>
      <c r="N498" t="n">
        <v>0</v>
      </c>
      <c r="O498" t="n">
        <v>0</v>
      </c>
      <c r="P498" t="n">
        <v>0</v>
      </c>
      <c r="Q498" t="n">
        <v>0</v>
      </c>
      <c r="R498" s="2" t="inlineStr"/>
    </row>
    <row r="499" ht="15" customHeight="1">
      <c r="A499" t="inlineStr">
        <is>
          <t>A 15216-2025</t>
        </is>
      </c>
      <c r="B499" s="1" t="n">
        <v>45744</v>
      </c>
      <c r="C499" s="1" t="n">
        <v>46113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14797-2024</t>
        </is>
      </c>
      <c r="B500" s="1" t="n">
        <v>45397.87030092593</v>
      </c>
      <c r="C500" s="1" t="n">
        <v>46113</v>
      </c>
      <c r="D500" t="inlineStr">
        <is>
          <t>GOTLANDS LÄN</t>
        </is>
      </c>
      <c r="E500" t="inlineStr">
        <is>
          <t>GOTLAND</t>
        </is>
      </c>
      <c r="G500" t="n">
        <v>8.1</v>
      </c>
      <c r="H500" t="n">
        <v>0</v>
      </c>
      <c r="I500" t="n">
        <v>0</v>
      </c>
      <c r="J500" t="n">
        <v>0</v>
      </c>
      <c r="K500" t="n">
        <v>0</v>
      </c>
      <c r="L500" t="n">
        <v>0</v>
      </c>
      <c r="M500" t="n">
        <v>0</v>
      </c>
      <c r="N500" t="n">
        <v>0</v>
      </c>
      <c r="O500" t="n">
        <v>0</v>
      </c>
      <c r="P500" t="n">
        <v>0</v>
      </c>
      <c r="Q500" t="n">
        <v>0</v>
      </c>
      <c r="R500" s="2" t="inlineStr"/>
    </row>
    <row r="501" ht="15" customHeight="1">
      <c r="A501" t="inlineStr">
        <is>
          <t>A 999-2024</t>
        </is>
      </c>
      <c r="B501" s="1" t="n">
        <v>45301</v>
      </c>
      <c r="C501" s="1" t="n">
        <v>46113</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61596-2023</t>
        </is>
      </c>
      <c r="B502" s="1" t="n">
        <v>45265</v>
      </c>
      <c r="C502" s="1" t="n">
        <v>46113</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43790-2024</t>
        </is>
      </c>
      <c r="B503" s="1" t="n">
        <v>45571</v>
      </c>
      <c r="C503" s="1" t="n">
        <v>46113</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15001-2025</t>
        </is>
      </c>
      <c r="B504" s="1" t="n">
        <v>45743</v>
      </c>
      <c r="C504" s="1" t="n">
        <v>46113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14638-2025</t>
        </is>
      </c>
      <c r="B505" s="1" t="n">
        <v>45742</v>
      </c>
      <c r="C505" s="1" t="n">
        <v>46113</v>
      </c>
      <c r="D505" t="inlineStr">
        <is>
          <t>GOTLANDS LÄN</t>
        </is>
      </c>
      <c r="E505" t="inlineStr">
        <is>
          <t>GOTLAND</t>
        </is>
      </c>
      <c r="G505" t="n">
        <v>13.4</v>
      </c>
      <c r="H505" t="n">
        <v>0</v>
      </c>
      <c r="I505" t="n">
        <v>0</v>
      </c>
      <c r="J505" t="n">
        <v>0</v>
      </c>
      <c r="K505" t="n">
        <v>0</v>
      </c>
      <c r="L505" t="n">
        <v>0</v>
      </c>
      <c r="M505" t="n">
        <v>0</v>
      </c>
      <c r="N505" t="n">
        <v>0</v>
      </c>
      <c r="O505" t="n">
        <v>0</v>
      </c>
      <c r="P505" t="n">
        <v>0</v>
      </c>
      <c r="Q505" t="n">
        <v>0</v>
      </c>
      <c r="R505" s="2" t="inlineStr"/>
    </row>
    <row r="506" ht="15" customHeight="1">
      <c r="A506" t="inlineStr">
        <is>
          <t>A 30488-2025</t>
        </is>
      </c>
      <c r="B506" s="1" t="n">
        <v>45830</v>
      </c>
      <c r="C506" s="1" t="n">
        <v>46113</v>
      </c>
      <c r="D506" t="inlineStr">
        <is>
          <t>GOTLANDS LÄN</t>
        </is>
      </c>
      <c r="E506" t="inlineStr">
        <is>
          <t>GOTLAND</t>
        </is>
      </c>
      <c r="F506" t="inlineStr">
        <is>
          <t>Kyrkan</t>
        </is>
      </c>
      <c r="G506" t="n">
        <v>3.9</v>
      </c>
      <c r="H506" t="n">
        <v>0</v>
      </c>
      <c r="I506" t="n">
        <v>0</v>
      </c>
      <c r="J506" t="n">
        <v>0</v>
      </c>
      <c r="K506" t="n">
        <v>0</v>
      </c>
      <c r="L506" t="n">
        <v>0</v>
      </c>
      <c r="M506" t="n">
        <v>0</v>
      </c>
      <c r="N506" t="n">
        <v>0</v>
      </c>
      <c r="O506" t="n">
        <v>0</v>
      </c>
      <c r="P506" t="n">
        <v>0</v>
      </c>
      <c r="Q506" t="n">
        <v>0</v>
      </c>
      <c r="R506" s="2" t="inlineStr"/>
    </row>
    <row r="507" ht="15" customHeight="1">
      <c r="A507" t="inlineStr">
        <is>
          <t>A 17847-2025</t>
        </is>
      </c>
      <c r="B507" s="1" t="n">
        <v>45758</v>
      </c>
      <c r="C507" s="1" t="n">
        <v>46113</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60675-2021</t>
        </is>
      </c>
      <c r="B508" s="1" t="n">
        <v>44496.64855324074</v>
      </c>
      <c r="C508" s="1" t="n">
        <v>46113</v>
      </c>
      <c r="D508" t="inlineStr">
        <is>
          <t>GOTLANDS LÄN</t>
        </is>
      </c>
      <c r="E508" t="inlineStr">
        <is>
          <t>GOTLAND</t>
        </is>
      </c>
      <c r="G508" t="n">
        <v>4.6</v>
      </c>
      <c r="H508" t="n">
        <v>0</v>
      </c>
      <c r="I508" t="n">
        <v>0</v>
      </c>
      <c r="J508" t="n">
        <v>0</v>
      </c>
      <c r="K508" t="n">
        <v>0</v>
      </c>
      <c r="L508" t="n">
        <v>0</v>
      </c>
      <c r="M508" t="n">
        <v>0</v>
      </c>
      <c r="N508" t="n">
        <v>0</v>
      </c>
      <c r="O508" t="n">
        <v>0</v>
      </c>
      <c r="P508" t="n">
        <v>0</v>
      </c>
      <c r="Q508" t="n">
        <v>0</v>
      </c>
      <c r="R508" s="2" t="inlineStr"/>
    </row>
    <row r="509" ht="15" customHeight="1">
      <c r="A509" t="inlineStr">
        <is>
          <t>A 18742-2025</t>
        </is>
      </c>
      <c r="B509" s="1" t="n">
        <v>45763</v>
      </c>
      <c r="C509" s="1" t="n">
        <v>46113</v>
      </c>
      <c r="D509" t="inlineStr">
        <is>
          <t>GOTLANDS LÄN</t>
        </is>
      </c>
      <c r="E509" t="inlineStr">
        <is>
          <t>GOTLAND</t>
        </is>
      </c>
      <c r="G509" t="n">
        <v>3.4</v>
      </c>
      <c r="H509" t="n">
        <v>0</v>
      </c>
      <c r="I509" t="n">
        <v>0</v>
      </c>
      <c r="J509" t="n">
        <v>0</v>
      </c>
      <c r="K509" t="n">
        <v>0</v>
      </c>
      <c r="L509" t="n">
        <v>0</v>
      </c>
      <c r="M509" t="n">
        <v>0</v>
      </c>
      <c r="N509" t="n">
        <v>0</v>
      </c>
      <c r="O509" t="n">
        <v>0</v>
      </c>
      <c r="P509" t="n">
        <v>0</v>
      </c>
      <c r="Q509" t="n">
        <v>0</v>
      </c>
      <c r="R509" s="2" t="inlineStr"/>
    </row>
    <row r="510" ht="15" customHeight="1">
      <c r="A510" t="inlineStr">
        <is>
          <t>A 2415-2026</t>
        </is>
      </c>
      <c r="B510" s="1" t="n">
        <v>46036.76203703704</v>
      </c>
      <c r="C510" s="1" t="n">
        <v>46113</v>
      </c>
      <c r="D510" t="inlineStr">
        <is>
          <t>GOTLANDS LÄN</t>
        </is>
      </c>
      <c r="E510" t="inlineStr">
        <is>
          <t>GOTLAND</t>
        </is>
      </c>
      <c r="G510" t="n">
        <v>6.9</v>
      </c>
      <c r="H510" t="n">
        <v>0</v>
      </c>
      <c r="I510" t="n">
        <v>0</v>
      </c>
      <c r="J510" t="n">
        <v>0</v>
      </c>
      <c r="K510" t="n">
        <v>0</v>
      </c>
      <c r="L510" t="n">
        <v>0</v>
      </c>
      <c r="M510" t="n">
        <v>0</v>
      </c>
      <c r="N510" t="n">
        <v>0</v>
      </c>
      <c r="O510" t="n">
        <v>0</v>
      </c>
      <c r="P510" t="n">
        <v>0</v>
      </c>
      <c r="Q510" t="n">
        <v>0</v>
      </c>
      <c r="R510" s="2" t="inlineStr"/>
    </row>
    <row r="511" ht="15" customHeight="1">
      <c r="A511" t="inlineStr">
        <is>
          <t>A 37728-2024</t>
        </is>
      </c>
      <c r="B511" s="1" t="n">
        <v>45541</v>
      </c>
      <c r="C511" s="1" t="n">
        <v>46113</v>
      </c>
      <c r="D511" t="inlineStr">
        <is>
          <t>GOTLANDS LÄN</t>
        </is>
      </c>
      <c r="E511" t="inlineStr">
        <is>
          <t>GOTLAND</t>
        </is>
      </c>
      <c r="G511" t="n">
        <v>0.4</v>
      </c>
      <c r="H511" t="n">
        <v>0</v>
      </c>
      <c r="I511" t="n">
        <v>0</v>
      </c>
      <c r="J511" t="n">
        <v>0</v>
      </c>
      <c r="K511" t="n">
        <v>0</v>
      </c>
      <c r="L511" t="n">
        <v>0</v>
      </c>
      <c r="M511" t="n">
        <v>0</v>
      </c>
      <c r="N511" t="n">
        <v>0</v>
      </c>
      <c r="O511" t="n">
        <v>0</v>
      </c>
      <c r="P511" t="n">
        <v>0</v>
      </c>
      <c r="Q511" t="n">
        <v>0</v>
      </c>
      <c r="R511" s="2" t="inlineStr"/>
    </row>
    <row r="512" ht="15" customHeight="1">
      <c r="A512" t="inlineStr">
        <is>
          <t>A 35129-2025</t>
        </is>
      </c>
      <c r="B512" s="1" t="n">
        <v>45852.63224537037</v>
      </c>
      <c r="C512" s="1" t="n">
        <v>46113</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46113</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11414-2026</t>
        </is>
      </c>
      <c r="B514" s="1" t="n">
        <v>46083.46336805556</v>
      </c>
      <c r="C514" s="1" t="n">
        <v>46113</v>
      </c>
      <c r="D514" t="inlineStr">
        <is>
          <t>GOTLANDS LÄN</t>
        </is>
      </c>
      <c r="E514" t="inlineStr">
        <is>
          <t>GOTLAND</t>
        </is>
      </c>
      <c r="G514" t="n">
        <v>4.9</v>
      </c>
      <c r="H514" t="n">
        <v>0</v>
      </c>
      <c r="I514" t="n">
        <v>0</v>
      </c>
      <c r="J514" t="n">
        <v>0</v>
      </c>
      <c r="K514" t="n">
        <v>0</v>
      </c>
      <c r="L514" t="n">
        <v>0</v>
      </c>
      <c r="M514" t="n">
        <v>0</v>
      </c>
      <c r="N514" t="n">
        <v>0</v>
      </c>
      <c r="O514" t="n">
        <v>0</v>
      </c>
      <c r="P514" t="n">
        <v>0</v>
      </c>
      <c r="Q514" t="n">
        <v>0</v>
      </c>
      <c r="R514" s="2" t="inlineStr"/>
    </row>
    <row r="515" ht="15" customHeight="1">
      <c r="A515" t="inlineStr">
        <is>
          <t>A 54074-2022</t>
        </is>
      </c>
      <c r="B515" s="1" t="n">
        <v>44881</v>
      </c>
      <c r="C515" s="1" t="n">
        <v>46113</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11424-2026</t>
        </is>
      </c>
      <c r="B516" s="1" t="n">
        <v>46083.48068287037</v>
      </c>
      <c r="C516" s="1" t="n">
        <v>46113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65249-2023</t>
        </is>
      </c>
      <c r="B517" s="1" t="n">
        <v>45290</v>
      </c>
      <c r="C517" s="1" t="n">
        <v>46113</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3253-2026</t>
        </is>
      </c>
      <c r="B518" s="1" t="n">
        <v>46041.58902777778</v>
      </c>
      <c r="C518" s="1" t="n">
        <v>46113</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11982-2026</t>
        </is>
      </c>
      <c r="B519" s="1" t="n">
        <v>46085.6434375</v>
      </c>
      <c r="C519" s="1" t="n">
        <v>46113</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13910-2025</t>
        </is>
      </c>
      <c r="B520" s="1" t="n">
        <v>45737</v>
      </c>
      <c r="C520" s="1" t="n">
        <v>46113</v>
      </c>
      <c r="D520" t="inlineStr">
        <is>
          <t>GOTLANDS LÄN</t>
        </is>
      </c>
      <c r="E520" t="inlineStr">
        <is>
          <t>GOTLAND</t>
        </is>
      </c>
      <c r="F520" t="inlineStr">
        <is>
          <t>Kommuner</t>
        </is>
      </c>
      <c r="G520" t="n">
        <v>3.2</v>
      </c>
      <c r="H520" t="n">
        <v>0</v>
      </c>
      <c r="I520" t="n">
        <v>0</v>
      </c>
      <c r="J520" t="n">
        <v>0</v>
      </c>
      <c r="K520" t="n">
        <v>0</v>
      </c>
      <c r="L520" t="n">
        <v>0</v>
      </c>
      <c r="M520" t="n">
        <v>0</v>
      </c>
      <c r="N520" t="n">
        <v>0</v>
      </c>
      <c r="O520" t="n">
        <v>0</v>
      </c>
      <c r="P520" t="n">
        <v>0</v>
      </c>
      <c r="Q520" t="n">
        <v>0</v>
      </c>
      <c r="R520" s="2" t="inlineStr"/>
    </row>
    <row r="521" ht="15" customHeight="1">
      <c r="A521" t="inlineStr">
        <is>
          <t>A 12135-2026</t>
        </is>
      </c>
      <c r="B521" s="1" t="n">
        <v>46086</v>
      </c>
      <c r="C521" s="1" t="n">
        <v>46113</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17780-2022</t>
        </is>
      </c>
      <c r="B522" s="1" t="n">
        <v>44682.82622685185</v>
      </c>
      <c r="C522" s="1" t="n">
        <v>46113</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4646-2026</t>
        </is>
      </c>
      <c r="B523" s="1" t="n">
        <v>46048.40357638889</v>
      </c>
      <c r="C523" s="1" t="n">
        <v>46113</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46113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4662-2026</t>
        </is>
      </c>
      <c r="B525" s="1" t="n">
        <v>46048.40949074074</v>
      </c>
      <c r="C525" s="1" t="n">
        <v>46113</v>
      </c>
      <c r="D525" t="inlineStr">
        <is>
          <t>GOTLANDS LÄN</t>
        </is>
      </c>
      <c r="E525" t="inlineStr">
        <is>
          <t>GOTLAND</t>
        </is>
      </c>
      <c r="G525" t="n">
        <v>7.6</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46113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1839-2026</t>
        </is>
      </c>
      <c r="B527" s="1" t="n">
        <v>46035.3942824074</v>
      </c>
      <c r="C527" s="1" t="n">
        <v>46113</v>
      </c>
      <c r="D527" t="inlineStr">
        <is>
          <t>GOTLANDS LÄN</t>
        </is>
      </c>
      <c r="E527" t="inlineStr">
        <is>
          <t>GOTLAND</t>
        </is>
      </c>
      <c r="G527" t="n">
        <v>3.5</v>
      </c>
      <c r="H527" t="n">
        <v>0</v>
      </c>
      <c r="I527" t="n">
        <v>0</v>
      </c>
      <c r="J527" t="n">
        <v>0</v>
      </c>
      <c r="K527" t="n">
        <v>0</v>
      </c>
      <c r="L527" t="n">
        <v>0</v>
      </c>
      <c r="M527" t="n">
        <v>0</v>
      </c>
      <c r="N527" t="n">
        <v>0</v>
      </c>
      <c r="O527" t="n">
        <v>0</v>
      </c>
      <c r="P527" t="n">
        <v>0</v>
      </c>
      <c r="Q527" t="n">
        <v>0</v>
      </c>
      <c r="R527" s="2" t="inlineStr"/>
    </row>
    <row r="528" ht="15" customHeight="1">
      <c r="A528" t="inlineStr">
        <is>
          <t>A 60384-2025</t>
        </is>
      </c>
      <c r="B528" s="1" t="n">
        <v>45995</v>
      </c>
      <c r="C528" s="1" t="n">
        <v>46113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4634-2026</t>
        </is>
      </c>
      <c r="B529" s="1" t="n">
        <v>46048.39304398148</v>
      </c>
      <c r="C529" s="1" t="n">
        <v>46113</v>
      </c>
      <c r="D529" t="inlineStr">
        <is>
          <t>GOTLANDS LÄN</t>
        </is>
      </c>
      <c r="E529" t="inlineStr">
        <is>
          <t>GOTLAND</t>
        </is>
      </c>
      <c r="G529" t="n">
        <v>7.8</v>
      </c>
      <c r="H529" t="n">
        <v>0</v>
      </c>
      <c r="I529" t="n">
        <v>0</v>
      </c>
      <c r="J529" t="n">
        <v>0</v>
      </c>
      <c r="K529" t="n">
        <v>0</v>
      </c>
      <c r="L529" t="n">
        <v>0</v>
      </c>
      <c r="M529" t="n">
        <v>0</v>
      </c>
      <c r="N529" t="n">
        <v>0</v>
      </c>
      <c r="O529" t="n">
        <v>0</v>
      </c>
      <c r="P529" t="n">
        <v>0</v>
      </c>
      <c r="Q529" t="n">
        <v>0</v>
      </c>
      <c r="R529" s="2" t="inlineStr"/>
    </row>
    <row r="530" ht="15" customHeight="1">
      <c r="A530" t="inlineStr">
        <is>
          <t>A 4670-2026</t>
        </is>
      </c>
      <c r="B530" s="1" t="n">
        <v>46048.41733796296</v>
      </c>
      <c r="C530" s="1" t="n">
        <v>46113</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11874-2024</t>
        </is>
      </c>
      <c r="B531" s="1" t="n">
        <v>45376.46956018519</v>
      </c>
      <c r="C531" s="1" t="n">
        <v>46113</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42041-2024</t>
        </is>
      </c>
      <c r="B532" s="1" t="n">
        <v>45561</v>
      </c>
      <c r="C532" s="1" t="n">
        <v>46113</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61694-2023</t>
        </is>
      </c>
      <c r="B533" s="1" t="n">
        <v>45264</v>
      </c>
      <c r="C533" s="1" t="n">
        <v>46113</v>
      </c>
      <c r="D533" t="inlineStr">
        <is>
          <t>GOTLANDS LÄN</t>
        </is>
      </c>
      <c r="E533" t="inlineStr">
        <is>
          <t>GOTLAND</t>
        </is>
      </c>
      <c r="G533" t="n">
        <v>4.6</v>
      </c>
      <c r="H533" t="n">
        <v>0</v>
      </c>
      <c r="I533" t="n">
        <v>0</v>
      </c>
      <c r="J533" t="n">
        <v>0</v>
      </c>
      <c r="K533" t="n">
        <v>0</v>
      </c>
      <c r="L533" t="n">
        <v>0</v>
      </c>
      <c r="M533" t="n">
        <v>0</v>
      </c>
      <c r="N533" t="n">
        <v>0</v>
      </c>
      <c r="O533" t="n">
        <v>0</v>
      </c>
      <c r="P533" t="n">
        <v>0</v>
      </c>
      <c r="Q533" t="n">
        <v>0</v>
      </c>
      <c r="R533" s="2" t="inlineStr"/>
    </row>
    <row r="534" ht="15" customHeight="1">
      <c r="A534" t="inlineStr">
        <is>
          <t>A 6108-2025</t>
        </is>
      </c>
      <c r="B534" s="1" t="n">
        <v>45698.29880787037</v>
      </c>
      <c r="C534" s="1" t="n">
        <v>46113</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21142-2025</t>
        </is>
      </c>
      <c r="B535" s="1" t="n">
        <v>45779</v>
      </c>
      <c r="C535" s="1" t="n">
        <v>46113</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46113</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46113</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46113</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46113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17343-2025</t>
        </is>
      </c>
      <c r="B540" s="1" t="n">
        <v>45756.6687037037</v>
      </c>
      <c r="C540" s="1" t="n">
        <v>46113</v>
      </c>
      <c r="D540" t="inlineStr">
        <is>
          <t>GOTLANDS LÄN</t>
        </is>
      </c>
      <c r="E540" t="inlineStr">
        <is>
          <t>GOTLAND</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18938-2025</t>
        </is>
      </c>
      <c r="B541" s="1" t="n">
        <v>45764.49172453704</v>
      </c>
      <c r="C541" s="1" t="n">
        <v>46113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1854-2026</t>
        </is>
      </c>
      <c r="B542" s="1" t="n">
        <v>46035.4171875</v>
      </c>
      <c r="C542" s="1" t="n">
        <v>46113</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13482-2026</t>
        </is>
      </c>
      <c r="B543" s="1" t="n">
        <v>46094</v>
      </c>
      <c r="C543" s="1" t="n">
        <v>46113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30489-2025</t>
        </is>
      </c>
      <c r="B544" s="1" t="n">
        <v>45830</v>
      </c>
      <c r="C544" s="1" t="n">
        <v>46113</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20307-2025</t>
        </is>
      </c>
      <c r="B545" s="1" t="n">
        <v>45774.95546296296</v>
      </c>
      <c r="C545" s="1" t="n">
        <v>46113</v>
      </c>
      <c r="D545" t="inlineStr">
        <is>
          <t>GOTLANDS LÄN</t>
        </is>
      </c>
      <c r="E545" t="inlineStr">
        <is>
          <t>GOTLAND</t>
        </is>
      </c>
      <c r="G545" t="n">
        <v>6.8</v>
      </c>
      <c r="H545" t="n">
        <v>0</v>
      </c>
      <c r="I545" t="n">
        <v>0</v>
      </c>
      <c r="J545" t="n">
        <v>0</v>
      </c>
      <c r="K545" t="n">
        <v>0</v>
      </c>
      <c r="L545" t="n">
        <v>0</v>
      </c>
      <c r="M545" t="n">
        <v>0</v>
      </c>
      <c r="N545" t="n">
        <v>0</v>
      </c>
      <c r="O545" t="n">
        <v>0</v>
      </c>
      <c r="P545" t="n">
        <v>0</v>
      </c>
      <c r="Q545" t="n">
        <v>0</v>
      </c>
      <c r="R545" s="2" t="inlineStr"/>
    </row>
    <row r="546" ht="15" customHeight="1">
      <c r="A546" t="inlineStr">
        <is>
          <t>A 4377-2023</t>
        </is>
      </c>
      <c r="B546" s="1" t="n">
        <v>44955.5502662037</v>
      </c>
      <c r="C546" s="1" t="n">
        <v>46113</v>
      </c>
      <c r="D546" t="inlineStr">
        <is>
          <t>GOTLANDS LÄN</t>
        </is>
      </c>
      <c r="E546" t="inlineStr">
        <is>
          <t>GOTLAND</t>
        </is>
      </c>
      <c r="F546" t="inlineStr">
        <is>
          <t>Kyrkan</t>
        </is>
      </c>
      <c r="G546" t="n">
        <v>0.6</v>
      </c>
      <c r="H546" t="n">
        <v>0</v>
      </c>
      <c r="I546" t="n">
        <v>0</v>
      </c>
      <c r="J546" t="n">
        <v>0</v>
      </c>
      <c r="K546" t="n">
        <v>0</v>
      </c>
      <c r="L546" t="n">
        <v>0</v>
      </c>
      <c r="M546" t="n">
        <v>0</v>
      </c>
      <c r="N546" t="n">
        <v>0</v>
      </c>
      <c r="O546" t="n">
        <v>0</v>
      </c>
      <c r="P546" t="n">
        <v>0</v>
      </c>
      <c r="Q546" t="n">
        <v>0</v>
      </c>
      <c r="R546" s="2" t="inlineStr"/>
    </row>
    <row r="547" ht="15" customHeight="1">
      <c r="A547" t="inlineStr">
        <is>
          <t>A 4387-2023</t>
        </is>
      </c>
      <c r="B547" s="1" t="n">
        <v>44955.73359953704</v>
      </c>
      <c r="C547" s="1" t="n">
        <v>46113</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13486-2026</t>
        </is>
      </c>
      <c r="B548" s="1" t="n">
        <v>46094</v>
      </c>
      <c r="C548" s="1" t="n">
        <v>46113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39479-2022</t>
        </is>
      </c>
      <c r="B549" s="1" t="n">
        <v>44818</v>
      </c>
      <c r="C549" s="1" t="n">
        <v>46113</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3067-2026</t>
        </is>
      </c>
      <c r="B550" s="1" t="n">
        <v>46040.59025462963</v>
      </c>
      <c r="C550" s="1" t="n">
        <v>46113</v>
      </c>
      <c r="D550" t="inlineStr">
        <is>
          <t>GOTLANDS LÄN</t>
        </is>
      </c>
      <c r="E550" t="inlineStr">
        <is>
          <t>GOTLAND</t>
        </is>
      </c>
      <c r="G550" t="n">
        <v>7.8</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46113</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6218-2026</t>
        </is>
      </c>
      <c r="B552" s="1" t="n">
        <v>46055.42859953704</v>
      </c>
      <c r="C552" s="1" t="n">
        <v>46113</v>
      </c>
      <c r="D552" t="inlineStr">
        <is>
          <t>GOTLANDS LÄN</t>
        </is>
      </c>
      <c r="E552" t="inlineStr">
        <is>
          <t>GOTLAND</t>
        </is>
      </c>
      <c r="G552" t="n">
        <v>4.3</v>
      </c>
      <c r="H552" t="n">
        <v>0</v>
      </c>
      <c r="I552" t="n">
        <v>0</v>
      </c>
      <c r="J552" t="n">
        <v>0</v>
      </c>
      <c r="K552" t="n">
        <v>0</v>
      </c>
      <c r="L552" t="n">
        <v>0</v>
      </c>
      <c r="M552" t="n">
        <v>0</v>
      </c>
      <c r="N552" t="n">
        <v>0</v>
      </c>
      <c r="O552" t="n">
        <v>0</v>
      </c>
      <c r="P552" t="n">
        <v>0</v>
      </c>
      <c r="Q552" t="n">
        <v>0</v>
      </c>
      <c r="R552" s="2" t="inlineStr"/>
    </row>
    <row r="553" ht="15" customHeight="1">
      <c r="A553" t="inlineStr">
        <is>
          <t>A 811-2023</t>
        </is>
      </c>
      <c r="B553" s="1" t="n">
        <v>44931</v>
      </c>
      <c r="C553" s="1" t="n">
        <v>46113</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46389-2021</t>
        </is>
      </c>
      <c r="B554" s="1" t="n">
        <v>44443</v>
      </c>
      <c r="C554" s="1" t="n">
        <v>46113</v>
      </c>
      <c r="D554" t="inlineStr">
        <is>
          <t>GOTLANDS LÄN</t>
        </is>
      </c>
      <c r="E554" t="inlineStr">
        <is>
          <t>GOTLAND</t>
        </is>
      </c>
      <c r="F554" t="inlineStr">
        <is>
          <t>Kyrkan</t>
        </is>
      </c>
      <c r="G554" t="n">
        <v>2.1</v>
      </c>
      <c r="H554" t="n">
        <v>0</v>
      </c>
      <c r="I554" t="n">
        <v>0</v>
      </c>
      <c r="J554" t="n">
        <v>0</v>
      </c>
      <c r="K554" t="n">
        <v>0</v>
      </c>
      <c r="L554" t="n">
        <v>0</v>
      </c>
      <c r="M554" t="n">
        <v>0</v>
      </c>
      <c r="N554" t="n">
        <v>0</v>
      </c>
      <c r="O554" t="n">
        <v>0</v>
      </c>
      <c r="P554" t="n">
        <v>0</v>
      </c>
      <c r="Q554" t="n">
        <v>0</v>
      </c>
      <c r="R554" s="2" t="inlineStr"/>
    </row>
    <row r="555" ht="15" customHeight="1">
      <c r="A555" t="inlineStr">
        <is>
          <t>A 6207-2026</t>
        </is>
      </c>
      <c r="B555" s="1" t="n">
        <v>46055.42083333333</v>
      </c>
      <c r="C555" s="1" t="n">
        <v>46113</v>
      </c>
      <c r="D555" t="inlineStr">
        <is>
          <t>GOTLANDS LÄN</t>
        </is>
      </c>
      <c r="E555" t="inlineStr">
        <is>
          <t>GOTLAND</t>
        </is>
      </c>
      <c r="G555" t="n">
        <v>7.6</v>
      </c>
      <c r="H555" t="n">
        <v>0</v>
      </c>
      <c r="I555" t="n">
        <v>0</v>
      </c>
      <c r="J555" t="n">
        <v>0</v>
      </c>
      <c r="K555" t="n">
        <v>0</v>
      </c>
      <c r="L555" t="n">
        <v>0</v>
      </c>
      <c r="M555" t="n">
        <v>0</v>
      </c>
      <c r="N555" t="n">
        <v>0</v>
      </c>
      <c r="O555" t="n">
        <v>0</v>
      </c>
      <c r="P555" t="n">
        <v>0</v>
      </c>
      <c r="Q555" t="n">
        <v>0</v>
      </c>
      <c r="R555" s="2" t="inlineStr"/>
    </row>
    <row r="556" ht="15" customHeight="1">
      <c r="A556" t="inlineStr">
        <is>
          <t>A 26810-2021</t>
        </is>
      </c>
      <c r="B556" s="1" t="n">
        <v>44349.55087962963</v>
      </c>
      <c r="C556" s="1" t="n">
        <v>46113</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6959-2026</t>
        </is>
      </c>
      <c r="B557" s="1" t="n">
        <v>46057.580625</v>
      </c>
      <c r="C557" s="1" t="n">
        <v>46113</v>
      </c>
      <c r="D557" t="inlineStr">
        <is>
          <t>GOTLANDS LÄN</t>
        </is>
      </c>
      <c r="E557" t="inlineStr">
        <is>
          <t>GOTLAND</t>
        </is>
      </c>
      <c r="F557" t="inlineStr">
        <is>
          <t>Kyrkan</t>
        </is>
      </c>
      <c r="G557" t="n">
        <v>1.2</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44963.69503472222</v>
      </c>
      <c r="C558" s="1" t="n">
        <v>46113</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33853-2024</t>
        </is>
      </c>
      <c r="B559" s="1" t="n">
        <v>45520.64298611111</v>
      </c>
      <c r="C559" s="1" t="n">
        <v>46113</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18918-2025</t>
        </is>
      </c>
      <c r="B560" s="1" t="n">
        <v>45764</v>
      </c>
      <c r="C560" s="1" t="n">
        <v>46113</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2674-2023</t>
        </is>
      </c>
      <c r="B561" s="1" t="n">
        <v>44944</v>
      </c>
      <c r="C561" s="1" t="n">
        <v>46113</v>
      </c>
      <c r="D561" t="inlineStr">
        <is>
          <t>GOTLANDS LÄN</t>
        </is>
      </c>
      <c r="E561" t="inlineStr">
        <is>
          <t>GOTLAND</t>
        </is>
      </c>
      <c r="G561" t="n">
        <v>2.5</v>
      </c>
      <c r="H561" t="n">
        <v>0</v>
      </c>
      <c r="I561" t="n">
        <v>0</v>
      </c>
      <c r="J561" t="n">
        <v>0</v>
      </c>
      <c r="K561" t="n">
        <v>0</v>
      </c>
      <c r="L561" t="n">
        <v>0</v>
      </c>
      <c r="M561" t="n">
        <v>0</v>
      </c>
      <c r="N561" t="n">
        <v>0</v>
      </c>
      <c r="O561" t="n">
        <v>0</v>
      </c>
      <c r="P561" t="n">
        <v>0</v>
      </c>
      <c r="Q561" t="n">
        <v>0</v>
      </c>
      <c r="R561" s="2" t="inlineStr"/>
    </row>
    <row r="562" ht="15" customHeight="1">
      <c r="A562" t="inlineStr">
        <is>
          <t>A 6960-2026</t>
        </is>
      </c>
      <c r="B562" s="1" t="n">
        <v>46057.58105324074</v>
      </c>
      <c r="C562" s="1" t="n">
        <v>46113</v>
      </c>
      <c r="D562" t="inlineStr">
        <is>
          <t>GOTLANDS LÄN</t>
        </is>
      </c>
      <c r="E562" t="inlineStr">
        <is>
          <t>GOTLAND</t>
        </is>
      </c>
      <c r="F562" t="inlineStr">
        <is>
          <t>Kyrkan</t>
        </is>
      </c>
      <c r="G562" t="n">
        <v>2.4</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46113</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2719-2023</t>
        </is>
      </c>
      <c r="B564" s="1" t="n">
        <v>44944.55361111111</v>
      </c>
      <c r="C564" s="1" t="n">
        <v>46113</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26891-2024</t>
        </is>
      </c>
      <c r="B565" s="1" t="n">
        <v>45470.65540509259</v>
      </c>
      <c r="C565" s="1" t="n">
        <v>46113</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42007-2023</t>
        </is>
      </c>
      <c r="B566" s="1" t="n">
        <v>45177</v>
      </c>
      <c r="C566" s="1" t="n">
        <v>46113</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46113</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14840-2026</t>
        </is>
      </c>
      <c r="B568" s="1" t="n">
        <v>46104.39498842593</v>
      </c>
      <c r="C568" s="1" t="n">
        <v>46113</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46113</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7625-2026</t>
        </is>
      </c>
      <c r="B570" s="1" t="n">
        <v>46062.35135416667</v>
      </c>
      <c r="C570" s="1" t="n">
        <v>46113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7627-2026</t>
        </is>
      </c>
      <c r="B571" s="1" t="n">
        <v>46062.35465277778</v>
      </c>
      <c r="C571" s="1" t="n">
        <v>46113</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46113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62836-2025</t>
        </is>
      </c>
      <c r="B573" s="1" t="n">
        <v>46008</v>
      </c>
      <c r="C573" s="1" t="n">
        <v>46113</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63105-2025</t>
        </is>
      </c>
      <c r="B574" s="1" t="n">
        <v>46009</v>
      </c>
      <c r="C574" s="1" t="n">
        <v>46113</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24825-2024</t>
        </is>
      </c>
      <c r="B575" s="1" t="n">
        <v>45461</v>
      </c>
      <c r="C575" s="1" t="n">
        <v>46113</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6696-2023</t>
        </is>
      </c>
      <c r="B576" s="1" t="n">
        <v>44966.66425925926</v>
      </c>
      <c r="C576" s="1" t="n">
        <v>46113</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21247-2022</t>
        </is>
      </c>
      <c r="B577" s="1" t="n">
        <v>44705.38832175926</v>
      </c>
      <c r="C577" s="1" t="n">
        <v>46113</v>
      </c>
      <c r="D577" t="inlineStr">
        <is>
          <t>GOTLANDS LÄN</t>
        </is>
      </c>
      <c r="E577" t="inlineStr">
        <is>
          <t>GOTLAND</t>
        </is>
      </c>
      <c r="G577" t="n">
        <v>16.2</v>
      </c>
      <c r="H577" t="n">
        <v>0</v>
      </c>
      <c r="I577" t="n">
        <v>0</v>
      </c>
      <c r="J577" t="n">
        <v>0</v>
      </c>
      <c r="K577" t="n">
        <v>0</v>
      </c>
      <c r="L577" t="n">
        <v>0</v>
      </c>
      <c r="M577" t="n">
        <v>0</v>
      </c>
      <c r="N577" t="n">
        <v>0</v>
      </c>
      <c r="O577" t="n">
        <v>0</v>
      </c>
      <c r="P577" t="n">
        <v>0</v>
      </c>
      <c r="Q577" t="n">
        <v>0</v>
      </c>
      <c r="R577" s="2" t="inlineStr"/>
    </row>
    <row r="578" ht="15" customHeight="1">
      <c r="A578" t="inlineStr">
        <is>
          <t>A 456-2023</t>
        </is>
      </c>
      <c r="B578" s="1" t="n">
        <v>44929.87122685185</v>
      </c>
      <c r="C578" s="1" t="n">
        <v>46113</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46113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5863-2026</t>
        </is>
      </c>
      <c r="B580" s="1" t="n">
        <v>46052.36697916667</v>
      </c>
      <c r="C580" s="1" t="n">
        <v>46113</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2135-2026</t>
        </is>
      </c>
      <c r="B581" s="1" t="n">
        <v>46036</v>
      </c>
      <c r="C581" s="1" t="n">
        <v>46113</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4421-2024</t>
        </is>
      </c>
      <c r="B582" s="1" t="n">
        <v>45327.45173611111</v>
      </c>
      <c r="C582" s="1" t="n">
        <v>46113</v>
      </c>
      <c r="D582" t="inlineStr">
        <is>
          <t>GOTLANDS LÄN</t>
        </is>
      </c>
      <c r="E582" t="inlineStr">
        <is>
          <t>GOTLAND</t>
        </is>
      </c>
      <c r="G582" t="n">
        <v>5.1</v>
      </c>
      <c r="H582" t="n">
        <v>0</v>
      </c>
      <c r="I582" t="n">
        <v>0</v>
      </c>
      <c r="J582" t="n">
        <v>0</v>
      </c>
      <c r="K582" t="n">
        <v>0</v>
      </c>
      <c r="L582" t="n">
        <v>0</v>
      </c>
      <c r="M582" t="n">
        <v>0</v>
      </c>
      <c r="N582" t="n">
        <v>0</v>
      </c>
      <c r="O582" t="n">
        <v>0</v>
      </c>
      <c r="P582" t="n">
        <v>0</v>
      </c>
      <c r="Q582" t="n">
        <v>0</v>
      </c>
      <c r="R582" s="2" t="inlineStr"/>
    </row>
    <row r="583" ht="15" customHeight="1">
      <c r="A583" t="inlineStr">
        <is>
          <t>A 51782-2023</t>
        </is>
      </c>
      <c r="B583" s="1" t="n">
        <v>45222.80952546297</v>
      </c>
      <c r="C583" s="1" t="n">
        <v>46113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54268-2022</t>
        </is>
      </c>
      <c r="B584" s="1" t="n">
        <v>44882</v>
      </c>
      <c r="C584" s="1" t="n">
        <v>46113</v>
      </c>
      <c r="D584" t="inlineStr">
        <is>
          <t>GOTLANDS LÄN</t>
        </is>
      </c>
      <c r="E584" t="inlineStr">
        <is>
          <t>GOTLAND</t>
        </is>
      </c>
      <c r="G584" t="n">
        <v>2.7</v>
      </c>
      <c r="H584" t="n">
        <v>0</v>
      </c>
      <c r="I584" t="n">
        <v>0</v>
      </c>
      <c r="J584" t="n">
        <v>0</v>
      </c>
      <c r="K584" t="n">
        <v>0</v>
      </c>
      <c r="L584" t="n">
        <v>0</v>
      </c>
      <c r="M584" t="n">
        <v>0</v>
      </c>
      <c r="N584" t="n">
        <v>0</v>
      </c>
      <c r="O584" t="n">
        <v>0</v>
      </c>
      <c r="P584" t="n">
        <v>0</v>
      </c>
      <c r="Q584" t="n">
        <v>0</v>
      </c>
      <c r="R584" s="2" t="inlineStr"/>
    </row>
    <row r="585" ht="15" customHeight="1">
      <c r="A585" t="inlineStr">
        <is>
          <t>A 2134-2026</t>
        </is>
      </c>
      <c r="B585" s="1" t="n">
        <v>46036</v>
      </c>
      <c r="C585" s="1" t="n">
        <v>46113</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57534-2022</t>
        </is>
      </c>
      <c r="B586" s="1" t="n">
        <v>44896</v>
      </c>
      <c r="C586" s="1" t="n">
        <v>46113</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46113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43229-2023</t>
        </is>
      </c>
      <c r="B588" s="1" t="n">
        <v>45183.46704861111</v>
      </c>
      <c r="C588" s="1" t="n">
        <v>46113</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1175-2025</t>
        </is>
      </c>
      <c r="B589" s="1" t="n">
        <v>45667.34449074074</v>
      </c>
      <c r="C589" s="1" t="n">
        <v>46113</v>
      </c>
      <c r="D589" t="inlineStr">
        <is>
          <t>GOTLANDS LÄN</t>
        </is>
      </c>
      <c r="E589" t="inlineStr">
        <is>
          <t>GOTLAND</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27095-2022</t>
        </is>
      </c>
      <c r="B590" s="1" t="n">
        <v>44741</v>
      </c>
      <c r="C590" s="1" t="n">
        <v>46113</v>
      </c>
      <c r="D590" t="inlineStr">
        <is>
          <t>GOTLANDS LÄN</t>
        </is>
      </c>
      <c r="E590" t="inlineStr">
        <is>
          <t>GOTLAND</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22899-2023</t>
        </is>
      </c>
      <c r="B591" s="1" t="n">
        <v>45072</v>
      </c>
      <c r="C591" s="1" t="n">
        <v>46113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46113</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34407-2023</t>
        </is>
      </c>
      <c r="B593" s="1" t="n">
        <v>45132</v>
      </c>
      <c r="C593" s="1" t="n">
        <v>46113</v>
      </c>
      <c r="D593" t="inlineStr">
        <is>
          <t>GOTLANDS LÄN</t>
        </is>
      </c>
      <c r="E593" t="inlineStr">
        <is>
          <t>GOTLAND</t>
        </is>
      </c>
      <c r="G593" t="n">
        <v>4.4</v>
      </c>
      <c r="H593" t="n">
        <v>0</v>
      </c>
      <c r="I593" t="n">
        <v>0</v>
      </c>
      <c r="J593" t="n">
        <v>0</v>
      </c>
      <c r="K593" t="n">
        <v>0</v>
      </c>
      <c r="L593" t="n">
        <v>0</v>
      </c>
      <c r="M593" t="n">
        <v>0</v>
      </c>
      <c r="N593" t="n">
        <v>0</v>
      </c>
      <c r="O593" t="n">
        <v>0</v>
      </c>
      <c r="P593" t="n">
        <v>0</v>
      </c>
      <c r="Q593" t="n">
        <v>0</v>
      </c>
      <c r="R593" s="2" t="inlineStr"/>
    </row>
    <row r="594" ht="15" customHeight="1">
      <c r="A594" t="inlineStr">
        <is>
          <t>A 11013-2024</t>
        </is>
      </c>
      <c r="B594" s="1" t="n">
        <v>45370</v>
      </c>
      <c r="C594" s="1" t="n">
        <v>46113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27694-2024</t>
        </is>
      </c>
      <c r="B595" s="1" t="n">
        <v>45475</v>
      </c>
      <c r="C595" s="1" t="n">
        <v>46113</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46113</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13037-2025</t>
        </is>
      </c>
      <c r="B597" s="1" t="n">
        <v>45734</v>
      </c>
      <c r="C597" s="1" t="n">
        <v>46113</v>
      </c>
      <c r="D597" t="inlineStr">
        <is>
          <t>GOTLANDS LÄN</t>
        </is>
      </c>
      <c r="E597" t="inlineStr">
        <is>
          <t>GOTLAND</t>
        </is>
      </c>
      <c r="G597" t="n">
        <v>9.5</v>
      </c>
      <c r="H597" t="n">
        <v>0</v>
      </c>
      <c r="I597" t="n">
        <v>0</v>
      </c>
      <c r="J597" t="n">
        <v>0</v>
      </c>
      <c r="K597" t="n">
        <v>0</v>
      </c>
      <c r="L597" t="n">
        <v>0</v>
      </c>
      <c r="M597" t="n">
        <v>0</v>
      </c>
      <c r="N597" t="n">
        <v>0</v>
      </c>
      <c r="O597" t="n">
        <v>0</v>
      </c>
      <c r="P597" t="n">
        <v>0</v>
      </c>
      <c r="Q597" t="n">
        <v>0</v>
      </c>
      <c r="R597" s="2" t="inlineStr"/>
    </row>
    <row r="598" ht="15" customHeight="1">
      <c r="A598" t="inlineStr">
        <is>
          <t>A 458-2023</t>
        </is>
      </c>
      <c r="B598" s="1" t="n">
        <v>44929</v>
      </c>
      <c r="C598" s="1" t="n">
        <v>46113</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63000-2025</t>
        </is>
      </c>
      <c r="B599" s="1" t="n">
        <v>46009</v>
      </c>
      <c r="C599" s="1" t="n">
        <v>46113</v>
      </c>
      <c r="D599" t="inlineStr">
        <is>
          <t>GOTLANDS LÄN</t>
        </is>
      </c>
      <c r="E599" t="inlineStr">
        <is>
          <t>GOTLAND</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44228-2022</t>
        </is>
      </c>
      <c r="B600" s="1" t="n">
        <v>44839.51599537037</v>
      </c>
      <c r="C600" s="1" t="n">
        <v>46113</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58132-2023</t>
        </is>
      </c>
      <c r="B601" s="1" t="n">
        <v>45250</v>
      </c>
      <c r="C601" s="1" t="n">
        <v>46113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53561-2025</t>
        </is>
      </c>
      <c r="B602" s="1" t="n">
        <v>45960.4059375</v>
      </c>
      <c r="C602" s="1" t="n">
        <v>46113</v>
      </c>
      <c r="D602" t="inlineStr">
        <is>
          <t>GOTLANDS LÄN</t>
        </is>
      </c>
      <c r="E602" t="inlineStr">
        <is>
          <t>GOTLAND</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49884-2023</t>
        </is>
      </c>
      <c r="B603" s="1" t="n">
        <v>45213</v>
      </c>
      <c r="C603" s="1" t="n">
        <v>46113</v>
      </c>
      <c r="D603" t="inlineStr">
        <is>
          <t>GOTLANDS LÄN</t>
        </is>
      </c>
      <c r="E603" t="inlineStr">
        <is>
          <t>GOTLAND</t>
        </is>
      </c>
      <c r="G603" t="n">
        <v>8.9</v>
      </c>
      <c r="H603" t="n">
        <v>0</v>
      </c>
      <c r="I603" t="n">
        <v>0</v>
      </c>
      <c r="J603" t="n">
        <v>0</v>
      </c>
      <c r="K603" t="n">
        <v>0</v>
      </c>
      <c r="L603" t="n">
        <v>0</v>
      </c>
      <c r="M603" t="n">
        <v>0</v>
      </c>
      <c r="N603" t="n">
        <v>0</v>
      </c>
      <c r="O603" t="n">
        <v>0</v>
      </c>
      <c r="P603" t="n">
        <v>0</v>
      </c>
      <c r="Q603" t="n">
        <v>0</v>
      </c>
      <c r="R603" s="2" t="inlineStr"/>
    </row>
    <row r="604" ht="15" customHeight="1">
      <c r="A604" t="inlineStr">
        <is>
          <t>A 876-2024</t>
        </is>
      </c>
      <c r="B604" s="1" t="n">
        <v>45301</v>
      </c>
      <c r="C604" s="1" t="n">
        <v>46113</v>
      </c>
      <c r="D604" t="inlineStr">
        <is>
          <t>GOTLANDS LÄN</t>
        </is>
      </c>
      <c r="E604" t="inlineStr">
        <is>
          <t>GOTLAND</t>
        </is>
      </c>
      <c r="G604" t="n">
        <v>5.3</v>
      </c>
      <c r="H604" t="n">
        <v>0</v>
      </c>
      <c r="I604" t="n">
        <v>0</v>
      </c>
      <c r="J604" t="n">
        <v>0</v>
      </c>
      <c r="K604" t="n">
        <v>0</v>
      </c>
      <c r="L604" t="n">
        <v>0</v>
      </c>
      <c r="M604" t="n">
        <v>0</v>
      </c>
      <c r="N604" t="n">
        <v>0</v>
      </c>
      <c r="O604" t="n">
        <v>0</v>
      </c>
      <c r="P604" t="n">
        <v>0</v>
      </c>
      <c r="Q604" t="n">
        <v>0</v>
      </c>
      <c r="R604" s="2" t="inlineStr"/>
    </row>
    <row r="605" ht="15" customHeight="1">
      <c r="A605" t="inlineStr">
        <is>
          <t>A 22704-2023</t>
        </is>
      </c>
      <c r="B605" s="1" t="n">
        <v>45071</v>
      </c>
      <c r="C605" s="1" t="n">
        <v>46113</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28425-2023</t>
        </is>
      </c>
      <c r="B606" s="1" t="n">
        <v>45102</v>
      </c>
      <c r="C606" s="1" t="n">
        <v>46113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58476-2022</t>
        </is>
      </c>
      <c r="B607" s="1" t="n">
        <v>44902</v>
      </c>
      <c r="C607" s="1" t="n">
        <v>46113</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62751-2025</t>
        </is>
      </c>
      <c r="B608" s="1" t="n">
        <v>46008</v>
      </c>
      <c r="C608" s="1" t="n">
        <v>46113</v>
      </c>
      <c r="D608" t="inlineStr">
        <is>
          <t>GOTLANDS LÄN</t>
        </is>
      </c>
      <c r="E608" t="inlineStr">
        <is>
          <t>GOTLAND</t>
        </is>
      </c>
      <c r="F608" t="inlineStr">
        <is>
          <t>Övriga Aktiebolag</t>
        </is>
      </c>
      <c r="G608" t="n">
        <v>7.8</v>
      </c>
      <c r="H608" t="n">
        <v>0</v>
      </c>
      <c r="I608" t="n">
        <v>0</v>
      </c>
      <c r="J608" t="n">
        <v>0</v>
      </c>
      <c r="K608" t="n">
        <v>0</v>
      </c>
      <c r="L608" t="n">
        <v>0</v>
      </c>
      <c r="M608" t="n">
        <v>0</v>
      </c>
      <c r="N608" t="n">
        <v>0</v>
      </c>
      <c r="O608" t="n">
        <v>0</v>
      </c>
      <c r="P608" t="n">
        <v>0</v>
      </c>
      <c r="Q608" t="n">
        <v>0</v>
      </c>
      <c r="R608" s="2" t="inlineStr"/>
    </row>
    <row r="609" ht="15" customHeight="1">
      <c r="A609" t="inlineStr">
        <is>
          <t>A 62754-2025</t>
        </is>
      </c>
      <c r="B609" s="1" t="n">
        <v>46008</v>
      </c>
      <c r="C609" s="1" t="n">
        <v>46113</v>
      </c>
      <c r="D609" t="inlineStr">
        <is>
          <t>GOTLANDS LÄN</t>
        </is>
      </c>
      <c r="E609" t="inlineStr">
        <is>
          <t>GOTLAND</t>
        </is>
      </c>
      <c r="F609" t="inlineStr">
        <is>
          <t>Övriga Aktiebolag</t>
        </is>
      </c>
      <c r="G609" t="n">
        <v>2.9</v>
      </c>
      <c r="H609" t="n">
        <v>0</v>
      </c>
      <c r="I609" t="n">
        <v>0</v>
      </c>
      <c r="J609" t="n">
        <v>0</v>
      </c>
      <c r="K609" t="n">
        <v>0</v>
      </c>
      <c r="L609" t="n">
        <v>0</v>
      </c>
      <c r="M609" t="n">
        <v>0</v>
      </c>
      <c r="N609" t="n">
        <v>0</v>
      </c>
      <c r="O609" t="n">
        <v>0</v>
      </c>
      <c r="P609" t="n">
        <v>0</v>
      </c>
      <c r="Q609" t="n">
        <v>0</v>
      </c>
      <c r="R609" s="2" t="inlineStr"/>
    </row>
    <row r="610" ht="15" customHeight="1">
      <c r="A610" t="inlineStr">
        <is>
          <t>A 53587-2025</t>
        </is>
      </c>
      <c r="B610" s="1" t="n">
        <v>45960.43681712963</v>
      </c>
      <c r="C610" s="1" t="n">
        <v>46113</v>
      </c>
      <c r="D610" t="inlineStr">
        <is>
          <t>GOTLANDS LÄN</t>
        </is>
      </c>
      <c r="E610" t="inlineStr">
        <is>
          <t>GOTLAND</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43200-2023</t>
        </is>
      </c>
      <c r="B611" s="1" t="n">
        <v>45183</v>
      </c>
      <c r="C611" s="1" t="n">
        <v>46113</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43223-2023</t>
        </is>
      </c>
      <c r="B612" s="1" t="n">
        <v>45183.45642361111</v>
      </c>
      <c r="C612" s="1" t="n">
        <v>46113</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46113</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3431-2025</t>
        </is>
      </c>
      <c r="B614" s="1" t="n">
        <v>45680.42935185185</v>
      </c>
      <c r="C614" s="1" t="n">
        <v>46113</v>
      </c>
      <c r="D614" t="inlineStr">
        <is>
          <t>GOTLANDS LÄN</t>
        </is>
      </c>
      <c r="E614" t="inlineStr">
        <is>
          <t>GOTLAND</t>
        </is>
      </c>
      <c r="G614" t="n">
        <v>4.8</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46113</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46113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1364-2025</t>
        </is>
      </c>
      <c r="B617" s="1" t="n">
        <v>45667.63929398148</v>
      </c>
      <c r="C617" s="1" t="n">
        <v>46113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15042-2025</t>
        </is>
      </c>
      <c r="B618" s="1" t="n">
        <v>45743</v>
      </c>
      <c r="C618" s="1" t="n">
        <v>46113</v>
      </c>
      <c r="D618" t="inlineStr">
        <is>
          <t>GOTLANDS LÄN</t>
        </is>
      </c>
      <c r="E618" t="inlineStr">
        <is>
          <t>GOTLAND</t>
        </is>
      </c>
      <c r="G618" t="n">
        <v>8.5</v>
      </c>
      <c r="H618" t="n">
        <v>0</v>
      </c>
      <c r="I618" t="n">
        <v>0</v>
      </c>
      <c r="J618" t="n">
        <v>0</v>
      </c>
      <c r="K618" t="n">
        <v>0</v>
      </c>
      <c r="L618" t="n">
        <v>0</v>
      </c>
      <c r="M618" t="n">
        <v>0</v>
      </c>
      <c r="N618" t="n">
        <v>0</v>
      </c>
      <c r="O618" t="n">
        <v>0</v>
      </c>
      <c r="P618" t="n">
        <v>0</v>
      </c>
      <c r="Q618" t="n">
        <v>0</v>
      </c>
      <c r="R618" s="2" t="inlineStr"/>
    </row>
    <row r="619" ht="15" customHeight="1">
      <c r="A619" t="inlineStr">
        <is>
          <t>A 2180-2025</t>
        </is>
      </c>
      <c r="B619" s="1" t="n">
        <v>45673</v>
      </c>
      <c r="C619" s="1" t="n">
        <v>46113</v>
      </c>
      <c r="D619" t="inlineStr">
        <is>
          <t>GOTLANDS LÄN</t>
        </is>
      </c>
      <c r="E619" t="inlineStr">
        <is>
          <t>GOTLAND</t>
        </is>
      </c>
      <c r="G619" t="n">
        <v>0.7</v>
      </c>
      <c r="H619" t="n">
        <v>0</v>
      </c>
      <c r="I619" t="n">
        <v>0</v>
      </c>
      <c r="J619" t="n">
        <v>0</v>
      </c>
      <c r="K619" t="n">
        <v>0</v>
      </c>
      <c r="L619" t="n">
        <v>0</v>
      </c>
      <c r="M619" t="n">
        <v>0</v>
      </c>
      <c r="N619" t="n">
        <v>0</v>
      </c>
      <c r="O619" t="n">
        <v>0</v>
      </c>
      <c r="P619" t="n">
        <v>0</v>
      </c>
      <c r="Q619" t="n">
        <v>0</v>
      </c>
      <c r="R619" s="2" t="inlineStr"/>
    </row>
    <row r="620" ht="15" customHeight="1">
      <c r="A620" t="inlineStr">
        <is>
          <t>A 15436-2025</t>
        </is>
      </c>
      <c r="B620" s="1" t="n">
        <v>45747.47462962963</v>
      </c>
      <c r="C620" s="1" t="n">
        <v>46113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46113</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37202-2024</t>
        </is>
      </c>
      <c r="B622" s="1" t="n">
        <v>45539.67310185185</v>
      </c>
      <c r="C622" s="1" t="n">
        <v>46113</v>
      </c>
      <c r="D622" t="inlineStr">
        <is>
          <t>GOTLANDS LÄN</t>
        </is>
      </c>
      <c r="E622" t="inlineStr">
        <is>
          <t>GOTLAND</t>
        </is>
      </c>
      <c r="G622" t="n">
        <v>0.3</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46113</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2774-2024</t>
        </is>
      </c>
      <c r="B624" s="1" t="n">
        <v>45314.62375</v>
      </c>
      <c r="C624" s="1" t="n">
        <v>46113</v>
      </c>
      <c r="D624" t="inlineStr">
        <is>
          <t>GOTLANDS LÄN</t>
        </is>
      </c>
      <c r="E624" t="inlineStr">
        <is>
          <t>GOTLAND</t>
        </is>
      </c>
      <c r="G624" t="n">
        <v>1</v>
      </c>
      <c r="H624" t="n">
        <v>0</v>
      </c>
      <c r="I624" t="n">
        <v>0</v>
      </c>
      <c r="J624" t="n">
        <v>0</v>
      </c>
      <c r="K624" t="n">
        <v>0</v>
      </c>
      <c r="L624" t="n">
        <v>0</v>
      </c>
      <c r="M624" t="n">
        <v>0</v>
      </c>
      <c r="N624" t="n">
        <v>0</v>
      </c>
      <c r="O624" t="n">
        <v>0</v>
      </c>
      <c r="P624" t="n">
        <v>0</v>
      </c>
      <c r="Q624" t="n">
        <v>0</v>
      </c>
      <c r="R624" s="2" t="inlineStr"/>
    </row>
    <row r="625" ht="15" customHeight="1">
      <c r="A625" t="inlineStr">
        <is>
          <t>A 60709-2023</t>
        </is>
      </c>
      <c r="B625" s="1" t="n">
        <v>45260</v>
      </c>
      <c r="C625" s="1" t="n">
        <v>46113</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64208-2021</t>
        </is>
      </c>
      <c r="B626" s="1" t="n">
        <v>44510</v>
      </c>
      <c r="C626" s="1" t="n">
        <v>46113</v>
      </c>
      <c r="D626" t="inlineStr">
        <is>
          <t>GOTLANDS LÄN</t>
        </is>
      </c>
      <c r="E626" t="inlineStr">
        <is>
          <t>GOTLAND</t>
        </is>
      </c>
      <c r="G626" t="n">
        <v>4.7</v>
      </c>
      <c r="H626" t="n">
        <v>0</v>
      </c>
      <c r="I626" t="n">
        <v>0</v>
      </c>
      <c r="J626" t="n">
        <v>0</v>
      </c>
      <c r="K626" t="n">
        <v>0</v>
      </c>
      <c r="L626" t="n">
        <v>0</v>
      </c>
      <c r="M626" t="n">
        <v>0</v>
      </c>
      <c r="N626" t="n">
        <v>0</v>
      </c>
      <c r="O626" t="n">
        <v>0</v>
      </c>
      <c r="P626" t="n">
        <v>0</v>
      </c>
      <c r="Q626" t="n">
        <v>0</v>
      </c>
      <c r="R626" s="2" t="inlineStr"/>
    </row>
    <row r="627" ht="15" customHeight="1">
      <c r="A627" t="inlineStr">
        <is>
          <t>A 39764-2022</t>
        </is>
      </c>
      <c r="B627" s="1" t="n">
        <v>44819</v>
      </c>
      <c r="C627" s="1" t="n">
        <v>46113</v>
      </c>
      <c r="D627" t="inlineStr">
        <is>
          <t>GOTLANDS LÄN</t>
        </is>
      </c>
      <c r="E627" t="inlineStr">
        <is>
          <t>GOTLAND</t>
        </is>
      </c>
      <c r="F627" t="inlineStr">
        <is>
          <t>Kyrkan</t>
        </is>
      </c>
      <c r="G627" t="n">
        <v>3.7</v>
      </c>
      <c r="H627" t="n">
        <v>0</v>
      </c>
      <c r="I627" t="n">
        <v>0</v>
      </c>
      <c r="J627" t="n">
        <v>0</v>
      </c>
      <c r="K627" t="n">
        <v>0</v>
      </c>
      <c r="L627" t="n">
        <v>0</v>
      </c>
      <c r="M627" t="n">
        <v>0</v>
      </c>
      <c r="N627" t="n">
        <v>0</v>
      </c>
      <c r="O627" t="n">
        <v>0</v>
      </c>
      <c r="P627" t="n">
        <v>0</v>
      </c>
      <c r="Q627" t="n">
        <v>0</v>
      </c>
      <c r="R627" s="2" t="inlineStr"/>
    </row>
    <row r="628" ht="15" customHeight="1">
      <c r="A628" t="inlineStr">
        <is>
          <t>A 58211-2024</t>
        </is>
      </c>
      <c r="B628" s="1" t="n">
        <v>45632.49292824074</v>
      </c>
      <c r="C628" s="1" t="n">
        <v>46113</v>
      </c>
      <c r="D628" t="inlineStr">
        <is>
          <t>GOTLANDS LÄN</t>
        </is>
      </c>
      <c r="E628" t="inlineStr">
        <is>
          <t>GOTLAND</t>
        </is>
      </c>
      <c r="G628" t="n">
        <v>5.4</v>
      </c>
      <c r="H628" t="n">
        <v>0</v>
      </c>
      <c r="I628" t="n">
        <v>0</v>
      </c>
      <c r="J628" t="n">
        <v>0</v>
      </c>
      <c r="K628" t="n">
        <v>0</v>
      </c>
      <c r="L628" t="n">
        <v>0</v>
      </c>
      <c r="M628" t="n">
        <v>0</v>
      </c>
      <c r="N628" t="n">
        <v>0</v>
      </c>
      <c r="O628" t="n">
        <v>0</v>
      </c>
      <c r="P628" t="n">
        <v>0</v>
      </c>
      <c r="Q628" t="n">
        <v>0</v>
      </c>
      <c r="R628" s="2" t="inlineStr"/>
    </row>
    <row r="629" ht="15" customHeight="1">
      <c r="A629" t="inlineStr">
        <is>
          <t>A 30956-2024</t>
        </is>
      </c>
      <c r="B629" s="1" t="n">
        <v>45499.42527777778</v>
      </c>
      <c r="C629" s="1" t="n">
        <v>46113</v>
      </c>
      <c r="D629" t="inlineStr">
        <is>
          <t>GOTLANDS LÄN</t>
        </is>
      </c>
      <c r="E629" t="inlineStr">
        <is>
          <t>GOTLAND</t>
        </is>
      </c>
      <c r="G629" t="n">
        <v>1.2</v>
      </c>
      <c r="H629" t="n">
        <v>0</v>
      </c>
      <c r="I629" t="n">
        <v>0</v>
      </c>
      <c r="J629" t="n">
        <v>0</v>
      </c>
      <c r="K629" t="n">
        <v>0</v>
      </c>
      <c r="L629" t="n">
        <v>0</v>
      </c>
      <c r="M629" t="n">
        <v>0</v>
      </c>
      <c r="N629" t="n">
        <v>0</v>
      </c>
      <c r="O629" t="n">
        <v>0</v>
      </c>
      <c r="P629" t="n">
        <v>0</v>
      </c>
      <c r="Q629" t="n">
        <v>0</v>
      </c>
      <c r="R629" s="2" t="inlineStr"/>
    </row>
    <row r="630" ht="15" customHeight="1">
      <c r="A630" t="inlineStr">
        <is>
          <t>A 30892-2024</t>
        </is>
      </c>
      <c r="B630" s="1" t="n">
        <v>45491</v>
      </c>
      <c r="C630" s="1" t="n">
        <v>46113</v>
      </c>
      <c r="D630" t="inlineStr">
        <is>
          <t>GOTLANDS LÄN</t>
        </is>
      </c>
      <c r="E630" t="inlineStr">
        <is>
          <t>GOTLAND</t>
        </is>
      </c>
      <c r="G630" t="n">
        <v>6.1</v>
      </c>
      <c r="H630" t="n">
        <v>0</v>
      </c>
      <c r="I630" t="n">
        <v>0</v>
      </c>
      <c r="J630" t="n">
        <v>0</v>
      </c>
      <c r="K630" t="n">
        <v>0</v>
      </c>
      <c r="L630" t="n">
        <v>0</v>
      </c>
      <c r="M630" t="n">
        <v>0</v>
      </c>
      <c r="N630" t="n">
        <v>0</v>
      </c>
      <c r="O630" t="n">
        <v>0</v>
      </c>
      <c r="P630" t="n">
        <v>0</v>
      </c>
      <c r="Q630" t="n">
        <v>0</v>
      </c>
      <c r="R630" s="2" t="inlineStr"/>
    </row>
    <row r="631" ht="15" customHeight="1">
      <c r="A631" t="inlineStr">
        <is>
          <t>A 14635-2023</t>
        </is>
      </c>
      <c r="B631" s="1" t="n">
        <v>45013.69365740741</v>
      </c>
      <c r="C631" s="1" t="n">
        <v>46113</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59469-2024</t>
        </is>
      </c>
      <c r="B632" s="1" t="n">
        <v>45638</v>
      </c>
      <c r="C632" s="1" t="n">
        <v>46113</v>
      </c>
      <c r="D632" t="inlineStr">
        <is>
          <t>GOTLANDS LÄN</t>
        </is>
      </c>
      <c r="E632" t="inlineStr">
        <is>
          <t>GOTLAND</t>
        </is>
      </c>
      <c r="G632" t="n">
        <v>0.4</v>
      </c>
      <c r="H632" t="n">
        <v>0</v>
      </c>
      <c r="I632" t="n">
        <v>0</v>
      </c>
      <c r="J632" t="n">
        <v>0</v>
      </c>
      <c r="K632" t="n">
        <v>0</v>
      </c>
      <c r="L632" t="n">
        <v>0</v>
      </c>
      <c r="M632" t="n">
        <v>0</v>
      </c>
      <c r="N632" t="n">
        <v>0</v>
      </c>
      <c r="O632" t="n">
        <v>0</v>
      </c>
      <c r="P632" t="n">
        <v>0</v>
      </c>
      <c r="Q632" t="n">
        <v>0</v>
      </c>
      <c r="R632" s="2" t="inlineStr"/>
    </row>
    <row r="633" ht="15" customHeight="1">
      <c r="A633" t="inlineStr">
        <is>
          <t>A 7858-2025</t>
        </is>
      </c>
      <c r="B633" s="1" t="n">
        <v>45706.68633101852</v>
      </c>
      <c r="C633" s="1" t="n">
        <v>46113</v>
      </c>
      <c r="D633" t="inlineStr">
        <is>
          <t>GOTLANDS LÄN</t>
        </is>
      </c>
      <c r="E633" t="inlineStr">
        <is>
          <t>GOTLAND</t>
        </is>
      </c>
      <c r="G633" t="n">
        <v>3</v>
      </c>
      <c r="H633" t="n">
        <v>0</v>
      </c>
      <c r="I633" t="n">
        <v>0</v>
      </c>
      <c r="J633" t="n">
        <v>0</v>
      </c>
      <c r="K633" t="n">
        <v>0</v>
      </c>
      <c r="L633" t="n">
        <v>0</v>
      </c>
      <c r="M633" t="n">
        <v>0</v>
      </c>
      <c r="N633" t="n">
        <v>0</v>
      </c>
      <c r="O633" t="n">
        <v>0</v>
      </c>
      <c r="P633" t="n">
        <v>0</v>
      </c>
      <c r="Q633" t="n">
        <v>0</v>
      </c>
      <c r="R633" s="2" t="inlineStr"/>
    </row>
    <row r="634" ht="15" customHeight="1">
      <c r="A634" t="inlineStr">
        <is>
          <t>A 53935-2024</t>
        </is>
      </c>
      <c r="B634" s="1" t="n">
        <v>45615</v>
      </c>
      <c r="C634" s="1" t="n">
        <v>46113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18223-2025</t>
        </is>
      </c>
      <c r="B635" s="1" t="n">
        <v>45761</v>
      </c>
      <c r="C635" s="1" t="n">
        <v>46113</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4420-2025</t>
        </is>
      </c>
      <c r="B636" s="1" t="n">
        <v>45686.47157407407</v>
      </c>
      <c r="C636" s="1" t="n">
        <v>46113</v>
      </c>
      <c r="D636" t="inlineStr">
        <is>
          <t>GOTLANDS LÄN</t>
        </is>
      </c>
      <c r="E636" t="inlineStr">
        <is>
          <t>GOTLAND</t>
        </is>
      </c>
      <c r="G636" t="n">
        <v>1.6</v>
      </c>
      <c r="H636" t="n">
        <v>0</v>
      </c>
      <c r="I636" t="n">
        <v>0</v>
      </c>
      <c r="J636" t="n">
        <v>0</v>
      </c>
      <c r="K636" t="n">
        <v>0</v>
      </c>
      <c r="L636" t="n">
        <v>0</v>
      </c>
      <c r="M636" t="n">
        <v>0</v>
      </c>
      <c r="N636" t="n">
        <v>0</v>
      </c>
      <c r="O636" t="n">
        <v>0</v>
      </c>
      <c r="P636" t="n">
        <v>0</v>
      </c>
      <c r="Q636" t="n">
        <v>0</v>
      </c>
      <c r="R636" s="2" t="inlineStr"/>
    </row>
    <row r="637" ht="15" customHeight="1">
      <c r="A637" t="inlineStr">
        <is>
          <t>A 5891-2025</t>
        </is>
      </c>
      <c r="B637" s="1" t="n">
        <v>45695.38327546296</v>
      </c>
      <c r="C637" s="1" t="n">
        <v>46113</v>
      </c>
      <c r="D637" t="inlineStr">
        <is>
          <t>GOTLANDS LÄN</t>
        </is>
      </c>
      <c r="E637" t="inlineStr">
        <is>
          <t>GOTLAND</t>
        </is>
      </c>
      <c r="G637" t="n">
        <v>0.8</v>
      </c>
      <c r="H637" t="n">
        <v>0</v>
      </c>
      <c r="I637" t="n">
        <v>0</v>
      </c>
      <c r="J637" t="n">
        <v>0</v>
      </c>
      <c r="K637" t="n">
        <v>0</v>
      </c>
      <c r="L637" t="n">
        <v>0</v>
      </c>
      <c r="M637" t="n">
        <v>0</v>
      </c>
      <c r="N637" t="n">
        <v>0</v>
      </c>
      <c r="O637" t="n">
        <v>0</v>
      </c>
      <c r="P637" t="n">
        <v>0</v>
      </c>
      <c r="Q637" t="n">
        <v>0</v>
      </c>
      <c r="R637" s="2" t="inlineStr"/>
    </row>
    <row r="638" ht="15" customHeight="1">
      <c r="A638" t="inlineStr">
        <is>
          <t>A 7835-2024</t>
        </is>
      </c>
      <c r="B638" s="1" t="n">
        <v>45349.83138888889</v>
      </c>
      <c r="C638" s="1" t="n">
        <v>46113</v>
      </c>
      <c r="D638" t="inlineStr">
        <is>
          <t>GOTLANDS LÄN</t>
        </is>
      </c>
      <c r="E638" t="inlineStr">
        <is>
          <t>GOTLAND</t>
        </is>
      </c>
      <c r="G638" t="n">
        <v>3.8</v>
      </c>
      <c r="H638" t="n">
        <v>0</v>
      </c>
      <c r="I638" t="n">
        <v>0</v>
      </c>
      <c r="J638" t="n">
        <v>0</v>
      </c>
      <c r="K638" t="n">
        <v>0</v>
      </c>
      <c r="L638" t="n">
        <v>0</v>
      </c>
      <c r="M638" t="n">
        <v>0</v>
      </c>
      <c r="N638" t="n">
        <v>0</v>
      </c>
      <c r="O638" t="n">
        <v>0</v>
      </c>
      <c r="P638" t="n">
        <v>0</v>
      </c>
      <c r="Q638" t="n">
        <v>0</v>
      </c>
      <c r="R638" s="2" t="inlineStr"/>
    </row>
    <row r="639" ht="15" customHeight="1">
      <c r="A639" t="inlineStr">
        <is>
          <t>A 20794-2025</t>
        </is>
      </c>
      <c r="B639" s="1" t="n">
        <v>45776</v>
      </c>
      <c r="C639" s="1" t="n">
        <v>46113</v>
      </c>
      <c r="D639" t="inlineStr">
        <is>
          <t>GOTLANDS LÄN</t>
        </is>
      </c>
      <c r="E639" t="inlineStr">
        <is>
          <t>GOTLAND</t>
        </is>
      </c>
      <c r="G639" t="n">
        <v>6</v>
      </c>
      <c r="H639" t="n">
        <v>0</v>
      </c>
      <c r="I639" t="n">
        <v>0</v>
      </c>
      <c r="J639" t="n">
        <v>0</v>
      </c>
      <c r="K639" t="n">
        <v>0</v>
      </c>
      <c r="L639" t="n">
        <v>0</v>
      </c>
      <c r="M639" t="n">
        <v>0</v>
      </c>
      <c r="N639" t="n">
        <v>0</v>
      </c>
      <c r="O639" t="n">
        <v>0</v>
      </c>
      <c r="P639" t="n">
        <v>0</v>
      </c>
      <c r="Q639" t="n">
        <v>0</v>
      </c>
      <c r="R639" s="2" t="inlineStr"/>
    </row>
    <row r="640" ht="15" customHeight="1">
      <c r="A640" t="inlineStr">
        <is>
          <t>A 20805-2025</t>
        </is>
      </c>
      <c r="B640" s="1" t="n">
        <v>45776</v>
      </c>
      <c r="C640" s="1" t="n">
        <v>46113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21389-2025</t>
        </is>
      </c>
      <c r="B641" s="1" t="n">
        <v>45782</v>
      </c>
      <c r="C641" s="1" t="n">
        <v>46113</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c r="A642" t="inlineStr">
        <is>
          <t>A 21651-2025</t>
        </is>
      </c>
      <c r="B642" s="1" t="n">
        <v>45783</v>
      </c>
      <c r="C642" s="1" t="n">
        <v>46113</v>
      </c>
      <c r="D642" t="inlineStr">
        <is>
          <t>GOTLANDS LÄN</t>
        </is>
      </c>
      <c r="E642" t="inlineStr">
        <is>
          <t>GOTLAND</t>
        </is>
      </c>
      <c r="G642" t="n">
        <v>4.2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2026-04-01T10:37:34Z</dcterms:created>
  <dcterms:modified xmlns:dcterms="http://purl.org/dc/terms/" xmlns:xsi="http://www.w3.org/2001/XMLSchema-instance" xsi:type="dcterms:W3CDTF">2026-04-01T10:37:34Z</dcterms:modified>
</cp:coreProperties>
</file>