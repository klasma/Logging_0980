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46316</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46316</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46316</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46316</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46316</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46316</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46316</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46316</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46316</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46316</v>
      </c>
      <c r="F19" t="inlineStr">
        <is>
          <t>GOTLANDS LÄN</t>
        </is>
      </c>
      <c r="G19" t="inlineStr">
        <is>
          <t>GOTLAND</t>
        </is>
      </c>
      <c r="I19" t="n">
        <v>27.2</v>
      </c>
      <c r="J19" t="n">
        <v>4</v>
      </c>
      <c r="K19" t="n">
        <v>6</v>
      </c>
      <c r="L19" t="n">
        <v>13</v>
      </c>
      <c r="M19" t="n">
        <v>7</v>
      </c>
      <c r="N19" t="n">
        <v>0</v>
      </c>
      <c r="O19" t="n">
        <v>0</v>
      </c>
      <c r="P19" t="n">
        <v>0</v>
      </c>
      <c r="Q19" t="n">
        <v>20</v>
      </c>
      <c r="R19" t="n">
        <v>7</v>
      </c>
      <c r="S19" t="n">
        <v>29</v>
      </c>
      <c r="T19" t="n">
        <v>130</v>
      </c>
      <c r="U19" t="n">
        <v>125</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46316</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46316</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46316</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46316</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46316</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46316</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17762-2024</t>
        </is>
      </c>
      <c r="B26" t="inlineStr">
        <is>
          <t>avverkningsanmälan</t>
        </is>
      </c>
      <c r="C26" t="inlineStr">
        <is>
          <t>Föryngringsavverkning</t>
        </is>
      </c>
      <c r="D26" s="1" t="n">
        <v>45418</v>
      </c>
      <c r="E26" s="1" t="n">
        <v>46316</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46316</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2222-2024</t>
        </is>
      </c>
      <c r="B28" t="inlineStr">
        <is>
          <t>avverkningsanmälan</t>
        </is>
      </c>
      <c r="C28" t="inlineStr">
        <is>
          <t>Föryngringsavverkning</t>
        </is>
      </c>
      <c r="D28" s="1" t="n">
        <v>45309</v>
      </c>
      <c r="E28" s="1" t="n">
        <v>46316</v>
      </c>
      <c r="F28" t="inlineStr">
        <is>
          <t>GOTLANDS LÄN</t>
        </is>
      </c>
      <c r="G28" t="inlineStr">
        <is>
          <t>GOTLAND</t>
        </is>
      </c>
      <c r="H28" t="inlineStr">
        <is>
          <t>Kyrkan</t>
        </is>
      </c>
      <c r="I28" t="n">
        <v>10.6</v>
      </c>
      <c r="J28" t="n">
        <v>1</v>
      </c>
      <c r="K28" t="n">
        <v>5</v>
      </c>
      <c r="L28" t="n">
        <v>10</v>
      </c>
      <c r="M28" t="n">
        <v>6</v>
      </c>
      <c r="N28" t="n">
        <v>0</v>
      </c>
      <c r="O28" t="n">
        <v>0</v>
      </c>
      <c r="P28" t="n">
        <v>0</v>
      </c>
      <c r="Q28" t="n">
        <v>16</v>
      </c>
      <c r="R28" t="n">
        <v>6</v>
      </c>
      <c r="S28" t="n">
        <v>22</v>
      </c>
      <c r="T28" t="n">
        <v>119</v>
      </c>
      <c r="U28" t="n">
        <v>51</v>
      </c>
      <c r="V2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8">
        <f>HYPERLINK("https://klasma.github.io/Logging_0980/artfynd/A 2222-2024 artfynd.xlsx", "A 2222-2024")</f>
        <v/>
      </c>
      <c r="X28">
        <f>HYPERLINK("https://klasma.github.io/Logging_0980/kartor/A 2222-2024 karta.png", "A 2222-2024")</f>
        <v/>
      </c>
      <c r="Y28">
        <f>HYPERLINK("https://klasma.github.io/Logging_0980/kartor_geotiff/A 2222-2024 georefererad karta.tif", "A 2222-2024")</f>
        <v/>
      </c>
      <c r="AA28">
        <f>HYPERLINK("https://klasma.github.io/Logging_0980/klagomål/A 2222-2024 FSC-klagomål.docx", "A 2222-2024")</f>
        <v/>
      </c>
      <c r="AB28">
        <f>HYPERLINK("https://klasma.github.io/Logging_0980/klagomålsmail/A 2222-2024 FSC-klagomål mail.docx", "A 2222-2024")</f>
        <v/>
      </c>
      <c r="AC28">
        <f>HYPERLINK("https://klasma.github.io/Logging_0980/tillsyn/A 2222-2024 tillsynsbegäran.docx", "A 2222-2024")</f>
        <v/>
      </c>
      <c r="AD28">
        <f>HYPERLINK("https://klasma.github.io/Logging_0980/tillsynsmail/A 2222-2024 tillsynsbegäran mail.docx", "A 2222-2024")</f>
        <v/>
      </c>
      <c r="AE28">
        <f>HYPERLINK("https://klasma.github.io/Logging_0980/fåglar/A 2222-2024 prioriterade fågelarter.docx", "A 2222-2024")</f>
        <v/>
      </c>
    </row>
    <row r="29" ht="15" customHeight="1">
      <c r="A29" t="inlineStr">
        <is>
          <t>A 15850-2025</t>
        </is>
      </c>
      <c r="B29" t="inlineStr">
        <is>
          <t>avverkningsanmälan</t>
        </is>
      </c>
      <c r="C29" t="inlineStr">
        <is>
          <t>Föryngringsavverkning</t>
        </is>
      </c>
      <c r="D29" s="1" t="n">
        <v>45748</v>
      </c>
      <c r="E29" s="1" t="n">
        <v>46316</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46316</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8645-2025</t>
        </is>
      </c>
      <c r="B31" t="inlineStr">
        <is>
          <t>avverkningsanmälan</t>
        </is>
      </c>
      <c r="C31" t="inlineStr">
        <is>
          <t>Föryngringsavverkning</t>
        </is>
      </c>
      <c r="D31" s="1" t="n">
        <v>45712</v>
      </c>
      <c r="E31" s="1" t="n">
        <v>46316</v>
      </c>
      <c r="F31" t="inlineStr">
        <is>
          <t>GOTLANDS LÄN</t>
        </is>
      </c>
      <c r="G31" t="inlineStr">
        <is>
          <t>GOTLAND</t>
        </is>
      </c>
      <c r="I31" t="n">
        <v>21.9</v>
      </c>
      <c r="J31" t="n">
        <v>10</v>
      </c>
      <c r="K31" t="n">
        <v>7</v>
      </c>
      <c r="L31" t="n">
        <v>5</v>
      </c>
      <c r="M31" t="n">
        <v>0</v>
      </c>
      <c r="N31" t="n">
        <v>1</v>
      </c>
      <c r="O31" t="n">
        <v>0</v>
      </c>
      <c r="P31" t="n">
        <v>0</v>
      </c>
      <c r="Q31" t="n">
        <v>6</v>
      </c>
      <c r="R31" t="n">
        <v>1</v>
      </c>
      <c r="S31" t="n">
        <v>19</v>
      </c>
      <c r="T31" t="n">
        <v>97</v>
      </c>
      <c r="U31" t="n">
        <v>97</v>
      </c>
      <c r="V31" s="2" t="inlineStr">
        <is>
          <t>Ask
Backtimjan
Dårgräsfjäril
Loppstarr
Solvända
Svinrot
Blåmossa
Grönpyrola
Kalktallört
Nästrot
Skogsknipprot
Strävlosta
Tvåblad
Spillkråka
Grönsiska
Fläcknycklar
Grönvit nattviol
Nattviol
Sankt pers nycklar</t>
        </is>
      </c>
      <c r="W31">
        <f>HYPERLINK("https://klasma.github.io/Logging_0980/artfynd/A 8645-2025 artfynd.xlsx", "A 8645-2025")</f>
        <v/>
      </c>
      <c r="X31">
        <f>HYPERLINK("https://klasma.github.io/Logging_0980/kartor/A 8645-2025 karta.png", "A 8645-2025")</f>
        <v/>
      </c>
      <c r="Y31">
        <f>HYPERLINK("https://klasma.github.io/Logging_0980/kartor_geotiff/A 8645-2025 georefererad karta.tif", "A 8645-2025")</f>
        <v/>
      </c>
      <c r="AA31">
        <f>HYPERLINK("https://klasma.github.io/Logging_0980/klagomål/A 8645-2025 FSC-klagomål.docx", "A 8645-2025")</f>
        <v/>
      </c>
      <c r="AB31">
        <f>HYPERLINK("https://klasma.github.io/Logging_0980/klagomålsmail/A 8645-2025 FSC-klagomål mail.docx", "A 8645-2025")</f>
        <v/>
      </c>
      <c r="AC31">
        <f>HYPERLINK("https://klasma.github.io/Logging_0980/tillsyn/A 8645-2025 tillsynsbegäran.docx", "A 8645-2025")</f>
        <v/>
      </c>
      <c r="AD31">
        <f>HYPERLINK("https://klasma.github.io/Logging_0980/tillsynsmail/A 8645-2025 tillsynsbegäran mail.docx", "A 8645-2025")</f>
        <v/>
      </c>
      <c r="AE31">
        <f>HYPERLINK("https://klasma.github.io/Logging_0980/fåglar/A 8645-2025 prioriterade fågelarter.docx", "A 8645-2025")</f>
        <v/>
      </c>
    </row>
    <row r="32" ht="15" customHeight="1">
      <c r="A32" t="inlineStr">
        <is>
          <t>A 15068-2025</t>
        </is>
      </c>
      <c r="B32" t="inlineStr">
        <is>
          <t>avverkningsanmälan</t>
        </is>
      </c>
      <c r="C32" t="inlineStr">
        <is>
          <t>Avverkning för annat ändamål</t>
        </is>
      </c>
      <c r="D32" s="1" t="n">
        <v>45743</v>
      </c>
      <c r="E32" s="1" t="n">
        <v>46316</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61664-2023</t>
        </is>
      </c>
      <c r="B33" t="inlineStr">
        <is>
          <t>avverkningsanmälan</t>
        </is>
      </c>
      <c r="C33" t="inlineStr">
        <is>
          <t>Föryngringsavverkning</t>
        </is>
      </c>
      <c r="D33" s="1" t="n">
        <v>45265</v>
      </c>
      <c r="E33" s="1" t="n">
        <v>46316</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46316</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46316</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46316</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46316</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46316</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46316</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46316</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46316</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46316</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46316</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46316</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46316</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46316</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46316</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11176-2024</t>
        </is>
      </c>
      <c r="B48" t="inlineStr">
        <is>
          <t>avverkningsanmälan</t>
        </is>
      </c>
      <c r="C48" t="inlineStr">
        <is>
          <t>Föryngringsavverkning</t>
        </is>
      </c>
      <c r="D48" s="1" t="n">
        <v>45371</v>
      </c>
      <c r="E48" s="1" t="n">
        <v>46316</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44928-2022</t>
        </is>
      </c>
      <c r="B49" t="inlineStr">
        <is>
          <t>avverkningsanmälan</t>
        </is>
      </c>
      <c r="C49" t="inlineStr">
        <is>
          <t>Föryngringsavverkning</t>
        </is>
      </c>
      <c r="D49" s="1" t="n">
        <v>44841</v>
      </c>
      <c r="E49" s="1" t="n">
        <v>46316</v>
      </c>
      <c r="F49" t="inlineStr">
        <is>
          <t>GOTLANDS LÄN</t>
        </is>
      </c>
      <c r="G49" t="inlineStr">
        <is>
          <t>GOTLAND</t>
        </is>
      </c>
      <c r="I49" t="n">
        <v>3.7</v>
      </c>
      <c r="J49" t="n">
        <v>1</v>
      </c>
      <c r="K49" t="n">
        <v>4</v>
      </c>
      <c r="L49" t="n">
        <v>5</v>
      </c>
      <c r="M49" t="n">
        <v>3</v>
      </c>
      <c r="N49" t="n">
        <v>1</v>
      </c>
      <c r="O49" t="n">
        <v>0</v>
      </c>
      <c r="P49" t="n">
        <v>0</v>
      </c>
      <c r="Q49" t="n">
        <v>10</v>
      </c>
      <c r="R49" t="n">
        <v>4</v>
      </c>
      <c r="S49" t="n">
        <v>14</v>
      </c>
      <c r="T49" t="n">
        <v>18</v>
      </c>
      <c r="U49" t="n">
        <v>15</v>
      </c>
      <c r="V49" s="2" t="inlineStr">
        <is>
          <t>Barkkvastmossa
Gulsträngad fagerspindling
Mörk kraterlav
Tvillingspindling
Blå slemspindling
Kattfotslav
Odörspindling
Puderspindling
Ängsstarr
Frostig asplav
Anisspindling
Axag
Kärrlilja
Svavelriska</t>
        </is>
      </c>
      <c r="W49">
        <f>HYPERLINK("https://klasma.github.io/Logging_0980/artfynd/A 44928-2022 artfynd.xlsx", "A 44928-2022")</f>
        <v/>
      </c>
      <c r="X49">
        <f>HYPERLINK("https://klasma.github.io/Logging_0980/kartor/A 44928-2022 karta.png", "A 44928-2022")</f>
        <v/>
      </c>
      <c r="Y49">
        <f>HYPERLINK("https://klasma.github.io/Logging_0980/kartor_geotiff/A 44928-2022 georefererad karta.tif", "A 44928-2022")</f>
        <v/>
      </c>
      <c r="AA49">
        <f>HYPERLINK("https://klasma.github.io/Logging_0980/klagomål/A 44928-2022 FSC-klagomål.docx", "A 44928-2022")</f>
        <v/>
      </c>
      <c r="AB49">
        <f>HYPERLINK("https://klasma.github.io/Logging_0980/klagomålsmail/A 44928-2022 FSC-klagomål mail.docx", "A 44928-2022")</f>
        <v/>
      </c>
      <c r="AC49">
        <f>HYPERLINK("https://klasma.github.io/Logging_0980/tillsyn/A 44928-2022 tillsynsbegäran.docx", "A 44928-2022")</f>
        <v/>
      </c>
      <c r="AD49">
        <f>HYPERLINK("https://klasma.github.io/Logging_0980/tillsynsmail/A 44928-2022 tillsynsbegäran mail.docx", "A 44928-2022")</f>
        <v/>
      </c>
    </row>
    <row r="50" ht="15" customHeight="1">
      <c r="A50" t="inlineStr">
        <is>
          <t>A 33153-2024</t>
        </is>
      </c>
      <c r="B50" t="inlineStr">
        <is>
          <t>avverkningsanmälan</t>
        </is>
      </c>
      <c r="C50" t="inlineStr">
        <is>
          <t>Avverkning för annat ändamål</t>
        </is>
      </c>
      <c r="D50" s="1" t="n">
        <v>45518</v>
      </c>
      <c r="E50" s="1" t="n">
        <v>46316</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14354-2024</t>
        </is>
      </c>
      <c r="B51" t="inlineStr">
        <is>
          <t>avverkningsanmälan</t>
        </is>
      </c>
      <c r="C51" t="inlineStr">
        <is>
          <t>Föryngringsavverkning</t>
        </is>
      </c>
      <c r="D51" s="1" t="n">
        <v>45393</v>
      </c>
      <c r="E51" s="1" t="n">
        <v>46316</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10274-2026</t>
        </is>
      </c>
      <c r="B52" t="inlineStr">
        <is>
          <t>avverkningsanmälan</t>
        </is>
      </c>
      <c r="C52" t="inlineStr">
        <is>
          <t>Föryngringsavverkning</t>
        </is>
      </c>
      <c r="D52" s="1" t="n">
        <v>46076</v>
      </c>
      <c r="E52" s="1" t="n">
        <v>46316</v>
      </c>
      <c r="F52" t="inlineStr">
        <is>
          <t>GOTLANDS LÄN</t>
        </is>
      </c>
      <c r="G52" t="inlineStr">
        <is>
          <t>GOTLAND</t>
        </is>
      </c>
      <c r="I52" t="n">
        <v>9.800000000000001</v>
      </c>
      <c r="J52" t="n">
        <v>6</v>
      </c>
      <c r="K52" t="n">
        <v>3</v>
      </c>
      <c r="L52" t="n">
        <v>5</v>
      </c>
      <c r="M52" t="n">
        <v>2</v>
      </c>
      <c r="N52" t="n">
        <v>0</v>
      </c>
      <c r="O52" t="n">
        <v>0</v>
      </c>
      <c r="P52" t="n">
        <v>0</v>
      </c>
      <c r="Q52" t="n">
        <v>7</v>
      </c>
      <c r="R52" t="n">
        <v>2</v>
      </c>
      <c r="S52" t="n">
        <v>14</v>
      </c>
      <c r="T52" t="n">
        <v>45</v>
      </c>
      <c r="U52" t="n">
        <v>39</v>
      </c>
      <c r="V52" s="2" t="inlineStr">
        <is>
          <t>Garderönn
Gråfingerört
Backstarr
Backtimjan
Dårgräsfjäril
Reliktbock
Vippärt
Axag
Grönpyrola
Kragjordstjärna
Spillkråka
Alvarstånds
Nattviol
Sankt pers nycklar</t>
        </is>
      </c>
      <c r="W52">
        <f>HYPERLINK("https://klasma.github.io/Logging_0980/artfynd/A 10274-2026 artfynd.xlsx", "A 10274-2026")</f>
        <v/>
      </c>
      <c r="X52">
        <f>HYPERLINK("https://klasma.github.io/Logging_0980/kartor/A 10274-2026 karta.png", "A 10274-2026")</f>
        <v/>
      </c>
      <c r="Y52">
        <f>HYPERLINK("https://klasma.github.io/Logging_0980/kartor_geotiff/A 10274-2026 georefererad karta.tif", "A 10274-2026")</f>
        <v/>
      </c>
      <c r="AA52">
        <f>HYPERLINK("https://klasma.github.io/Logging_0980/klagomål/A 10274-2026 FSC-klagomål.docx", "A 10274-2026")</f>
        <v/>
      </c>
      <c r="AB52">
        <f>HYPERLINK("https://klasma.github.io/Logging_0980/klagomålsmail/A 10274-2026 FSC-klagomål mail.docx", "A 10274-2026")</f>
        <v/>
      </c>
      <c r="AC52">
        <f>HYPERLINK("https://klasma.github.io/Logging_0980/tillsyn/A 10274-2026 tillsynsbegäran.docx", "A 10274-2026")</f>
        <v/>
      </c>
      <c r="AD52">
        <f>HYPERLINK("https://klasma.github.io/Logging_0980/tillsynsmail/A 10274-2026 tillsynsbegäran mail.docx", "A 10274-2026")</f>
        <v/>
      </c>
      <c r="AE52">
        <f>HYPERLINK("https://klasma.github.io/Logging_0980/fåglar/A 10274-2026 prioriterade fågelarter.docx", "A 10274-2026")</f>
        <v/>
      </c>
    </row>
    <row r="53" ht="15" customHeight="1">
      <c r="A53" t="inlineStr">
        <is>
          <t>A 27168-2022</t>
        </is>
      </c>
      <c r="B53" t="inlineStr">
        <is>
          <t>avverkningsanmälan</t>
        </is>
      </c>
      <c r="C53" t="inlineStr">
        <is>
          <t>Föryngringsavverkning</t>
        </is>
      </c>
      <c r="D53" s="1" t="n">
        <v>44741</v>
      </c>
      <c r="E53" s="1" t="n">
        <v>46316</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46316</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28287-2024</t>
        </is>
      </c>
      <c r="B55" t="inlineStr">
        <is>
          <t>avverkningsanmälan</t>
        </is>
      </c>
      <c r="C55" t="inlineStr">
        <is>
          <t>Avverkning för annat ändamål</t>
        </is>
      </c>
      <c r="D55" s="1" t="n">
        <v>45477</v>
      </c>
      <c r="E55" s="1" t="n">
        <v>46316</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6052-2024</t>
        </is>
      </c>
      <c r="B56" t="inlineStr">
        <is>
          <t>avverkningsanmälan</t>
        </is>
      </c>
      <c r="C56" t="inlineStr">
        <is>
          <t>Föryngringsavverkning</t>
        </is>
      </c>
      <c r="D56" s="1" t="n">
        <v>45336</v>
      </c>
      <c r="E56" s="1" t="n">
        <v>46316</v>
      </c>
      <c r="F56" t="inlineStr">
        <is>
          <t>GOTLANDS LÄN</t>
        </is>
      </c>
      <c r="G56" t="inlineStr">
        <is>
          <t>GOTLAND</t>
        </is>
      </c>
      <c r="I56" t="n">
        <v>10.3</v>
      </c>
      <c r="J56" t="n">
        <v>1</v>
      </c>
      <c r="K56" t="n">
        <v>3</v>
      </c>
      <c r="L56" t="n">
        <v>7</v>
      </c>
      <c r="M56" t="n">
        <v>2</v>
      </c>
      <c r="N56" t="n">
        <v>0</v>
      </c>
      <c r="O56" t="n">
        <v>0</v>
      </c>
      <c r="P56" t="n">
        <v>0</v>
      </c>
      <c r="Q56" t="n">
        <v>9</v>
      </c>
      <c r="R56" t="n">
        <v>2</v>
      </c>
      <c r="S56" t="n">
        <v>12</v>
      </c>
      <c r="T56" t="n">
        <v>14</v>
      </c>
      <c r="U56" t="n">
        <v>3</v>
      </c>
      <c r="V56" s="2" t="inlineStr">
        <is>
          <t>Lansettfibbla
Narrspindling
Ladlav
Odörspindling
Smedbock
Svinrot
Tallticka
Vippärt
Vårärt
Anisspindling
Nästrot
Olivspindling</t>
        </is>
      </c>
      <c r="W56">
        <f>HYPERLINK("https://klasma.github.io/Logging_0980/artfynd/A 6052-2024 artfynd.xlsx", "A 6052-2024")</f>
        <v/>
      </c>
      <c r="X56">
        <f>HYPERLINK("https://klasma.github.io/Logging_0980/kartor/A 6052-2024 karta.png", "A 6052-2024")</f>
        <v/>
      </c>
      <c r="Y56">
        <f>HYPERLINK("https://klasma.github.io/Logging_0980/kartor_geotiff/A 6052-2024 georefererad karta.tif", "A 6052-2024")</f>
        <v/>
      </c>
      <c r="AA56">
        <f>HYPERLINK("https://klasma.github.io/Logging_0980/klagomål/A 6052-2024 FSC-klagomål.docx", "A 6052-2024")</f>
        <v/>
      </c>
      <c r="AB56">
        <f>HYPERLINK("https://klasma.github.io/Logging_0980/klagomålsmail/A 6052-2024 FSC-klagomål mail.docx", "A 6052-2024")</f>
        <v/>
      </c>
      <c r="AC56">
        <f>HYPERLINK("https://klasma.github.io/Logging_0980/tillsyn/A 6052-2024 tillsynsbegäran.docx", "A 6052-2024")</f>
        <v/>
      </c>
      <c r="AD56">
        <f>HYPERLINK("https://klasma.github.io/Logging_0980/tillsynsmail/A 6052-2024 tillsynsbegäran mail.docx", "A 6052-2024")</f>
        <v/>
      </c>
    </row>
    <row r="57" ht="15" customHeight="1">
      <c r="A57" t="inlineStr">
        <is>
          <t>A 34809-2024</t>
        </is>
      </c>
      <c r="B57" t="inlineStr">
        <is>
          <t>avverkningsanmälan</t>
        </is>
      </c>
      <c r="C57" t="inlineStr">
        <is>
          <t>Föryngringsavverkning</t>
        </is>
      </c>
      <c r="D57" s="1" t="n">
        <v>45526</v>
      </c>
      <c r="E57" s="1" t="n">
        <v>46316</v>
      </c>
      <c r="F57" t="inlineStr">
        <is>
          <t>GOTLANDS LÄN</t>
        </is>
      </c>
      <c r="G57" t="inlineStr">
        <is>
          <t>GOTLAND</t>
        </is>
      </c>
      <c r="I57" t="n">
        <v>9.9</v>
      </c>
      <c r="J57" t="n">
        <v>1</v>
      </c>
      <c r="K57" t="n">
        <v>3</v>
      </c>
      <c r="L57" t="n">
        <v>4</v>
      </c>
      <c r="M57" t="n">
        <v>5</v>
      </c>
      <c r="N57" t="n">
        <v>0</v>
      </c>
      <c r="O57" t="n">
        <v>0</v>
      </c>
      <c r="P57" t="n">
        <v>0</v>
      </c>
      <c r="Q57" t="n">
        <v>9</v>
      </c>
      <c r="R57" t="n">
        <v>5</v>
      </c>
      <c r="S57" t="n">
        <v>12</v>
      </c>
      <c r="T57" t="n">
        <v>39</v>
      </c>
      <c r="U57" t="n">
        <v>38</v>
      </c>
      <c r="V57" s="2" t="inlineStr">
        <is>
          <t>Granrotspindling
Gulsträngad fagerspindling
Narrspindling
Trollspindling
Vit taggsvamp
Blå slemspindling
Brun ögontröst
Flattoppad klubbsvamp
Odörspindling
Anisspindling
Besk kastanjemusseron
Svavelriska</t>
        </is>
      </c>
      <c r="W57">
        <f>HYPERLINK("https://klasma.github.io/Logging_0980/artfynd/A 34809-2024 artfynd.xlsx", "A 34809-2024")</f>
        <v/>
      </c>
      <c r="X57">
        <f>HYPERLINK("https://klasma.github.io/Logging_0980/kartor/A 34809-2024 karta.png", "A 34809-2024")</f>
        <v/>
      </c>
      <c r="Y57">
        <f>HYPERLINK("https://klasma.github.io/Logging_0980/kartor_geotiff/A 34809-2024 georefererad karta.tif", "A 34809-2024")</f>
        <v/>
      </c>
      <c r="AA57">
        <f>HYPERLINK("https://klasma.github.io/Logging_0980/klagomål/A 34809-2024 FSC-klagomål.docx", "A 34809-2024")</f>
        <v/>
      </c>
      <c r="AB57">
        <f>HYPERLINK("https://klasma.github.io/Logging_0980/klagomålsmail/A 34809-2024 FSC-klagomål mail.docx", "A 34809-2024")</f>
        <v/>
      </c>
      <c r="AC57">
        <f>HYPERLINK("https://klasma.github.io/Logging_0980/tillsyn/A 34809-2024 tillsynsbegäran.docx", "A 34809-2024")</f>
        <v/>
      </c>
      <c r="AD57">
        <f>HYPERLINK("https://klasma.github.io/Logging_0980/tillsynsmail/A 34809-2024 tillsynsbegäran mail.docx", "A 34809-2024")</f>
        <v/>
      </c>
    </row>
    <row r="58" ht="15" customHeight="1">
      <c r="A58" t="inlineStr">
        <is>
          <t>A 17766-2024</t>
        </is>
      </c>
      <c r="B58" t="inlineStr">
        <is>
          <t>avverkningsanmälan</t>
        </is>
      </c>
      <c r="C58" t="inlineStr">
        <is>
          <t>Föryngringsavverkning</t>
        </is>
      </c>
      <c r="D58" s="1" t="n">
        <v>45418</v>
      </c>
      <c r="E58" s="1" t="n">
        <v>46316</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46316</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2649-2023</t>
        </is>
      </c>
      <c r="B60" t="inlineStr">
        <is>
          <t>avverkningsanmälan</t>
        </is>
      </c>
      <c r="C60" t="inlineStr">
        <is>
          <t>Föryngringsavverkning</t>
        </is>
      </c>
      <c r="D60" s="1" t="n">
        <v>44943</v>
      </c>
      <c r="E60" s="1" t="n">
        <v>46316</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46316</v>
      </c>
      <c r="F61" t="inlineStr">
        <is>
          <t>GOTLANDS LÄN</t>
        </is>
      </c>
      <c r="G61" t="inlineStr">
        <is>
          <t>GOTLAND</t>
        </is>
      </c>
      <c r="I61" t="n">
        <v>6.8</v>
      </c>
      <c r="J61" t="n">
        <v>0</v>
      </c>
      <c r="K61" t="n">
        <v>4</v>
      </c>
      <c r="L61" t="n">
        <v>5</v>
      </c>
      <c r="M61" t="n">
        <v>2</v>
      </c>
      <c r="N61" t="n">
        <v>0</v>
      </c>
      <c r="O61" t="n">
        <v>0</v>
      </c>
      <c r="P61" t="n">
        <v>0</v>
      </c>
      <c r="Q61" t="n">
        <v>7</v>
      </c>
      <c r="R61" t="n">
        <v>2</v>
      </c>
      <c r="S61" t="n">
        <v>11</v>
      </c>
      <c r="T61" t="n">
        <v>41</v>
      </c>
      <c r="U61" t="n">
        <v>41</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46316</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46316</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46316</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46316</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45248-2024</t>
        </is>
      </c>
      <c r="B66" t="inlineStr">
        <is>
          <t>avverkningsanmälan</t>
        </is>
      </c>
      <c r="C66" t="inlineStr">
        <is>
          <t>Avverkning för annat ändamål</t>
        </is>
      </c>
      <c r="D66" s="1" t="n">
        <v>45576</v>
      </c>
      <c r="E66" s="1" t="n">
        <v>46316</v>
      </c>
      <c r="F66" t="inlineStr">
        <is>
          <t>GOTLANDS LÄN</t>
        </is>
      </c>
      <c r="G66" t="inlineStr">
        <is>
          <t>GOTLAND</t>
        </is>
      </c>
      <c r="I66" t="n">
        <v>9.4</v>
      </c>
      <c r="J66" t="n">
        <v>0</v>
      </c>
      <c r="K66" t="n">
        <v>5</v>
      </c>
      <c r="L66" t="n">
        <v>3</v>
      </c>
      <c r="M66" t="n">
        <v>0</v>
      </c>
      <c r="N66" t="n">
        <v>2</v>
      </c>
      <c r="O66" t="n">
        <v>0</v>
      </c>
      <c r="P66" t="n">
        <v>0</v>
      </c>
      <c r="Q66" t="n">
        <v>5</v>
      </c>
      <c r="R66" t="n">
        <v>2</v>
      </c>
      <c r="S66" t="n">
        <v>10</v>
      </c>
      <c r="T66" t="n">
        <v>11</v>
      </c>
      <c r="U66" t="n">
        <v>9</v>
      </c>
      <c r="V66" s="2" t="inlineStr">
        <is>
          <t>Ask
Lundalm
Blå slemspindling
Mjölspindling
Oxtungssvamp
Bolmörtsskivling
Myskmadra
Stinkbrosking
Toppvaxing
Underviol</t>
        </is>
      </c>
      <c r="W66">
        <f>HYPERLINK("https://klasma.github.io/Logging_0980/artfynd/A 45248-2024 artfynd.xlsx", "A 45248-2024")</f>
        <v/>
      </c>
      <c r="X66">
        <f>HYPERLINK("https://klasma.github.io/Logging_0980/kartor/A 45248-2024 karta.png", "A 45248-2024")</f>
        <v/>
      </c>
      <c r="Y66">
        <f>HYPERLINK("https://klasma.github.io/Logging_0980/kartor_geotiff/A 45248-2024 georefererad karta.tif", "A 45248-2024")</f>
        <v/>
      </c>
      <c r="AA66">
        <f>HYPERLINK("https://klasma.github.io/Logging_0980/klagomål/A 45248-2024 FSC-klagomål.docx", "A 45248-2024")</f>
        <v/>
      </c>
      <c r="AB66">
        <f>HYPERLINK("https://klasma.github.io/Logging_0980/klagomålsmail/A 45248-2024 FSC-klagomål mail.docx", "A 45248-2024")</f>
        <v/>
      </c>
      <c r="AC66">
        <f>HYPERLINK("https://klasma.github.io/Logging_0980/tillsyn/A 45248-2024 tillsynsbegäran.docx", "A 45248-2024")</f>
        <v/>
      </c>
      <c r="AD66">
        <f>HYPERLINK("https://klasma.github.io/Logging_0980/tillsynsmail/A 45248-2024 tillsynsbegäran mail.docx", "A 45248-2024")</f>
        <v/>
      </c>
    </row>
    <row r="67" ht="15" customHeight="1">
      <c r="A67" t="inlineStr">
        <is>
          <t>A 32326-2024</t>
        </is>
      </c>
      <c r="B67" t="inlineStr">
        <is>
          <t>avverkningsanmälan</t>
        </is>
      </c>
      <c r="C67" t="inlineStr">
        <is>
          <t>Föryngringsavverkning</t>
        </is>
      </c>
      <c r="D67" s="1" t="n">
        <v>45512</v>
      </c>
      <c r="E67" s="1" t="n">
        <v>46316</v>
      </c>
      <c r="F67" t="inlineStr">
        <is>
          <t>GOTLANDS LÄN</t>
        </is>
      </c>
      <c r="G67" t="inlineStr">
        <is>
          <t>GOTLAND</t>
        </is>
      </c>
      <c r="I67" t="n">
        <v>9.199999999999999</v>
      </c>
      <c r="J67" t="n">
        <v>4</v>
      </c>
      <c r="K67" t="n">
        <v>2</v>
      </c>
      <c r="L67" t="n">
        <v>5</v>
      </c>
      <c r="M67" t="n">
        <v>1</v>
      </c>
      <c r="N67" t="n">
        <v>0</v>
      </c>
      <c r="O67" t="n">
        <v>0</v>
      </c>
      <c r="P67" t="n">
        <v>0</v>
      </c>
      <c r="Q67" t="n">
        <v>6</v>
      </c>
      <c r="R67" t="n">
        <v>1</v>
      </c>
      <c r="S67" t="n">
        <v>10</v>
      </c>
      <c r="T67" t="n">
        <v>41</v>
      </c>
      <c r="U67" t="n">
        <v>40</v>
      </c>
      <c r="V67" s="2" t="inlineStr">
        <is>
          <t>Tallgångbagge
Backruta
Backtimjan
Jordtistel
Svinrot
Säfferot
Purpurknipprot
Skogsknipprot
Nattskärra
Brudsporre</t>
        </is>
      </c>
      <c r="W67">
        <f>HYPERLINK("https://klasma.github.io/Logging_0980/artfynd/A 32326-2024 artfynd.xlsx", "A 32326-2024")</f>
        <v/>
      </c>
      <c r="X67">
        <f>HYPERLINK("https://klasma.github.io/Logging_0980/kartor/A 32326-2024 karta.png", "A 32326-2024")</f>
        <v/>
      </c>
      <c r="Y67">
        <f>HYPERLINK("https://klasma.github.io/Logging_0980/kartor_geotiff/A 32326-2024 georefererad karta.tif", "A 32326-2024")</f>
        <v/>
      </c>
      <c r="AA67">
        <f>HYPERLINK("https://klasma.github.io/Logging_0980/klagomål/A 32326-2024 FSC-klagomål.docx", "A 32326-2024")</f>
        <v/>
      </c>
      <c r="AB67">
        <f>HYPERLINK("https://klasma.github.io/Logging_0980/klagomålsmail/A 32326-2024 FSC-klagomål mail.docx", "A 32326-2024")</f>
        <v/>
      </c>
      <c r="AC67">
        <f>HYPERLINK("https://klasma.github.io/Logging_0980/tillsyn/A 32326-2024 tillsynsbegäran.docx", "A 32326-2024")</f>
        <v/>
      </c>
      <c r="AD67">
        <f>HYPERLINK("https://klasma.github.io/Logging_0980/tillsynsmail/A 32326-2024 tillsynsbegäran mail.docx", "A 32326-2024")</f>
        <v/>
      </c>
      <c r="AE67">
        <f>HYPERLINK("https://klasma.github.io/Logging_0980/fåglar/A 32326-2024 prioriterade fågelarter.docx", "A 32326-2024")</f>
        <v/>
      </c>
    </row>
    <row r="68" ht="15" customHeight="1">
      <c r="A68" t="inlineStr">
        <is>
          <t>A 44944-2022</t>
        </is>
      </c>
      <c r="B68" t="inlineStr">
        <is>
          <t>avverkningsanmälan</t>
        </is>
      </c>
      <c r="C68" t="inlineStr">
        <is>
          <t>Föryngringsavverkning</t>
        </is>
      </c>
      <c r="D68" s="1" t="n">
        <v>44841</v>
      </c>
      <c r="E68" s="1" t="n">
        <v>46316</v>
      </c>
      <c r="F68" t="inlineStr">
        <is>
          <t>GOTLANDS LÄN</t>
        </is>
      </c>
      <c r="G68" t="inlineStr">
        <is>
          <t>GOTLAND</t>
        </is>
      </c>
      <c r="I68" t="n">
        <v>2.8</v>
      </c>
      <c r="J68" t="n">
        <v>0</v>
      </c>
      <c r="K68" t="n">
        <v>3</v>
      </c>
      <c r="L68" t="n">
        <v>4</v>
      </c>
      <c r="M68" t="n">
        <v>2</v>
      </c>
      <c r="N68" t="n">
        <v>1</v>
      </c>
      <c r="O68" t="n">
        <v>0</v>
      </c>
      <c r="P68" t="n">
        <v>0</v>
      </c>
      <c r="Q68" t="n">
        <v>7</v>
      </c>
      <c r="R68" t="n">
        <v>3</v>
      </c>
      <c r="S68" t="n">
        <v>10</v>
      </c>
      <c r="T68" t="n">
        <v>13</v>
      </c>
      <c r="U68" t="n">
        <v>9</v>
      </c>
      <c r="V68" s="2" t="inlineStr">
        <is>
          <t>Sienamusseron
Bredbrämad bastardsvärmare
Gotlandsmåra
Axveronika
Denisespindling
Fjällig taggsvamp s.str.
Odörspindling
Anisspindling
Olivspindling
Rödgul trumpetsvamp</t>
        </is>
      </c>
      <c r="W68">
        <f>HYPERLINK("https://klasma.github.io/Logging_0980/artfynd/A 44944-2022 artfynd.xlsx", "A 44944-2022")</f>
        <v/>
      </c>
      <c r="X68">
        <f>HYPERLINK("https://klasma.github.io/Logging_0980/kartor/A 44944-2022 karta.png", "A 44944-2022")</f>
        <v/>
      </c>
      <c r="Y68">
        <f>HYPERLINK("https://klasma.github.io/Logging_0980/kartor_geotiff/A 44944-2022 georefererad karta.tif", "A 44944-2022")</f>
        <v/>
      </c>
      <c r="AA68">
        <f>HYPERLINK("https://klasma.github.io/Logging_0980/klagomål/A 44944-2022 FSC-klagomål.docx", "A 44944-2022")</f>
        <v/>
      </c>
      <c r="AB68">
        <f>HYPERLINK("https://klasma.github.io/Logging_0980/klagomålsmail/A 44944-2022 FSC-klagomål mail.docx", "A 44944-2022")</f>
        <v/>
      </c>
      <c r="AC68">
        <f>HYPERLINK("https://klasma.github.io/Logging_0980/tillsyn/A 44944-2022 tillsynsbegäran.docx", "A 44944-2022")</f>
        <v/>
      </c>
      <c r="AD68">
        <f>HYPERLINK("https://klasma.github.io/Logging_0980/tillsynsmail/A 44944-2022 tillsynsbegäran mail.docx", "A 44944-2022")</f>
        <v/>
      </c>
    </row>
    <row r="69" ht="15" customHeight="1">
      <c r="A69" t="inlineStr">
        <is>
          <t>A 186-2023</t>
        </is>
      </c>
      <c r="B69" t="inlineStr">
        <is>
          <t>avverkningsanmälan</t>
        </is>
      </c>
      <c r="C69" t="inlineStr">
        <is>
          <t>Föryngringsavverkning</t>
        </is>
      </c>
      <c r="D69" s="1" t="n">
        <v>44928</v>
      </c>
      <c r="E69" s="1" t="n">
        <v>46316</v>
      </c>
      <c r="F69" t="inlineStr">
        <is>
          <t>GOTLANDS LÄN</t>
        </is>
      </c>
      <c r="G69" t="inlineStr">
        <is>
          <t>GOTLAND</t>
        </is>
      </c>
      <c r="I69" t="n">
        <v>2.2</v>
      </c>
      <c r="J69" t="n">
        <v>2</v>
      </c>
      <c r="K69" t="n">
        <v>4</v>
      </c>
      <c r="L69" t="n">
        <v>4</v>
      </c>
      <c r="M69" t="n">
        <v>2</v>
      </c>
      <c r="N69" t="n">
        <v>0</v>
      </c>
      <c r="O69" t="n">
        <v>0</v>
      </c>
      <c r="P69" t="n">
        <v>0</v>
      </c>
      <c r="Q69" t="n">
        <v>6</v>
      </c>
      <c r="R69" t="n">
        <v>2</v>
      </c>
      <c r="S69" t="n">
        <v>10</v>
      </c>
      <c r="T69" t="n">
        <v>11</v>
      </c>
      <c r="U69" t="n">
        <v>6</v>
      </c>
      <c r="V69" s="2" t="inlineStr">
        <is>
          <t>Svartgrön spindling
Vit taggsvamp
Blå slemspindling
Bronspraktbagge
Odörspindling
Smedbock
Anisspindling
Mindre märgborre
Nästrot
Skogsknipprot</t>
        </is>
      </c>
      <c r="W69">
        <f>HYPERLINK("https://klasma.github.io/Logging_0980/artfynd/A 186-2023 artfynd.xlsx", "A 186-2023")</f>
        <v/>
      </c>
      <c r="X69">
        <f>HYPERLINK("https://klasma.github.io/Logging_0980/kartor/A 186-2023 karta.png", "A 186-2023")</f>
        <v/>
      </c>
      <c r="Y69">
        <f>HYPERLINK("https://klasma.github.io/Logging_0980/kartor_geotiff/A 186-2023 georefererad karta.tif", "A 186-2023")</f>
        <v/>
      </c>
      <c r="AA69">
        <f>HYPERLINK("https://klasma.github.io/Logging_0980/klagomål/A 186-2023 FSC-klagomål.docx", "A 186-2023")</f>
        <v/>
      </c>
      <c r="AB69">
        <f>HYPERLINK("https://klasma.github.io/Logging_0980/klagomålsmail/A 186-2023 FSC-klagomål mail.docx", "A 186-2023")</f>
        <v/>
      </c>
      <c r="AC69">
        <f>HYPERLINK("https://klasma.github.io/Logging_0980/tillsyn/A 186-2023 tillsynsbegäran.docx", "A 186-2023")</f>
        <v/>
      </c>
      <c r="AD69">
        <f>HYPERLINK("https://klasma.github.io/Logging_0980/tillsynsmail/A 186-2023 tillsynsbegäran mail.docx", "A 186-2023")</f>
        <v/>
      </c>
    </row>
    <row r="70" ht="15" customHeight="1">
      <c r="A70" t="inlineStr">
        <is>
          <t>A 18541-2024</t>
        </is>
      </c>
      <c r="B70" t="inlineStr">
        <is>
          <t>avverkningsanmälan</t>
        </is>
      </c>
      <c r="C70" t="inlineStr">
        <is>
          <t>Föryngringsavverkning</t>
        </is>
      </c>
      <c r="D70" s="1" t="n">
        <v>45425</v>
      </c>
      <c r="E70" s="1" t="n">
        <v>46316</v>
      </c>
      <c r="F70" t="inlineStr">
        <is>
          <t>GOTLANDS LÄN</t>
        </is>
      </c>
      <c r="G70" t="inlineStr">
        <is>
          <t>GOTLAND</t>
        </is>
      </c>
      <c r="H70" t="inlineStr">
        <is>
          <t>Övriga statliga verk och myndigheter</t>
        </is>
      </c>
      <c r="I70" t="n">
        <v>2.2</v>
      </c>
      <c r="J70" t="n">
        <v>7</v>
      </c>
      <c r="K70" t="n">
        <v>2</v>
      </c>
      <c r="L70" t="n">
        <v>4</v>
      </c>
      <c r="M70" t="n">
        <v>1</v>
      </c>
      <c r="N70" t="n">
        <v>0</v>
      </c>
      <c r="O70" t="n">
        <v>0</v>
      </c>
      <c r="P70" t="n">
        <v>0</v>
      </c>
      <c r="Q70" t="n">
        <v>5</v>
      </c>
      <c r="R70" t="n">
        <v>1</v>
      </c>
      <c r="S70" t="n">
        <v>10</v>
      </c>
      <c r="T70" t="n">
        <v>26</v>
      </c>
      <c r="U70" t="n">
        <v>26</v>
      </c>
      <c r="V70" s="2" t="inlineStr">
        <is>
          <t>Garderönn
Backtimjan
Dårgräsfjäril
Solvända
Svinrot
Nästrot
Tvåblad
Kungsfågel
Skogsduva
Fläcknycklar</t>
        </is>
      </c>
      <c r="W70">
        <f>HYPERLINK("https://klasma.github.io/Logging_0980/artfynd/A 18541-2024 artfynd.xlsx", "A 18541-2024")</f>
        <v/>
      </c>
      <c r="X70">
        <f>HYPERLINK("https://klasma.github.io/Logging_0980/kartor/A 18541-2024 karta.png", "A 18541-2024")</f>
        <v/>
      </c>
      <c r="Y70">
        <f>HYPERLINK("https://klasma.github.io/Logging_0980/kartor_geotiff/A 18541-2024 georefererad karta.tif", "A 18541-2024")</f>
        <v/>
      </c>
      <c r="AA70">
        <f>HYPERLINK("https://klasma.github.io/Logging_0980/klagomål/A 18541-2024 FSC-klagomål.docx", "A 18541-2024")</f>
        <v/>
      </c>
      <c r="AB70">
        <f>HYPERLINK("https://klasma.github.io/Logging_0980/klagomålsmail/A 18541-2024 FSC-klagomål mail.docx", "A 18541-2024")</f>
        <v/>
      </c>
      <c r="AC70">
        <f>HYPERLINK("https://klasma.github.io/Logging_0980/tillsyn/A 18541-2024 tillsynsbegäran.docx", "A 18541-2024")</f>
        <v/>
      </c>
      <c r="AD70">
        <f>HYPERLINK("https://klasma.github.io/Logging_0980/tillsynsmail/A 18541-2024 tillsynsbegäran mail.docx", "A 18541-2024")</f>
        <v/>
      </c>
    </row>
    <row r="71" ht="15" customHeight="1">
      <c r="A71" t="inlineStr">
        <is>
          <t>A 4984-2025</t>
        </is>
      </c>
      <c r="B71" t="inlineStr">
        <is>
          <t>avverkningsanmälan</t>
        </is>
      </c>
      <c r="C71" t="inlineStr">
        <is>
          <t>Föryngringsavverkning</t>
        </is>
      </c>
      <c r="D71" s="1" t="n">
        <v>45691</v>
      </c>
      <c r="E71" s="1" t="n">
        <v>46316</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46316</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46316</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447-2023</t>
        </is>
      </c>
      <c r="B74" t="inlineStr">
        <is>
          <t>avverkningsanmälan</t>
        </is>
      </c>
      <c r="C74" t="inlineStr">
        <is>
          <t>Föryngringsavverkning</t>
        </is>
      </c>
      <c r="D74" s="1" t="n">
        <v>44929</v>
      </c>
      <c r="E74" s="1" t="n">
        <v>46316</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20833-2024</t>
        </is>
      </c>
      <c r="B75" t="inlineStr">
        <is>
          <t>avverkningsanmälan</t>
        </is>
      </c>
      <c r="C75" t="inlineStr">
        <is>
          <t>Föryngringsavverkning</t>
        </is>
      </c>
      <c r="D75" s="1" t="n">
        <v>45439</v>
      </c>
      <c r="E75" s="1" t="n">
        <v>46316</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46316</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46316</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7038-2023</t>
        </is>
      </c>
      <c r="B78" t="inlineStr">
        <is>
          <t>avverkningsanmälan</t>
        </is>
      </c>
      <c r="C78" t="inlineStr">
        <is>
          <t>Föryngringsavverkning</t>
        </is>
      </c>
      <c r="D78" s="1" t="n">
        <v>44968</v>
      </c>
      <c r="E78" s="1" t="n">
        <v>46316</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54527-2023</t>
        </is>
      </c>
      <c r="B79" t="inlineStr">
        <is>
          <t>avverkningsanmälan</t>
        </is>
      </c>
      <c r="C79" t="inlineStr">
        <is>
          <t>Avverkning för annat ändamål</t>
        </is>
      </c>
      <c r="D79" s="1" t="n">
        <v>45233</v>
      </c>
      <c r="E79" s="1" t="n">
        <v>46316</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30892-2024</t>
        </is>
      </c>
      <c r="B80" t="inlineStr">
        <is>
          <t>avverkningsanmälan</t>
        </is>
      </c>
      <c r="C80" t="inlineStr">
        <is>
          <t>Föryngringsavverkning</t>
        </is>
      </c>
      <c r="D80" s="1" t="n">
        <v>45491</v>
      </c>
      <c r="E80" s="1" t="n">
        <v>46316</v>
      </c>
      <c r="F80" t="inlineStr">
        <is>
          <t>GOTLANDS LÄN</t>
        </is>
      </c>
      <c r="G80" t="inlineStr">
        <is>
          <t>GOTLAND</t>
        </is>
      </c>
      <c r="I80" t="n">
        <v>6.1</v>
      </c>
      <c r="J80" t="n">
        <v>0</v>
      </c>
      <c r="K80" t="n">
        <v>2</v>
      </c>
      <c r="L80" t="n">
        <v>2</v>
      </c>
      <c r="M80" t="n">
        <v>3</v>
      </c>
      <c r="N80" t="n">
        <v>0</v>
      </c>
      <c r="O80" t="n">
        <v>0</v>
      </c>
      <c r="P80" t="n">
        <v>0</v>
      </c>
      <c r="Q80" t="n">
        <v>5</v>
      </c>
      <c r="R80" t="n">
        <v>3</v>
      </c>
      <c r="S80" t="n">
        <v>8</v>
      </c>
      <c r="T80" t="n">
        <v>12</v>
      </c>
      <c r="U80" t="n">
        <v>12</v>
      </c>
      <c r="V80" s="2" t="inlineStr">
        <is>
          <t>Gulsträngad fagerspindling
Svartgrön spindling
Trollspindling
Flattoppad klubbsvamp
Odörspindling
Anisspindling
Svavelriska
Kransmossa</t>
        </is>
      </c>
      <c r="W80">
        <f>HYPERLINK("https://klasma.github.io/Logging_0980/artfynd/A 30892-2024 artfynd.xlsx", "A 30892-2024")</f>
        <v/>
      </c>
      <c r="X80">
        <f>HYPERLINK("https://klasma.github.io/Logging_0980/kartor/A 30892-2024 karta.png", "A 30892-2024")</f>
        <v/>
      </c>
      <c r="Y80">
        <f>HYPERLINK("https://klasma.github.io/Logging_0980/kartor_geotiff/A 30892-2024 georefererad karta.tif", "A 30892-2024")</f>
        <v/>
      </c>
      <c r="AA80">
        <f>HYPERLINK("https://klasma.github.io/Logging_0980/klagomål/A 30892-2024 FSC-klagomål.docx", "A 30892-2024")</f>
        <v/>
      </c>
      <c r="AB80">
        <f>HYPERLINK("https://klasma.github.io/Logging_0980/klagomålsmail/A 30892-2024 FSC-klagomål mail.docx", "A 30892-2024")</f>
        <v/>
      </c>
      <c r="AC80">
        <f>HYPERLINK("https://klasma.github.io/Logging_0980/tillsyn/A 30892-2024 tillsynsbegäran.docx", "A 30892-2024")</f>
        <v/>
      </c>
      <c r="AD80">
        <f>HYPERLINK("https://klasma.github.io/Logging_0980/tillsynsmail/A 30892-2024 tillsynsbegäran mail.docx", "A 30892-2024")</f>
        <v/>
      </c>
    </row>
    <row r="81" ht="15" customHeight="1">
      <c r="A81" t="inlineStr">
        <is>
          <t>A 1971-2023</t>
        </is>
      </c>
      <c r="B81" t="inlineStr">
        <is>
          <t>avverkningsanmälan</t>
        </is>
      </c>
      <c r="C81" t="inlineStr">
        <is>
          <t>Föryngringsavverkning</t>
        </is>
      </c>
      <c r="D81" s="1" t="n">
        <v>44939</v>
      </c>
      <c r="E81" s="1" t="n">
        <v>46316</v>
      </c>
      <c r="F81" t="inlineStr">
        <is>
          <t>GOTLANDS LÄN</t>
        </is>
      </c>
      <c r="G81" t="inlineStr">
        <is>
          <t>GOTLAND</t>
        </is>
      </c>
      <c r="I81" t="n">
        <v>5.5</v>
      </c>
      <c r="J81" t="n">
        <v>0</v>
      </c>
      <c r="K81" t="n">
        <v>3</v>
      </c>
      <c r="L81" t="n">
        <v>3</v>
      </c>
      <c r="M81" t="n">
        <v>2</v>
      </c>
      <c r="N81" t="n">
        <v>0</v>
      </c>
      <c r="O81" t="n">
        <v>0</v>
      </c>
      <c r="P81" t="n">
        <v>0</v>
      </c>
      <c r="Q81" t="n">
        <v>5</v>
      </c>
      <c r="R81" t="n">
        <v>2</v>
      </c>
      <c r="S81" t="n">
        <v>8</v>
      </c>
      <c r="T81" t="n">
        <v>9</v>
      </c>
      <c r="U81" t="n">
        <v>2</v>
      </c>
      <c r="V81" s="2" t="inlineStr">
        <is>
          <t>Granrotspindling
Gulsträngad fagerspindling
Fjällig taggsvamp s.str.
Sandviol
Svinrot
Blomkålssvamp
Olivspindling
Rödbrun jordstjärna</t>
        </is>
      </c>
      <c r="W81">
        <f>HYPERLINK("https://klasma.github.io/Logging_0980/artfynd/A 1971-2023 artfynd.xlsx", "A 1971-2023")</f>
        <v/>
      </c>
      <c r="X81">
        <f>HYPERLINK("https://klasma.github.io/Logging_0980/kartor/A 1971-2023 karta.png", "A 1971-2023")</f>
        <v/>
      </c>
      <c r="Y81">
        <f>HYPERLINK("https://klasma.github.io/Logging_0980/kartor_geotiff/A 1971-2023 georefererad karta.tif", "A 1971-2023")</f>
        <v/>
      </c>
      <c r="AA81">
        <f>HYPERLINK("https://klasma.github.io/Logging_0980/klagomål/A 1971-2023 FSC-klagomål.docx", "A 1971-2023")</f>
        <v/>
      </c>
      <c r="AB81">
        <f>HYPERLINK("https://klasma.github.io/Logging_0980/klagomålsmail/A 1971-2023 FSC-klagomål mail.docx", "A 1971-2023")</f>
        <v/>
      </c>
      <c r="AC81">
        <f>HYPERLINK("https://klasma.github.io/Logging_0980/tillsyn/A 1971-2023 tillsynsbegäran.docx", "A 1971-2023")</f>
        <v/>
      </c>
      <c r="AD81">
        <f>HYPERLINK("https://klasma.github.io/Logging_0980/tillsynsmail/A 1971-2023 tillsynsbegäran mail.docx", "A 1971-2023")</f>
        <v/>
      </c>
    </row>
    <row r="82" ht="15" customHeight="1">
      <c r="A82" t="inlineStr">
        <is>
          <t>A 20831-2024</t>
        </is>
      </c>
      <c r="B82" t="inlineStr">
        <is>
          <t>avverkningsanmälan</t>
        </is>
      </c>
      <c r="C82" t="inlineStr">
        <is>
          <t>Föryngringsavverkning</t>
        </is>
      </c>
      <c r="D82" s="1" t="n">
        <v>45439</v>
      </c>
      <c r="E82" s="1" t="n">
        <v>46316</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46316</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54527-2023</t>
        </is>
      </c>
      <c r="B84" t="inlineStr">
        <is>
          <t>avverkningsanmälan</t>
        </is>
      </c>
      <c r="C84" t="inlineStr">
        <is>
          <t>Avverkning för annat ändamål</t>
        </is>
      </c>
      <c r="D84" s="1" t="n">
        <v>45233</v>
      </c>
      <c r="E84" s="1" t="n">
        <v>46316</v>
      </c>
      <c r="F84" t="inlineStr">
        <is>
          <t>GOTLANDS LÄN</t>
        </is>
      </c>
      <c r="G84" t="inlineStr">
        <is>
          <t>GOTLAND</t>
        </is>
      </c>
      <c r="I84" t="n">
        <v>28.5</v>
      </c>
      <c r="J84" t="n">
        <v>2</v>
      </c>
      <c r="K84" t="n">
        <v>0</v>
      </c>
      <c r="L84" t="n">
        <v>4</v>
      </c>
      <c r="M84" t="n">
        <v>1</v>
      </c>
      <c r="N84" t="n">
        <v>1</v>
      </c>
      <c r="O84" t="n">
        <v>0</v>
      </c>
      <c r="P84" t="n">
        <v>0</v>
      </c>
      <c r="Q84" t="n">
        <v>6</v>
      </c>
      <c r="R84" t="n">
        <v>2</v>
      </c>
      <c r="S84" t="n">
        <v>8</v>
      </c>
      <c r="T84" t="n">
        <v>40</v>
      </c>
      <c r="U84" t="n">
        <v>0</v>
      </c>
      <c r="V84" s="2" t="inlineStr">
        <is>
          <t>Ask
Sexfläckig bastardsvärmare
Backstarr
Backtimjan
Jordtistel
Solvända
Nattskärra
Brudsporre</t>
        </is>
      </c>
      <c r="W84">
        <f>HYPERLINK("https://klasma.github.io/Logging_0980/artfynd/A 54527-2023 artfynd.xlsx", "A 54527-2023")</f>
        <v/>
      </c>
      <c r="X84">
        <f>HYPERLINK("https://klasma.github.io/Logging_0980/kartor/A 54527-2023 karta.png", "A 54527-2023")</f>
        <v/>
      </c>
      <c r="Y84">
        <f>HYPERLINK("https://klasma.github.io/Logging_0980/kartor_geotiff/A 54527-2023 georefererad karta.tif", "A 54527-2023")</f>
        <v/>
      </c>
      <c r="AA84">
        <f>HYPERLINK("https://klasma.github.io/Logging_0980/klagomål/A 54527-2023 FSC-klagomål.docx", "A 54527-2023")</f>
        <v/>
      </c>
      <c r="AB84">
        <f>HYPERLINK("https://klasma.github.io/Logging_0980/klagomålsmail/A 54527-2023 FSC-klagomål mail.docx", "A 54527-2023")</f>
        <v/>
      </c>
      <c r="AC84">
        <f>HYPERLINK("https://klasma.github.io/Logging_0980/tillsyn/A 54527-2023 tillsynsbegäran.docx", "A 54527-2023")</f>
        <v/>
      </c>
      <c r="AD84">
        <f>HYPERLINK("https://klasma.github.io/Logging_0980/tillsynsmail/A 54527-2023 tillsynsbegäran mail.docx", "A 54527-2023")</f>
        <v/>
      </c>
      <c r="AE84">
        <f>HYPERLINK("https://klasma.github.io/Logging_0980/fåglar/A 54527-2023 prioriterade fågelarter.docx", "A 54527-2023")</f>
        <v/>
      </c>
    </row>
    <row r="85" ht="15" customHeight="1">
      <c r="A85" t="inlineStr">
        <is>
          <t>A 9518-2026</t>
        </is>
      </c>
      <c r="B85" t="inlineStr">
        <is>
          <t>avverkningsanmälan</t>
        </is>
      </c>
      <c r="C85" t="inlineStr">
        <is>
          <t>Föryngringsavverkning</t>
        </is>
      </c>
      <c r="D85" s="1" t="n">
        <v>46071</v>
      </c>
      <c r="E85" s="1" t="n">
        <v>46316</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46316</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6836-2026</t>
        </is>
      </c>
      <c r="B87" t="inlineStr">
        <is>
          <t>avverkningsanmälan</t>
        </is>
      </c>
      <c r="C87" t="inlineStr">
        <is>
          <t>Föryngringsavverkning</t>
        </is>
      </c>
      <c r="D87" s="1" t="n">
        <v>46057</v>
      </c>
      <c r="E87" s="1" t="n">
        <v>46316</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46316</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46316</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62552-2022</t>
        </is>
      </c>
      <c r="B90" t="inlineStr">
        <is>
          <t>avverkningsanmälan</t>
        </is>
      </c>
      <c r="C90" t="inlineStr">
        <is>
          <t>Föryngringsavverkning</t>
        </is>
      </c>
      <c r="D90" s="1" t="n">
        <v>44924</v>
      </c>
      <c r="E90" s="1" t="n">
        <v>46316</v>
      </c>
      <c r="F90" t="inlineStr">
        <is>
          <t>GOTLANDS LÄN</t>
        </is>
      </c>
      <c r="G90" t="inlineStr">
        <is>
          <t>GOTLAND</t>
        </is>
      </c>
      <c r="I90" t="n">
        <v>1.6</v>
      </c>
      <c r="J90" t="n">
        <v>0</v>
      </c>
      <c r="K90" t="n">
        <v>2</v>
      </c>
      <c r="L90" t="n">
        <v>2</v>
      </c>
      <c r="M90" t="n">
        <v>3</v>
      </c>
      <c r="N90" t="n">
        <v>0</v>
      </c>
      <c r="O90" t="n">
        <v>0</v>
      </c>
      <c r="P90" t="n">
        <v>0</v>
      </c>
      <c r="Q90" t="n">
        <v>5</v>
      </c>
      <c r="R90" t="n">
        <v>3</v>
      </c>
      <c r="S90" t="n">
        <v>7</v>
      </c>
      <c r="T90" t="n">
        <v>14</v>
      </c>
      <c r="U90" t="n">
        <v>13</v>
      </c>
      <c r="V90" s="2" t="inlineStr">
        <is>
          <t>Fågelträcksspindling
Gulsträngad fagerspindling
Trollspindling
Odörspindling
Äggspindling
Anisspindling
Olivspindling</t>
        </is>
      </c>
      <c r="W90">
        <f>HYPERLINK("https://klasma.github.io/Logging_0980/artfynd/A 62552-2022 artfynd.xlsx", "A 62552-2022")</f>
        <v/>
      </c>
      <c r="X90">
        <f>HYPERLINK("https://klasma.github.io/Logging_0980/kartor/A 62552-2022 karta.png", "A 62552-2022")</f>
        <v/>
      </c>
      <c r="Y90">
        <f>HYPERLINK("https://klasma.github.io/Logging_0980/kartor_geotiff/A 62552-2022 georefererad karta.tif", "A 62552-2022")</f>
        <v/>
      </c>
      <c r="AA90">
        <f>HYPERLINK("https://klasma.github.io/Logging_0980/klagomål/A 62552-2022 FSC-klagomål.docx", "A 62552-2022")</f>
        <v/>
      </c>
      <c r="AB90">
        <f>HYPERLINK("https://klasma.github.io/Logging_0980/klagomålsmail/A 62552-2022 FSC-klagomål mail.docx", "A 62552-2022")</f>
        <v/>
      </c>
      <c r="AC90">
        <f>HYPERLINK("https://klasma.github.io/Logging_0980/tillsyn/A 62552-2022 tillsynsbegäran.docx", "A 62552-2022")</f>
        <v/>
      </c>
      <c r="AD90">
        <f>HYPERLINK("https://klasma.github.io/Logging_0980/tillsynsmail/A 62552-2022 tillsynsbegäran mail.docx", "A 62552-2022")</f>
        <v/>
      </c>
    </row>
    <row r="91" ht="15" customHeight="1">
      <c r="A91" t="inlineStr">
        <is>
          <t>A 35293-2025</t>
        </is>
      </c>
      <c r="B91" t="inlineStr">
        <is>
          <t>avverkningsanmälan</t>
        </is>
      </c>
      <c r="C91" t="inlineStr">
        <is>
          <t>Föryngringsavverkning</t>
        </is>
      </c>
      <c r="D91" s="1" t="n">
        <v>45854</v>
      </c>
      <c r="E91" s="1" t="n">
        <v>46316</v>
      </c>
      <c r="F91" t="inlineStr">
        <is>
          <t>GOTLANDS LÄN</t>
        </is>
      </c>
      <c r="G91" t="inlineStr">
        <is>
          <t>GOTLAND</t>
        </is>
      </c>
      <c r="I91" t="n">
        <v>9.199999999999999</v>
      </c>
      <c r="J91" t="n">
        <v>1</v>
      </c>
      <c r="K91" t="n">
        <v>1</v>
      </c>
      <c r="L91" t="n">
        <v>5</v>
      </c>
      <c r="M91" t="n">
        <v>1</v>
      </c>
      <c r="N91" t="n">
        <v>0</v>
      </c>
      <c r="O91" t="n">
        <v>0</v>
      </c>
      <c r="P91" t="n">
        <v>0</v>
      </c>
      <c r="Q91" t="n">
        <v>6</v>
      </c>
      <c r="R91" t="n">
        <v>1</v>
      </c>
      <c r="S91" t="n">
        <v>7</v>
      </c>
      <c r="T91" t="n">
        <v>16</v>
      </c>
      <c r="U91" t="n">
        <v>16</v>
      </c>
      <c r="V91" s="2" t="inlineStr">
        <is>
          <t>Knutört
Axveronika
Krusfrö
Loppstarr
Svinrot
Ängsstarr
Skogsknipprot</t>
        </is>
      </c>
      <c r="W91">
        <f>HYPERLINK("https://klasma.github.io/Logging_0980/artfynd/A 35293-2025 artfynd.xlsx", "A 35293-2025")</f>
        <v/>
      </c>
      <c r="X91">
        <f>HYPERLINK("https://klasma.github.io/Logging_0980/kartor/A 35293-2025 karta.png", "A 35293-2025")</f>
        <v/>
      </c>
      <c r="Y91">
        <f>HYPERLINK("https://klasma.github.io/Logging_0980/kartor_geotiff/A 35293-2025 georefererad karta.tif", "A 35293-2025")</f>
        <v/>
      </c>
      <c r="AA91">
        <f>HYPERLINK("https://klasma.github.io/Logging_0980/klagomål/A 35293-2025 FSC-klagomål.docx", "A 35293-2025")</f>
        <v/>
      </c>
      <c r="AB91">
        <f>HYPERLINK("https://klasma.github.io/Logging_0980/klagomålsmail/A 35293-2025 FSC-klagomål mail.docx", "A 35293-2025")</f>
        <v/>
      </c>
      <c r="AC91">
        <f>HYPERLINK("https://klasma.github.io/Logging_0980/tillsyn/A 35293-2025 tillsynsbegäran.docx", "A 35293-2025")</f>
        <v/>
      </c>
      <c r="AD91">
        <f>HYPERLINK("https://klasma.github.io/Logging_0980/tillsynsmail/A 35293-2025 tillsynsbegäran mail.docx", "A 35293-2025")</f>
        <v/>
      </c>
    </row>
    <row r="92" ht="15" customHeight="1">
      <c r="A92" t="inlineStr">
        <is>
          <t>A 63152-2025</t>
        </is>
      </c>
      <c r="B92" t="inlineStr">
        <is>
          <t>avverkningsanmälan</t>
        </is>
      </c>
      <c r="C92" t="inlineStr">
        <is>
          <t>Föryngringsavverkning</t>
        </is>
      </c>
      <c r="D92" s="1" t="n">
        <v>46010</v>
      </c>
      <c r="E92" s="1" t="n">
        <v>46316</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34142-2024</t>
        </is>
      </c>
      <c r="B93" t="inlineStr">
        <is>
          <t>avverkningsanmälan</t>
        </is>
      </c>
      <c r="C93" t="inlineStr">
        <is>
          <t>Föryngringsavverkning</t>
        </is>
      </c>
      <c r="D93" s="1" t="n">
        <v>45524</v>
      </c>
      <c r="E93" s="1" t="n">
        <v>46316</v>
      </c>
      <c r="F93" t="inlineStr">
        <is>
          <t>GOTLANDS LÄN</t>
        </is>
      </c>
      <c r="G93" t="inlineStr">
        <is>
          <t>GOTLAND</t>
        </is>
      </c>
      <c r="I93" t="n">
        <v>6</v>
      </c>
      <c r="J93" t="n">
        <v>1</v>
      </c>
      <c r="K93" t="n">
        <v>2</v>
      </c>
      <c r="L93" t="n">
        <v>3</v>
      </c>
      <c r="M93" t="n">
        <v>2</v>
      </c>
      <c r="N93" t="n">
        <v>0</v>
      </c>
      <c r="O93" t="n">
        <v>0</v>
      </c>
      <c r="P93" t="n">
        <v>0</v>
      </c>
      <c r="Q93" t="n">
        <v>5</v>
      </c>
      <c r="R93" t="n">
        <v>2</v>
      </c>
      <c r="S93" t="n">
        <v>7</v>
      </c>
      <c r="T93" t="n">
        <v>14</v>
      </c>
      <c r="U93" t="n">
        <v>14</v>
      </c>
      <c r="V93" s="2" t="inlineStr">
        <is>
          <t>Duvspindling
Igelkott
Blå slemspindling
Odörspindling
Rödfläckig zontaggsvamp
Anisspindling
Nästrot</t>
        </is>
      </c>
      <c r="W93">
        <f>HYPERLINK("https://klasma.github.io/Logging_0980/artfynd/A 34142-2024 artfynd.xlsx", "A 34142-2024")</f>
        <v/>
      </c>
      <c r="X93">
        <f>HYPERLINK("https://klasma.github.io/Logging_0980/kartor/A 34142-2024 karta.png", "A 34142-2024")</f>
        <v/>
      </c>
      <c r="Y93">
        <f>HYPERLINK("https://klasma.github.io/Logging_0980/kartor_geotiff/A 34142-2024 georefererad karta.tif", "A 34142-2024")</f>
        <v/>
      </c>
      <c r="AA93">
        <f>HYPERLINK("https://klasma.github.io/Logging_0980/klagomål/A 34142-2024 FSC-klagomål.docx", "A 34142-2024")</f>
        <v/>
      </c>
      <c r="AB93">
        <f>HYPERLINK("https://klasma.github.io/Logging_0980/klagomålsmail/A 34142-2024 FSC-klagomål mail.docx", "A 34142-2024")</f>
        <v/>
      </c>
      <c r="AC93">
        <f>HYPERLINK("https://klasma.github.io/Logging_0980/tillsyn/A 34142-2024 tillsynsbegäran.docx", "A 34142-2024")</f>
        <v/>
      </c>
      <c r="AD93">
        <f>HYPERLINK("https://klasma.github.io/Logging_0980/tillsynsmail/A 34142-2024 tillsynsbegäran mail.docx", "A 34142-2024")</f>
        <v/>
      </c>
    </row>
    <row r="94" ht="15" customHeight="1">
      <c r="A94" t="inlineStr">
        <is>
          <t>A 10419-2025</t>
        </is>
      </c>
      <c r="B94" t="inlineStr">
        <is>
          <t>avverkningsanmälan</t>
        </is>
      </c>
      <c r="C94" t="inlineStr">
        <is>
          <t>Avverkning för att bevara och utveckla /försöksver</t>
        </is>
      </c>
      <c r="D94" s="1" t="n">
        <v>45720</v>
      </c>
      <c r="E94" s="1" t="n">
        <v>46316</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S 3948-2024</t>
        </is>
      </c>
      <c r="B95" t="inlineStr">
        <is>
          <t>samrådsanmälan</t>
        </is>
      </c>
      <c r="C95" t="inlineStr">
        <is>
          <t>Annan skogsbruksåtgärd</t>
        </is>
      </c>
      <c r="D95" s="1" t="n">
        <v>45567</v>
      </c>
      <c r="E95" s="1" t="n">
        <v>46316</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49709-2025</t>
        </is>
      </c>
      <c r="B96" t="inlineStr">
        <is>
          <t>avverkningsanmälan</t>
        </is>
      </c>
      <c r="C96" t="inlineStr">
        <is>
          <t>Föryngringsavverkning</t>
        </is>
      </c>
      <c r="D96" s="1" t="n">
        <v>45939</v>
      </c>
      <c r="E96" s="1" t="n">
        <v>46316</v>
      </c>
      <c r="F96" t="inlineStr">
        <is>
          <t>GOTLANDS LÄN</t>
        </is>
      </c>
      <c r="G96" t="inlineStr">
        <is>
          <t>GOTLAND</t>
        </is>
      </c>
      <c r="I96" t="n">
        <v>10.2</v>
      </c>
      <c r="J96" t="n">
        <v>1</v>
      </c>
      <c r="K96" t="n">
        <v>3</v>
      </c>
      <c r="L96" t="n">
        <v>3</v>
      </c>
      <c r="M96" t="n">
        <v>0</v>
      </c>
      <c r="N96" t="n">
        <v>0</v>
      </c>
      <c r="O96" t="n">
        <v>0</v>
      </c>
      <c r="P96" t="n">
        <v>0</v>
      </c>
      <c r="Q96" t="n">
        <v>3</v>
      </c>
      <c r="R96" t="n">
        <v>0</v>
      </c>
      <c r="S96" t="n">
        <v>6</v>
      </c>
      <c r="T96" t="n">
        <v>8</v>
      </c>
      <c r="U96" t="n">
        <v>0</v>
      </c>
      <c r="V96" s="2" t="inlineStr">
        <is>
          <t>Mindre hackspett
Mörk dunört
Tallticka
Blåmossa
Grovticka
Kambräken</t>
        </is>
      </c>
      <c r="W96">
        <f>HYPERLINK("https://klasma.github.io/Logging_0980/artfynd/A 49709-2025 artfynd.xlsx", "A 49709-2025")</f>
        <v/>
      </c>
      <c r="X96">
        <f>HYPERLINK("https://klasma.github.io/Logging_0980/kartor/A 49709-2025 karta.png", "A 49709-2025")</f>
        <v/>
      </c>
      <c r="Y96">
        <f>HYPERLINK("https://klasma.github.io/Logging_0980/kartor_geotiff/A 49709-2025 georefererad karta.tif", "A 49709-2025")</f>
        <v/>
      </c>
      <c r="AA96">
        <f>HYPERLINK("https://klasma.github.io/Logging_0980/klagomål/A 49709-2025 FSC-klagomål.docx", "A 49709-2025")</f>
        <v/>
      </c>
      <c r="AB96">
        <f>HYPERLINK("https://klasma.github.io/Logging_0980/klagomålsmail/A 49709-2025 FSC-klagomål mail.docx", "A 49709-2025")</f>
        <v/>
      </c>
      <c r="AC96">
        <f>HYPERLINK("https://klasma.github.io/Logging_0980/tillsyn/A 49709-2025 tillsynsbegäran.docx", "A 49709-2025")</f>
        <v/>
      </c>
      <c r="AD96">
        <f>HYPERLINK("https://klasma.github.io/Logging_0980/tillsynsmail/A 49709-2025 tillsynsbegäran mail.docx", "A 49709-2025")</f>
        <v/>
      </c>
      <c r="AE96">
        <f>HYPERLINK("https://klasma.github.io/Logging_0980/fåglar/A 49709-2025 prioriterade fågelarter.docx", "A 49709-2025")</f>
        <v/>
      </c>
    </row>
    <row r="97" ht="15" customHeight="1">
      <c r="A97" t="inlineStr">
        <is>
          <t>A 48126-2022</t>
        </is>
      </c>
      <c r="B97" t="inlineStr">
        <is>
          <t>avverkningsanmälan</t>
        </is>
      </c>
      <c r="C97" t="inlineStr">
        <is>
          <t>Föryngringsavverkning</t>
        </is>
      </c>
      <c r="D97" s="1" t="n">
        <v>44857</v>
      </c>
      <c r="E97" s="1" t="n">
        <v>46316</v>
      </c>
      <c r="F97" t="inlineStr">
        <is>
          <t>GOTLANDS LÄN</t>
        </is>
      </c>
      <c r="G97" t="inlineStr">
        <is>
          <t>GOTLAND</t>
        </is>
      </c>
      <c r="I97" t="n">
        <v>9.800000000000001</v>
      </c>
      <c r="J97" t="n">
        <v>3</v>
      </c>
      <c r="K97" t="n">
        <v>0</v>
      </c>
      <c r="L97" t="n">
        <v>3</v>
      </c>
      <c r="M97" t="n">
        <v>0</v>
      </c>
      <c r="N97" t="n">
        <v>0</v>
      </c>
      <c r="O97" t="n">
        <v>0</v>
      </c>
      <c r="P97" t="n">
        <v>0</v>
      </c>
      <c r="Q97" t="n">
        <v>3</v>
      </c>
      <c r="R97" t="n">
        <v>0</v>
      </c>
      <c r="S97" t="n">
        <v>6</v>
      </c>
      <c r="T97" t="n">
        <v>7</v>
      </c>
      <c r="U97" t="n">
        <v>1</v>
      </c>
      <c r="V97" s="2" t="inlineStr">
        <is>
          <t>Jordtistel
Jungfrulin
Svinrot
Spillkråka
Näktergal
Skogsduva</t>
        </is>
      </c>
      <c r="W97">
        <f>HYPERLINK("https://klasma.github.io/Logging_0980/artfynd/A 48126-2022 artfynd.xlsx", "A 48126-2022")</f>
        <v/>
      </c>
      <c r="X97">
        <f>HYPERLINK("https://klasma.github.io/Logging_0980/kartor/A 48126-2022 karta.png", "A 48126-2022")</f>
        <v/>
      </c>
      <c r="Y97">
        <f>HYPERLINK("https://klasma.github.io/Logging_0980/kartor_geotiff/A 48126-2022 georefererad karta.tif", "A 48126-2022")</f>
        <v/>
      </c>
      <c r="AA97">
        <f>HYPERLINK("https://klasma.github.io/Logging_0980/klagomål/A 48126-2022 FSC-klagomål.docx", "A 48126-2022")</f>
        <v/>
      </c>
      <c r="AB97">
        <f>HYPERLINK("https://klasma.github.io/Logging_0980/klagomålsmail/A 48126-2022 FSC-klagomål mail.docx", "A 48126-2022")</f>
        <v/>
      </c>
      <c r="AC97">
        <f>HYPERLINK("https://klasma.github.io/Logging_0980/tillsyn/A 48126-2022 tillsynsbegäran.docx", "A 48126-2022")</f>
        <v/>
      </c>
      <c r="AD97">
        <f>HYPERLINK("https://klasma.github.io/Logging_0980/tillsynsmail/A 48126-2022 tillsynsbegäran mail.docx", "A 48126-2022")</f>
        <v/>
      </c>
      <c r="AE97">
        <f>HYPERLINK("https://klasma.github.io/Logging_0980/fåglar/A 48126-2022 prioriterade fågelarter.docx", "A 48126-2022")</f>
        <v/>
      </c>
    </row>
    <row r="98" ht="15" customHeight="1">
      <c r="A98" t="inlineStr">
        <is>
          <t>A 16823-2024</t>
        </is>
      </c>
      <c r="B98" t="inlineStr">
        <is>
          <t>avverkningsanmälan</t>
        </is>
      </c>
      <c r="C98" t="inlineStr">
        <is>
          <t>Avverkning för annat ändamål</t>
        </is>
      </c>
      <c r="D98" s="1" t="n">
        <v>45411</v>
      </c>
      <c r="E98" s="1" t="n">
        <v>46316</v>
      </c>
      <c r="F98" t="inlineStr">
        <is>
          <t>GOTLANDS LÄN</t>
        </is>
      </c>
      <c r="G98" t="inlineStr">
        <is>
          <t>GOTLAND</t>
        </is>
      </c>
      <c r="I98" t="n">
        <v>25.4</v>
      </c>
      <c r="J98" t="n">
        <v>5</v>
      </c>
      <c r="K98" t="n">
        <v>1</v>
      </c>
      <c r="L98" t="n">
        <v>2</v>
      </c>
      <c r="M98" t="n">
        <v>0</v>
      </c>
      <c r="N98" t="n">
        <v>0</v>
      </c>
      <c r="O98" t="n">
        <v>0</v>
      </c>
      <c r="P98" t="n">
        <v>0</v>
      </c>
      <c r="Q98" t="n">
        <v>2</v>
      </c>
      <c r="R98" t="n">
        <v>0</v>
      </c>
      <c r="S98" t="n">
        <v>6</v>
      </c>
      <c r="T98" t="n">
        <v>8</v>
      </c>
      <c r="U98" t="n">
        <v>7</v>
      </c>
      <c r="V98" s="2" t="inlineStr">
        <is>
          <t>Gulsparv
Jordtistel
Flugblomster
Brudsporre
Johannesnycklar
Sankt pers nycklar</t>
        </is>
      </c>
      <c r="W98">
        <f>HYPERLINK("https://klasma.github.io/Logging_0980/artfynd/A 16823-2024 artfynd.xlsx", "A 16823-2024")</f>
        <v/>
      </c>
      <c r="X98">
        <f>HYPERLINK("https://klasma.github.io/Logging_0980/kartor/A 16823-2024 karta.png", "A 16823-2024")</f>
        <v/>
      </c>
      <c r="Y98">
        <f>HYPERLINK("https://klasma.github.io/Logging_0980/kartor_geotiff/A 16823-2024 georefererad karta.tif", "A 16823-2024")</f>
        <v/>
      </c>
      <c r="AA98">
        <f>HYPERLINK("https://klasma.github.io/Logging_0980/klagomål/A 16823-2024 FSC-klagomål.docx", "A 16823-2024")</f>
        <v/>
      </c>
      <c r="AB98">
        <f>HYPERLINK("https://klasma.github.io/Logging_0980/klagomålsmail/A 16823-2024 FSC-klagomål mail.docx", "A 16823-2024")</f>
        <v/>
      </c>
      <c r="AC98">
        <f>HYPERLINK("https://klasma.github.io/Logging_0980/tillsyn/A 16823-2024 tillsynsbegäran.docx", "A 16823-2024")</f>
        <v/>
      </c>
      <c r="AD98">
        <f>HYPERLINK("https://klasma.github.io/Logging_0980/tillsynsmail/A 16823-2024 tillsynsbegäran mail.docx", "A 16823-2024")</f>
        <v/>
      </c>
      <c r="AE98">
        <f>HYPERLINK("https://klasma.github.io/Logging_0980/fåglar/A 16823-2024 prioriterade fågelarter.docx", "A 16823-2024")</f>
        <v/>
      </c>
    </row>
    <row r="99" ht="15" customHeight="1">
      <c r="A99" t="inlineStr">
        <is>
          <t>A 64208-2021</t>
        </is>
      </c>
      <c r="B99" t="inlineStr">
        <is>
          <t>avverkningsanmälan</t>
        </is>
      </c>
      <c r="C99" t="inlineStr">
        <is>
          <t>Föryngringsavverkning</t>
        </is>
      </c>
      <c r="D99" s="1" t="n">
        <v>44510</v>
      </c>
      <c r="E99" s="1" t="n">
        <v>46316</v>
      </c>
      <c r="F99" t="inlineStr">
        <is>
          <t>GOTLANDS LÄN</t>
        </is>
      </c>
      <c r="G99" t="inlineStr">
        <is>
          <t>GOTLAND</t>
        </is>
      </c>
      <c r="I99" t="n">
        <v>4.7</v>
      </c>
      <c r="J99" t="n">
        <v>2</v>
      </c>
      <c r="K99" t="n">
        <v>0</v>
      </c>
      <c r="L99" t="n">
        <v>4</v>
      </c>
      <c r="M99" t="n">
        <v>1</v>
      </c>
      <c r="N99" t="n">
        <v>0</v>
      </c>
      <c r="O99" t="n">
        <v>0</v>
      </c>
      <c r="P99" t="n">
        <v>0</v>
      </c>
      <c r="Q99" t="n">
        <v>5</v>
      </c>
      <c r="R99" t="n">
        <v>1</v>
      </c>
      <c r="S99" t="n">
        <v>6</v>
      </c>
      <c r="T99" t="n">
        <v>9</v>
      </c>
      <c r="U99" t="n">
        <v>9</v>
      </c>
      <c r="V99" s="2" t="inlineStr">
        <is>
          <t>Svartfläckig blåvinge
Axveronika
Backtimjan
Jordtistel
Solvända
Alvarstånds</t>
        </is>
      </c>
      <c r="W99">
        <f>HYPERLINK("https://klasma.github.io/Logging_0980/artfynd/A 64208-2021 artfynd.xlsx", "A 64208-2021")</f>
        <v/>
      </c>
      <c r="X99">
        <f>HYPERLINK("https://klasma.github.io/Logging_0980/kartor/A 64208-2021 karta.png", "A 64208-2021")</f>
        <v/>
      </c>
      <c r="Y99">
        <f>HYPERLINK("https://klasma.github.io/Logging_0980/kartor_geotiff/A 64208-2021 georefererad karta.tif", "A 64208-2021")</f>
        <v/>
      </c>
      <c r="AA99">
        <f>HYPERLINK("https://klasma.github.io/Logging_0980/klagomål/A 64208-2021 FSC-klagomål.docx", "A 64208-2021")</f>
        <v/>
      </c>
      <c r="AB99">
        <f>HYPERLINK("https://klasma.github.io/Logging_0980/klagomålsmail/A 64208-2021 FSC-klagomål mail.docx", "A 64208-2021")</f>
        <v/>
      </c>
      <c r="AC99">
        <f>HYPERLINK("https://klasma.github.io/Logging_0980/tillsyn/A 64208-2021 tillsynsbegäran.docx", "A 64208-2021")</f>
        <v/>
      </c>
      <c r="AD99">
        <f>HYPERLINK("https://klasma.github.io/Logging_0980/tillsynsmail/A 64208-2021 tillsynsbegäran mail.docx", "A 64208-2021")</f>
        <v/>
      </c>
    </row>
    <row r="100" ht="15" customHeight="1">
      <c r="A100" t="inlineStr">
        <is>
          <t>A 20838-2024</t>
        </is>
      </c>
      <c r="B100" t="inlineStr">
        <is>
          <t>avverkningsanmälan</t>
        </is>
      </c>
      <c r="C100" t="inlineStr">
        <is>
          <t>Föryngringsavverkning</t>
        </is>
      </c>
      <c r="D100" s="1" t="n">
        <v>45439</v>
      </c>
      <c r="E100" s="1" t="n">
        <v>46316</v>
      </c>
      <c r="F100" t="inlineStr">
        <is>
          <t>GOTLANDS LÄN</t>
        </is>
      </c>
      <c r="G100" t="inlineStr">
        <is>
          <t>GOTLAND</t>
        </is>
      </c>
      <c r="I100" t="n">
        <v>0.7</v>
      </c>
      <c r="J100" t="n">
        <v>4</v>
      </c>
      <c r="K100" t="n">
        <v>2</v>
      </c>
      <c r="L100" t="n">
        <v>3</v>
      </c>
      <c r="M100" t="n">
        <v>0</v>
      </c>
      <c r="N100" t="n">
        <v>0</v>
      </c>
      <c r="O100" t="n">
        <v>0</v>
      </c>
      <c r="P100" t="n">
        <v>0</v>
      </c>
      <c r="Q100" t="n">
        <v>3</v>
      </c>
      <c r="R100" t="n">
        <v>0</v>
      </c>
      <c r="S100" t="n">
        <v>6</v>
      </c>
      <c r="T100" t="n">
        <v>15</v>
      </c>
      <c r="U100" t="n">
        <v>15</v>
      </c>
      <c r="V100" s="2" t="inlineStr">
        <is>
          <t>Backtimjan
Dårgräsfjäril
Solvända
Skogsknipprot
Tvåblad
Spillkråka</t>
        </is>
      </c>
      <c r="W100">
        <f>HYPERLINK("https://klasma.github.io/Logging_0980/artfynd/A 20838-2024 artfynd.xlsx", "A 20838-2024")</f>
        <v/>
      </c>
      <c r="X100">
        <f>HYPERLINK("https://klasma.github.io/Logging_0980/kartor/A 20838-2024 karta.png", "A 20838-2024")</f>
        <v/>
      </c>
      <c r="Y100">
        <f>HYPERLINK("https://klasma.github.io/Logging_0980/kartor_geotiff/A 20838-2024 georefererad karta.tif", "A 20838-2024")</f>
        <v/>
      </c>
      <c r="AA100">
        <f>HYPERLINK("https://klasma.github.io/Logging_0980/klagomål/A 20838-2024 FSC-klagomål.docx", "A 20838-2024")</f>
        <v/>
      </c>
      <c r="AB100">
        <f>HYPERLINK("https://klasma.github.io/Logging_0980/klagomålsmail/A 20838-2024 FSC-klagomål mail.docx", "A 20838-2024")</f>
        <v/>
      </c>
      <c r="AC100">
        <f>HYPERLINK("https://klasma.github.io/Logging_0980/tillsyn/A 20838-2024 tillsynsbegäran.docx", "A 20838-2024")</f>
        <v/>
      </c>
      <c r="AD100">
        <f>HYPERLINK("https://klasma.github.io/Logging_0980/tillsynsmail/A 20838-2024 tillsynsbegäran mail.docx", "A 20838-2024")</f>
        <v/>
      </c>
      <c r="AE100">
        <f>HYPERLINK("https://klasma.github.io/Logging_0980/fåglar/A 20838-2024 prioriterade fågelarter.docx", "A 20838-2024")</f>
        <v/>
      </c>
    </row>
    <row r="101" ht="15" customHeight="1">
      <c r="A101" t="inlineStr">
        <is>
          <t>A 31693-2026</t>
        </is>
      </c>
      <c r="B101" t="inlineStr">
        <is>
          <t>avverkningsanmälan</t>
        </is>
      </c>
      <c r="C101" t="inlineStr">
        <is>
          <t>Föryngringsavverkning</t>
        </is>
      </c>
      <c r="D101" s="1" t="n">
        <v>46226</v>
      </c>
      <c r="E101" s="1" t="n">
        <v>46316</v>
      </c>
      <c r="F101" t="inlineStr">
        <is>
          <t>GOTLANDS LÄN</t>
        </is>
      </c>
      <c r="G101" t="inlineStr">
        <is>
          <t>GOTLAND</t>
        </is>
      </c>
      <c r="I101" t="n">
        <v>4.8</v>
      </c>
      <c r="J101" t="n">
        <v>0</v>
      </c>
      <c r="K101" t="n">
        <v>2</v>
      </c>
      <c r="L101" t="n">
        <v>4</v>
      </c>
      <c r="M101" t="n">
        <v>0</v>
      </c>
      <c r="N101" t="n">
        <v>0</v>
      </c>
      <c r="O101" t="n">
        <v>0</v>
      </c>
      <c r="P101" t="n">
        <v>0</v>
      </c>
      <c r="Q101" t="n">
        <v>4</v>
      </c>
      <c r="R101" t="n">
        <v>0</v>
      </c>
      <c r="S101" t="n">
        <v>6</v>
      </c>
      <c r="T101" t="n">
        <v>11</v>
      </c>
      <c r="U101" t="n">
        <v>11</v>
      </c>
      <c r="V101" s="2" t="inlineStr">
        <is>
          <t>Blå slemspindling
Fjällig taggsvamp s.str.
Lädervaxing
Odörspindling
Olivspindling
Svavelriska</t>
        </is>
      </c>
      <c r="W101">
        <f>HYPERLINK("https://klasma.github.io/Logging_0980/artfynd/A 31693-2026 artfynd.xlsx", "A 31693-2026")</f>
        <v/>
      </c>
      <c r="X101">
        <f>HYPERLINK("https://klasma.github.io/Logging_0980/kartor/A 31693-2026 karta.png", "A 31693-2026")</f>
        <v/>
      </c>
      <c r="Y101">
        <f>HYPERLINK("https://klasma.github.io/Logging_0980/kartor_geotiff/A 31693-2026 georefererad karta.tif", "A 31693-2026")</f>
        <v/>
      </c>
      <c r="AA101">
        <f>HYPERLINK("https://klasma.github.io/Logging_0980/klagomål/A 31693-2026 FSC-klagomål.docx", "A 31693-2026")</f>
        <v/>
      </c>
      <c r="AB101">
        <f>HYPERLINK("https://klasma.github.io/Logging_0980/klagomålsmail/A 31693-2026 FSC-klagomål mail.docx", "A 31693-2026")</f>
        <v/>
      </c>
      <c r="AC101">
        <f>HYPERLINK("https://klasma.github.io/Logging_0980/tillsyn/A 31693-2026 tillsynsbegäran.docx", "A 31693-2026")</f>
        <v/>
      </c>
      <c r="AD101">
        <f>HYPERLINK("https://klasma.github.io/Logging_0980/tillsynsmail/A 31693-2026 tillsynsbegäran mail.docx", "A 31693-2026")</f>
        <v/>
      </c>
    </row>
    <row r="102" ht="15" customHeight="1">
      <c r="A102" t="inlineStr">
        <is>
          <t>A 49884-2023</t>
        </is>
      </c>
      <c r="B102" t="inlineStr">
        <is>
          <t>avverkningsanmälan</t>
        </is>
      </c>
      <c r="C102" t="inlineStr">
        <is>
          <t>Föryngringsavverkning</t>
        </is>
      </c>
      <c r="D102" s="1" t="n">
        <v>45213</v>
      </c>
      <c r="E102" s="1" t="n">
        <v>46316</v>
      </c>
      <c r="F102" t="inlineStr">
        <is>
          <t>GOTLANDS LÄN</t>
        </is>
      </c>
      <c r="G102" t="inlineStr">
        <is>
          <t>GOTLAND</t>
        </is>
      </c>
      <c r="I102" t="n">
        <v>8.9</v>
      </c>
      <c r="J102" t="n">
        <v>2</v>
      </c>
      <c r="K102" t="n">
        <v>5</v>
      </c>
      <c r="L102" t="n">
        <v>1</v>
      </c>
      <c r="M102" t="n">
        <v>0</v>
      </c>
      <c r="N102" t="n">
        <v>0</v>
      </c>
      <c r="O102" t="n">
        <v>0</v>
      </c>
      <c r="P102" t="n">
        <v>0</v>
      </c>
      <c r="Q102" t="n">
        <v>1</v>
      </c>
      <c r="R102" t="n">
        <v>0</v>
      </c>
      <c r="S102" t="n">
        <v>6</v>
      </c>
      <c r="T102" t="n">
        <v>9</v>
      </c>
      <c r="U102" t="n">
        <v>9</v>
      </c>
      <c r="V102" s="2" t="inlineStr">
        <is>
          <t>Blå slemspindling
Nästrot
Olivspindling
Rödgul trumpetsvamp
Skogsknipprot
Svavelriska</t>
        </is>
      </c>
      <c r="W102">
        <f>HYPERLINK("https://klasma.github.io/Logging_0980/artfynd/A 49884-2023 artfynd.xlsx", "A 49884-2023")</f>
        <v/>
      </c>
      <c r="X102">
        <f>HYPERLINK("https://klasma.github.io/Logging_0980/kartor/A 49884-2023 karta.png", "A 49884-2023")</f>
        <v/>
      </c>
      <c r="Y102">
        <f>HYPERLINK("https://klasma.github.io/Logging_0980/kartor_geotiff/A 49884-2023 georefererad karta.tif", "A 49884-2023")</f>
        <v/>
      </c>
      <c r="AA102">
        <f>HYPERLINK("https://klasma.github.io/Logging_0980/klagomål/A 49884-2023 FSC-klagomål.docx", "A 49884-2023")</f>
        <v/>
      </c>
      <c r="AB102">
        <f>HYPERLINK("https://klasma.github.io/Logging_0980/klagomålsmail/A 49884-2023 FSC-klagomål mail.docx", "A 49884-2023")</f>
        <v/>
      </c>
      <c r="AC102">
        <f>HYPERLINK("https://klasma.github.io/Logging_0980/tillsyn/A 49884-2023 tillsynsbegäran.docx", "A 49884-2023")</f>
        <v/>
      </c>
      <c r="AD102">
        <f>HYPERLINK("https://klasma.github.io/Logging_0980/tillsynsmail/A 49884-2023 tillsynsbegäran mail.docx", "A 49884-2023")</f>
        <v/>
      </c>
    </row>
    <row r="103" ht="15" customHeight="1">
      <c r="A103" t="inlineStr">
        <is>
          <t>A 43200-2023</t>
        </is>
      </c>
      <c r="B103" t="inlineStr">
        <is>
          <t>avverkningsanmälan</t>
        </is>
      </c>
      <c r="C103" t="inlineStr">
        <is>
          <t>Föryngringsavverkning</t>
        </is>
      </c>
      <c r="D103" s="1" t="n">
        <v>45183</v>
      </c>
      <c r="E103" s="1" t="n">
        <v>46316</v>
      </c>
      <c r="F103" t="inlineStr">
        <is>
          <t>GOTLANDS LÄN</t>
        </is>
      </c>
      <c r="G103" t="inlineStr">
        <is>
          <t>GOTLAND</t>
        </is>
      </c>
      <c r="I103" t="n">
        <v>0.5</v>
      </c>
      <c r="J103" t="n">
        <v>2</v>
      </c>
      <c r="K103" t="n">
        <v>3</v>
      </c>
      <c r="L103" t="n">
        <v>3</v>
      </c>
      <c r="M103" t="n">
        <v>0</v>
      </c>
      <c r="N103" t="n">
        <v>0</v>
      </c>
      <c r="O103" t="n">
        <v>0</v>
      </c>
      <c r="P103" t="n">
        <v>0</v>
      </c>
      <c r="Q103" t="n">
        <v>3</v>
      </c>
      <c r="R103" t="n">
        <v>0</v>
      </c>
      <c r="S103" t="n">
        <v>6</v>
      </c>
      <c r="T103" t="n">
        <v>8</v>
      </c>
      <c r="U103" t="n">
        <v>0</v>
      </c>
      <c r="V103" s="2" t="inlineStr">
        <is>
          <t>Kattfotslav
Sårläka
Vårärt
Kalktallört
Nästrot
Skogsknipprot</t>
        </is>
      </c>
      <c r="W103">
        <f>HYPERLINK("https://klasma.github.io/Logging_0980/artfynd/A 43200-2023 artfynd.xlsx", "A 43200-2023")</f>
        <v/>
      </c>
      <c r="X103">
        <f>HYPERLINK("https://klasma.github.io/Logging_0980/kartor/A 43200-2023 karta.png", "A 43200-2023")</f>
        <v/>
      </c>
      <c r="Y103">
        <f>HYPERLINK("https://klasma.github.io/Logging_0980/kartor_geotiff/A 43200-2023 georefererad karta.tif", "A 43200-2023")</f>
        <v/>
      </c>
      <c r="AA103">
        <f>HYPERLINK("https://klasma.github.io/Logging_0980/klagomål/A 43200-2023 FSC-klagomål.docx", "A 43200-2023")</f>
        <v/>
      </c>
      <c r="AB103">
        <f>HYPERLINK("https://klasma.github.io/Logging_0980/klagomålsmail/A 43200-2023 FSC-klagomål mail.docx", "A 43200-2023")</f>
        <v/>
      </c>
      <c r="AC103">
        <f>HYPERLINK("https://klasma.github.io/Logging_0980/tillsyn/A 43200-2023 tillsynsbegäran.docx", "A 43200-2023")</f>
        <v/>
      </c>
      <c r="AD103">
        <f>HYPERLINK("https://klasma.github.io/Logging_0980/tillsynsmail/A 43200-2023 tillsynsbegäran mail.docx", "A 43200-2023")</f>
        <v/>
      </c>
    </row>
    <row r="104" ht="15" customHeight="1">
      <c r="A104" t="inlineStr">
        <is>
          <t>A 39400-2026</t>
        </is>
      </c>
      <c r="B104" t="inlineStr">
        <is>
          <t>avverkningsanmälan</t>
        </is>
      </c>
      <c r="C104" t="inlineStr">
        <is>
          <t>Föryngringsavverkning</t>
        </is>
      </c>
      <c r="D104" s="1" t="n">
        <v>46288</v>
      </c>
      <c r="E104" s="1" t="n">
        <v>46316</v>
      </c>
      <c r="F104" t="inlineStr">
        <is>
          <t>GOTLANDS LÄN</t>
        </is>
      </c>
      <c r="G104" t="inlineStr">
        <is>
          <t>GOTLAND</t>
        </is>
      </c>
      <c r="I104" t="n">
        <v>5.4</v>
      </c>
      <c r="J104" t="n">
        <v>1</v>
      </c>
      <c r="K104" t="n">
        <v>2</v>
      </c>
      <c r="L104" t="n">
        <v>1</v>
      </c>
      <c r="M104" t="n">
        <v>3</v>
      </c>
      <c r="N104" t="n">
        <v>0</v>
      </c>
      <c r="O104" t="n">
        <v>0</v>
      </c>
      <c r="P104" t="n">
        <v>0</v>
      </c>
      <c r="Q104" t="n">
        <v>4</v>
      </c>
      <c r="R104" t="n">
        <v>3</v>
      </c>
      <c r="S104" t="n">
        <v>6</v>
      </c>
      <c r="T104" t="n">
        <v>8</v>
      </c>
      <c r="U104" t="n">
        <v>8</v>
      </c>
      <c r="V104" s="2" t="inlineStr">
        <is>
          <t>Gulsträngad fagerspindling
Svartgrön spindling
Trollspindling
Kungsörn
Anisspindling
Rödbrun jordstjärna</t>
        </is>
      </c>
      <c r="W104">
        <f>HYPERLINK("https://klasma.github.io/Logging_0980/artfynd/A 39400-2026 artfynd.xlsx", "A 39400-2026")</f>
        <v/>
      </c>
      <c r="X104">
        <f>HYPERLINK("https://klasma.github.io/Logging_0980/kartor/A 39400-2026 karta.png", "A 39400-2026")</f>
        <v/>
      </c>
      <c r="Y104">
        <f>HYPERLINK("https://klasma.github.io/Logging_0980/kartor_geotiff/A 39400-2026 georefererad karta.tif", "A 39400-2026")</f>
        <v/>
      </c>
      <c r="AA104">
        <f>HYPERLINK("https://klasma.github.io/Logging_0980/klagomål/A 39400-2026 FSC-klagomål.docx", "A 39400-2026")</f>
        <v/>
      </c>
      <c r="AB104">
        <f>HYPERLINK("https://klasma.github.io/Logging_0980/klagomålsmail/A 39400-2026 FSC-klagomål mail.docx", "A 39400-2026")</f>
        <v/>
      </c>
      <c r="AC104">
        <f>HYPERLINK("https://klasma.github.io/Logging_0980/tillsyn/A 39400-2026 tillsynsbegäran.docx", "A 39400-2026")</f>
        <v/>
      </c>
      <c r="AD104">
        <f>HYPERLINK("https://klasma.github.io/Logging_0980/tillsynsmail/A 39400-2026 tillsynsbegäran mail.docx", "A 39400-2026")</f>
        <v/>
      </c>
      <c r="AE104">
        <f>HYPERLINK("https://klasma.github.io/Logging_0980/fåglar/A 39400-2026 prioriterade fågelarter.docx", "A 39400-2026")</f>
        <v/>
      </c>
    </row>
    <row r="105" ht="15" customHeight="1">
      <c r="A105" t="inlineStr">
        <is>
          <t>S 452-2025</t>
        </is>
      </c>
      <c r="B105" t="inlineStr">
        <is>
          <t>samrådsanmälan</t>
        </is>
      </c>
      <c r="C105" t="inlineStr">
        <is>
          <t>Askåterföring</t>
        </is>
      </c>
      <c r="D105" s="1" t="n">
        <v>45701</v>
      </c>
      <c r="E105" s="1" t="n">
        <v>46316</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73144-2021</t>
        </is>
      </c>
      <c r="B106" t="inlineStr">
        <is>
          <t>avverkningsanmälan</t>
        </is>
      </c>
      <c r="C106" t="inlineStr">
        <is>
          <t>Föryngringsavverkning</t>
        </is>
      </c>
      <c r="D106" s="1" t="n">
        <v>44550</v>
      </c>
      <c r="E106" s="1" t="n">
        <v>46316</v>
      </c>
      <c r="F106" t="inlineStr">
        <is>
          <t>GOTLANDS LÄN</t>
        </is>
      </c>
      <c r="G106" t="inlineStr">
        <is>
          <t>GOTLAND</t>
        </is>
      </c>
      <c r="I106" t="n">
        <v>1.9</v>
      </c>
      <c r="J106" t="n">
        <v>0</v>
      </c>
      <c r="K106" t="n">
        <v>1</v>
      </c>
      <c r="L106" t="n">
        <v>1</v>
      </c>
      <c r="M106" t="n">
        <v>3</v>
      </c>
      <c r="N106" t="n">
        <v>0</v>
      </c>
      <c r="O106" t="n">
        <v>0</v>
      </c>
      <c r="P106" t="n">
        <v>0</v>
      </c>
      <c r="Q106" t="n">
        <v>4</v>
      </c>
      <c r="R106" t="n">
        <v>3</v>
      </c>
      <c r="S106" t="n">
        <v>5</v>
      </c>
      <c r="T106" t="n">
        <v>7</v>
      </c>
      <c r="U106" t="n">
        <v>7</v>
      </c>
      <c r="V106" s="2" t="inlineStr">
        <is>
          <t>Igelkott
Skogskorn
Svartgrön spindling
Äggspindling
Kambräken</t>
        </is>
      </c>
      <c r="W106">
        <f>HYPERLINK("https://klasma.github.io/Logging_0980/artfynd/A 73144-2021 artfynd.xlsx", "A 73144-2021")</f>
        <v/>
      </c>
      <c r="X106">
        <f>HYPERLINK("https://klasma.github.io/Logging_0980/kartor/A 73144-2021 karta.png", "A 73144-2021")</f>
        <v/>
      </c>
      <c r="Y106">
        <f>HYPERLINK("https://klasma.github.io/Logging_0980/kartor_geotiff/A 73144-2021 georefererad karta.tif", "A 73144-2021")</f>
        <v/>
      </c>
      <c r="AA106">
        <f>HYPERLINK("https://klasma.github.io/Logging_0980/klagomål/A 73144-2021 FSC-klagomål.docx", "A 73144-2021")</f>
        <v/>
      </c>
      <c r="AB106">
        <f>HYPERLINK("https://klasma.github.io/Logging_0980/klagomålsmail/A 73144-2021 FSC-klagomål mail.docx", "A 73144-2021")</f>
        <v/>
      </c>
      <c r="AC106">
        <f>HYPERLINK("https://klasma.github.io/Logging_0980/tillsyn/A 73144-2021 tillsynsbegäran.docx", "A 73144-2021")</f>
        <v/>
      </c>
      <c r="AD106">
        <f>HYPERLINK("https://klasma.github.io/Logging_0980/tillsynsmail/A 73144-2021 tillsynsbegäran mail.docx", "A 73144-2021")</f>
        <v/>
      </c>
    </row>
    <row r="107" ht="15" customHeight="1">
      <c r="A107" t="inlineStr">
        <is>
          <t>A 43197-2023</t>
        </is>
      </c>
      <c r="B107" t="inlineStr">
        <is>
          <t>avverkningsanmälan</t>
        </is>
      </c>
      <c r="C107" t="inlineStr">
        <is>
          <t>Föryngringsavverkning</t>
        </is>
      </c>
      <c r="D107" s="1" t="n">
        <v>45183</v>
      </c>
      <c r="E107" s="1" t="n">
        <v>46316</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5904-2024</t>
        </is>
      </c>
      <c r="B108" t="inlineStr">
        <is>
          <t>avverkningsanmälan</t>
        </is>
      </c>
      <c r="C108" t="inlineStr">
        <is>
          <t>Föryngringsavverkning</t>
        </is>
      </c>
      <c r="D108" s="1" t="n">
        <v>45335</v>
      </c>
      <c r="E108" s="1" t="n">
        <v>46316</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39425-2023</t>
        </is>
      </c>
      <c r="B109" t="inlineStr">
        <is>
          <t>avverkningsanmälan</t>
        </is>
      </c>
      <c r="C109" t="inlineStr">
        <is>
          <t>Avverkning för annat ändamål</t>
        </is>
      </c>
      <c r="D109" s="1" t="n">
        <v>45166</v>
      </c>
      <c r="E109" s="1" t="n">
        <v>46316</v>
      </c>
      <c r="F109" t="inlineStr">
        <is>
          <t>GOTLANDS LÄN</t>
        </is>
      </c>
      <c r="G109" t="inlineStr">
        <is>
          <t>GOTLAND</t>
        </is>
      </c>
      <c r="I109" t="n">
        <v>3.9</v>
      </c>
      <c r="J109" t="n">
        <v>1</v>
      </c>
      <c r="K109" t="n">
        <v>3</v>
      </c>
      <c r="L109" t="n">
        <v>0</v>
      </c>
      <c r="M109" t="n">
        <v>1</v>
      </c>
      <c r="N109" t="n">
        <v>1</v>
      </c>
      <c r="O109" t="n">
        <v>0</v>
      </c>
      <c r="P109" t="n">
        <v>0</v>
      </c>
      <c r="Q109" t="n">
        <v>2</v>
      </c>
      <c r="R109" t="n">
        <v>2</v>
      </c>
      <c r="S109" t="n">
        <v>5</v>
      </c>
      <c r="T109" t="n">
        <v>7</v>
      </c>
      <c r="U109" t="n">
        <v>7</v>
      </c>
      <c r="V109" s="2" t="inlineStr">
        <is>
          <t>Violgubbe
Knärot
Anisspindling
Rödgul trumpetsvamp
Svavelriska</t>
        </is>
      </c>
      <c r="W109">
        <f>HYPERLINK("https://klasma.github.io/Logging_0980/artfynd/A 39425-2023 artfynd.xlsx", "A 39425-2023")</f>
        <v/>
      </c>
      <c r="X109">
        <f>HYPERLINK("https://klasma.github.io/Logging_0980/kartor/A 39425-2023 karta.png", "A 39425-2023")</f>
        <v/>
      </c>
      <c r="Y109">
        <f>HYPERLINK("https://klasma.github.io/Logging_0980/kartor_geotiff/A 39425-2023 georefererad karta.tif", "A 39425-2023")</f>
        <v/>
      </c>
      <c r="Z109">
        <f>HYPERLINK("https://klasma.github.io/Logging_0980/knärot/A 39425-2023 karta knärot.png", "A 39425-2023")</f>
        <v/>
      </c>
      <c r="AA109">
        <f>HYPERLINK("https://klasma.github.io/Logging_0980/klagomål/A 39425-2023 FSC-klagomål.docx", "A 39425-2023")</f>
        <v/>
      </c>
      <c r="AB109">
        <f>HYPERLINK("https://klasma.github.io/Logging_0980/klagomålsmail/A 39425-2023 FSC-klagomål mail.docx", "A 39425-2023")</f>
        <v/>
      </c>
      <c r="AC109">
        <f>HYPERLINK("https://klasma.github.io/Logging_0980/tillsyn/A 39425-2023 tillsynsbegäran.docx", "A 39425-2023")</f>
        <v/>
      </c>
      <c r="AD109">
        <f>HYPERLINK("https://klasma.github.io/Logging_0980/tillsynsmail/A 39425-2023 tillsynsbegäran mail.docx", "A 39425-2023")</f>
        <v/>
      </c>
    </row>
    <row r="110" ht="15" customHeight="1">
      <c r="A110" t="inlineStr">
        <is>
          <t>A 42936-2024</t>
        </is>
      </c>
      <c r="B110" t="inlineStr">
        <is>
          <t>avverkningsanmälan</t>
        </is>
      </c>
      <c r="C110" t="inlineStr">
        <is>
          <t>Föryngringsavverkning</t>
        </is>
      </c>
      <c r="D110" s="1" t="n">
        <v>45567</v>
      </c>
      <c r="E110" s="1" t="n">
        <v>46316</v>
      </c>
      <c r="F110" t="inlineStr">
        <is>
          <t>GOTLANDS LÄN</t>
        </is>
      </c>
      <c r="G110" t="inlineStr">
        <is>
          <t>GOTLAND</t>
        </is>
      </c>
      <c r="I110" t="n">
        <v>3.4</v>
      </c>
      <c r="J110" t="n">
        <v>0</v>
      </c>
      <c r="K110" t="n">
        <v>1</v>
      </c>
      <c r="L110" t="n">
        <v>3</v>
      </c>
      <c r="M110" t="n">
        <v>1</v>
      </c>
      <c r="N110" t="n">
        <v>0</v>
      </c>
      <c r="O110" t="n">
        <v>0</v>
      </c>
      <c r="P110" t="n">
        <v>0</v>
      </c>
      <c r="Q110" t="n">
        <v>4</v>
      </c>
      <c r="R110" t="n">
        <v>1</v>
      </c>
      <c r="S110" t="n">
        <v>5</v>
      </c>
      <c r="T110" t="n">
        <v>5</v>
      </c>
      <c r="U110" t="n">
        <v>0</v>
      </c>
      <c r="V110" s="2" t="inlineStr">
        <is>
          <t>Vit taggsvamp
Barrfagerspindling
Blå slemspindling
Äggspindling
Svavelriska</t>
        </is>
      </c>
      <c r="W110">
        <f>HYPERLINK("https://klasma.github.io/Logging_0980/artfynd/A 42936-2024 artfynd.xlsx", "A 42936-2024")</f>
        <v/>
      </c>
      <c r="X110">
        <f>HYPERLINK("https://klasma.github.io/Logging_0980/kartor/A 42936-2024 karta.png", "A 42936-2024")</f>
        <v/>
      </c>
      <c r="Y110">
        <f>HYPERLINK("https://klasma.github.io/Logging_0980/kartor_geotiff/A 42936-2024 georefererad karta.tif", "A 42936-2024")</f>
        <v/>
      </c>
      <c r="AA110">
        <f>HYPERLINK("https://klasma.github.io/Logging_0980/klagomål/A 42936-2024 FSC-klagomål.docx", "A 42936-2024")</f>
        <v/>
      </c>
      <c r="AB110">
        <f>HYPERLINK("https://klasma.github.io/Logging_0980/klagomålsmail/A 42936-2024 FSC-klagomål mail.docx", "A 42936-2024")</f>
        <v/>
      </c>
      <c r="AC110">
        <f>HYPERLINK("https://klasma.github.io/Logging_0980/tillsyn/A 42936-2024 tillsynsbegäran.docx", "A 42936-2024")</f>
        <v/>
      </c>
      <c r="AD110">
        <f>HYPERLINK("https://klasma.github.io/Logging_0980/tillsynsmail/A 42936-2024 tillsynsbegäran mail.docx", "A 42936-2024")</f>
        <v/>
      </c>
    </row>
    <row r="111" ht="15" customHeight="1">
      <c r="A111" t="inlineStr">
        <is>
          <t>A 57463-2025</t>
        </is>
      </c>
      <c r="B111" t="inlineStr">
        <is>
          <t>avverkningsanmälan</t>
        </is>
      </c>
      <c r="C111" t="inlineStr">
        <is>
          <t>Föryngringsavverkning</t>
        </is>
      </c>
      <c r="D111" s="1" t="n">
        <v>45980</v>
      </c>
      <c r="E111" s="1" t="n">
        <v>46316</v>
      </c>
      <c r="F111" t="inlineStr">
        <is>
          <t>GOTLANDS LÄN</t>
        </is>
      </c>
      <c r="G111" t="inlineStr">
        <is>
          <t>GOTLAND</t>
        </is>
      </c>
      <c r="I111" t="n">
        <v>3.8</v>
      </c>
      <c r="J111" t="n">
        <v>0</v>
      </c>
      <c r="K111" t="n">
        <v>0</v>
      </c>
      <c r="L111" t="n">
        <v>2</v>
      </c>
      <c r="M111" t="n">
        <v>3</v>
      </c>
      <c r="N111" t="n">
        <v>0</v>
      </c>
      <c r="O111" t="n">
        <v>0</v>
      </c>
      <c r="P111" t="n">
        <v>0</v>
      </c>
      <c r="Q111" t="n">
        <v>5</v>
      </c>
      <c r="R111" t="n">
        <v>3</v>
      </c>
      <c r="S111" t="n">
        <v>5</v>
      </c>
      <c r="T111" t="n">
        <v>7</v>
      </c>
      <c r="U111" t="n">
        <v>0</v>
      </c>
      <c r="V111" s="2" t="inlineStr">
        <is>
          <t>Bullspindling
Gulsträngad fagerspindling
Tvillingspindling
Blå slemspindling
Odörspindling</t>
        </is>
      </c>
      <c r="W111">
        <f>HYPERLINK("https://klasma.github.io/Logging_0980/artfynd/A 57463-2025 artfynd.xlsx", "A 57463-2025")</f>
        <v/>
      </c>
      <c r="X111">
        <f>HYPERLINK("https://klasma.github.io/Logging_0980/kartor/A 57463-2025 karta.png", "A 57463-2025")</f>
        <v/>
      </c>
      <c r="Y111">
        <f>HYPERLINK("https://klasma.github.io/Logging_0980/kartor_geotiff/A 57463-2025 georefererad karta.tif", "A 57463-2025")</f>
        <v/>
      </c>
      <c r="AA111">
        <f>HYPERLINK("https://klasma.github.io/Logging_0980/klagomål/A 57463-2025 FSC-klagomål.docx", "A 57463-2025")</f>
        <v/>
      </c>
      <c r="AB111">
        <f>HYPERLINK("https://klasma.github.io/Logging_0980/klagomålsmail/A 57463-2025 FSC-klagomål mail.docx", "A 57463-2025")</f>
        <v/>
      </c>
      <c r="AC111">
        <f>HYPERLINK("https://klasma.github.io/Logging_0980/tillsyn/A 57463-2025 tillsynsbegäran.docx", "A 57463-2025")</f>
        <v/>
      </c>
      <c r="AD111">
        <f>HYPERLINK("https://klasma.github.io/Logging_0980/tillsynsmail/A 57463-2025 tillsynsbegäran mail.docx", "A 57463-2025")</f>
        <v/>
      </c>
    </row>
    <row r="112" ht="15" customHeight="1">
      <c r="A112" t="inlineStr">
        <is>
          <t>A 54055-2022</t>
        </is>
      </c>
      <c r="B112" t="inlineStr">
        <is>
          <t>avverkningsanmälan</t>
        </is>
      </c>
      <c r="C112" t="inlineStr">
        <is>
          <t>Föryngringsavverkning</t>
        </is>
      </c>
      <c r="D112" s="1" t="n">
        <v>44881</v>
      </c>
      <c r="E112" s="1" t="n">
        <v>46316</v>
      </c>
      <c r="F112" t="inlineStr">
        <is>
          <t>GOTLANDS LÄN</t>
        </is>
      </c>
      <c r="G112" t="inlineStr">
        <is>
          <t>GOTLAND</t>
        </is>
      </c>
      <c r="I112" t="n">
        <v>4.6</v>
      </c>
      <c r="J112" t="n">
        <v>0</v>
      </c>
      <c r="K112" t="n">
        <v>2</v>
      </c>
      <c r="L112" t="n">
        <v>2</v>
      </c>
      <c r="M112" t="n">
        <v>1</v>
      </c>
      <c r="N112" t="n">
        <v>0</v>
      </c>
      <c r="O112" t="n">
        <v>0</v>
      </c>
      <c r="P112" t="n">
        <v>0</v>
      </c>
      <c r="Q112" t="n">
        <v>3</v>
      </c>
      <c r="R112" t="n">
        <v>1</v>
      </c>
      <c r="S112" t="n">
        <v>5</v>
      </c>
      <c r="T112" t="n">
        <v>8</v>
      </c>
      <c r="U112" t="n">
        <v>0</v>
      </c>
      <c r="V112" s="2" t="inlineStr">
        <is>
          <t>Duvspindling
Kryddspindling
Odörspindling
Diskvaxskivling
Olivspindling</t>
        </is>
      </c>
      <c r="W112">
        <f>HYPERLINK("https://klasma.github.io/Logging_0980/artfynd/A 54055-2022 artfynd.xlsx", "A 54055-2022")</f>
        <v/>
      </c>
      <c r="X112">
        <f>HYPERLINK("https://klasma.github.io/Logging_0980/kartor/A 54055-2022 karta.png", "A 54055-2022")</f>
        <v/>
      </c>
      <c r="Y112">
        <f>HYPERLINK("https://klasma.github.io/Logging_0980/kartor_geotiff/A 54055-2022 georefererad karta.tif", "A 54055-2022")</f>
        <v/>
      </c>
      <c r="AA112">
        <f>HYPERLINK("https://klasma.github.io/Logging_0980/klagomål/A 54055-2022 FSC-klagomål.docx", "A 54055-2022")</f>
        <v/>
      </c>
      <c r="AB112">
        <f>HYPERLINK("https://klasma.github.io/Logging_0980/klagomålsmail/A 54055-2022 FSC-klagomål mail.docx", "A 54055-2022")</f>
        <v/>
      </c>
      <c r="AC112">
        <f>HYPERLINK("https://klasma.github.io/Logging_0980/tillsyn/A 54055-2022 tillsynsbegäran.docx", "A 54055-2022")</f>
        <v/>
      </c>
      <c r="AD112">
        <f>HYPERLINK("https://klasma.github.io/Logging_0980/tillsynsmail/A 54055-2022 tillsynsbegäran mail.docx", "A 54055-2022")</f>
        <v/>
      </c>
    </row>
    <row r="113" ht="15" customHeight="1">
      <c r="A113" t="inlineStr">
        <is>
          <t>A 62836-2025</t>
        </is>
      </c>
      <c r="B113" t="inlineStr">
        <is>
          <t>avverkningsanmälan</t>
        </is>
      </c>
      <c r="C113" t="inlineStr">
        <is>
          <t>Föryngringsavverkning</t>
        </is>
      </c>
      <c r="D113" s="1" t="n">
        <v>46008</v>
      </c>
      <c r="E113" s="1" t="n">
        <v>46316</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8265-2023</t>
        </is>
      </c>
      <c r="B114" t="inlineStr">
        <is>
          <t>avverkningsanmälan</t>
        </is>
      </c>
      <c r="C114" t="inlineStr">
        <is>
          <t>Föryngringsavverkning</t>
        </is>
      </c>
      <c r="D114" s="1" t="n">
        <v>44974</v>
      </c>
      <c r="E114" s="1" t="n">
        <v>46316</v>
      </c>
      <c r="F114" t="inlineStr">
        <is>
          <t>GOTLANDS LÄN</t>
        </is>
      </c>
      <c r="G114" t="inlineStr">
        <is>
          <t>GOTLAND</t>
        </is>
      </c>
      <c r="I114" t="n">
        <v>3.3</v>
      </c>
      <c r="J114" t="n">
        <v>4</v>
      </c>
      <c r="K114" t="n">
        <v>3</v>
      </c>
      <c r="L114" t="n">
        <v>1</v>
      </c>
      <c r="M114" t="n">
        <v>0</v>
      </c>
      <c r="N114" t="n">
        <v>0</v>
      </c>
      <c r="O114" t="n">
        <v>0</v>
      </c>
      <c r="P114" t="n">
        <v>0</v>
      </c>
      <c r="Q114" t="n">
        <v>1</v>
      </c>
      <c r="R114" t="n">
        <v>0</v>
      </c>
      <c r="S114" t="n">
        <v>5</v>
      </c>
      <c r="T114" t="n">
        <v>9</v>
      </c>
      <c r="U114" t="n">
        <v>9</v>
      </c>
      <c r="V114" s="2" t="inlineStr">
        <is>
          <t>Säfferot
Flugblomster
Purpurknipprot
Tvåblad
Salepsrot</t>
        </is>
      </c>
      <c r="W114">
        <f>HYPERLINK("https://klasma.github.io/Logging_0980/artfynd/A 8265-2023 artfynd.xlsx", "A 8265-2023")</f>
        <v/>
      </c>
      <c r="X114">
        <f>HYPERLINK("https://klasma.github.io/Logging_0980/kartor/A 8265-2023 karta.png", "A 8265-2023")</f>
        <v/>
      </c>
      <c r="Y114">
        <f>HYPERLINK("https://klasma.github.io/Logging_0980/kartor_geotiff/A 8265-2023 georefererad karta.tif", "A 8265-2023")</f>
        <v/>
      </c>
      <c r="AA114">
        <f>HYPERLINK("https://klasma.github.io/Logging_0980/klagomål/A 8265-2023 FSC-klagomål.docx", "A 8265-2023")</f>
        <v/>
      </c>
      <c r="AB114">
        <f>HYPERLINK("https://klasma.github.io/Logging_0980/klagomålsmail/A 8265-2023 FSC-klagomål mail.docx", "A 8265-2023")</f>
        <v/>
      </c>
      <c r="AC114">
        <f>HYPERLINK("https://klasma.github.io/Logging_0980/tillsyn/A 8265-2023 tillsynsbegäran.docx", "A 8265-2023")</f>
        <v/>
      </c>
      <c r="AD114">
        <f>HYPERLINK("https://klasma.github.io/Logging_0980/tillsynsmail/A 8265-2023 tillsynsbegäran mail.docx", "A 8265-2023")</f>
        <v/>
      </c>
    </row>
    <row r="115" ht="15" customHeight="1">
      <c r="A115" t="inlineStr">
        <is>
          <t>S 1702-2020</t>
        </is>
      </c>
      <c r="B115" t="inlineStr">
        <is>
          <t>samrådsanmälan</t>
        </is>
      </c>
      <c r="C115" t="n">
        <v/>
      </c>
      <c r="D115" s="1" t="n">
        <v>44040</v>
      </c>
      <c r="E115" s="1" t="n">
        <v>46316</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61386-2023</t>
        </is>
      </c>
      <c r="B116" t="inlineStr">
        <is>
          <t>avverkningsanmälan</t>
        </is>
      </c>
      <c r="C116" t="inlineStr">
        <is>
          <t>Avverkning för annat ändamål</t>
        </is>
      </c>
      <c r="D116" s="1" t="n">
        <v>45264</v>
      </c>
      <c r="E116" s="1" t="n">
        <v>46316</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t="n">
        <v>0</v>
      </c>
      <c r="V116" s="2" t="inlineStr">
        <is>
          <t>Ädellav
Korallblylav
Lönnlav
Rikfruktig blemlav</t>
        </is>
      </c>
      <c r="W116">
        <f>HYPERLINK("https://klasma.github.io/Logging_0980/artfynd/A 61386-2023 artfynd.xlsx", "A 61386-2023")</f>
        <v/>
      </c>
      <c r="X116">
        <f>HYPERLINK("https://klasma.github.io/Logging_0980/kartor/A 61386-2023 karta.png", "A 61386-2023")</f>
        <v/>
      </c>
      <c r="Y116">
        <f>HYPERLINK("https://klasma.github.io/Logging_0980/kartor_geotiff/A 61386-2023 georefererad karta.tif", "A 61386-2023")</f>
        <v/>
      </c>
      <c r="AA116">
        <f>HYPERLINK("https://klasma.github.io/Logging_0980/klagomål/A 61386-2023 FSC-klagomål.docx", "A 61386-2023")</f>
        <v/>
      </c>
      <c r="AB116">
        <f>HYPERLINK("https://klasma.github.io/Logging_0980/klagomålsmail/A 61386-2023 FSC-klagomål mail.docx", "A 61386-2023")</f>
        <v/>
      </c>
      <c r="AC116">
        <f>HYPERLINK("https://klasma.github.io/Logging_0980/tillsyn/A 61386-2023 tillsynsbegäran.docx", "A 61386-2023")</f>
        <v/>
      </c>
      <c r="AD116">
        <f>HYPERLINK("https://klasma.github.io/Logging_0980/tillsynsmail/A 61386-2023 tillsynsbegäran mail.docx", "A 61386-2023")</f>
        <v/>
      </c>
    </row>
    <row r="117" ht="15" customHeight="1">
      <c r="A117" t="inlineStr">
        <is>
          <t>A 5235-2025</t>
        </is>
      </c>
      <c r="B117" t="inlineStr">
        <is>
          <t>avverkningsanmälan</t>
        </is>
      </c>
      <c r="C117" t="inlineStr">
        <is>
          <t>Föryngringsavverkning</t>
        </is>
      </c>
      <c r="D117" s="1" t="n">
        <v>45692</v>
      </c>
      <c r="E117" s="1" t="n">
        <v>46316</v>
      </c>
      <c r="F117" t="inlineStr">
        <is>
          <t>GOTLANDS LÄN</t>
        </is>
      </c>
      <c r="G117" t="inlineStr">
        <is>
          <t>GOTLAND</t>
        </is>
      </c>
      <c r="I117" t="n">
        <v>7.6</v>
      </c>
      <c r="J117" t="n">
        <v>2</v>
      </c>
      <c r="K117" t="n">
        <v>2</v>
      </c>
      <c r="L117" t="n">
        <v>2</v>
      </c>
      <c r="M117" t="n">
        <v>0</v>
      </c>
      <c r="N117" t="n">
        <v>0</v>
      </c>
      <c r="O117" t="n">
        <v>0</v>
      </c>
      <c r="P117" t="n">
        <v>0</v>
      </c>
      <c r="Q117" t="n">
        <v>2</v>
      </c>
      <c r="R117" t="n">
        <v>0</v>
      </c>
      <c r="S117" t="n">
        <v>4</v>
      </c>
      <c r="T117" t="n">
        <v>8</v>
      </c>
      <c r="U117" t="n">
        <v>8</v>
      </c>
      <c r="V117" s="2" t="inlineStr">
        <is>
          <t>Dårgräsfjäril
Svinrot
Blåmossa
Tvåblad</t>
        </is>
      </c>
      <c r="W117">
        <f>HYPERLINK("https://klasma.github.io/Logging_0980/artfynd/A 5235-2025 artfynd.xlsx", "A 5235-2025")</f>
        <v/>
      </c>
      <c r="X117">
        <f>HYPERLINK("https://klasma.github.io/Logging_0980/kartor/A 5235-2025 karta.png", "A 5235-2025")</f>
        <v/>
      </c>
      <c r="Y117">
        <f>HYPERLINK("https://klasma.github.io/Logging_0980/kartor_geotiff/A 5235-2025 georefererad karta.tif", "A 5235-2025")</f>
        <v/>
      </c>
      <c r="AA117">
        <f>HYPERLINK("https://klasma.github.io/Logging_0980/klagomål/A 5235-2025 FSC-klagomål.docx", "A 5235-2025")</f>
        <v/>
      </c>
      <c r="AB117">
        <f>HYPERLINK("https://klasma.github.io/Logging_0980/klagomålsmail/A 5235-2025 FSC-klagomål mail.docx", "A 5235-2025")</f>
        <v/>
      </c>
      <c r="AC117">
        <f>HYPERLINK("https://klasma.github.io/Logging_0980/tillsyn/A 5235-2025 tillsynsbegäran.docx", "A 5235-2025")</f>
        <v/>
      </c>
      <c r="AD117">
        <f>HYPERLINK("https://klasma.github.io/Logging_0980/tillsynsmail/A 5235-2025 tillsynsbegäran mail.docx", "A 5235-2025")</f>
        <v/>
      </c>
    </row>
    <row r="118" ht="15" customHeight="1">
      <c r="A118" t="inlineStr">
        <is>
          <t>A 56717-2024</t>
        </is>
      </c>
      <c r="B118" t="inlineStr">
        <is>
          <t>avverkningsanmälan</t>
        </is>
      </c>
      <c r="C118" t="inlineStr">
        <is>
          <t>Föryngringsavverkning</t>
        </is>
      </c>
      <c r="D118" s="1" t="n">
        <v>45628</v>
      </c>
      <c r="E118" s="1" t="n">
        <v>46316</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54523-2023</t>
        </is>
      </c>
      <c r="B119" t="inlineStr">
        <is>
          <t>avverkningsanmälan</t>
        </is>
      </c>
      <c r="C119" t="inlineStr">
        <is>
          <t>Föryngringsavverkning</t>
        </is>
      </c>
      <c r="D119" s="1" t="n">
        <v>45233</v>
      </c>
      <c r="E119" s="1" t="n">
        <v>46316</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2485-2025</t>
        </is>
      </c>
      <c r="B120" t="inlineStr">
        <is>
          <t>avverkningsanmälan</t>
        </is>
      </c>
      <c r="C120" t="inlineStr">
        <is>
          <t>Föryngringsavverkning</t>
        </is>
      </c>
      <c r="D120" s="1" t="n">
        <v>45673</v>
      </c>
      <c r="E120" s="1" t="n">
        <v>46316</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1273-2023</t>
        </is>
      </c>
      <c r="B121" t="inlineStr">
        <is>
          <t>avverkningsanmälan</t>
        </is>
      </c>
      <c r="C121" t="inlineStr">
        <is>
          <t>Föryngringsavverkning</t>
        </is>
      </c>
      <c r="D121" s="1" t="n">
        <v>44936</v>
      </c>
      <c r="E121" s="1" t="n">
        <v>46316</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38832-2026</t>
        </is>
      </c>
      <c r="B122" t="inlineStr">
        <is>
          <t>avverkningsanmälan</t>
        </is>
      </c>
      <c r="C122" t="inlineStr">
        <is>
          <t>Föryngringsavverkning</t>
        </is>
      </c>
      <c r="D122" s="1" t="n">
        <v>46286</v>
      </c>
      <c r="E122" s="1" t="n">
        <v>46316</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61100-2022</t>
        </is>
      </c>
      <c r="B123" t="inlineStr">
        <is>
          <t>avverkningsanmälan</t>
        </is>
      </c>
      <c r="C123" t="inlineStr">
        <is>
          <t>Föryngringsavverkning</t>
        </is>
      </c>
      <c r="D123" s="1" t="n">
        <v>44915</v>
      </c>
      <c r="E123" s="1" t="n">
        <v>46316</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37591-2023</t>
        </is>
      </c>
      <c r="B124" t="inlineStr">
        <is>
          <t>avverkningsanmälan</t>
        </is>
      </c>
      <c r="C124" t="inlineStr">
        <is>
          <t>Föryngringsavverkning</t>
        </is>
      </c>
      <c r="D124" s="1" t="n">
        <v>45159</v>
      </c>
      <c r="E124" s="1" t="n">
        <v>46316</v>
      </c>
      <c r="F124" t="inlineStr">
        <is>
          <t>GOTLANDS LÄN</t>
        </is>
      </c>
      <c r="G124" t="inlineStr">
        <is>
          <t>GOTLAND</t>
        </is>
      </c>
      <c r="I124" t="n">
        <v>8.300000000000001</v>
      </c>
      <c r="J124" t="n">
        <v>1</v>
      </c>
      <c r="K124" t="n">
        <v>0</v>
      </c>
      <c r="L124" t="n">
        <v>3</v>
      </c>
      <c r="M124" t="n">
        <v>0</v>
      </c>
      <c r="N124" t="n">
        <v>0</v>
      </c>
      <c r="O124" t="n">
        <v>0</v>
      </c>
      <c r="P124" t="n">
        <v>0</v>
      </c>
      <c r="Q124" t="n">
        <v>3</v>
      </c>
      <c r="R124" t="n">
        <v>0</v>
      </c>
      <c r="S124" t="n">
        <v>4</v>
      </c>
      <c r="T124" t="n">
        <v>4</v>
      </c>
      <c r="U124" t="n">
        <v>1</v>
      </c>
      <c r="V124" s="2" t="inlineStr">
        <is>
          <t>Bergjohannesört
Solvända
Ängsstarr
Vanlig snok</t>
        </is>
      </c>
      <c r="W124">
        <f>HYPERLINK("https://klasma.github.io/Logging_0980/artfynd/A 37591-2023 artfynd.xlsx", "A 37591-2023")</f>
        <v/>
      </c>
      <c r="X124">
        <f>HYPERLINK("https://klasma.github.io/Logging_0980/kartor/A 37591-2023 karta.png", "A 37591-2023")</f>
        <v/>
      </c>
      <c r="Y124">
        <f>HYPERLINK("https://klasma.github.io/Logging_0980/kartor_geotiff/A 37591-2023 georefererad karta.tif", "A 37591-2023")</f>
        <v/>
      </c>
      <c r="AA124">
        <f>HYPERLINK("https://klasma.github.io/Logging_0980/klagomål/A 37591-2023 FSC-klagomål.docx", "A 37591-2023")</f>
        <v/>
      </c>
      <c r="AB124">
        <f>HYPERLINK("https://klasma.github.io/Logging_0980/klagomålsmail/A 37591-2023 FSC-klagomål mail.docx", "A 37591-2023")</f>
        <v/>
      </c>
      <c r="AC124">
        <f>HYPERLINK("https://klasma.github.io/Logging_0980/tillsyn/A 37591-2023 tillsynsbegäran.docx", "A 37591-2023")</f>
        <v/>
      </c>
      <c r="AD124">
        <f>HYPERLINK("https://klasma.github.io/Logging_0980/tillsynsmail/A 37591-2023 tillsynsbegäran mail.docx", "A 37591-2023")</f>
        <v/>
      </c>
    </row>
    <row r="125" ht="15" customHeight="1">
      <c r="A125" t="inlineStr">
        <is>
          <t>A 16997-2026</t>
        </is>
      </c>
      <c r="B125" t="inlineStr">
        <is>
          <t>avverkningsanmälan</t>
        </is>
      </c>
      <c r="C125" t="inlineStr">
        <is>
          <t>Föryngringsavverkning</t>
        </is>
      </c>
      <c r="D125" s="1" t="n">
        <v>46114</v>
      </c>
      <c r="E125" s="1" t="n">
        <v>46316</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46316</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6218-2026</t>
        </is>
      </c>
      <c r="B127" t="inlineStr">
        <is>
          <t>avverkningsanmälan</t>
        </is>
      </c>
      <c r="C127" t="inlineStr">
        <is>
          <t>Föryngringsavverkning</t>
        </is>
      </c>
      <c r="D127" s="1" t="n">
        <v>46055</v>
      </c>
      <c r="E127" s="1" t="n">
        <v>46316</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43013-2022</t>
        </is>
      </c>
      <c r="B128" t="inlineStr">
        <is>
          <t>avverkningsanmälan</t>
        </is>
      </c>
      <c r="C128" t="inlineStr">
        <is>
          <t>Föryngringsavverkning</t>
        </is>
      </c>
      <c r="D128" s="1" t="n">
        <v>44833</v>
      </c>
      <c r="E128" s="1" t="n">
        <v>46316</v>
      </c>
      <c r="F128" t="inlineStr">
        <is>
          <t>GOTLANDS LÄN</t>
        </is>
      </c>
      <c r="G128" t="inlineStr">
        <is>
          <t>GOTLAND</t>
        </is>
      </c>
      <c r="I128" t="n">
        <v>9.300000000000001</v>
      </c>
      <c r="J128" t="n">
        <v>0</v>
      </c>
      <c r="K128" t="n">
        <v>1</v>
      </c>
      <c r="L128" t="n">
        <v>1</v>
      </c>
      <c r="M128" t="n">
        <v>1</v>
      </c>
      <c r="N128" t="n">
        <v>0</v>
      </c>
      <c r="O128" t="n">
        <v>0</v>
      </c>
      <c r="P128" t="n">
        <v>0</v>
      </c>
      <c r="Q128" t="n">
        <v>2</v>
      </c>
      <c r="R128" t="n">
        <v>1</v>
      </c>
      <c r="S128" t="n">
        <v>3</v>
      </c>
      <c r="T128" t="n">
        <v>4</v>
      </c>
      <c r="U128" t="n">
        <v>4</v>
      </c>
      <c r="V128" s="2" t="inlineStr">
        <is>
          <t>Violettfläckig spindling
Blå slemspindling
Anisspindling</t>
        </is>
      </c>
      <c r="W128">
        <f>HYPERLINK("https://klasma.github.io/Logging_0980/artfynd/A 43013-2022 artfynd.xlsx", "A 43013-2022")</f>
        <v/>
      </c>
      <c r="X128">
        <f>HYPERLINK("https://klasma.github.io/Logging_0980/kartor/A 43013-2022 karta.png", "A 43013-2022")</f>
        <v/>
      </c>
      <c r="Y128">
        <f>HYPERLINK("https://klasma.github.io/Logging_0980/kartor_geotiff/A 43013-2022 georefererad karta.tif", "A 43013-2022")</f>
        <v/>
      </c>
      <c r="AA128">
        <f>HYPERLINK("https://klasma.github.io/Logging_0980/klagomål/A 43013-2022 FSC-klagomål.docx", "A 43013-2022")</f>
        <v/>
      </c>
      <c r="AB128">
        <f>HYPERLINK("https://klasma.github.io/Logging_0980/klagomålsmail/A 43013-2022 FSC-klagomål mail.docx", "A 43013-2022")</f>
        <v/>
      </c>
      <c r="AC128">
        <f>HYPERLINK("https://klasma.github.io/Logging_0980/tillsyn/A 43013-2022 tillsynsbegäran.docx", "A 43013-2022")</f>
        <v/>
      </c>
      <c r="AD128">
        <f>HYPERLINK("https://klasma.github.io/Logging_0980/tillsynsmail/A 43013-2022 tillsynsbegäran mail.docx", "A 43013-2022")</f>
        <v/>
      </c>
    </row>
    <row r="129" ht="15" customHeight="1">
      <c r="A129" t="inlineStr">
        <is>
          <t>A 13499-2022</t>
        </is>
      </c>
      <c r="B129" t="inlineStr">
        <is>
          <t>avverkningsanmälan</t>
        </is>
      </c>
      <c r="C129" t="inlineStr">
        <is>
          <t>Föryngringsavverkning</t>
        </is>
      </c>
      <c r="D129" s="1" t="n">
        <v>44647</v>
      </c>
      <c r="E129" s="1" t="n">
        <v>46316</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34312-2024</t>
        </is>
      </c>
      <c r="B130" t="inlineStr">
        <is>
          <t>avverkningsanmälan</t>
        </is>
      </c>
      <c r="C130" t="inlineStr">
        <is>
          <t>Föryngringsavverkning</t>
        </is>
      </c>
      <c r="D130" s="1" t="n">
        <v>45524</v>
      </c>
      <c r="E130" s="1" t="n">
        <v>46316</v>
      </c>
      <c r="F130" t="inlineStr">
        <is>
          <t>GOTLANDS LÄN</t>
        </is>
      </c>
      <c r="G130" t="inlineStr">
        <is>
          <t>GOTLAND</t>
        </is>
      </c>
      <c r="I130" t="n">
        <v>2</v>
      </c>
      <c r="J130" t="n">
        <v>1</v>
      </c>
      <c r="K130" t="n">
        <v>0</v>
      </c>
      <c r="L130" t="n">
        <v>2</v>
      </c>
      <c r="M130" t="n">
        <v>0</v>
      </c>
      <c r="N130" t="n">
        <v>0</v>
      </c>
      <c r="O130" t="n">
        <v>0</v>
      </c>
      <c r="P130" t="n">
        <v>0</v>
      </c>
      <c r="Q130" t="n">
        <v>2</v>
      </c>
      <c r="R130" t="n">
        <v>0</v>
      </c>
      <c r="S130" t="n">
        <v>3</v>
      </c>
      <c r="T130" t="n">
        <v>3</v>
      </c>
      <c r="U130" t="n">
        <v>0</v>
      </c>
      <c r="V130" s="2" t="inlineStr">
        <is>
          <t>Svinrot
Ängsstarr
Sankt pers nycklar</t>
        </is>
      </c>
      <c r="W130">
        <f>HYPERLINK("https://klasma.github.io/Logging_0980/artfynd/A 34312-2024 artfynd.xlsx", "A 34312-2024")</f>
        <v/>
      </c>
      <c r="X130">
        <f>HYPERLINK("https://klasma.github.io/Logging_0980/kartor/A 34312-2024 karta.png", "A 34312-2024")</f>
        <v/>
      </c>
      <c r="Y130">
        <f>HYPERLINK("https://klasma.github.io/Logging_0980/kartor_geotiff/A 34312-2024 georefererad karta.tif", "A 34312-2024")</f>
        <v/>
      </c>
      <c r="AA130">
        <f>HYPERLINK("https://klasma.github.io/Logging_0980/klagomål/A 34312-2024 FSC-klagomål.docx", "A 34312-2024")</f>
        <v/>
      </c>
      <c r="AB130">
        <f>HYPERLINK("https://klasma.github.io/Logging_0980/klagomålsmail/A 34312-2024 FSC-klagomål mail.docx", "A 34312-2024")</f>
        <v/>
      </c>
      <c r="AC130">
        <f>HYPERLINK("https://klasma.github.io/Logging_0980/tillsyn/A 34312-2024 tillsynsbegäran.docx", "A 34312-2024")</f>
        <v/>
      </c>
      <c r="AD130">
        <f>HYPERLINK("https://klasma.github.io/Logging_0980/tillsynsmail/A 34312-2024 tillsynsbegäran mail.docx", "A 34312-2024")</f>
        <v/>
      </c>
    </row>
    <row r="131" ht="15" customHeight="1">
      <c r="A131" t="inlineStr">
        <is>
          <t>A 65927-2021</t>
        </is>
      </c>
      <c r="B131" t="inlineStr">
        <is>
          <t>avverkningsanmälan</t>
        </is>
      </c>
      <c r="C131" t="inlineStr">
        <is>
          <t>Föryngringsavverkning</t>
        </is>
      </c>
      <c r="D131" s="1" t="n">
        <v>44516</v>
      </c>
      <c r="E131" s="1" t="n">
        <v>46316</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t="n">
        <v>3</v>
      </c>
      <c r="V131" s="2" t="inlineStr">
        <is>
          <t>Grenigt kungsljus
Åkerkulla
Gullviva</t>
        </is>
      </c>
      <c r="W131">
        <f>HYPERLINK("https://klasma.github.io/Logging_0980/artfynd/A 65927-2021 artfynd.xlsx", "A 65927-2021")</f>
        <v/>
      </c>
      <c r="X131">
        <f>HYPERLINK("https://klasma.github.io/Logging_0980/kartor/A 65927-2021 karta.png", "A 65927-2021")</f>
        <v/>
      </c>
      <c r="Y131">
        <f>HYPERLINK("https://klasma.github.io/Logging_0980/kartor_geotiff/A 65927-2021 georefererad karta.tif", "A 65927-2021")</f>
        <v/>
      </c>
      <c r="AA131">
        <f>HYPERLINK("https://klasma.github.io/Logging_0980/klagomål/A 65927-2021 FSC-klagomål.docx", "A 65927-2021")</f>
        <v/>
      </c>
      <c r="AB131">
        <f>HYPERLINK("https://klasma.github.io/Logging_0980/klagomålsmail/A 65927-2021 FSC-klagomål mail.docx", "A 65927-2021")</f>
        <v/>
      </c>
      <c r="AC131">
        <f>HYPERLINK("https://klasma.github.io/Logging_0980/tillsyn/A 65927-2021 tillsynsbegäran.docx", "A 65927-2021")</f>
        <v/>
      </c>
      <c r="AD131">
        <f>HYPERLINK("https://klasma.github.io/Logging_0980/tillsynsmail/A 65927-2021 tillsynsbegäran mail.docx", "A 65927-2021")</f>
        <v/>
      </c>
    </row>
    <row r="132" ht="15" customHeight="1">
      <c r="A132" t="inlineStr">
        <is>
          <t>A 19322-2026</t>
        </is>
      </c>
      <c r="B132" t="inlineStr">
        <is>
          <t>avverkningsanmälan</t>
        </is>
      </c>
      <c r="C132" t="inlineStr">
        <is>
          <t>Avverkning för annat ändamål</t>
        </is>
      </c>
      <c r="D132" s="1" t="n">
        <v>46129</v>
      </c>
      <c r="E132" s="1" t="n">
        <v>46316</v>
      </c>
      <c r="F132" t="inlineStr">
        <is>
          <t>GOTLANDS LÄN</t>
        </is>
      </c>
      <c r="G132" t="inlineStr">
        <is>
          <t>GOTLAND</t>
        </is>
      </c>
      <c r="I132" t="n">
        <v>1</v>
      </c>
      <c r="J132" t="n">
        <v>2</v>
      </c>
      <c r="K132" t="n">
        <v>1</v>
      </c>
      <c r="L132" t="n">
        <v>2</v>
      </c>
      <c r="M132" t="n">
        <v>0</v>
      </c>
      <c r="N132" t="n">
        <v>0</v>
      </c>
      <c r="O132" t="n">
        <v>0</v>
      </c>
      <c r="P132" t="n">
        <v>0</v>
      </c>
      <c r="Q132" t="n">
        <v>2</v>
      </c>
      <c r="R132" t="n">
        <v>0</v>
      </c>
      <c r="S132" t="n">
        <v>3</v>
      </c>
      <c r="T132" t="n">
        <v>3</v>
      </c>
      <c r="U132" t="n">
        <v>0</v>
      </c>
      <c r="V132" s="2" t="inlineStr">
        <is>
          <t>Gulsparv
Svinrot
Tvåblad</t>
        </is>
      </c>
      <c r="W132">
        <f>HYPERLINK("https://klasma.github.io/Logging_0980/artfynd/A 19322-2026 artfynd.xlsx", "A 19322-2026")</f>
        <v/>
      </c>
      <c r="X132">
        <f>HYPERLINK("https://klasma.github.io/Logging_0980/kartor/A 19322-2026 karta.png", "A 19322-2026")</f>
        <v/>
      </c>
      <c r="Y132">
        <f>HYPERLINK("https://klasma.github.io/Logging_0980/kartor_geotiff/A 19322-2026 georefererad karta.tif", "A 19322-2026")</f>
        <v/>
      </c>
      <c r="AA132">
        <f>HYPERLINK("https://klasma.github.io/Logging_0980/klagomål/A 19322-2026 FSC-klagomål.docx", "A 19322-2026")</f>
        <v/>
      </c>
      <c r="AB132">
        <f>HYPERLINK("https://klasma.github.io/Logging_0980/klagomålsmail/A 19322-2026 FSC-klagomål mail.docx", "A 19322-2026")</f>
        <v/>
      </c>
      <c r="AC132">
        <f>HYPERLINK("https://klasma.github.io/Logging_0980/tillsyn/A 19322-2026 tillsynsbegäran.docx", "A 19322-2026")</f>
        <v/>
      </c>
      <c r="AD132">
        <f>HYPERLINK("https://klasma.github.io/Logging_0980/tillsynsmail/A 19322-2026 tillsynsbegäran mail.docx", "A 19322-2026")</f>
        <v/>
      </c>
      <c r="AE132">
        <f>HYPERLINK("https://klasma.github.io/Logging_0980/fåglar/A 19322-2026 prioriterade fågelarter.docx", "A 19322-2026")</f>
        <v/>
      </c>
    </row>
    <row r="133" ht="15" customHeight="1">
      <c r="A133" t="inlineStr">
        <is>
          <t>A 61561-2023</t>
        </is>
      </c>
      <c r="B133" t="inlineStr">
        <is>
          <t>avverkningsanmälan</t>
        </is>
      </c>
      <c r="C133" t="inlineStr">
        <is>
          <t>Föryngringsavverkning</t>
        </is>
      </c>
      <c r="D133" s="1" t="n">
        <v>45265</v>
      </c>
      <c r="E133" s="1" t="n">
        <v>46316</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49411-2023</t>
        </is>
      </c>
      <c r="B134" t="inlineStr">
        <is>
          <t>avverkningsanmälan</t>
        </is>
      </c>
      <c r="C134" t="inlineStr">
        <is>
          <t>Föryngringsavverkning</t>
        </is>
      </c>
      <c r="D134" s="1" t="n">
        <v>45205</v>
      </c>
      <c r="E134" s="1" t="n">
        <v>46316</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54357-2024</t>
        </is>
      </c>
      <c r="B135" t="inlineStr">
        <is>
          <t>avverkningsanmälan</t>
        </is>
      </c>
      <c r="C135" t="inlineStr">
        <is>
          <t>Föryngringsavverkning</t>
        </is>
      </c>
      <c r="D135" s="1" t="n">
        <v>45617</v>
      </c>
      <c r="E135" s="1" t="n">
        <v>46316</v>
      </c>
      <c r="F135" t="inlineStr">
        <is>
          <t>GOTLANDS LÄN</t>
        </is>
      </c>
      <c r="G135" t="inlineStr">
        <is>
          <t>GOTLAND</t>
        </is>
      </c>
      <c r="I135" t="n">
        <v>1.5</v>
      </c>
      <c r="J135" t="n">
        <v>1</v>
      </c>
      <c r="K135" t="n">
        <v>1</v>
      </c>
      <c r="L135" t="n">
        <v>1</v>
      </c>
      <c r="M135" t="n">
        <v>0</v>
      </c>
      <c r="N135" t="n">
        <v>0</v>
      </c>
      <c r="O135" t="n">
        <v>0</v>
      </c>
      <c r="P135" t="n">
        <v>0</v>
      </c>
      <c r="Q135" t="n">
        <v>1</v>
      </c>
      <c r="R135" t="n">
        <v>0</v>
      </c>
      <c r="S135" t="n">
        <v>3</v>
      </c>
      <c r="T135" t="n">
        <v>3</v>
      </c>
      <c r="U135" t="n">
        <v>2</v>
      </c>
      <c r="V135" s="2" t="inlineStr">
        <is>
          <t>Loppstarr
Grov fjädermossa
Fläcknycklar</t>
        </is>
      </c>
      <c r="W135">
        <f>HYPERLINK("https://klasma.github.io/Logging_0980/artfynd/A 54357-2024 artfynd.xlsx", "A 54357-2024")</f>
        <v/>
      </c>
      <c r="X135">
        <f>HYPERLINK("https://klasma.github.io/Logging_0980/kartor/A 54357-2024 karta.png", "A 54357-2024")</f>
        <v/>
      </c>
      <c r="Y135">
        <f>HYPERLINK("https://klasma.github.io/Logging_0980/kartor_geotiff/A 54357-2024 georefererad karta.tif", "A 54357-2024")</f>
        <v/>
      </c>
      <c r="AA135">
        <f>HYPERLINK("https://klasma.github.io/Logging_0980/klagomål/A 54357-2024 FSC-klagomål.docx", "A 54357-2024")</f>
        <v/>
      </c>
      <c r="AB135">
        <f>HYPERLINK("https://klasma.github.io/Logging_0980/klagomålsmail/A 54357-2024 FSC-klagomål mail.docx", "A 54357-2024")</f>
        <v/>
      </c>
      <c r="AC135">
        <f>HYPERLINK("https://klasma.github.io/Logging_0980/tillsyn/A 54357-2024 tillsynsbegäran.docx", "A 54357-2024")</f>
        <v/>
      </c>
      <c r="AD135">
        <f>HYPERLINK("https://klasma.github.io/Logging_0980/tillsynsmail/A 54357-2024 tillsynsbegäran mail.docx", "A 54357-2024")</f>
        <v/>
      </c>
    </row>
    <row r="136" ht="15" customHeight="1">
      <c r="A136" t="inlineStr">
        <is>
          <t>A 2476-2025</t>
        </is>
      </c>
      <c r="B136" t="inlineStr">
        <is>
          <t>avverkningsanmälan</t>
        </is>
      </c>
      <c r="C136" t="inlineStr">
        <is>
          <t>Föryngringsavverkning</t>
        </is>
      </c>
      <c r="D136" s="1" t="n">
        <v>45673</v>
      </c>
      <c r="E136" s="1" t="n">
        <v>46316</v>
      </c>
      <c r="F136" t="inlineStr">
        <is>
          <t>GOTLANDS LÄN</t>
        </is>
      </c>
      <c r="G136" t="inlineStr">
        <is>
          <t>GOTLAND</t>
        </is>
      </c>
      <c r="I136" t="n">
        <v>3.1</v>
      </c>
      <c r="J136" t="n">
        <v>0</v>
      </c>
      <c r="K136" t="n">
        <v>1</v>
      </c>
      <c r="L136" t="n">
        <v>2</v>
      </c>
      <c r="M136" t="n">
        <v>0</v>
      </c>
      <c r="N136" t="n">
        <v>0</v>
      </c>
      <c r="O136" t="n">
        <v>0</v>
      </c>
      <c r="P136" t="n">
        <v>0</v>
      </c>
      <c r="Q136" t="n">
        <v>2</v>
      </c>
      <c r="R136" t="n">
        <v>0</v>
      </c>
      <c r="S136" t="n">
        <v>3</v>
      </c>
      <c r="T136" t="n">
        <v>3</v>
      </c>
      <c r="U136" t="n">
        <v>0</v>
      </c>
      <c r="V136" s="2" t="inlineStr">
        <is>
          <t>Barrviolspindling
Kryddspindling
Strimspindling</t>
        </is>
      </c>
      <c r="W136">
        <f>HYPERLINK("https://klasma.github.io/Logging_0980/artfynd/A 2476-2025 artfynd.xlsx", "A 2476-2025")</f>
        <v/>
      </c>
      <c r="X136">
        <f>HYPERLINK("https://klasma.github.io/Logging_0980/kartor/A 2476-2025 karta.png", "A 2476-2025")</f>
        <v/>
      </c>
      <c r="Y136">
        <f>HYPERLINK("https://klasma.github.io/Logging_0980/kartor_geotiff/A 2476-2025 georefererad karta.tif", "A 2476-2025")</f>
        <v/>
      </c>
      <c r="AA136">
        <f>HYPERLINK("https://klasma.github.io/Logging_0980/klagomål/A 2476-2025 FSC-klagomål.docx", "A 2476-2025")</f>
        <v/>
      </c>
      <c r="AB136">
        <f>HYPERLINK("https://klasma.github.io/Logging_0980/klagomålsmail/A 2476-2025 FSC-klagomål mail.docx", "A 2476-2025")</f>
        <v/>
      </c>
      <c r="AC136">
        <f>HYPERLINK("https://klasma.github.io/Logging_0980/tillsyn/A 2476-2025 tillsynsbegäran.docx", "A 2476-2025")</f>
        <v/>
      </c>
      <c r="AD136">
        <f>HYPERLINK("https://klasma.github.io/Logging_0980/tillsynsmail/A 2476-2025 tillsynsbegäran mail.docx", "A 2476-2025")</f>
        <v/>
      </c>
    </row>
    <row r="137" ht="15" customHeight="1">
      <c r="A137" t="inlineStr">
        <is>
          <t>A 17982-2023</t>
        </is>
      </c>
      <c r="B137" t="inlineStr">
        <is>
          <t>avverkningsanmälan</t>
        </is>
      </c>
      <c r="C137" t="inlineStr">
        <is>
          <t>Avverkning för att bevara och utveckla /försöksver</t>
        </is>
      </c>
      <c r="D137" s="1" t="n">
        <v>45040</v>
      </c>
      <c r="E137" s="1" t="n">
        <v>46316</v>
      </c>
      <c r="F137" t="inlineStr">
        <is>
          <t>GOTLANDS LÄN</t>
        </is>
      </c>
      <c r="G137" t="inlineStr">
        <is>
          <t>GOTLAND</t>
        </is>
      </c>
      <c r="I137" t="n">
        <v>2.2</v>
      </c>
      <c r="J137" t="n">
        <v>0</v>
      </c>
      <c r="K137" t="n">
        <v>0</v>
      </c>
      <c r="L137" t="n">
        <v>2</v>
      </c>
      <c r="M137" t="n">
        <v>0</v>
      </c>
      <c r="N137" t="n">
        <v>1</v>
      </c>
      <c r="O137" t="n">
        <v>0</v>
      </c>
      <c r="P137" t="n">
        <v>0</v>
      </c>
      <c r="Q137" t="n">
        <v>3</v>
      </c>
      <c r="R137" t="n">
        <v>1</v>
      </c>
      <c r="S137" t="n">
        <v>3</v>
      </c>
      <c r="T137" t="n">
        <v>3</v>
      </c>
      <c r="U137" t="n">
        <v>3</v>
      </c>
      <c r="V137" s="2" t="inlineStr">
        <is>
          <t>Lundalm
Krusfrö
Ängsskära</t>
        </is>
      </c>
      <c r="W137">
        <f>HYPERLINK("https://klasma.github.io/Logging_0980/artfynd/A 17982-2023 artfynd.xlsx", "A 17982-2023")</f>
        <v/>
      </c>
      <c r="X137">
        <f>HYPERLINK("https://klasma.github.io/Logging_0980/kartor/A 17982-2023 karta.png", "A 17982-2023")</f>
        <v/>
      </c>
      <c r="Y137">
        <f>HYPERLINK("https://klasma.github.io/Logging_0980/kartor_geotiff/A 17982-2023 georefererad karta.tif", "A 17982-2023")</f>
        <v/>
      </c>
      <c r="AA137">
        <f>HYPERLINK("https://klasma.github.io/Logging_0980/klagomål/A 17982-2023 FSC-klagomål.docx", "A 17982-2023")</f>
        <v/>
      </c>
      <c r="AB137">
        <f>HYPERLINK("https://klasma.github.io/Logging_0980/klagomålsmail/A 17982-2023 FSC-klagomål mail.docx", "A 17982-2023")</f>
        <v/>
      </c>
      <c r="AC137">
        <f>HYPERLINK("https://klasma.github.io/Logging_0980/tillsyn/A 17982-2023 tillsynsbegäran.docx", "A 17982-2023")</f>
        <v/>
      </c>
      <c r="AD137">
        <f>HYPERLINK("https://klasma.github.io/Logging_0980/tillsynsmail/A 17982-2023 tillsynsbegäran mail.docx", "A 17982-2023")</f>
        <v/>
      </c>
    </row>
    <row r="138" ht="15" customHeight="1">
      <c r="A138" t="inlineStr">
        <is>
          <t>A 26992-2026</t>
        </is>
      </c>
      <c r="B138" t="inlineStr">
        <is>
          <t>avverkningsanmälan</t>
        </is>
      </c>
      <c r="C138" t="inlineStr">
        <is>
          <t>Föryngringsavverkning</t>
        </is>
      </c>
      <c r="D138" s="1" t="n">
        <v>46185</v>
      </c>
      <c r="E138" s="1" t="n">
        <v>46316</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t="n">
        <v>0</v>
      </c>
      <c r="V138" s="2" t="inlineStr">
        <is>
          <t>Svinrot
Nästrot
Blåsippa</t>
        </is>
      </c>
      <c r="W138">
        <f>HYPERLINK("https://klasma.github.io/Logging_0980/artfynd/A 26992-2026 artfynd.xlsx", "A 26992-2026")</f>
        <v/>
      </c>
      <c r="X138">
        <f>HYPERLINK("https://klasma.github.io/Logging_0980/kartor/A 26992-2026 karta.png", "A 26992-2026")</f>
        <v/>
      </c>
      <c r="Y138">
        <f>HYPERLINK("https://klasma.github.io/Logging_0980/kartor_geotiff/A 26992-2026 georefererad karta.tif", "A 26992-2026")</f>
        <v/>
      </c>
      <c r="AA138">
        <f>HYPERLINK("https://klasma.github.io/Logging_0980/klagomål/A 26992-2026 FSC-klagomål.docx", "A 26992-2026")</f>
        <v/>
      </c>
      <c r="AB138">
        <f>HYPERLINK("https://klasma.github.io/Logging_0980/klagomålsmail/A 26992-2026 FSC-klagomål mail.docx", "A 26992-2026")</f>
        <v/>
      </c>
      <c r="AC138">
        <f>HYPERLINK("https://klasma.github.io/Logging_0980/tillsyn/A 26992-2026 tillsynsbegäran.docx", "A 26992-2026")</f>
        <v/>
      </c>
      <c r="AD138">
        <f>HYPERLINK("https://klasma.github.io/Logging_0980/tillsynsmail/A 26992-2026 tillsynsbegäran mail.docx", "A 26992-2026")</f>
        <v/>
      </c>
    </row>
    <row r="139" ht="15" customHeight="1">
      <c r="A139" t="inlineStr">
        <is>
          <t>A 12315-2024</t>
        </is>
      </c>
      <c r="B139" t="inlineStr">
        <is>
          <t>avverkningsanmälan</t>
        </is>
      </c>
      <c r="C139" t="inlineStr">
        <is>
          <t>Föryngringsavverkning</t>
        </is>
      </c>
      <c r="D139" s="1" t="n">
        <v>45378</v>
      </c>
      <c r="E139" s="1" t="n">
        <v>46316</v>
      </c>
      <c r="F139" t="inlineStr">
        <is>
          <t>GOTLANDS LÄN</t>
        </is>
      </c>
      <c r="G139" t="inlineStr">
        <is>
          <t>GOTLAND</t>
        </is>
      </c>
      <c r="I139" t="n">
        <v>6</v>
      </c>
      <c r="J139" t="n">
        <v>3</v>
      </c>
      <c r="K139" t="n">
        <v>1</v>
      </c>
      <c r="L139" t="n">
        <v>0</v>
      </c>
      <c r="M139" t="n">
        <v>0</v>
      </c>
      <c r="N139" t="n">
        <v>0</v>
      </c>
      <c r="O139" t="n">
        <v>0</v>
      </c>
      <c r="P139" t="n">
        <v>0</v>
      </c>
      <c r="Q139" t="n">
        <v>0</v>
      </c>
      <c r="R139" t="n">
        <v>0</v>
      </c>
      <c r="S139" t="n">
        <v>3</v>
      </c>
      <c r="T139" t="n">
        <v>3</v>
      </c>
      <c r="U139" t="n">
        <v>3</v>
      </c>
      <c r="V139" s="2" t="inlineStr">
        <is>
          <t>Tvåblad
Buskskvätta
Fläcknycklar</t>
        </is>
      </c>
      <c r="W139">
        <f>HYPERLINK("https://klasma.github.io/Logging_0980/artfynd/A 12315-2024 artfynd.xlsx", "A 12315-2024")</f>
        <v/>
      </c>
      <c r="X139">
        <f>HYPERLINK("https://klasma.github.io/Logging_0980/kartor/A 12315-2024 karta.png", "A 12315-2024")</f>
        <v/>
      </c>
      <c r="Y139">
        <f>HYPERLINK("https://klasma.github.io/Logging_0980/kartor_geotiff/A 12315-2024 georefererad karta.tif", "A 12315-2024")</f>
        <v/>
      </c>
      <c r="AA139">
        <f>HYPERLINK("https://klasma.github.io/Logging_0980/klagomål/A 12315-2024 FSC-klagomål.docx", "A 12315-2024")</f>
        <v/>
      </c>
      <c r="AB139">
        <f>HYPERLINK("https://klasma.github.io/Logging_0980/klagomålsmail/A 12315-2024 FSC-klagomål mail.docx", "A 12315-2024")</f>
        <v/>
      </c>
      <c r="AC139">
        <f>HYPERLINK("https://klasma.github.io/Logging_0980/tillsyn/A 12315-2024 tillsynsbegäran.docx", "A 12315-2024")</f>
        <v/>
      </c>
      <c r="AD139">
        <f>HYPERLINK("https://klasma.github.io/Logging_0980/tillsynsmail/A 12315-2024 tillsynsbegäran mail.docx", "A 12315-2024")</f>
        <v/>
      </c>
    </row>
    <row r="140" ht="15" customHeight="1">
      <c r="A140" t="inlineStr">
        <is>
          <t>A 35574-2024</t>
        </is>
      </c>
      <c r="B140" t="inlineStr">
        <is>
          <t>avverkningsanmälan</t>
        </is>
      </c>
      <c r="C140" t="inlineStr">
        <is>
          <t>Föryngringsavverkning</t>
        </is>
      </c>
      <c r="D140" s="1" t="n">
        <v>45531</v>
      </c>
      <c r="E140" s="1" t="n">
        <v>46316</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43219-2023</t>
        </is>
      </c>
      <c r="B141" t="inlineStr">
        <is>
          <t>avverkningsanmälan</t>
        </is>
      </c>
      <c r="C141" t="inlineStr">
        <is>
          <t>Föryngringsavverkning</t>
        </is>
      </c>
      <c r="D141" s="1" t="n">
        <v>45183</v>
      </c>
      <c r="E141" s="1" t="n">
        <v>46316</v>
      </c>
      <c r="F141" t="inlineStr">
        <is>
          <t>GOTLANDS LÄN</t>
        </is>
      </c>
      <c r="G141" t="inlineStr">
        <is>
          <t>GOTLAND</t>
        </is>
      </c>
      <c r="I141" t="n">
        <v>3.6</v>
      </c>
      <c r="J141" t="n">
        <v>1</v>
      </c>
      <c r="K141" t="n">
        <v>0</v>
      </c>
      <c r="L141" t="n">
        <v>1</v>
      </c>
      <c r="M141" t="n">
        <v>1</v>
      </c>
      <c r="N141" t="n">
        <v>0</v>
      </c>
      <c r="O141" t="n">
        <v>0</v>
      </c>
      <c r="P141" t="n">
        <v>0</v>
      </c>
      <c r="Q141" t="n">
        <v>2</v>
      </c>
      <c r="R141" t="n">
        <v>1</v>
      </c>
      <c r="S141" t="n">
        <v>3</v>
      </c>
      <c r="T141" t="n">
        <v>3</v>
      </c>
      <c r="U141" t="n">
        <v>3</v>
      </c>
      <c r="V141" s="2" t="inlineStr">
        <is>
          <t>Gotlandsmåra
Axveronika
Skogsduva</t>
        </is>
      </c>
      <c r="W141">
        <f>HYPERLINK("https://klasma.github.io/Logging_0980/artfynd/A 43219-2023 artfynd.xlsx", "A 43219-2023")</f>
        <v/>
      </c>
      <c r="X141">
        <f>HYPERLINK("https://klasma.github.io/Logging_0980/kartor/A 43219-2023 karta.png", "A 43219-2023")</f>
        <v/>
      </c>
      <c r="Y141">
        <f>HYPERLINK("https://klasma.github.io/Logging_0980/kartor_geotiff/A 43219-2023 georefererad karta.tif", "A 43219-2023")</f>
        <v/>
      </c>
      <c r="AA141">
        <f>HYPERLINK("https://klasma.github.io/Logging_0980/klagomål/A 43219-2023 FSC-klagomål.docx", "A 43219-2023")</f>
        <v/>
      </c>
      <c r="AB141">
        <f>HYPERLINK("https://klasma.github.io/Logging_0980/klagomålsmail/A 43219-2023 FSC-klagomål mail.docx", "A 43219-2023")</f>
        <v/>
      </c>
      <c r="AC141">
        <f>HYPERLINK("https://klasma.github.io/Logging_0980/tillsyn/A 43219-2023 tillsynsbegäran.docx", "A 43219-2023")</f>
        <v/>
      </c>
      <c r="AD141">
        <f>HYPERLINK("https://klasma.github.io/Logging_0980/tillsynsmail/A 43219-2023 tillsynsbegäran mail.docx", "A 43219-2023")</f>
        <v/>
      </c>
    </row>
    <row r="142" ht="15" customHeight="1">
      <c r="A142" t="inlineStr">
        <is>
          <t>A 5909-2025</t>
        </is>
      </c>
      <c r="B142" t="inlineStr">
        <is>
          <t>avverkningsanmälan</t>
        </is>
      </c>
      <c r="C142" t="inlineStr">
        <is>
          <t>Föryngringsavverkning</t>
        </is>
      </c>
      <c r="D142" s="1" t="n">
        <v>45695</v>
      </c>
      <c r="E142" s="1" t="n">
        <v>46316</v>
      </c>
      <c r="F142" t="inlineStr">
        <is>
          <t>GOTLANDS LÄN</t>
        </is>
      </c>
      <c r="G142" t="inlineStr">
        <is>
          <t>GOTLAND</t>
        </is>
      </c>
      <c r="I142" t="n">
        <v>2.9</v>
      </c>
      <c r="J142" t="n">
        <v>2</v>
      </c>
      <c r="K142" t="n">
        <v>2</v>
      </c>
      <c r="L142" t="n">
        <v>1</v>
      </c>
      <c r="M142" t="n">
        <v>0</v>
      </c>
      <c r="N142" t="n">
        <v>0</v>
      </c>
      <c r="O142" t="n">
        <v>0</v>
      </c>
      <c r="P142" t="n">
        <v>0</v>
      </c>
      <c r="Q142" t="n">
        <v>1</v>
      </c>
      <c r="R142" t="n">
        <v>0</v>
      </c>
      <c r="S142" t="n">
        <v>3</v>
      </c>
      <c r="T142" t="n">
        <v>11</v>
      </c>
      <c r="U142" t="n">
        <v>11</v>
      </c>
      <c r="V142" s="2" t="inlineStr">
        <is>
          <t>Dårgräsfjäril
Blåmossa
Skogsknipprot</t>
        </is>
      </c>
      <c r="W142">
        <f>HYPERLINK("https://klasma.github.io/Logging_0980/artfynd/A 5909-2025 artfynd.xlsx", "A 5909-2025")</f>
        <v/>
      </c>
      <c r="X142">
        <f>HYPERLINK("https://klasma.github.io/Logging_0980/kartor/A 5909-2025 karta.png", "A 5909-2025")</f>
        <v/>
      </c>
      <c r="Y142">
        <f>HYPERLINK("https://klasma.github.io/Logging_0980/kartor_geotiff/A 5909-2025 georefererad karta.tif", "A 5909-2025")</f>
        <v/>
      </c>
      <c r="AA142">
        <f>HYPERLINK("https://klasma.github.io/Logging_0980/klagomål/A 5909-2025 FSC-klagomål.docx", "A 5909-2025")</f>
        <v/>
      </c>
      <c r="AB142">
        <f>HYPERLINK("https://klasma.github.io/Logging_0980/klagomålsmail/A 5909-2025 FSC-klagomål mail.docx", "A 5909-2025")</f>
        <v/>
      </c>
      <c r="AC142">
        <f>HYPERLINK("https://klasma.github.io/Logging_0980/tillsyn/A 5909-2025 tillsynsbegäran.docx", "A 5909-2025")</f>
        <v/>
      </c>
      <c r="AD142">
        <f>HYPERLINK("https://klasma.github.io/Logging_0980/tillsynsmail/A 5909-2025 tillsynsbegäran mail.docx", "A 5909-2025")</f>
        <v/>
      </c>
    </row>
    <row r="143" ht="15" customHeight="1">
      <c r="A143" t="inlineStr">
        <is>
          <t>A 63576-2021</t>
        </is>
      </c>
      <c r="B143" t="inlineStr">
        <is>
          <t>avverkningsanmälan</t>
        </is>
      </c>
      <c r="C143" t="inlineStr">
        <is>
          <t>Föryngringsavverkning</t>
        </is>
      </c>
      <c r="D143" s="1" t="n">
        <v>44508</v>
      </c>
      <c r="E143" s="1" t="n">
        <v>46316</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10440-2024</t>
        </is>
      </c>
      <c r="B144" t="inlineStr">
        <is>
          <t>avverkningsanmälan</t>
        </is>
      </c>
      <c r="C144" t="inlineStr">
        <is>
          <t>Föryngringsavverkning</t>
        </is>
      </c>
      <c r="D144" s="1" t="n">
        <v>45366</v>
      </c>
      <c r="E144" s="1" t="n">
        <v>46316</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46316</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46316</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46316</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28261-2024</t>
        </is>
      </c>
      <c r="B148" t="inlineStr">
        <is>
          <t>avverkningsanmälan</t>
        </is>
      </c>
      <c r="C148" t="inlineStr">
        <is>
          <t>Avverkning för annat ändamål</t>
        </is>
      </c>
      <c r="D148" s="1" t="n">
        <v>45477</v>
      </c>
      <c r="E148" s="1" t="n">
        <v>46316</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46316</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33011-2025</t>
        </is>
      </c>
      <c r="B150" t="inlineStr">
        <is>
          <t>avverkningsanmälan</t>
        </is>
      </c>
      <c r="C150" t="inlineStr">
        <is>
          <t>Föryngringsavverkning</t>
        </is>
      </c>
      <c r="D150" s="1" t="n">
        <v>45840</v>
      </c>
      <c r="E150" s="1" t="n">
        <v>46316</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11708-2026</t>
        </is>
      </c>
      <c r="B151" t="inlineStr">
        <is>
          <t>avverkningsanmälan</t>
        </is>
      </c>
      <c r="C151" t="inlineStr">
        <is>
          <t>Avverkning för annat ändamål</t>
        </is>
      </c>
      <c r="D151" s="1" t="n">
        <v>46084</v>
      </c>
      <c r="E151" s="1" t="n">
        <v>46316</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7070-2022</t>
        </is>
      </c>
      <c r="B152" t="inlineStr">
        <is>
          <t>avverkningsanmälan</t>
        </is>
      </c>
      <c r="C152" t="inlineStr">
        <is>
          <t>Föryngringsavverkning</t>
        </is>
      </c>
      <c r="D152" s="1" t="n">
        <v>44603</v>
      </c>
      <c r="E152" s="1" t="n">
        <v>46316</v>
      </c>
      <c r="F152" t="inlineStr">
        <is>
          <t>GOTLANDS LÄN</t>
        </is>
      </c>
      <c r="G152" t="inlineStr">
        <is>
          <t>GOTLAND</t>
        </is>
      </c>
      <c r="I152" t="n">
        <v>2.6</v>
      </c>
      <c r="J152" t="n">
        <v>0</v>
      </c>
      <c r="K152" t="n">
        <v>1</v>
      </c>
      <c r="L152" t="n">
        <v>1</v>
      </c>
      <c r="M152" t="n">
        <v>0</v>
      </c>
      <c r="N152" t="n">
        <v>0</v>
      </c>
      <c r="O152" t="n">
        <v>0</v>
      </c>
      <c r="P152" t="n">
        <v>0</v>
      </c>
      <c r="Q152" t="n">
        <v>1</v>
      </c>
      <c r="R152" t="n">
        <v>0</v>
      </c>
      <c r="S152" t="n">
        <v>2</v>
      </c>
      <c r="T152" t="n">
        <v>2</v>
      </c>
      <c r="U152" t="n">
        <v>0</v>
      </c>
      <c r="V152" s="2" t="inlineStr">
        <is>
          <t>Kattfotslav
Blåmossa</t>
        </is>
      </c>
      <c r="W152">
        <f>HYPERLINK("https://klasma.github.io/Logging_0980/artfynd/A 7070-2022 artfynd.xlsx", "A 7070-2022")</f>
        <v/>
      </c>
      <c r="X152">
        <f>HYPERLINK("https://klasma.github.io/Logging_0980/kartor/A 7070-2022 karta.png", "A 7070-2022")</f>
        <v/>
      </c>
      <c r="Y152">
        <f>HYPERLINK("https://klasma.github.io/Logging_0980/kartor_geotiff/A 7070-2022 georefererad karta.tif", "A 7070-2022")</f>
        <v/>
      </c>
      <c r="AA152">
        <f>HYPERLINK("https://klasma.github.io/Logging_0980/klagomål/A 7070-2022 FSC-klagomål.docx", "A 7070-2022")</f>
        <v/>
      </c>
      <c r="AB152">
        <f>HYPERLINK("https://klasma.github.io/Logging_0980/klagomålsmail/A 7070-2022 FSC-klagomål mail.docx", "A 7070-2022")</f>
        <v/>
      </c>
      <c r="AC152">
        <f>HYPERLINK("https://klasma.github.io/Logging_0980/tillsyn/A 7070-2022 tillsynsbegäran.docx", "A 7070-2022")</f>
        <v/>
      </c>
      <c r="AD152">
        <f>HYPERLINK("https://klasma.github.io/Logging_0980/tillsynsmail/A 7070-2022 tillsynsbegäran mail.docx", "A 7070-2022")</f>
        <v/>
      </c>
    </row>
    <row r="153" ht="15" customHeight="1">
      <c r="A153" t="inlineStr">
        <is>
          <t>A 27589-2023</t>
        </is>
      </c>
      <c r="B153" t="inlineStr">
        <is>
          <t>avverkningsanmälan</t>
        </is>
      </c>
      <c r="C153" t="inlineStr">
        <is>
          <t>Avverkning för annat ändamål</t>
        </is>
      </c>
      <c r="D153" s="1" t="n">
        <v>45097</v>
      </c>
      <c r="E153" s="1" t="n">
        <v>46316</v>
      </c>
      <c r="F153" t="inlineStr">
        <is>
          <t>GOTLANDS LÄN</t>
        </is>
      </c>
      <c r="G153" t="inlineStr">
        <is>
          <t>GOTLAND</t>
        </is>
      </c>
      <c r="I153" t="n">
        <v>5.4</v>
      </c>
      <c r="J153" t="n">
        <v>0</v>
      </c>
      <c r="K153" t="n">
        <v>1</v>
      </c>
      <c r="L153" t="n">
        <v>0</v>
      </c>
      <c r="M153" t="n">
        <v>0</v>
      </c>
      <c r="N153" t="n">
        <v>1</v>
      </c>
      <c r="O153" t="n">
        <v>0</v>
      </c>
      <c r="P153" t="n">
        <v>0</v>
      </c>
      <c r="Q153" t="n">
        <v>1</v>
      </c>
      <c r="R153" t="n">
        <v>1</v>
      </c>
      <c r="S153" t="n">
        <v>2</v>
      </c>
      <c r="T153" t="n">
        <v>2</v>
      </c>
      <c r="U153" t="n">
        <v>2</v>
      </c>
      <c r="V153" s="2" t="inlineStr">
        <is>
          <t>Skogsalm
Underviol</t>
        </is>
      </c>
      <c r="W153">
        <f>HYPERLINK("https://klasma.github.io/Logging_0980/artfynd/A 27589-2023 artfynd.xlsx", "A 27589-2023")</f>
        <v/>
      </c>
      <c r="X153">
        <f>HYPERLINK("https://klasma.github.io/Logging_0980/kartor/A 27589-2023 karta.png", "A 27589-2023")</f>
        <v/>
      </c>
      <c r="Y153">
        <f>HYPERLINK("https://klasma.github.io/Logging_0980/kartor_geotiff/A 27589-2023 georefererad karta.tif", "A 27589-2023")</f>
        <v/>
      </c>
      <c r="AA153">
        <f>HYPERLINK("https://klasma.github.io/Logging_0980/klagomål/A 27589-2023 FSC-klagomål.docx", "A 27589-2023")</f>
        <v/>
      </c>
      <c r="AB153">
        <f>HYPERLINK("https://klasma.github.io/Logging_0980/klagomålsmail/A 27589-2023 FSC-klagomål mail.docx", "A 27589-2023")</f>
        <v/>
      </c>
      <c r="AC153">
        <f>HYPERLINK("https://klasma.github.io/Logging_0980/tillsyn/A 27589-2023 tillsynsbegäran.docx", "A 27589-2023")</f>
        <v/>
      </c>
      <c r="AD153">
        <f>HYPERLINK("https://klasma.github.io/Logging_0980/tillsynsmail/A 27589-2023 tillsynsbegäran mail.docx", "A 27589-2023")</f>
        <v/>
      </c>
    </row>
    <row r="154" ht="15" customHeight="1">
      <c r="A154" t="inlineStr">
        <is>
          <t>A 63000-2025</t>
        </is>
      </c>
      <c r="B154" t="inlineStr">
        <is>
          <t>avverkningsanmälan</t>
        </is>
      </c>
      <c r="C154" t="inlineStr">
        <is>
          <t>Föryngringsavverkning</t>
        </is>
      </c>
      <c r="D154" s="1" t="n">
        <v>46009</v>
      </c>
      <c r="E154" s="1" t="n">
        <v>46316</v>
      </c>
      <c r="F154" t="inlineStr">
        <is>
          <t>GOTLANDS LÄN</t>
        </is>
      </c>
      <c r="G154" t="inlineStr">
        <is>
          <t>GOTLAND</t>
        </is>
      </c>
      <c r="H154" t="inlineStr">
        <is>
          <t>Övriga Aktiebolag</t>
        </is>
      </c>
      <c r="I154" t="n">
        <v>1.7</v>
      </c>
      <c r="J154" t="n">
        <v>0</v>
      </c>
      <c r="K154" t="n">
        <v>1</v>
      </c>
      <c r="L154" t="n">
        <v>1</v>
      </c>
      <c r="M154" t="n">
        <v>0</v>
      </c>
      <c r="N154" t="n">
        <v>0</v>
      </c>
      <c r="O154" t="n">
        <v>0</v>
      </c>
      <c r="P154" t="n">
        <v>0</v>
      </c>
      <c r="Q154" t="n">
        <v>1</v>
      </c>
      <c r="R154" t="n">
        <v>0</v>
      </c>
      <c r="S154" t="n">
        <v>2</v>
      </c>
      <c r="T154" t="n">
        <v>2</v>
      </c>
      <c r="U154" t="n">
        <v>2</v>
      </c>
      <c r="V154" s="2" t="inlineStr">
        <is>
          <t>Blå slemspindling
Anisspindling</t>
        </is>
      </c>
      <c r="W154">
        <f>HYPERLINK("https://klasma.github.io/Logging_0980/artfynd/A 63000-2025 artfynd.xlsx", "A 63000-2025")</f>
        <v/>
      </c>
      <c r="X154">
        <f>HYPERLINK("https://klasma.github.io/Logging_0980/kartor/A 63000-2025 karta.png", "A 63000-2025")</f>
        <v/>
      </c>
      <c r="Y154">
        <f>HYPERLINK("https://klasma.github.io/Logging_0980/kartor_geotiff/A 63000-2025 georefererad karta.tif", "A 63000-2025")</f>
        <v/>
      </c>
      <c r="AA154">
        <f>HYPERLINK("https://klasma.github.io/Logging_0980/klagomål/A 63000-2025 FSC-klagomål.docx", "A 63000-2025")</f>
        <v/>
      </c>
      <c r="AB154">
        <f>HYPERLINK("https://klasma.github.io/Logging_0980/klagomålsmail/A 63000-2025 FSC-klagomål mail.docx", "A 63000-2025")</f>
        <v/>
      </c>
      <c r="AC154">
        <f>HYPERLINK("https://klasma.github.io/Logging_0980/tillsyn/A 63000-2025 tillsynsbegäran.docx", "A 63000-2025")</f>
        <v/>
      </c>
      <c r="AD154">
        <f>HYPERLINK("https://klasma.github.io/Logging_0980/tillsynsmail/A 63000-2025 tillsynsbegäran mail.docx", "A 63000-2025")</f>
        <v/>
      </c>
    </row>
    <row r="155" ht="15" customHeight="1">
      <c r="A155" t="inlineStr">
        <is>
          <t>A 62751-2025</t>
        </is>
      </c>
      <c r="B155" t="inlineStr">
        <is>
          <t>avverkningsanmälan</t>
        </is>
      </c>
      <c r="C155" t="inlineStr">
        <is>
          <t>Föryngringsavverkning</t>
        </is>
      </c>
      <c r="D155" s="1" t="n">
        <v>46008</v>
      </c>
      <c r="E155" s="1" t="n">
        <v>46316</v>
      </c>
      <c r="F155" t="inlineStr">
        <is>
          <t>GOTLANDS LÄN</t>
        </is>
      </c>
      <c r="G155" t="inlineStr">
        <is>
          <t>GOTLAND</t>
        </is>
      </c>
      <c r="H155" t="inlineStr">
        <is>
          <t>Övriga Aktiebolag</t>
        </is>
      </c>
      <c r="I155" t="n">
        <v>7.8</v>
      </c>
      <c r="J155" t="n">
        <v>0</v>
      </c>
      <c r="K155" t="n">
        <v>0</v>
      </c>
      <c r="L155" t="n">
        <v>0</v>
      </c>
      <c r="M155" t="n">
        <v>2</v>
      </c>
      <c r="N155" t="n">
        <v>0</v>
      </c>
      <c r="O155" t="n">
        <v>0</v>
      </c>
      <c r="P155" t="n">
        <v>0</v>
      </c>
      <c r="Q155" t="n">
        <v>2</v>
      </c>
      <c r="R155" t="n">
        <v>2</v>
      </c>
      <c r="S155" t="n">
        <v>2</v>
      </c>
      <c r="T155" t="n">
        <v>2</v>
      </c>
      <c r="U155" t="n">
        <v>2</v>
      </c>
      <c r="V155" s="2" t="inlineStr">
        <is>
          <t>Gulsträngad fagerspindling
Trollspindling</t>
        </is>
      </c>
      <c r="W155">
        <f>HYPERLINK("https://klasma.github.io/Logging_0980/artfynd/A 62751-2025 artfynd.xlsx", "A 62751-2025")</f>
        <v/>
      </c>
      <c r="X155">
        <f>HYPERLINK("https://klasma.github.io/Logging_0980/kartor/A 62751-2025 karta.png", "A 62751-2025")</f>
        <v/>
      </c>
      <c r="Y155">
        <f>HYPERLINK("https://klasma.github.io/Logging_0980/kartor_geotiff/A 62751-2025 georefererad karta.tif", "A 62751-2025")</f>
        <v/>
      </c>
      <c r="AA155">
        <f>HYPERLINK("https://klasma.github.io/Logging_0980/klagomål/A 62751-2025 FSC-klagomål.docx", "A 62751-2025")</f>
        <v/>
      </c>
      <c r="AB155">
        <f>HYPERLINK("https://klasma.github.io/Logging_0980/klagomålsmail/A 62751-2025 FSC-klagomål mail.docx", "A 62751-2025")</f>
        <v/>
      </c>
      <c r="AC155">
        <f>HYPERLINK("https://klasma.github.io/Logging_0980/tillsyn/A 62751-2025 tillsynsbegäran.docx", "A 62751-2025")</f>
        <v/>
      </c>
      <c r="AD155">
        <f>HYPERLINK("https://klasma.github.io/Logging_0980/tillsynsmail/A 62751-2025 tillsynsbegäran mail.docx", "A 62751-2025")</f>
        <v/>
      </c>
    </row>
    <row r="156" ht="15" customHeight="1">
      <c r="A156" t="inlineStr">
        <is>
          <t>A 1010-2024</t>
        </is>
      </c>
      <c r="B156" t="inlineStr">
        <is>
          <t>avverkningsanmälan</t>
        </is>
      </c>
      <c r="C156" t="inlineStr">
        <is>
          <t>Föryngringsavverkning</t>
        </is>
      </c>
      <c r="D156" s="1" t="n">
        <v>45301</v>
      </c>
      <c r="E156" s="1" t="n">
        <v>46316</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62754-2025</t>
        </is>
      </c>
      <c r="B157" t="inlineStr">
        <is>
          <t>avverkningsanmälan</t>
        </is>
      </c>
      <c r="C157" t="inlineStr">
        <is>
          <t>Föryngringsavverkning</t>
        </is>
      </c>
      <c r="D157" s="1" t="n">
        <v>46008</v>
      </c>
      <c r="E157" s="1" t="n">
        <v>46316</v>
      </c>
      <c r="F157" t="inlineStr">
        <is>
          <t>GOTLANDS LÄN</t>
        </is>
      </c>
      <c r="G157" t="inlineStr">
        <is>
          <t>GOTLAND</t>
        </is>
      </c>
      <c r="H157" t="inlineStr">
        <is>
          <t>Övriga Aktiebolag</t>
        </is>
      </c>
      <c r="I157" t="n">
        <v>2.9</v>
      </c>
      <c r="J157" t="n">
        <v>0</v>
      </c>
      <c r="K157" t="n">
        <v>0</v>
      </c>
      <c r="L157" t="n">
        <v>0</v>
      </c>
      <c r="M157" t="n">
        <v>2</v>
      </c>
      <c r="N157" t="n">
        <v>0</v>
      </c>
      <c r="O157" t="n">
        <v>0</v>
      </c>
      <c r="P157" t="n">
        <v>0</v>
      </c>
      <c r="Q157" t="n">
        <v>2</v>
      </c>
      <c r="R157" t="n">
        <v>2</v>
      </c>
      <c r="S157" t="n">
        <v>2</v>
      </c>
      <c r="T157" t="n">
        <v>2</v>
      </c>
      <c r="U157" t="n">
        <v>2</v>
      </c>
      <c r="V157" s="2" t="inlineStr">
        <is>
          <t>Gulsträngad fagerspindling
Trollspindling</t>
        </is>
      </c>
      <c r="W157">
        <f>HYPERLINK("https://klasma.github.io/Logging_0980/artfynd/A 62754-2025 artfynd.xlsx", "A 62754-2025")</f>
        <v/>
      </c>
      <c r="X157">
        <f>HYPERLINK("https://klasma.github.io/Logging_0980/kartor/A 62754-2025 karta.png", "A 62754-2025")</f>
        <v/>
      </c>
      <c r="Y157">
        <f>HYPERLINK("https://klasma.github.io/Logging_0980/kartor_geotiff/A 62754-2025 georefererad karta.tif", "A 62754-2025")</f>
        <v/>
      </c>
      <c r="AA157">
        <f>HYPERLINK("https://klasma.github.io/Logging_0980/klagomål/A 62754-2025 FSC-klagomål.docx", "A 62754-2025")</f>
        <v/>
      </c>
      <c r="AB157">
        <f>HYPERLINK("https://klasma.github.io/Logging_0980/klagomålsmail/A 62754-2025 FSC-klagomål mail.docx", "A 62754-2025")</f>
        <v/>
      </c>
      <c r="AC157">
        <f>HYPERLINK("https://klasma.github.io/Logging_0980/tillsyn/A 62754-2025 tillsynsbegäran.docx", "A 62754-2025")</f>
        <v/>
      </c>
      <c r="AD157">
        <f>HYPERLINK("https://klasma.github.io/Logging_0980/tillsynsmail/A 62754-2025 tillsynsbegäran mail.docx", "A 62754-2025")</f>
        <v/>
      </c>
    </row>
    <row r="158" ht="15" customHeight="1">
      <c r="A158" t="inlineStr">
        <is>
          <t>A 883-2025</t>
        </is>
      </c>
      <c r="B158" t="inlineStr">
        <is>
          <t>avverkningsanmälan</t>
        </is>
      </c>
      <c r="C158" t="inlineStr">
        <is>
          <t>Föryngringsavverkning</t>
        </is>
      </c>
      <c r="D158" s="1" t="n">
        <v>45665</v>
      </c>
      <c r="E158" s="1" t="n">
        <v>46316</v>
      </c>
      <c r="F158" t="inlineStr">
        <is>
          <t>GOTLANDS LÄN</t>
        </is>
      </c>
      <c r="G158" t="inlineStr">
        <is>
          <t>GOTLAND</t>
        </is>
      </c>
      <c r="I158" t="n">
        <v>1.3</v>
      </c>
      <c r="J158" t="n">
        <v>0</v>
      </c>
      <c r="K158" t="n">
        <v>2</v>
      </c>
      <c r="L158" t="n">
        <v>0</v>
      </c>
      <c r="M158" t="n">
        <v>0</v>
      </c>
      <c r="N158" t="n">
        <v>0</v>
      </c>
      <c r="O158" t="n">
        <v>0</v>
      </c>
      <c r="P158" t="n">
        <v>0</v>
      </c>
      <c r="Q158" t="n">
        <v>0</v>
      </c>
      <c r="R158" t="n">
        <v>0</v>
      </c>
      <c r="S158" t="n">
        <v>2</v>
      </c>
      <c r="T158" t="n">
        <v>2</v>
      </c>
      <c r="U158" t="n">
        <v>0</v>
      </c>
      <c r="V158" s="2" t="inlineStr">
        <is>
          <t>Axag
Kärrlilja</t>
        </is>
      </c>
      <c r="W158">
        <f>HYPERLINK("https://klasma.github.io/Logging_0980/artfynd/A 883-2025 artfynd.xlsx", "A 883-2025")</f>
        <v/>
      </c>
      <c r="X158">
        <f>HYPERLINK("https://klasma.github.io/Logging_0980/kartor/A 883-2025 karta.png", "A 883-2025")</f>
        <v/>
      </c>
      <c r="Y158">
        <f>HYPERLINK("https://klasma.github.io/Logging_0980/kartor_geotiff/A 883-2025 georefererad karta.tif", "A 883-2025")</f>
        <v/>
      </c>
      <c r="AA158">
        <f>HYPERLINK("https://klasma.github.io/Logging_0980/klagomål/A 883-2025 FSC-klagomål.docx", "A 883-2025")</f>
        <v/>
      </c>
      <c r="AB158">
        <f>HYPERLINK("https://klasma.github.io/Logging_0980/klagomålsmail/A 883-2025 FSC-klagomål mail.docx", "A 883-2025")</f>
        <v/>
      </c>
      <c r="AC158">
        <f>HYPERLINK("https://klasma.github.io/Logging_0980/tillsyn/A 883-2025 tillsynsbegäran.docx", "A 883-2025")</f>
        <v/>
      </c>
      <c r="AD158">
        <f>HYPERLINK("https://klasma.github.io/Logging_0980/tillsynsmail/A 883-2025 tillsynsbegäran mail.docx", "A 883-2025")</f>
        <v/>
      </c>
    </row>
    <row r="159" ht="15" customHeight="1">
      <c r="A159" t="inlineStr">
        <is>
          <t>A 49314-2024</t>
        </is>
      </c>
      <c r="B159" t="inlineStr">
        <is>
          <t>avverkningsanmälan</t>
        </is>
      </c>
      <c r="C159" t="inlineStr">
        <is>
          <t>Föryngringsavverkning</t>
        </is>
      </c>
      <c r="D159" s="1" t="n">
        <v>45595</v>
      </c>
      <c r="E159" s="1" t="n">
        <v>46316</v>
      </c>
      <c r="F159" t="inlineStr">
        <is>
          <t>GOTLANDS LÄN</t>
        </is>
      </c>
      <c r="G159" t="inlineStr">
        <is>
          <t>GOTLAND</t>
        </is>
      </c>
      <c r="I159" t="n">
        <v>1.1</v>
      </c>
      <c r="J159" t="n">
        <v>0</v>
      </c>
      <c r="K159" t="n">
        <v>1</v>
      </c>
      <c r="L159" t="n">
        <v>0</v>
      </c>
      <c r="M159" t="n">
        <v>1</v>
      </c>
      <c r="N159" t="n">
        <v>0</v>
      </c>
      <c r="O159" t="n">
        <v>0</v>
      </c>
      <c r="P159" t="n">
        <v>0</v>
      </c>
      <c r="Q159" t="n">
        <v>1</v>
      </c>
      <c r="R159" t="n">
        <v>1</v>
      </c>
      <c r="S159" t="n">
        <v>2</v>
      </c>
      <c r="T159" t="n">
        <v>2</v>
      </c>
      <c r="U159" t="n">
        <v>2</v>
      </c>
      <c r="V159" s="2" t="inlineStr">
        <is>
          <t>Skogskorn
Underviol</t>
        </is>
      </c>
      <c r="W159">
        <f>HYPERLINK("https://klasma.github.io/Logging_0980/artfynd/A 49314-2024 artfynd.xlsx", "A 49314-2024")</f>
        <v/>
      </c>
      <c r="X159">
        <f>HYPERLINK("https://klasma.github.io/Logging_0980/kartor/A 49314-2024 karta.png", "A 49314-2024")</f>
        <v/>
      </c>
      <c r="Y159">
        <f>HYPERLINK("https://klasma.github.io/Logging_0980/kartor_geotiff/A 49314-2024 georefererad karta.tif", "A 49314-2024")</f>
        <v/>
      </c>
      <c r="AA159">
        <f>HYPERLINK("https://klasma.github.io/Logging_0980/klagomål/A 49314-2024 FSC-klagomål.docx", "A 49314-2024")</f>
        <v/>
      </c>
      <c r="AB159">
        <f>HYPERLINK("https://klasma.github.io/Logging_0980/klagomålsmail/A 49314-2024 FSC-klagomål mail.docx", "A 49314-2024")</f>
        <v/>
      </c>
      <c r="AC159">
        <f>HYPERLINK("https://klasma.github.io/Logging_0980/tillsyn/A 49314-2024 tillsynsbegäran.docx", "A 49314-2024")</f>
        <v/>
      </c>
      <c r="AD159">
        <f>HYPERLINK("https://klasma.github.io/Logging_0980/tillsynsmail/A 49314-2024 tillsynsbegäran mail.docx", "A 49314-2024")</f>
        <v/>
      </c>
    </row>
    <row r="160" ht="15" customHeight="1">
      <c r="A160" t="inlineStr">
        <is>
          <t>A 26077-2024</t>
        </is>
      </c>
      <c r="B160" t="inlineStr">
        <is>
          <t>avverkningsanmälan</t>
        </is>
      </c>
      <c r="C160" t="inlineStr">
        <is>
          <t>Avverkning för annat ändamål</t>
        </is>
      </c>
      <c r="D160" s="1" t="n">
        <v>45467</v>
      </c>
      <c r="E160" s="1" t="n">
        <v>46316</v>
      </c>
      <c r="F160" t="inlineStr">
        <is>
          <t>GOTLANDS LÄN</t>
        </is>
      </c>
      <c r="G160" t="inlineStr">
        <is>
          <t>GOTLAND</t>
        </is>
      </c>
      <c r="I160" t="n">
        <v>4.6</v>
      </c>
      <c r="J160" t="n">
        <v>0</v>
      </c>
      <c r="K160" t="n">
        <v>0</v>
      </c>
      <c r="L160" t="n">
        <v>1</v>
      </c>
      <c r="M160" t="n">
        <v>0</v>
      </c>
      <c r="N160" t="n">
        <v>1</v>
      </c>
      <c r="O160" t="n">
        <v>0</v>
      </c>
      <c r="P160" t="n">
        <v>0</v>
      </c>
      <c r="Q160" t="n">
        <v>2</v>
      </c>
      <c r="R160" t="n">
        <v>1</v>
      </c>
      <c r="S160" t="n">
        <v>2</v>
      </c>
      <c r="T160" t="n">
        <v>7</v>
      </c>
      <c r="U160" t="n">
        <v>0</v>
      </c>
      <c r="V160" s="2" t="inlineStr">
        <is>
          <t>Ask
Tallticka</t>
        </is>
      </c>
      <c r="W160">
        <f>HYPERLINK("https://klasma.github.io/Logging_0980/artfynd/A 26077-2024 artfynd.xlsx", "A 26077-2024")</f>
        <v/>
      </c>
      <c r="X160">
        <f>HYPERLINK("https://klasma.github.io/Logging_0980/kartor/A 26077-2024 karta.png", "A 26077-2024")</f>
        <v/>
      </c>
      <c r="Y160">
        <f>HYPERLINK("https://klasma.github.io/Logging_0980/kartor_geotiff/A 26077-2024 georefererad karta.tif", "A 26077-2024")</f>
        <v/>
      </c>
      <c r="AA160">
        <f>HYPERLINK("https://klasma.github.io/Logging_0980/klagomål/A 26077-2024 FSC-klagomål.docx", "A 26077-2024")</f>
        <v/>
      </c>
      <c r="AB160">
        <f>HYPERLINK("https://klasma.github.io/Logging_0980/klagomålsmail/A 26077-2024 FSC-klagomål mail.docx", "A 26077-2024")</f>
        <v/>
      </c>
      <c r="AC160">
        <f>HYPERLINK("https://klasma.github.io/Logging_0980/tillsyn/A 26077-2024 tillsynsbegäran.docx", "A 26077-2024")</f>
        <v/>
      </c>
      <c r="AD160">
        <f>HYPERLINK("https://klasma.github.io/Logging_0980/tillsynsmail/A 26077-2024 tillsynsbegäran mail.docx", "A 26077-2024")</f>
        <v/>
      </c>
    </row>
    <row r="161" ht="15" customHeight="1">
      <c r="A161" t="inlineStr">
        <is>
          <t>A 8036-2022</t>
        </is>
      </c>
      <c r="B161" t="inlineStr">
        <is>
          <t>avverkningsanmälan</t>
        </is>
      </c>
      <c r="C161" t="inlineStr">
        <is>
          <t>Föryngringsavverkning</t>
        </is>
      </c>
      <c r="D161" s="1" t="n">
        <v>44609</v>
      </c>
      <c r="E161" s="1" t="n">
        <v>46316</v>
      </c>
      <c r="F161" t="inlineStr">
        <is>
          <t>GOTLANDS LÄN</t>
        </is>
      </c>
      <c r="G161" t="inlineStr">
        <is>
          <t>GOTLAND</t>
        </is>
      </c>
      <c r="I161" t="n">
        <v>6.1</v>
      </c>
      <c r="J161" t="n">
        <v>2</v>
      </c>
      <c r="K161" t="n">
        <v>0</v>
      </c>
      <c r="L161" t="n">
        <v>1</v>
      </c>
      <c r="M161" t="n">
        <v>1</v>
      </c>
      <c r="N161" t="n">
        <v>0</v>
      </c>
      <c r="O161" t="n">
        <v>0</v>
      </c>
      <c r="P161" t="n">
        <v>0</v>
      </c>
      <c r="Q161" t="n">
        <v>2</v>
      </c>
      <c r="R161" t="n">
        <v>1</v>
      </c>
      <c r="S161" t="n">
        <v>2</v>
      </c>
      <c r="T161" t="n">
        <v>2</v>
      </c>
      <c r="U161" t="n">
        <v>2</v>
      </c>
      <c r="V161" s="2" t="inlineStr">
        <is>
          <t>Grönfink
Grönsångare</t>
        </is>
      </c>
      <c r="W161">
        <f>HYPERLINK("https://klasma.github.io/Logging_0980/artfynd/A 8036-2022 artfynd.xlsx", "A 8036-2022")</f>
        <v/>
      </c>
      <c r="X161">
        <f>HYPERLINK("https://klasma.github.io/Logging_0980/kartor/A 8036-2022 karta.png", "A 8036-2022")</f>
        <v/>
      </c>
      <c r="Y161">
        <f>HYPERLINK("https://klasma.github.io/Logging_0980/kartor_geotiff/A 8036-2022 georefererad karta.tif", "A 8036-2022")</f>
        <v/>
      </c>
      <c r="AA161">
        <f>HYPERLINK("https://klasma.github.io/Logging_0980/klagomål/A 8036-2022 FSC-klagomål.docx", "A 8036-2022")</f>
        <v/>
      </c>
      <c r="AB161">
        <f>HYPERLINK("https://klasma.github.io/Logging_0980/klagomålsmail/A 8036-2022 FSC-klagomål mail.docx", "A 8036-2022")</f>
        <v/>
      </c>
      <c r="AC161">
        <f>HYPERLINK("https://klasma.github.io/Logging_0980/tillsyn/A 8036-2022 tillsynsbegäran.docx", "A 8036-2022")</f>
        <v/>
      </c>
      <c r="AD161">
        <f>HYPERLINK("https://klasma.github.io/Logging_0980/tillsynsmail/A 8036-2022 tillsynsbegäran mail.docx", "A 8036-2022")</f>
        <v/>
      </c>
      <c r="AE161">
        <f>HYPERLINK("https://klasma.github.io/Logging_0980/fåglar/A 8036-2022 prioriterade fågelarter.docx", "A 8036-2022")</f>
        <v/>
      </c>
    </row>
    <row r="162" ht="15" customHeight="1">
      <c r="A162" t="inlineStr">
        <is>
          <t>A 27621-2026</t>
        </is>
      </c>
      <c r="B162" t="inlineStr">
        <is>
          <t>avverkningsanmälan</t>
        </is>
      </c>
      <c r="C162" t="inlineStr">
        <is>
          <t>Föryngringsavverkning</t>
        </is>
      </c>
      <c r="D162" s="1" t="n">
        <v>46190</v>
      </c>
      <c r="E162" s="1" t="n">
        <v>46316</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35127-2026</t>
        </is>
      </c>
      <c r="B163" t="inlineStr">
        <is>
          <t>avverkningsanmälan</t>
        </is>
      </c>
      <c r="C163" t="inlineStr">
        <is>
          <t>Föryngringsavverkning</t>
        </is>
      </c>
      <c r="D163" s="1" t="n">
        <v>46260</v>
      </c>
      <c r="E163" s="1" t="n">
        <v>46316</v>
      </c>
      <c r="F163" t="inlineStr">
        <is>
          <t>GOTLANDS LÄN</t>
        </is>
      </c>
      <c r="G163" t="inlineStr">
        <is>
          <t>GOTLAND</t>
        </is>
      </c>
      <c r="I163" t="n">
        <v>2.1</v>
      </c>
      <c r="J163" t="n">
        <v>1</v>
      </c>
      <c r="K163" t="n">
        <v>0</v>
      </c>
      <c r="L163" t="n">
        <v>2</v>
      </c>
      <c r="M163" t="n">
        <v>0</v>
      </c>
      <c r="N163" t="n">
        <v>0</v>
      </c>
      <c r="O163" t="n">
        <v>0</v>
      </c>
      <c r="P163" t="n">
        <v>0</v>
      </c>
      <c r="Q163" t="n">
        <v>2</v>
      </c>
      <c r="R163" t="n">
        <v>0</v>
      </c>
      <c r="S163" t="n">
        <v>2</v>
      </c>
      <c r="T163" t="n">
        <v>2</v>
      </c>
      <c r="U163" t="n">
        <v>2</v>
      </c>
      <c r="V163" s="2" t="inlineStr">
        <is>
          <t>Mindre hackspett
Sårläka</t>
        </is>
      </c>
      <c r="W163">
        <f>HYPERLINK("https://klasma.github.io/Logging_0980/artfynd/A 35127-2026 artfynd.xlsx", "A 35127-2026")</f>
        <v/>
      </c>
      <c r="X163">
        <f>HYPERLINK("https://klasma.github.io/Logging_0980/kartor/A 35127-2026 karta.png", "A 35127-2026")</f>
        <v/>
      </c>
      <c r="Y163">
        <f>HYPERLINK("https://klasma.github.io/Logging_0980/kartor_geotiff/A 35127-2026 georefererad karta.tif", "A 35127-2026")</f>
        <v/>
      </c>
      <c r="AA163">
        <f>HYPERLINK("https://klasma.github.io/Logging_0980/klagomål/A 35127-2026 FSC-klagomål.docx", "A 35127-2026")</f>
        <v/>
      </c>
      <c r="AB163">
        <f>HYPERLINK("https://klasma.github.io/Logging_0980/klagomålsmail/A 35127-2026 FSC-klagomål mail.docx", "A 35127-2026")</f>
        <v/>
      </c>
      <c r="AC163">
        <f>HYPERLINK("https://klasma.github.io/Logging_0980/tillsyn/A 35127-2026 tillsynsbegäran.docx", "A 35127-2026")</f>
        <v/>
      </c>
      <c r="AD163">
        <f>HYPERLINK("https://klasma.github.io/Logging_0980/tillsynsmail/A 35127-2026 tillsynsbegäran mail.docx", "A 35127-2026")</f>
        <v/>
      </c>
      <c r="AE163">
        <f>HYPERLINK("https://klasma.github.io/Logging_0980/fåglar/A 35127-2026 prioriterade fågelarter.docx", "A 35127-2026")</f>
        <v/>
      </c>
    </row>
    <row r="164" ht="15" customHeight="1">
      <c r="A164" t="inlineStr">
        <is>
          <t>A 28276-2024</t>
        </is>
      </c>
      <c r="B164" t="inlineStr">
        <is>
          <t>avverkningsanmälan</t>
        </is>
      </c>
      <c r="C164" t="inlineStr">
        <is>
          <t>Avverkning för annat ändamål</t>
        </is>
      </c>
      <c r="D164" s="1" t="n">
        <v>45477</v>
      </c>
      <c r="E164" s="1" t="n">
        <v>46316</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56115-2023</t>
        </is>
      </c>
      <c r="B165" t="inlineStr">
        <is>
          <t>avverkningsanmälan</t>
        </is>
      </c>
      <c r="C165" t="inlineStr">
        <is>
          <t>Avverkning för annat ändamål</t>
        </is>
      </c>
      <c r="D165" s="1" t="n">
        <v>45236</v>
      </c>
      <c r="E165" s="1" t="n">
        <v>46316</v>
      </c>
      <c r="F165" t="inlineStr">
        <is>
          <t>GOTLANDS LÄN</t>
        </is>
      </c>
      <c r="G165" t="inlineStr">
        <is>
          <t>GOTLAND</t>
        </is>
      </c>
      <c r="I165" t="n">
        <v>2</v>
      </c>
      <c r="J165" t="n">
        <v>1</v>
      </c>
      <c r="K165" t="n">
        <v>1</v>
      </c>
      <c r="L165" t="n">
        <v>0</v>
      </c>
      <c r="M165" t="n">
        <v>1</v>
      </c>
      <c r="N165" t="n">
        <v>0</v>
      </c>
      <c r="O165" t="n">
        <v>0</v>
      </c>
      <c r="P165" t="n">
        <v>0</v>
      </c>
      <c r="Q165" t="n">
        <v>1</v>
      </c>
      <c r="R165" t="n">
        <v>1</v>
      </c>
      <c r="S165" t="n">
        <v>2</v>
      </c>
      <c r="T165" t="n">
        <v>2</v>
      </c>
      <c r="U165" t="n">
        <v>2</v>
      </c>
      <c r="V165" s="2" t="inlineStr">
        <is>
          <t>Igelkott
Skogsknipprot</t>
        </is>
      </c>
      <c r="W165">
        <f>HYPERLINK("https://klasma.github.io/Logging_0980/artfynd/A 56115-2023 artfynd.xlsx", "A 56115-2023")</f>
        <v/>
      </c>
      <c r="X165">
        <f>HYPERLINK("https://klasma.github.io/Logging_0980/kartor/A 56115-2023 karta.png", "A 56115-2023")</f>
        <v/>
      </c>
      <c r="Y165">
        <f>HYPERLINK("https://klasma.github.io/Logging_0980/kartor_geotiff/A 56115-2023 georefererad karta.tif", "A 56115-2023")</f>
        <v/>
      </c>
      <c r="AA165">
        <f>HYPERLINK("https://klasma.github.io/Logging_0980/klagomål/A 56115-2023 FSC-klagomål.docx", "A 56115-2023")</f>
        <v/>
      </c>
      <c r="AB165">
        <f>HYPERLINK("https://klasma.github.io/Logging_0980/klagomålsmail/A 56115-2023 FSC-klagomål mail.docx", "A 56115-2023")</f>
        <v/>
      </c>
      <c r="AC165">
        <f>HYPERLINK("https://klasma.github.io/Logging_0980/tillsyn/A 56115-2023 tillsynsbegäran.docx", "A 56115-2023")</f>
        <v/>
      </c>
      <c r="AD165">
        <f>HYPERLINK("https://klasma.github.io/Logging_0980/tillsynsmail/A 56115-2023 tillsynsbegäran mail.docx", "A 56115-2023")</f>
        <v/>
      </c>
    </row>
    <row r="166" ht="15" customHeight="1">
      <c r="A166" t="inlineStr">
        <is>
          <t>S 3320-2023</t>
        </is>
      </c>
      <c r="B166" t="inlineStr">
        <is>
          <t>samrådsanmälan</t>
        </is>
      </c>
      <c r="C166" t="inlineStr">
        <is>
          <t>Annan skogsbruksåtgärd</t>
        </is>
      </c>
      <c r="D166" s="1" t="n">
        <v>45198</v>
      </c>
      <c r="E166" s="1" t="n">
        <v>46316</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46316</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46316</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46316</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46316</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63229-2021</t>
        </is>
      </c>
      <c r="B171" t="inlineStr">
        <is>
          <t>avverkningsanmälan</t>
        </is>
      </c>
      <c r="C171" t="inlineStr">
        <is>
          <t>Föryngringsavverkning</t>
        </is>
      </c>
      <c r="D171" s="1" t="n">
        <v>44508</v>
      </c>
      <c r="E171" s="1" t="n">
        <v>46316</v>
      </c>
      <c r="F171" t="inlineStr">
        <is>
          <t>GOTLANDS LÄN</t>
        </is>
      </c>
      <c r="G171" t="inlineStr">
        <is>
          <t>GOTLAND</t>
        </is>
      </c>
      <c r="H171" t="inlineStr">
        <is>
          <t>Kyrkan</t>
        </is>
      </c>
      <c r="I171" t="n">
        <v>3.8</v>
      </c>
      <c r="J171" t="n">
        <v>0</v>
      </c>
      <c r="K171" t="n">
        <v>0</v>
      </c>
      <c r="L171" t="n">
        <v>1</v>
      </c>
      <c r="M171" t="n">
        <v>0</v>
      </c>
      <c r="N171" t="n">
        <v>0</v>
      </c>
      <c r="O171" t="n">
        <v>0</v>
      </c>
      <c r="P171" t="n">
        <v>0</v>
      </c>
      <c r="Q171" t="n">
        <v>1</v>
      </c>
      <c r="R171" t="n">
        <v>0</v>
      </c>
      <c r="S171" t="n">
        <v>1</v>
      </c>
      <c r="T171" t="n">
        <v>1</v>
      </c>
      <c r="U171" t="n">
        <v>0</v>
      </c>
      <c r="V171" s="2" t="inlineStr">
        <is>
          <t>Backtimjan</t>
        </is>
      </c>
      <c r="W171">
        <f>HYPERLINK("https://klasma.github.io/Logging_0980/artfynd/A 63229-2021 artfynd.xlsx", "A 63229-2021")</f>
        <v/>
      </c>
      <c r="X171">
        <f>HYPERLINK("https://klasma.github.io/Logging_0980/kartor/A 63229-2021 karta.png", "A 63229-2021")</f>
        <v/>
      </c>
      <c r="Y171">
        <f>HYPERLINK("https://klasma.github.io/Logging_0980/kartor_geotiff/A 63229-2021 georefererad karta.tif", "A 63229-2021")</f>
        <v/>
      </c>
      <c r="AA171">
        <f>HYPERLINK("https://klasma.github.io/Logging_0980/klagomål/A 63229-2021 FSC-klagomål.docx", "A 63229-2021")</f>
        <v/>
      </c>
      <c r="AB171">
        <f>HYPERLINK("https://klasma.github.io/Logging_0980/klagomålsmail/A 63229-2021 FSC-klagomål mail.docx", "A 63229-2021")</f>
        <v/>
      </c>
      <c r="AC171">
        <f>HYPERLINK("https://klasma.github.io/Logging_0980/tillsyn/A 63229-2021 tillsynsbegäran.docx", "A 63229-2021")</f>
        <v/>
      </c>
      <c r="AD171">
        <f>HYPERLINK("https://klasma.github.io/Logging_0980/tillsynsmail/A 63229-2021 tillsynsbegäran mail.docx", "A 63229-2021")</f>
        <v/>
      </c>
    </row>
    <row r="172" ht="15" customHeight="1">
      <c r="A172" t="inlineStr">
        <is>
          <t>A 27593-2023</t>
        </is>
      </c>
      <c r="B172" t="inlineStr">
        <is>
          <t>avverkningsanmälan</t>
        </is>
      </c>
      <c r="C172" t="inlineStr">
        <is>
          <t>Avverkning för annat ändamål</t>
        </is>
      </c>
      <c r="D172" s="1" t="n">
        <v>45097</v>
      </c>
      <c r="E172" s="1" t="n">
        <v>46316</v>
      </c>
      <c r="F172" t="inlineStr">
        <is>
          <t>GOTLANDS LÄN</t>
        </is>
      </c>
      <c r="G172" t="inlineStr">
        <is>
          <t>GOTLAND</t>
        </is>
      </c>
      <c r="I172" t="n">
        <v>3.1</v>
      </c>
      <c r="J172" t="n">
        <v>1</v>
      </c>
      <c r="K172" t="n">
        <v>0</v>
      </c>
      <c r="L172" t="n">
        <v>0</v>
      </c>
      <c r="M172" t="n">
        <v>0</v>
      </c>
      <c r="N172" t="n">
        <v>1</v>
      </c>
      <c r="O172" t="n">
        <v>0</v>
      </c>
      <c r="P172" t="n">
        <v>0</v>
      </c>
      <c r="Q172" t="n">
        <v>1</v>
      </c>
      <c r="R172" t="n">
        <v>1</v>
      </c>
      <c r="S172" t="n">
        <v>1</v>
      </c>
      <c r="T172" t="n">
        <v>2</v>
      </c>
      <c r="U172" t="n">
        <v>1</v>
      </c>
      <c r="V172" s="2" t="inlineStr">
        <is>
          <t>Spjutsporre</t>
        </is>
      </c>
      <c r="W172">
        <f>HYPERLINK("https://klasma.github.io/Logging_0980/artfynd/A 27593-2023 artfynd.xlsx", "A 27593-2023")</f>
        <v/>
      </c>
      <c r="X172">
        <f>HYPERLINK("https://klasma.github.io/Logging_0980/kartor/A 27593-2023 karta.png", "A 27593-2023")</f>
        <v/>
      </c>
      <c r="Y172">
        <f>HYPERLINK("https://klasma.github.io/Logging_0980/kartor_geotiff/A 27593-2023 georefererad karta.tif", "A 27593-2023")</f>
        <v/>
      </c>
      <c r="AA172">
        <f>HYPERLINK("https://klasma.github.io/Logging_0980/klagomål/A 27593-2023 FSC-klagomål.docx", "A 27593-2023")</f>
        <v/>
      </c>
      <c r="AB172">
        <f>HYPERLINK("https://klasma.github.io/Logging_0980/klagomålsmail/A 27593-2023 FSC-klagomål mail.docx", "A 27593-2023")</f>
        <v/>
      </c>
      <c r="AC172">
        <f>HYPERLINK("https://klasma.github.io/Logging_0980/tillsyn/A 27593-2023 tillsynsbegäran.docx", "A 27593-2023")</f>
        <v/>
      </c>
      <c r="AD172">
        <f>HYPERLINK("https://klasma.github.io/Logging_0980/tillsynsmail/A 27593-2023 tillsynsbegäran mail.docx", "A 27593-2023")</f>
        <v/>
      </c>
    </row>
    <row r="173" ht="15" customHeight="1">
      <c r="A173" t="inlineStr">
        <is>
          <t>A 24245-2022</t>
        </is>
      </c>
      <c r="B173" t="inlineStr">
        <is>
          <t>avverkningsanmälan</t>
        </is>
      </c>
      <c r="C173" t="inlineStr">
        <is>
          <t>Föryngringsavverkning</t>
        </is>
      </c>
      <c r="D173" s="1" t="n">
        <v>44725</v>
      </c>
      <c r="E173" s="1" t="n">
        <v>46316</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6739-2025</t>
        </is>
      </c>
      <c r="B174" t="inlineStr">
        <is>
          <t>avverkningsanmälan</t>
        </is>
      </c>
      <c r="C174" t="inlineStr">
        <is>
          <t>Föryngringsavverkning</t>
        </is>
      </c>
      <c r="D174" s="1" t="n">
        <v>45700</v>
      </c>
      <c r="E174" s="1" t="n">
        <v>46316</v>
      </c>
      <c r="F174" t="inlineStr">
        <is>
          <t>GOTLANDS LÄN</t>
        </is>
      </c>
      <c r="G174" t="inlineStr">
        <is>
          <t>GOTLAND</t>
        </is>
      </c>
      <c r="I174" t="n">
        <v>4.5</v>
      </c>
      <c r="J174" t="n">
        <v>1</v>
      </c>
      <c r="K174" t="n">
        <v>0</v>
      </c>
      <c r="L174" t="n">
        <v>0</v>
      </c>
      <c r="M174" t="n">
        <v>0</v>
      </c>
      <c r="N174" t="n">
        <v>0</v>
      </c>
      <c r="O174" t="n">
        <v>0</v>
      </c>
      <c r="P174" t="n">
        <v>0</v>
      </c>
      <c r="Q174" t="n">
        <v>0</v>
      </c>
      <c r="R174" t="n">
        <v>0</v>
      </c>
      <c r="S174" t="n">
        <v>1</v>
      </c>
      <c r="T174" t="n">
        <v>1</v>
      </c>
      <c r="U174" t="n">
        <v>1</v>
      </c>
      <c r="V174" s="2" t="inlineStr">
        <is>
          <t>Röd glada</t>
        </is>
      </c>
      <c r="W174">
        <f>HYPERLINK("https://klasma.github.io/Logging_0980/artfynd/A 6739-2025 artfynd.xlsx", "A 6739-2025")</f>
        <v/>
      </c>
      <c r="X174">
        <f>HYPERLINK("https://klasma.github.io/Logging_0980/kartor/A 6739-2025 karta.png", "A 6739-2025")</f>
        <v/>
      </c>
      <c r="Y174">
        <f>HYPERLINK("https://klasma.github.io/Logging_0980/kartor_geotiff/A 6739-2025 georefererad karta.tif", "A 6739-2025")</f>
        <v/>
      </c>
      <c r="AA174">
        <f>HYPERLINK("https://klasma.github.io/Logging_0980/klagomål/A 6739-2025 FSC-klagomål.docx", "A 6739-2025")</f>
        <v/>
      </c>
      <c r="AB174">
        <f>HYPERLINK("https://klasma.github.io/Logging_0980/klagomålsmail/A 6739-2025 FSC-klagomål mail.docx", "A 6739-2025")</f>
        <v/>
      </c>
      <c r="AC174">
        <f>HYPERLINK("https://klasma.github.io/Logging_0980/tillsyn/A 6739-2025 tillsynsbegäran.docx", "A 6739-2025")</f>
        <v/>
      </c>
      <c r="AD174">
        <f>HYPERLINK("https://klasma.github.io/Logging_0980/tillsynsmail/A 6739-2025 tillsynsbegäran mail.docx", "A 6739-2025")</f>
        <v/>
      </c>
      <c r="AE174">
        <f>HYPERLINK("https://klasma.github.io/Logging_0980/fåglar/A 6739-2025 prioriterade fågelarter.docx", "A 6739-2025")</f>
        <v/>
      </c>
    </row>
    <row r="175" ht="15" customHeight="1">
      <c r="A175" t="inlineStr">
        <is>
          <t>A 5751-2024</t>
        </is>
      </c>
      <c r="B175" t="inlineStr">
        <is>
          <t>avverkningsanmälan</t>
        </is>
      </c>
      <c r="C175" t="inlineStr">
        <is>
          <t>Avverkning för att bevara och utveckla /försöksver</t>
        </is>
      </c>
      <c r="D175" s="1" t="n">
        <v>45335</v>
      </c>
      <c r="E175" s="1" t="n">
        <v>46316</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1</v>
      </c>
      <c r="V175" s="2" t="inlineStr">
        <is>
          <t>Svinrot</t>
        </is>
      </c>
      <c r="W175">
        <f>HYPERLINK("https://klasma.github.io/Logging_0980/artfynd/A 5751-2024 artfynd.xlsx", "A 5751-2024")</f>
        <v/>
      </c>
      <c r="X175">
        <f>HYPERLINK("https://klasma.github.io/Logging_0980/kartor/A 5751-2024 karta.png", "A 5751-2024")</f>
        <v/>
      </c>
      <c r="Y175">
        <f>HYPERLINK("https://klasma.github.io/Logging_0980/kartor_geotiff/A 5751-2024 georefererad karta.tif", "A 5751-2024")</f>
        <v/>
      </c>
      <c r="AA175">
        <f>HYPERLINK("https://klasma.github.io/Logging_0980/klagomål/A 5751-2024 FSC-klagomål.docx", "A 5751-2024")</f>
        <v/>
      </c>
      <c r="AB175">
        <f>HYPERLINK("https://klasma.github.io/Logging_0980/klagomålsmail/A 5751-2024 FSC-klagomål mail.docx", "A 5751-2024")</f>
        <v/>
      </c>
      <c r="AC175">
        <f>HYPERLINK("https://klasma.github.io/Logging_0980/tillsyn/A 5751-2024 tillsynsbegäran.docx", "A 5751-2024")</f>
        <v/>
      </c>
      <c r="AD175">
        <f>HYPERLINK("https://klasma.github.io/Logging_0980/tillsynsmail/A 5751-2024 tillsynsbegäran mail.docx", "A 5751-2024")</f>
        <v/>
      </c>
    </row>
    <row r="176" ht="15" customHeight="1">
      <c r="A176" t="inlineStr">
        <is>
          <t>A 49693-2023</t>
        </is>
      </c>
      <c r="B176" t="inlineStr">
        <is>
          <t>avverkningsanmälan</t>
        </is>
      </c>
      <c r="C176" t="inlineStr">
        <is>
          <t>Föryngringsavverkning</t>
        </is>
      </c>
      <c r="D176" s="1" t="n">
        <v>45212</v>
      </c>
      <c r="E176" s="1" t="n">
        <v>46316</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57534-2022</t>
        </is>
      </c>
      <c r="B177" t="inlineStr">
        <is>
          <t>avverkningsanmälan</t>
        </is>
      </c>
      <c r="C177" t="inlineStr">
        <is>
          <t>Föryngringsavverkning</t>
        </is>
      </c>
      <c r="D177" s="1" t="n">
        <v>44896</v>
      </c>
      <c r="E177" s="1" t="n">
        <v>46316</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Myskmadra</t>
        </is>
      </c>
      <c r="W177">
        <f>HYPERLINK("https://klasma.github.io/Logging_0980/artfynd/A 57534-2022 artfynd.xlsx", "A 57534-2022")</f>
        <v/>
      </c>
      <c r="X177">
        <f>HYPERLINK("https://klasma.github.io/Logging_0980/kartor/A 57534-2022 karta.png", "A 57534-2022")</f>
        <v/>
      </c>
      <c r="Y177">
        <f>HYPERLINK("https://klasma.github.io/Logging_0980/kartor_geotiff/A 57534-2022 georefererad karta.tif", "A 57534-2022")</f>
        <v/>
      </c>
      <c r="AA177">
        <f>HYPERLINK("https://klasma.github.io/Logging_0980/klagomål/A 57534-2022 FSC-klagomål.docx", "A 57534-2022")</f>
        <v/>
      </c>
      <c r="AB177">
        <f>HYPERLINK("https://klasma.github.io/Logging_0980/klagomålsmail/A 57534-2022 FSC-klagomål mail.docx", "A 57534-2022")</f>
        <v/>
      </c>
      <c r="AC177">
        <f>HYPERLINK("https://klasma.github.io/Logging_0980/tillsyn/A 57534-2022 tillsynsbegäran.docx", "A 57534-2022")</f>
        <v/>
      </c>
      <c r="AD177">
        <f>HYPERLINK("https://klasma.github.io/Logging_0980/tillsynsmail/A 57534-2022 tillsynsbegäran mail.docx", "A 57534-2022")</f>
        <v/>
      </c>
    </row>
    <row r="178" ht="15" customHeight="1">
      <c r="A178" t="inlineStr">
        <is>
          <t>A 6303-2024</t>
        </is>
      </c>
      <c r="B178" t="inlineStr">
        <is>
          <t>avverkningsanmälan</t>
        </is>
      </c>
      <c r="C178" t="inlineStr">
        <is>
          <t>Föryngringsavverkning</t>
        </is>
      </c>
      <c r="D178" s="1" t="n">
        <v>45338</v>
      </c>
      <c r="E178" s="1" t="n">
        <v>46316</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6303-2024 artfynd.xlsx", "A 6303-2024")</f>
        <v/>
      </c>
      <c r="X178">
        <f>HYPERLINK("https://klasma.github.io/Logging_0980/kartor/A 6303-2024 karta.png", "A 6303-2024")</f>
        <v/>
      </c>
      <c r="Y178">
        <f>HYPERLINK("https://klasma.github.io/Logging_0980/kartor_geotiff/A 6303-2024 georefererad karta.tif", "A 6303-2024")</f>
        <v/>
      </c>
      <c r="AA178">
        <f>HYPERLINK("https://klasma.github.io/Logging_0980/klagomål/A 6303-2024 FSC-klagomål.docx", "A 6303-2024")</f>
        <v/>
      </c>
      <c r="AB178">
        <f>HYPERLINK("https://klasma.github.io/Logging_0980/klagomålsmail/A 6303-2024 FSC-klagomål mail.docx", "A 6303-2024")</f>
        <v/>
      </c>
      <c r="AC178">
        <f>HYPERLINK("https://klasma.github.io/Logging_0980/tillsyn/A 6303-2024 tillsynsbegäran.docx", "A 6303-2024")</f>
        <v/>
      </c>
      <c r="AD178">
        <f>HYPERLINK("https://klasma.github.io/Logging_0980/tillsynsmail/A 6303-2024 tillsynsbegäran mail.docx", "A 6303-2024")</f>
        <v/>
      </c>
    </row>
    <row r="179" ht="15" customHeight="1">
      <c r="A179" t="inlineStr">
        <is>
          <t>A 25977-2024</t>
        </is>
      </c>
      <c r="B179" t="inlineStr">
        <is>
          <t>avverkningsanmälan</t>
        </is>
      </c>
      <c r="C179" t="inlineStr">
        <is>
          <t>Föryngringsavverkning</t>
        </is>
      </c>
      <c r="D179" s="1" t="n">
        <v>45467</v>
      </c>
      <c r="E179" s="1" t="n">
        <v>46316</v>
      </c>
      <c r="F179" t="inlineStr">
        <is>
          <t>GOTLANDS LÄN</t>
        </is>
      </c>
      <c r="G179" t="inlineStr">
        <is>
          <t>GOTLAND</t>
        </is>
      </c>
      <c r="I179" t="n">
        <v>3</v>
      </c>
      <c r="J179" t="n">
        <v>1</v>
      </c>
      <c r="K179" t="n">
        <v>0</v>
      </c>
      <c r="L179" t="n">
        <v>0</v>
      </c>
      <c r="M179" t="n">
        <v>0</v>
      </c>
      <c r="N179" t="n">
        <v>0</v>
      </c>
      <c r="O179" t="n">
        <v>0</v>
      </c>
      <c r="P179" t="n">
        <v>0</v>
      </c>
      <c r="Q179" t="n">
        <v>0</v>
      </c>
      <c r="R179" t="n">
        <v>0</v>
      </c>
      <c r="S179" t="n">
        <v>1</v>
      </c>
      <c r="T179" t="n">
        <v>1</v>
      </c>
      <c r="U179" t="n">
        <v>1</v>
      </c>
      <c r="V179" s="2" t="inlineStr">
        <is>
          <t>Nattviol</t>
        </is>
      </c>
      <c r="W179">
        <f>HYPERLINK("https://klasma.github.io/Logging_0980/artfynd/A 25977-2024 artfynd.xlsx", "A 25977-2024")</f>
        <v/>
      </c>
      <c r="X179">
        <f>HYPERLINK("https://klasma.github.io/Logging_0980/kartor/A 25977-2024 karta.png", "A 25977-2024")</f>
        <v/>
      </c>
      <c r="Y179">
        <f>HYPERLINK("https://klasma.github.io/Logging_0980/kartor_geotiff/A 25977-2024 georefererad karta.tif", "A 25977-2024")</f>
        <v/>
      </c>
      <c r="AA179">
        <f>HYPERLINK("https://klasma.github.io/Logging_0980/klagomål/A 25977-2024 FSC-klagomål.docx", "A 25977-2024")</f>
        <v/>
      </c>
      <c r="AB179">
        <f>HYPERLINK("https://klasma.github.io/Logging_0980/klagomålsmail/A 25977-2024 FSC-klagomål mail.docx", "A 25977-2024")</f>
        <v/>
      </c>
      <c r="AC179">
        <f>HYPERLINK("https://klasma.github.io/Logging_0980/tillsyn/A 25977-2024 tillsynsbegäran.docx", "A 25977-2024")</f>
        <v/>
      </c>
      <c r="AD179">
        <f>HYPERLINK("https://klasma.github.io/Logging_0980/tillsynsmail/A 25977-2024 tillsynsbegäran mail.docx", "A 25977-2024")</f>
        <v/>
      </c>
    </row>
    <row r="180" ht="15" customHeight="1">
      <c r="A180" t="inlineStr">
        <is>
          <t>A 4662-2026</t>
        </is>
      </c>
      <c r="B180" t="inlineStr">
        <is>
          <t>avverkningsanmälan</t>
        </is>
      </c>
      <c r="C180" t="inlineStr">
        <is>
          <t>Föryngringsavverkning</t>
        </is>
      </c>
      <c r="D180" s="1" t="n">
        <v>46048</v>
      </c>
      <c r="E180" s="1" t="n">
        <v>46316</v>
      </c>
      <c r="F180" t="inlineStr">
        <is>
          <t>GOTLANDS LÄN</t>
        </is>
      </c>
      <c r="G180" t="inlineStr">
        <is>
          <t>GOTLAND</t>
        </is>
      </c>
      <c r="I180" t="n">
        <v>7.6</v>
      </c>
      <c r="J180" t="n">
        <v>0</v>
      </c>
      <c r="K180" t="n">
        <v>0</v>
      </c>
      <c r="L180" t="n">
        <v>0</v>
      </c>
      <c r="M180" t="n">
        <v>1</v>
      </c>
      <c r="N180" t="n">
        <v>0</v>
      </c>
      <c r="O180" t="n">
        <v>0</v>
      </c>
      <c r="P180" t="n">
        <v>0</v>
      </c>
      <c r="Q180" t="n">
        <v>1</v>
      </c>
      <c r="R180" t="n">
        <v>1</v>
      </c>
      <c r="S180" t="n">
        <v>1</v>
      </c>
      <c r="T180" t="n">
        <v>1</v>
      </c>
      <c r="U180" t="n">
        <v>0</v>
      </c>
      <c r="V180" s="2" t="inlineStr">
        <is>
          <t>Strandviol</t>
        </is>
      </c>
      <c r="W180">
        <f>HYPERLINK("https://klasma.github.io/Logging_0980/artfynd/A 4662-2026 artfynd.xlsx", "A 4662-2026")</f>
        <v/>
      </c>
      <c r="X180">
        <f>HYPERLINK("https://klasma.github.io/Logging_0980/kartor/A 4662-2026 karta.png", "A 4662-2026")</f>
        <v/>
      </c>
      <c r="Y180">
        <f>HYPERLINK("https://klasma.github.io/Logging_0980/kartor_geotiff/A 4662-2026 georefererad karta.tif", "A 4662-2026")</f>
        <v/>
      </c>
      <c r="AA180">
        <f>HYPERLINK("https://klasma.github.io/Logging_0980/klagomål/A 4662-2026 FSC-klagomål.docx", "A 4662-2026")</f>
        <v/>
      </c>
      <c r="AB180">
        <f>HYPERLINK("https://klasma.github.io/Logging_0980/klagomålsmail/A 4662-2026 FSC-klagomål mail.docx", "A 4662-2026")</f>
        <v/>
      </c>
      <c r="AC180">
        <f>HYPERLINK("https://klasma.github.io/Logging_0980/tillsyn/A 4662-2026 tillsynsbegäran.docx", "A 4662-2026")</f>
        <v/>
      </c>
      <c r="AD180">
        <f>HYPERLINK("https://klasma.github.io/Logging_0980/tillsynsmail/A 4662-2026 tillsynsbegäran mail.docx", "A 4662-2026")</f>
        <v/>
      </c>
    </row>
    <row r="181" ht="15" customHeight="1">
      <c r="A181" t="inlineStr">
        <is>
          <t>A 40294-2022</t>
        </is>
      </c>
      <c r="B181" t="inlineStr">
        <is>
          <t>avverkningsanmälan</t>
        </is>
      </c>
      <c r="C181" t="inlineStr">
        <is>
          <t>Föryngringsavverkning</t>
        </is>
      </c>
      <c r="D181" s="1" t="n">
        <v>44821</v>
      </c>
      <c r="E181" s="1" t="n">
        <v>46316</v>
      </c>
      <c r="F181" t="inlineStr">
        <is>
          <t>GOTLANDS LÄN</t>
        </is>
      </c>
      <c r="G181" t="inlineStr">
        <is>
          <t>GOTLAND</t>
        </is>
      </c>
      <c r="I181" t="n">
        <v>1.6</v>
      </c>
      <c r="J181" t="n">
        <v>0</v>
      </c>
      <c r="K181" t="n">
        <v>0</v>
      </c>
      <c r="L181" t="n">
        <v>0</v>
      </c>
      <c r="M181" t="n">
        <v>1</v>
      </c>
      <c r="N181" t="n">
        <v>0</v>
      </c>
      <c r="O181" t="n">
        <v>0</v>
      </c>
      <c r="P181" t="n">
        <v>0</v>
      </c>
      <c r="Q181" t="n">
        <v>1</v>
      </c>
      <c r="R181" t="n">
        <v>1</v>
      </c>
      <c r="S181" t="n">
        <v>1</v>
      </c>
      <c r="T181" t="n">
        <v>1</v>
      </c>
      <c r="U181" t="n">
        <v>1</v>
      </c>
      <c r="V181" s="2" t="inlineStr">
        <is>
          <t>Gotlandsmåra</t>
        </is>
      </c>
      <c r="W181">
        <f>HYPERLINK("https://klasma.github.io/Logging_0980/artfynd/A 40294-2022 artfynd.xlsx", "A 40294-2022")</f>
        <v/>
      </c>
      <c r="X181">
        <f>HYPERLINK("https://klasma.github.io/Logging_0980/kartor/A 40294-2022 karta.png", "A 40294-2022")</f>
        <v/>
      </c>
      <c r="Y181">
        <f>HYPERLINK("https://klasma.github.io/Logging_0980/kartor_geotiff/A 40294-2022 georefererad karta.tif", "A 40294-2022")</f>
        <v/>
      </c>
      <c r="AA181">
        <f>HYPERLINK("https://klasma.github.io/Logging_0980/klagomål/A 40294-2022 FSC-klagomål.docx", "A 40294-2022")</f>
        <v/>
      </c>
      <c r="AB181">
        <f>HYPERLINK("https://klasma.github.io/Logging_0980/klagomålsmail/A 40294-2022 FSC-klagomål mail.docx", "A 40294-2022")</f>
        <v/>
      </c>
      <c r="AC181">
        <f>HYPERLINK("https://klasma.github.io/Logging_0980/tillsyn/A 40294-2022 tillsynsbegäran.docx", "A 40294-2022")</f>
        <v/>
      </c>
      <c r="AD181">
        <f>HYPERLINK("https://klasma.github.io/Logging_0980/tillsynsmail/A 40294-2022 tillsynsbegäran mail.docx", "A 40294-2022")</f>
        <v/>
      </c>
    </row>
    <row r="182" ht="15" customHeight="1">
      <c r="A182" t="inlineStr">
        <is>
          <t>A 27602-2023</t>
        </is>
      </c>
      <c r="B182" t="inlineStr">
        <is>
          <t>avverkningsanmälan</t>
        </is>
      </c>
      <c r="C182" t="inlineStr">
        <is>
          <t>Avverkning för annat ändamål</t>
        </is>
      </c>
      <c r="D182" s="1" t="n">
        <v>45097</v>
      </c>
      <c r="E182" s="1" t="n">
        <v>46316</v>
      </c>
      <c r="F182" t="inlineStr">
        <is>
          <t>GOTLANDS LÄN</t>
        </is>
      </c>
      <c r="G182" t="inlineStr">
        <is>
          <t>GOTLAND</t>
        </is>
      </c>
      <c r="I182" t="n">
        <v>2.7</v>
      </c>
      <c r="J182" t="n">
        <v>1</v>
      </c>
      <c r="K182" t="n">
        <v>0</v>
      </c>
      <c r="L182" t="n">
        <v>0</v>
      </c>
      <c r="M182" t="n">
        <v>0</v>
      </c>
      <c r="N182" t="n">
        <v>0</v>
      </c>
      <c r="O182" t="n">
        <v>0</v>
      </c>
      <c r="P182" t="n">
        <v>0</v>
      </c>
      <c r="Q182" t="n">
        <v>0</v>
      </c>
      <c r="R182" t="n">
        <v>0</v>
      </c>
      <c r="S182" t="n">
        <v>1</v>
      </c>
      <c r="T182" t="n">
        <v>1</v>
      </c>
      <c r="U182" t="n">
        <v>0</v>
      </c>
      <c r="V182" s="2" t="inlineStr">
        <is>
          <t>Blåsippa</t>
        </is>
      </c>
      <c r="W182">
        <f>HYPERLINK("https://klasma.github.io/Logging_0980/artfynd/A 27602-2023 artfynd.xlsx", "A 27602-2023")</f>
        <v/>
      </c>
      <c r="X182">
        <f>HYPERLINK("https://klasma.github.io/Logging_0980/kartor/A 27602-2023 karta.png", "A 27602-2023")</f>
        <v/>
      </c>
      <c r="Y182">
        <f>HYPERLINK("https://klasma.github.io/Logging_0980/kartor_geotiff/A 27602-2023 georefererad karta.tif", "A 27602-2023")</f>
        <v/>
      </c>
      <c r="AA182">
        <f>HYPERLINK("https://klasma.github.io/Logging_0980/klagomål/A 27602-2023 FSC-klagomål.docx", "A 27602-2023")</f>
        <v/>
      </c>
      <c r="AB182">
        <f>HYPERLINK("https://klasma.github.io/Logging_0980/klagomålsmail/A 27602-2023 FSC-klagomål mail.docx", "A 27602-2023")</f>
        <v/>
      </c>
      <c r="AC182">
        <f>HYPERLINK("https://klasma.github.io/Logging_0980/tillsyn/A 27602-2023 tillsynsbegäran.docx", "A 27602-2023")</f>
        <v/>
      </c>
      <c r="AD182">
        <f>HYPERLINK("https://klasma.github.io/Logging_0980/tillsynsmail/A 27602-2023 tillsynsbegäran mail.docx", "A 27602-2023")</f>
        <v/>
      </c>
    </row>
    <row r="183" ht="15" customHeight="1">
      <c r="A183" t="inlineStr">
        <is>
          <t>A 947-2023</t>
        </is>
      </c>
      <c r="B183" t="inlineStr">
        <is>
          <t>avverkningsanmälan</t>
        </is>
      </c>
      <c r="C183" t="inlineStr">
        <is>
          <t>Föryngringsavverkning</t>
        </is>
      </c>
      <c r="D183" s="1" t="n">
        <v>44934</v>
      </c>
      <c r="E183" s="1" t="n">
        <v>46316</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9862-2024</t>
        </is>
      </c>
      <c r="B184" t="inlineStr">
        <is>
          <t>avverkningsanmälan</t>
        </is>
      </c>
      <c r="C184" t="inlineStr">
        <is>
          <t>Föryngringsavverkning</t>
        </is>
      </c>
      <c r="D184" s="1" t="n">
        <v>45363</v>
      </c>
      <c r="E184" s="1" t="n">
        <v>46316</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46316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46189-2022</t>
        </is>
      </c>
      <c r="B186" t="inlineStr">
        <is>
          <t>avverkningsanmälan</t>
        </is>
      </c>
      <c r="C186" t="inlineStr">
        <is>
          <t>Avverkning för annat ändamål</t>
        </is>
      </c>
      <c r="D186" s="1" t="n">
        <v>44847</v>
      </c>
      <c r="E186" s="1" t="n">
        <v>46316</v>
      </c>
      <c r="F186" t="inlineStr">
        <is>
          <t>GOTLANDS LÄN</t>
        </is>
      </c>
      <c r="G186" t="inlineStr">
        <is>
          <t>GOTLAND</t>
        </is>
      </c>
      <c r="I186" t="n">
        <v>0.4</v>
      </c>
      <c r="J186" t="n">
        <v>0</v>
      </c>
      <c r="K186" t="n">
        <v>0</v>
      </c>
      <c r="L186" t="n">
        <v>1</v>
      </c>
      <c r="M186" t="n">
        <v>0</v>
      </c>
      <c r="N186" t="n">
        <v>0</v>
      </c>
      <c r="O186" t="n">
        <v>0</v>
      </c>
      <c r="P186" t="n">
        <v>0</v>
      </c>
      <c r="Q186" t="n">
        <v>1</v>
      </c>
      <c r="R186" t="n">
        <v>0</v>
      </c>
      <c r="S186" t="n">
        <v>1</v>
      </c>
      <c r="T186" t="n">
        <v>1</v>
      </c>
      <c r="U186" t="n">
        <v>1</v>
      </c>
      <c r="V186" s="2" t="inlineStr">
        <is>
          <t>Stjälkröksvamp</t>
        </is>
      </c>
      <c r="W186">
        <f>HYPERLINK("https://klasma.github.io/Logging_0980/artfynd/A 46189-2022 artfynd.xlsx", "A 46189-2022")</f>
        <v/>
      </c>
      <c r="X186">
        <f>HYPERLINK("https://klasma.github.io/Logging_0980/kartor/A 46189-2022 karta.png", "A 46189-2022")</f>
        <v/>
      </c>
      <c r="Y186">
        <f>HYPERLINK("https://klasma.github.io/Logging_0980/kartor_geotiff/A 46189-2022 georefererad karta.tif", "A 46189-2022")</f>
        <v/>
      </c>
      <c r="AA186">
        <f>HYPERLINK("https://klasma.github.io/Logging_0980/klagomål/A 46189-2022 FSC-klagomål.docx", "A 46189-2022")</f>
        <v/>
      </c>
      <c r="AB186">
        <f>HYPERLINK("https://klasma.github.io/Logging_0980/klagomålsmail/A 46189-2022 FSC-klagomål mail.docx", "A 46189-2022")</f>
        <v/>
      </c>
      <c r="AC186">
        <f>HYPERLINK("https://klasma.github.io/Logging_0980/tillsyn/A 46189-2022 tillsynsbegäran.docx", "A 46189-2022")</f>
        <v/>
      </c>
      <c r="AD186">
        <f>HYPERLINK("https://klasma.github.io/Logging_0980/tillsynsmail/A 46189-2022 tillsynsbegäran mail.docx", "A 46189-2022")</f>
        <v/>
      </c>
    </row>
    <row r="187" ht="15" customHeight="1">
      <c r="A187" t="inlineStr">
        <is>
          <t>A 30489-2025</t>
        </is>
      </c>
      <c r="B187" t="inlineStr">
        <is>
          <t>avverkningsanmälan</t>
        </is>
      </c>
      <c r="C187" t="inlineStr">
        <is>
          <t>Föryngringsavverkning</t>
        </is>
      </c>
      <c r="D187" s="1" t="n">
        <v>45830</v>
      </c>
      <c r="E187" s="1" t="n">
        <v>46316</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7042-2023</t>
        </is>
      </c>
      <c r="B188" t="inlineStr">
        <is>
          <t>avverkningsanmälan</t>
        </is>
      </c>
      <c r="C188" t="inlineStr">
        <is>
          <t>Föryngringsavverkning</t>
        </is>
      </c>
      <c r="D188" s="1" t="n">
        <v>44968</v>
      </c>
      <c r="E188" s="1" t="n">
        <v>46316</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46545-2024</t>
        </is>
      </c>
      <c r="B189" t="inlineStr">
        <is>
          <t>avverkningsanmälan</t>
        </is>
      </c>
      <c r="C189" t="inlineStr">
        <is>
          <t>Föryngringsavverkning</t>
        </is>
      </c>
      <c r="D189" s="1" t="n">
        <v>45582</v>
      </c>
      <c r="E189" s="1" t="n">
        <v>46316</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1066-2024</t>
        </is>
      </c>
      <c r="B190" t="inlineStr">
        <is>
          <t>avverkningsanmälan</t>
        </is>
      </c>
      <c r="C190" t="inlineStr">
        <is>
          <t>Föryngringsavverkning</t>
        </is>
      </c>
      <c r="D190" s="1" t="n">
        <v>45302</v>
      </c>
      <c r="E190" s="1" t="n">
        <v>46316</v>
      </c>
      <c r="F190" t="inlineStr">
        <is>
          <t>GOTLANDS LÄN</t>
        </is>
      </c>
      <c r="G190" t="inlineStr">
        <is>
          <t>GOTLAND</t>
        </is>
      </c>
      <c r="I190" t="n">
        <v>1.4</v>
      </c>
      <c r="J190" t="n">
        <v>0</v>
      </c>
      <c r="K190" t="n">
        <v>0</v>
      </c>
      <c r="L190" t="n">
        <v>1</v>
      </c>
      <c r="M190" t="n">
        <v>0</v>
      </c>
      <c r="N190" t="n">
        <v>0</v>
      </c>
      <c r="O190" t="n">
        <v>0</v>
      </c>
      <c r="P190" t="n">
        <v>0</v>
      </c>
      <c r="Q190" t="n">
        <v>1</v>
      </c>
      <c r="R190" t="n">
        <v>0</v>
      </c>
      <c r="S190" t="n">
        <v>1</v>
      </c>
      <c r="T190" t="n">
        <v>1</v>
      </c>
      <c r="U190" t="n">
        <v>1</v>
      </c>
      <c r="V190" s="2" t="inlineStr">
        <is>
          <t>Svinrot</t>
        </is>
      </c>
      <c r="W190">
        <f>HYPERLINK("https://klasma.github.io/Logging_0980/artfynd/A 1066-2024 artfynd.xlsx", "A 1066-2024")</f>
        <v/>
      </c>
      <c r="X190">
        <f>HYPERLINK("https://klasma.github.io/Logging_0980/kartor/A 1066-2024 karta.png", "A 1066-2024")</f>
        <v/>
      </c>
      <c r="Y190">
        <f>HYPERLINK("https://klasma.github.io/Logging_0980/kartor_geotiff/A 1066-2024 georefererad karta.tif", "A 1066-2024")</f>
        <v/>
      </c>
      <c r="AA190">
        <f>HYPERLINK("https://klasma.github.io/Logging_0980/klagomål/A 1066-2024 FSC-klagomål.docx", "A 1066-2024")</f>
        <v/>
      </c>
      <c r="AB190">
        <f>HYPERLINK("https://klasma.github.io/Logging_0980/klagomålsmail/A 1066-2024 FSC-klagomål mail.docx", "A 1066-2024")</f>
        <v/>
      </c>
      <c r="AC190">
        <f>HYPERLINK("https://klasma.github.io/Logging_0980/tillsyn/A 1066-2024 tillsynsbegäran.docx", "A 1066-2024")</f>
        <v/>
      </c>
      <c r="AD190">
        <f>HYPERLINK("https://klasma.github.io/Logging_0980/tillsynsmail/A 1066-2024 tillsynsbegäran mail.docx", "A 1066-2024")</f>
        <v/>
      </c>
    </row>
    <row r="191" ht="15" customHeight="1">
      <c r="A191" t="inlineStr">
        <is>
          <t>A 49304-2024</t>
        </is>
      </c>
      <c r="B191" t="inlineStr">
        <is>
          <t>avverkningsanmälan</t>
        </is>
      </c>
      <c r="C191" t="inlineStr">
        <is>
          <t>Föryngringsavverkning</t>
        </is>
      </c>
      <c r="D191" s="1" t="n">
        <v>45595</v>
      </c>
      <c r="E191" s="1" t="n">
        <v>46316</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29809-2022</t>
        </is>
      </c>
      <c r="B192" t="inlineStr">
        <is>
          <t>avverkningsanmälan</t>
        </is>
      </c>
      <c r="C192" t="inlineStr">
        <is>
          <t>Föryngringsavverkning</t>
        </is>
      </c>
      <c r="D192" s="1" t="n">
        <v>44755</v>
      </c>
      <c r="E192" s="1" t="n">
        <v>46316</v>
      </c>
      <c r="F192" t="inlineStr">
        <is>
          <t>GOTLANDS LÄN</t>
        </is>
      </c>
      <c r="G192" t="inlineStr">
        <is>
          <t>GOTLAND</t>
        </is>
      </c>
      <c r="I192" t="n">
        <v>11.5</v>
      </c>
      <c r="J192" t="n">
        <v>1</v>
      </c>
      <c r="K192" t="n">
        <v>0</v>
      </c>
      <c r="L192" t="n">
        <v>1</v>
      </c>
      <c r="M192" t="n">
        <v>0</v>
      </c>
      <c r="N192" t="n">
        <v>0</v>
      </c>
      <c r="O192" t="n">
        <v>0</v>
      </c>
      <c r="P192" t="n">
        <v>0</v>
      </c>
      <c r="Q192" t="n">
        <v>1</v>
      </c>
      <c r="R192" t="n">
        <v>0</v>
      </c>
      <c r="S192" t="n">
        <v>1</v>
      </c>
      <c r="T192" t="n">
        <v>1</v>
      </c>
      <c r="U192" t="n">
        <v>1</v>
      </c>
      <c r="V192" s="2" t="inlineStr">
        <is>
          <t>Dårgräsfjäril</t>
        </is>
      </c>
      <c r="W192">
        <f>HYPERLINK("https://klasma.github.io/Logging_0980/artfynd/A 29809-2022 artfynd.xlsx", "A 29809-2022")</f>
        <v/>
      </c>
      <c r="X192">
        <f>HYPERLINK("https://klasma.github.io/Logging_0980/kartor/A 29809-2022 karta.png", "A 29809-2022")</f>
        <v/>
      </c>
      <c r="Y192">
        <f>HYPERLINK("https://klasma.github.io/Logging_0980/kartor_geotiff/A 29809-2022 georefererad karta.tif", "A 29809-2022")</f>
        <v/>
      </c>
      <c r="AA192">
        <f>HYPERLINK("https://klasma.github.io/Logging_0980/klagomål/A 29809-2022 FSC-klagomål.docx", "A 29809-2022")</f>
        <v/>
      </c>
      <c r="AB192">
        <f>HYPERLINK("https://klasma.github.io/Logging_0980/klagomålsmail/A 29809-2022 FSC-klagomål mail.docx", "A 29809-2022")</f>
        <v/>
      </c>
      <c r="AC192">
        <f>HYPERLINK("https://klasma.github.io/Logging_0980/tillsyn/A 29809-2022 tillsynsbegäran.docx", "A 29809-2022")</f>
        <v/>
      </c>
      <c r="AD192">
        <f>HYPERLINK("https://klasma.github.io/Logging_0980/tillsynsmail/A 29809-2022 tillsynsbegäran mail.docx", "A 29809-2022")</f>
        <v/>
      </c>
    </row>
    <row r="193" ht="15" customHeight="1">
      <c r="A193" t="inlineStr">
        <is>
          <t>A 22782-2023</t>
        </is>
      </c>
      <c r="B193" t="inlineStr">
        <is>
          <t>avverkningsanmälan</t>
        </is>
      </c>
      <c r="C193" t="inlineStr">
        <is>
          <t>Föryngringsavverkning</t>
        </is>
      </c>
      <c r="D193" s="1" t="n">
        <v>45072</v>
      </c>
      <c r="E193" s="1" t="n">
        <v>46316</v>
      </c>
      <c r="F193" t="inlineStr">
        <is>
          <t>GOTLANDS LÄN</t>
        </is>
      </c>
      <c r="G193" t="inlineStr">
        <is>
          <t>GOTLAND</t>
        </is>
      </c>
      <c r="H193" t="inlineStr">
        <is>
          <t>Kyrkan</t>
        </is>
      </c>
      <c r="I193" t="n">
        <v>3.1</v>
      </c>
      <c r="J193" t="n">
        <v>1</v>
      </c>
      <c r="K193" t="n">
        <v>0</v>
      </c>
      <c r="L193" t="n">
        <v>0</v>
      </c>
      <c r="M193" t="n">
        <v>0</v>
      </c>
      <c r="N193" t="n">
        <v>0</v>
      </c>
      <c r="O193" t="n">
        <v>0</v>
      </c>
      <c r="P193" t="n">
        <v>0</v>
      </c>
      <c r="Q193" t="n">
        <v>0</v>
      </c>
      <c r="R193" t="n">
        <v>0</v>
      </c>
      <c r="S193" t="n">
        <v>1</v>
      </c>
      <c r="T193" t="n">
        <v>1</v>
      </c>
      <c r="U193" t="n">
        <v>1</v>
      </c>
      <c r="V193" s="2" t="inlineStr">
        <is>
          <t>Ängsnycklar × skogsnycklar</t>
        </is>
      </c>
      <c r="W193">
        <f>HYPERLINK("https://klasma.github.io/Logging_0980/artfynd/A 22782-2023 artfynd.xlsx", "A 22782-2023")</f>
        <v/>
      </c>
      <c r="X193">
        <f>HYPERLINK("https://klasma.github.io/Logging_0980/kartor/A 22782-2023 karta.png", "A 22782-2023")</f>
        <v/>
      </c>
      <c r="Y193">
        <f>HYPERLINK("https://klasma.github.io/Logging_0980/kartor_geotiff/A 22782-2023 georefererad karta.tif", "A 22782-2023")</f>
        <v/>
      </c>
      <c r="AA193">
        <f>HYPERLINK("https://klasma.github.io/Logging_0980/klagomål/A 22782-2023 FSC-klagomål.docx", "A 22782-2023")</f>
        <v/>
      </c>
      <c r="AB193">
        <f>HYPERLINK("https://klasma.github.io/Logging_0980/klagomålsmail/A 22782-2023 FSC-klagomål mail.docx", "A 22782-2023")</f>
        <v/>
      </c>
      <c r="AC193">
        <f>HYPERLINK("https://klasma.github.io/Logging_0980/tillsyn/A 22782-2023 tillsynsbegäran.docx", "A 22782-2023")</f>
        <v/>
      </c>
      <c r="AD193">
        <f>HYPERLINK("https://klasma.github.io/Logging_0980/tillsynsmail/A 22782-2023 tillsynsbegäran mail.docx", "A 22782-2023")</f>
        <v/>
      </c>
    </row>
    <row r="194" ht="15" customHeight="1">
      <c r="A194" t="inlineStr">
        <is>
          <t>A 44088-2022</t>
        </is>
      </c>
      <c r="B194" t="inlineStr">
        <is>
          <t>avverkningsanmälan</t>
        </is>
      </c>
      <c r="C194" t="inlineStr">
        <is>
          <t>Föryngringsavverkning</t>
        </is>
      </c>
      <c r="D194" s="1" t="n">
        <v>44839</v>
      </c>
      <c r="E194" s="1" t="n">
        <v>46316</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t="n">
        <v>0</v>
      </c>
      <c r="V194" s="2" t="inlineStr">
        <is>
          <t>Strävlosta</t>
        </is>
      </c>
      <c r="W194">
        <f>HYPERLINK("https://klasma.github.io/Logging_0980/artfynd/A 44088-2022 artfynd.xlsx", "A 44088-2022")</f>
        <v/>
      </c>
      <c r="X194">
        <f>HYPERLINK("https://klasma.github.io/Logging_0980/kartor/A 44088-2022 karta.png", "A 44088-2022")</f>
        <v/>
      </c>
      <c r="Y194">
        <f>HYPERLINK("https://klasma.github.io/Logging_0980/kartor_geotiff/A 44088-2022 georefererad karta.tif", "A 44088-2022")</f>
        <v/>
      </c>
      <c r="AA194">
        <f>HYPERLINK("https://klasma.github.io/Logging_0980/klagomål/A 44088-2022 FSC-klagomål.docx", "A 44088-2022")</f>
        <v/>
      </c>
      <c r="AB194">
        <f>HYPERLINK("https://klasma.github.io/Logging_0980/klagomålsmail/A 44088-2022 FSC-klagomål mail.docx", "A 44088-2022")</f>
        <v/>
      </c>
      <c r="AC194">
        <f>HYPERLINK("https://klasma.github.io/Logging_0980/tillsyn/A 44088-2022 tillsynsbegäran.docx", "A 44088-2022")</f>
        <v/>
      </c>
      <c r="AD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46316</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0</v>
      </c>
      <c r="V195" s="2" t="inlineStr">
        <is>
          <t>Sårläka</t>
        </is>
      </c>
      <c r="W195">
        <f>HYPERLINK("https://klasma.github.io/Logging_0980/artfynd/A 69112-2021 artfynd.xlsx", "A 69112-2021")</f>
        <v/>
      </c>
      <c r="X195">
        <f>HYPERLINK("https://klasma.github.io/Logging_0980/kartor/A 69112-2021 karta.png", "A 69112-2021")</f>
        <v/>
      </c>
      <c r="Y195">
        <f>HYPERLINK("https://klasma.github.io/Logging_0980/kartor_geotiff/A 69112-2021 georefererad karta.tif", "A 69112-2021")</f>
        <v/>
      </c>
      <c r="AA195">
        <f>HYPERLINK("https://klasma.github.io/Logging_0980/klagomål/A 69112-2021 FSC-klagomål.docx", "A 69112-2021")</f>
        <v/>
      </c>
      <c r="AB195">
        <f>HYPERLINK("https://klasma.github.io/Logging_0980/klagomålsmail/A 69112-2021 FSC-klagomål mail.docx", "A 69112-2021")</f>
        <v/>
      </c>
      <c r="AC195">
        <f>HYPERLINK("https://klasma.github.io/Logging_0980/tillsyn/A 69112-2021 tillsynsbegäran.docx", "A 69112-2021")</f>
        <v/>
      </c>
      <c r="AD195">
        <f>HYPERLINK("https://klasma.github.io/Logging_0980/tillsynsmail/A 69112-2021 tillsynsbegäran mail.docx", "A 69112-2021")</f>
        <v/>
      </c>
    </row>
    <row r="196" ht="15" customHeight="1">
      <c r="A196" t="inlineStr">
        <is>
          <t>A 18036-2026</t>
        </is>
      </c>
      <c r="B196" t="inlineStr">
        <is>
          <t>avverkningsanmälan</t>
        </is>
      </c>
      <c r="C196" t="inlineStr">
        <is>
          <t>Föryngringsavverkning</t>
        </is>
      </c>
      <c r="D196" s="1" t="n">
        <v>46125</v>
      </c>
      <c r="E196" s="1" t="n">
        <v>46316</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1477-2024</t>
        </is>
      </c>
      <c r="B197" t="inlineStr">
        <is>
          <t>avverkningsanmälan</t>
        </is>
      </c>
      <c r="C197" t="inlineStr">
        <is>
          <t>Föryngringsavverkning</t>
        </is>
      </c>
      <c r="D197" s="1" t="n">
        <v>45305</v>
      </c>
      <c r="E197" s="1" t="n">
        <v>46316</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21396-2026</t>
        </is>
      </c>
      <c r="B198" t="inlineStr">
        <is>
          <t>avverkningsanmälan</t>
        </is>
      </c>
      <c r="C198" t="inlineStr">
        <is>
          <t>Föryngringsavverkning</t>
        </is>
      </c>
      <c r="D198" s="1" t="n">
        <v>46148</v>
      </c>
      <c r="E198" s="1" t="n">
        <v>46316</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64700-2021</t>
        </is>
      </c>
      <c r="B199" t="inlineStr">
        <is>
          <t>avverkningsanmälan</t>
        </is>
      </c>
      <c r="C199" t="inlineStr">
        <is>
          <t>Avverkning för att bevara och utveckla /försöksver</t>
        </is>
      </c>
      <c r="D199" s="1" t="n">
        <v>44511</v>
      </c>
      <c r="E199" s="1" t="n">
        <v>46316</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1677-2023</t>
        </is>
      </c>
      <c r="B200" t="inlineStr">
        <is>
          <t>avverkningsanmälan</t>
        </is>
      </c>
      <c r="C200" t="inlineStr">
        <is>
          <t>Föryngringsavverkning</t>
        </is>
      </c>
      <c r="D200" s="1" t="n">
        <v>44938</v>
      </c>
      <c r="E200" s="1" t="n">
        <v>46316</v>
      </c>
      <c r="F200" t="inlineStr">
        <is>
          <t>GOTLANDS LÄN</t>
        </is>
      </c>
      <c r="G200" t="inlineStr">
        <is>
          <t>GOTLAND</t>
        </is>
      </c>
      <c r="I200" t="n">
        <v>1.6</v>
      </c>
      <c r="J200" t="n">
        <v>0</v>
      </c>
      <c r="K200" t="n">
        <v>0</v>
      </c>
      <c r="L200" t="n">
        <v>1</v>
      </c>
      <c r="M200" t="n">
        <v>0</v>
      </c>
      <c r="N200" t="n">
        <v>0</v>
      </c>
      <c r="O200" t="n">
        <v>0</v>
      </c>
      <c r="P200" t="n">
        <v>0</v>
      </c>
      <c r="Q200" t="n">
        <v>1</v>
      </c>
      <c r="R200" t="n">
        <v>0</v>
      </c>
      <c r="S200" t="n">
        <v>1</v>
      </c>
      <c r="T200" t="n">
        <v>1</v>
      </c>
      <c r="U200" t="n">
        <v>0</v>
      </c>
      <c r="V200" s="2" t="inlineStr">
        <is>
          <t>Strandrosettmossa</t>
        </is>
      </c>
      <c r="W200">
        <f>HYPERLINK("https://klasma.github.io/Logging_0980/artfynd/A 1677-2023 artfynd.xlsx", "A 1677-2023")</f>
        <v/>
      </c>
      <c r="X200">
        <f>HYPERLINK("https://klasma.github.io/Logging_0980/kartor/A 1677-2023 karta.png", "A 1677-2023")</f>
        <v/>
      </c>
      <c r="Y200">
        <f>HYPERLINK("https://klasma.github.io/Logging_0980/kartor_geotiff/A 1677-2023 georefererad karta.tif", "A 1677-2023")</f>
        <v/>
      </c>
      <c r="AA200">
        <f>HYPERLINK("https://klasma.github.io/Logging_0980/klagomål/A 1677-2023 FSC-klagomål.docx", "A 1677-2023")</f>
        <v/>
      </c>
      <c r="AB200">
        <f>HYPERLINK("https://klasma.github.io/Logging_0980/klagomålsmail/A 1677-2023 FSC-klagomål mail.docx", "A 1677-2023")</f>
        <v/>
      </c>
      <c r="AC200">
        <f>HYPERLINK("https://klasma.github.io/Logging_0980/tillsyn/A 1677-2023 tillsynsbegäran.docx", "A 1677-2023")</f>
        <v/>
      </c>
      <c r="AD200">
        <f>HYPERLINK("https://klasma.github.io/Logging_0980/tillsynsmail/A 1677-2023 tillsynsbegäran mail.docx", "A 1677-2023")</f>
        <v/>
      </c>
    </row>
    <row r="201" ht="15" customHeight="1">
      <c r="A201" t="inlineStr">
        <is>
          <t>A 62915-2021</t>
        </is>
      </c>
      <c r="B201" t="inlineStr">
        <is>
          <t>avverkningsanmälan</t>
        </is>
      </c>
      <c r="C201" t="inlineStr">
        <is>
          <t>Föryngringsavverkning</t>
        </is>
      </c>
      <c r="D201" s="1" t="n">
        <v>44504</v>
      </c>
      <c r="E201" s="1" t="n">
        <v>46316</v>
      </c>
      <c r="F201" t="inlineStr">
        <is>
          <t>GOTLANDS LÄN</t>
        </is>
      </c>
      <c r="G201" t="inlineStr">
        <is>
          <t>GOTLAND</t>
        </is>
      </c>
      <c r="I201" t="n">
        <v>1.1</v>
      </c>
      <c r="J201" t="n">
        <v>1</v>
      </c>
      <c r="K201" t="n">
        <v>0</v>
      </c>
      <c r="L201" t="n">
        <v>0</v>
      </c>
      <c r="M201" t="n">
        <v>0</v>
      </c>
      <c r="N201" t="n">
        <v>0</v>
      </c>
      <c r="O201" t="n">
        <v>0</v>
      </c>
      <c r="P201" t="n">
        <v>0</v>
      </c>
      <c r="Q201" t="n">
        <v>0</v>
      </c>
      <c r="R201" t="n">
        <v>0</v>
      </c>
      <c r="S201" t="n">
        <v>1</v>
      </c>
      <c r="T201" t="n">
        <v>1</v>
      </c>
      <c r="U201" t="n">
        <v>1</v>
      </c>
      <c r="V201" s="2" t="inlineStr">
        <is>
          <t>Bredarun</t>
        </is>
      </c>
      <c r="W201">
        <f>HYPERLINK("https://klasma.github.io/Logging_0980/artfynd/A 62915-2021 artfynd.xlsx", "A 62915-2021")</f>
        <v/>
      </c>
      <c r="X201">
        <f>HYPERLINK("https://klasma.github.io/Logging_0980/kartor/A 62915-2021 karta.png", "A 62915-2021")</f>
        <v/>
      </c>
      <c r="Y201">
        <f>HYPERLINK("https://klasma.github.io/Logging_0980/kartor_geotiff/A 62915-2021 georefererad karta.tif", "A 62915-2021")</f>
        <v/>
      </c>
      <c r="AA201">
        <f>HYPERLINK("https://klasma.github.io/Logging_0980/klagomål/A 62915-2021 FSC-klagomål.docx", "A 62915-2021")</f>
        <v/>
      </c>
      <c r="AB201">
        <f>HYPERLINK("https://klasma.github.io/Logging_0980/klagomålsmail/A 62915-2021 FSC-klagomål mail.docx", "A 62915-2021")</f>
        <v/>
      </c>
      <c r="AC201">
        <f>HYPERLINK("https://klasma.github.io/Logging_0980/tillsyn/A 62915-2021 tillsynsbegäran.docx", "A 62915-2021")</f>
        <v/>
      </c>
      <c r="AD201">
        <f>HYPERLINK("https://klasma.github.io/Logging_0980/tillsynsmail/A 62915-2021 tillsynsbegäran mail.docx", "A 62915-2021")</f>
        <v/>
      </c>
    </row>
    <row r="202" ht="15" customHeight="1">
      <c r="A202" t="inlineStr">
        <is>
          <t>A 7637-2025</t>
        </is>
      </c>
      <c r="B202" t="inlineStr">
        <is>
          <t>avverkningsanmälan</t>
        </is>
      </c>
      <c r="C202" t="inlineStr">
        <is>
          <t>Föryngringsavverkning</t>
        </is>
      </c>
      <c r="D202" s="1" t="n">
        <v>45705</v>
      </c>
      <c r="E202" s="1" t="n">
        <v>46316</v>
      </c>
      <c r="F202" t="inlineStr">
        <is>
          <t>GOTLANDS LÄN</t>
        </is>
      </c>
      <c r="G202" t="inlineStr">
        <is>
          <t>GOTLAND</t>
        </is>
      </c>
      <c r="I202" t="n">
        <v>3.7</v>
      </c>
      <c r="J202" t="n">
        <v>0</v>
      </c>
      <c r="K202" t="n">
        <v>0</v>
      </c>
      <c r="L202" t="n">
        <v>0</v>
      </c>
      <c r="M202" t="n">
        <v>0</v>
      </c>
      <c r="N202" t="n">
        <v>1</v>
      </c>
      <c r="O202" t="n">
        <v>0</v>
      </c>
      <c r="P202" t="n">
        <v>0</v>
      </c>
      <c r="Q202" t="n">
        <v>1</v>
      </c>
      <c r="R202" t="n">
        <v>1</v>
      </c>
      <c r="S202" t="n">
        <v>1</v>
      </c>
      <c r="T202" t="n">
        <v>1</v>
      </c>
      <c r="U202" t="n">
        <v>1</v>
      </c>
      <c r="V202" s="2" t="inlineStr">
        <is>
          <t>Skogsalm</t>
        </is>
      </c>
      <c r="W202">
        <f>HYPERLINK("https://klasma.github.io/Logging_0980/artfynd/A 7637-2025 artfynd.xlsx", "A 7637-2025")</f>
        <v/>
      </c>
      <c r="X202">
        <f>HYPERLINK("https://klasma.github.io/Logging_0980/kartor/A 7637-2025 karta.png", "A 7637-2025")</f>
        <v/>
      </c>
      <c r="Y202">
        <f>HYPERLINK("https://klasma.github.io/Logging_0980/kartor_geotiff/A 7637-2025 georefererad karta.tif", "A 7637-2025")</f>
        <v/>
      </c>
      <c r="AA202">
        <f>HYPERLINK("https://klasma.github.io/Logging_0980/klagomål/A 7637-2025 FSC-klagomål.docx", "A 7637-2025")</f>
        <v/>
      </c>
      <c r="AB202">
        <f>HYPERLINK("https://klasma.github.io/Logging_0980/klagomålsmail/A 7637-2025 FSC-klagomål mail.docx", "A 7637-2025")</f>
        <v/>
      </c>
      <c r="AC202">
        <f>HYPERLINK("https://klasma.github.io/Logging_0980/tillsyn/A 7637-2025 tillsynsbegäran.docx", "A 7637-2025")</f>
        <v/>
      </c>
      <c r="AD202">
        <f>HYPERLINK("https://klasma.github.io/Logging_0980/tillsynsmail/A 7637-2025 tillsynsbegäran mail.docx", "A 7637-2025")</f>
        <v/>
      </c>
    </row>
    <row r="203" ht="15" customHeight="1">
      <c r="A203" t="inlineStr">
        <is>
          <t>A 61796-2022</t>
        </is>
      </c>
      <c r="B203" t="inlineStr">
        <is>
          <t>avverkningsanmälan</t>
        </is>
      </c>
      <c r="C203" t="inlineStr">
        <is>
          <t>Föryngringsavverkning</t>
        </is>
      </c>
      <c r="D203" s="1" t="n">
        <v>44917</v>
      </c>
      <c r="E203" s="1" t="n">
        <v>46316</v>
      </c>
      <c r="F203" t="inlineStr">
        <is>
          <t>GOTLANDS LÄN</t>
        </is>
      </c>
      <c r="G203" t="inlineStr">
        <is>
          <t>GOTLAND</t>
        </is>
      </c>
      <c r="I203" t="n">
        <v>1.5</v>
      </c>
      <c r="J203" t="n">
        <v>1</v>
      </c>
      <c r="K203" t="n">
        <v>0</v>
      </c>
      <c r="L203" t="n">
        <v>0</v>
      </c>
      <c r="M203" t="n">
        <v>0</v>
      </c>
      <c r="N203" t="n">
        <v>0</v>
      </c>
      <c r="O203" t="n">
        <v>0</v>
      </c>
      <c r="P203" t="n">
        <v>0</v>
      </c>
      <c r="Q203" t="n">
        <v>0</v>
      </c>
      <c r="R203" t="n">
        <v>0</v>
      </c>
      <c r="S203" t="n">
        <v>1</v>
      </c>
      <c r="T203" t="n">
        <v>1</v>
      </c>
      <c r="U203" t="n">
        <v>1</v>
      </c>
      <c r="V203" s="2" t="inlineStr">
        <is>
          <t>Skogsduva</t>
        </is>
      </c>
      <c r="W203">
        <f>HYPERLINK("https://klasma.github.io/Logging_0980/artfynd/A 61796-2022 artfynd.xlsx", "A 61796-2022")</f>
        <v/>
      </c>
      <c r="X203">
        <f>HYPERLINK("https://klasma.github.io/Logging_0980/kartor/A 61796-2022 karta.png", "A 61796-2022")</f>
        <v/>
      </c>
      <c r="Y203">
        <f>HYPERLINK("https://klasma.github.io/Logging_0980/kartor_geotiff/A 61796-2022 georefererad karta.tif", "A 61796-2022")</f>
        <v/>
      </c>
      <c r="AA203">
        <f>HYPERLINK("https://klasma.github.io/Logging_0980/klagomål/A 61796-2022 FSC-klagomål.docx", "A 61796-2022")</f>
        <v/>
      </c>
      <c r="AB203">
        <f>HYPERLINK("https://klasma.github.io/Logging_0980/klagomålsmail/A 61796-2022 FSC-klagomål mail.docx", "A 61796-2022")</f>
        <v/>
      </c>
      <c r="AC203">
        <f>HYPERLINK("https://klasma.github.io/Logging_0980/tillsyn/A 61796-2022 tillsynsbegäran.docx", "A 61796-2022")</f>
        <v/>
      </c>
      <c r="AD203">
        <f>HYPERLINK("https://klasma.github.io/Logging_0980/tillsynsmail/A 61796-2022 tillsynsbegäran mail.docx", "A 61796-2022")</f>
        <v/>
      </c>
    </row>
    <row r="204" ht="15" customHeight="1">
      <c r="A204" t="inlineStr">
        <is>
          <t>A 12379-2024</t>
        </is>
      </c>
      <c r="B204" t="inlineStr">
        <is>
          <t>avverkningsanmälan</t>
        </is>
      </c>
      <c r="C204" t="inlineStr">
        <is>
          <t>Föryngringsavverkning</t>
        </is>
      </c>
      <c r="D204" s="1" t="n">
        <v>45379</v>
      </c>
      <c r="E204" s="1" t="n">
        <v>46316</v>
      </c>
      <c r="F204" t="inlineStr">
        <is>
          <t>GOTLANDS LÄN</t>
        </is>
      </c>
      <c r="G204" t="inlineStr">
        <is>
          <t>GOTLAND</t>
        </is>
      </c>
      <c r="I204" t="n">
        <v>4.4</v>
      </c>
      <c r="J204" t="n">
        <v>0</v>
      </c>
      <c r="K204" t="n">
        <v>0</v>
      </c>
      <c r="L204" t="n">
        <v>1</v>
      </c>
      <c r="M204" t="n">
        <v>0</v>
      </c>
      <c r="N204" t="n">
        <v>0</v>
      </c>
      <c r="O204" t="n">
        <v>0</v>
      </c>
      <c r="P204" t="n">
        <v>0</v>
      </c>
      <c r="Q204" t="n">
        <v>1</v>
      </c>
      <c r="R204" t="n">
        <v>0</v>
      </c>
      <c r="S204" t="n">
        <v>1</v>
      </c>
      <c r="T204" t="n">
        <v>1</v>
      </c>
      <c r="U204" t="n">
        <v>0</v>
      </c>
      <c r="V204" s="2" t="inlineStr">
        <is>
          <t>Svinrot</t>
        </is>
      </c>
      <c r="W204">
        <f>HYPERLINK("https://klasma.github.io/Logging_0980/artfynd/A 12379-2024 artfynd.xlsx", "A 12379-2024")</f>
        <v/>
      </c>
      <c r="X204">
        <f>HYPERLINK("https://klasma.github.io/Logging_0980/kartor/A 12379-2024 karta.png", "A 12379-2024")</f>
        <v/>
      </c>
      <c r="Y204">
        <f>HYPERLINK("https://klasma.github.io/Logging_0980/kartor_geotiff/A 12379-2024 georefererad karta.tif", "A 12379-2024")</f>
        <v/>
      </c>
      <c r="AA204">
        <f>HYPERLINK("https://klasma.github.io/Logging_0980/klagomål/A 12379-2024 FSC-klagomål.docx", "A 12379-2024")</f>
        <v/>
      </c>
      <c r="AB204">
        <f>HYPERLINK("https://klasma.github.io/Logging_0980/klagomålsmail/A 12379-2024 FSC-klagomål mail.docx", "A 12379-2024")</f>
        <v/>
      </c>
      <c r="AC204">
        <f>HYPERLINK("https://klasma.github.io/Logging_0980/tillsyn/A 12379-2024 tillsynsbegäran.docx", "A 12379-2024")</f>
        <v/>
      </c>
      <c r="AD204">
        <f>HYPERLINK("https://klasma.github.io/Logging_0980/tillsynsmail/A 12379-2024 tillsynsbegäran mail.docx", "A 12379-2024")</f>
        <v/>
      </c>
    </row>
    <row r="205" ht="15" customHeight="1">
      <c r="A205" t="inlineStr">
        <is>
          <t>A 10218-2025</t>
        </is>
      </c>
      <c r="B205" t="inlineStr">
        <is>
          <t>avverkningsanmälan</t>
        </is>
      </c>
      <c r="C205" t="inlineStr">
        <is>
          <t>Föryngringsavverkning</t>
        </is>
      </c>
      <c r="D205" s="1" t="n">
        <v>45720</v>
      </c>
      <c r="E205" s="1" t="n">
        <v>46316</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15637-2024</t>
        </is>
      </c>
      <c r="B206" t="inlineStr">
        <is>
          <t>avverkningsanmälan</t>
        </is>
      </c>
      <c r="C206" t="inlineStr">
        <is>
          <t>Föryngringsavverkning</t>
        </is>
      </c>
      <c r="D206" s="1" t="n">
        <v>45403</v>
      </c>
      <c r="E206" s="1" t="n">
        <v>46316</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46316</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5863-2026</t>
        </is>
      </c>
      <c r="B208" t="inlineStr">
        <is>
          <t>avverkningsanmälan</t>
        </is>
      </c>
      <c r="C208" t="inlineStr">
        <is>
          <t>Föryngringsavverkning</t>
        </is>
      </c>
      <c r="D208" s="1" t="n">
        <v>46052</v>
      </c>
      <c r="E208" s="1" t="n">
        <v>46316</v>
      </c>
      <c r="F208" t="inlineStr">
        <is>
          <t>GOTLANDS LÄN</t>
        </is>
      </c>
      <c r="G208" t="inlineStr">
        <is>
          <t>GOTLAND</t>
        </is>
      </c>
      <c r="I208" t="n">
        <v>1.8</v>
      </c>
      <c r="J208" t="n">
        <v>1</v>
      </c>
      <c r="K208" t="n">
        <v>0</v>
      </c>
      <c r="L208" t="n">
        <v>1</v>
      </c>
      <c r="M208" t="n">
        <v>0</v>
      </c>
      <c r="N208" t="n">
        <v>0</v>
      </c>
      <c r="O208" t="n">
        <v>0</v>
      </c>
      <c r="P208" t="n">
        <v>0</v>
      </c>
      <c r="Q208" t="n">
        <v>1</v>
      </c>
      <c r="R208" t="n">
        <v>0</v>
      </c>
      <c r="S208" t="n">
        <v>1</v>
      </c>
      <c r="T208" t="n">
        <v>35</v>
      </c>
      <c r="U208" t="n">
        <v>25</v>
      </c>
      <c r="V208" s="2" t="inlineStr">
        <is>
          <t>Dårgräsfjäril</t>
        </is>
      </c>
      <c r="W208">
        <f>HYPERLINK("https://klasma.github.io/Logging_0980/artfynd/A 5863-2026 artfynd.xlsx", "A 5863-2026")</f>
        <v/>
      </c>
      <c r="X208">
        <f>HYPERLINK("https://klasma.github.io/Logging_0980/kartor/A 5863-2026 karta.png", "A 5863-2026")</f>
        <v/>
      </c>
      <c r="Y208">
        <f>HYPERLINK("https://klasma.github.io/Logging_0980/kartor_geotiff/A 5863-2026 georefererad karta.tif", "A 5863-2026")</f>
        <v/>
      </c>
      <c r="AA208">
        <f>HYPERLINK("https://klasma.github.io/Logging_0980/klagomål/A 5863-2026 FSC-klagomål.docx", "A 5863-2026")</f>
        <v/>
      </c>
      <c r="AB208">
        <f>HYPERLINK("https://klasma.github.io/Logging_0980/klagomålsmail/A 5863-2026 FSC-klagomål mail.docx", "A 5863-2026")</f>
        <v/>
      </c>
      <c r="AC208">
        <f>HYPERLINK("https://klasma.github.io/Logging_0980/tillsyn/A 5863-2026 tillsynsbegäran.docx", "A 5863-2026")</f>
        <v/>
      </c>
      <c r="AD208">
        <f>HYPERLINK("https://klasma.github.io/Logging_0980/tillsynsmail/A 5863-2026 tillsynsbegäran mail.docx", "A 5863-2026")</f>
        <v/>
      </c>
    </row>
    <row r="209" ht="15" customHeight="1">
      <c r="A209" t="inlineStr">
        <is>
          <t>A 30176-2026</t>
        </is>
      </c>
      <c r="B209" t="inlineStr">
        <is>
          <t>avverkningsanmälan</t>
        </is>
      </c>
      <c r="C209" t="inlineStr">
        <is>
          <t>Avverkning för annat ändamål</t>
        </is>
      </c>
      <c r="D209" s="1" t="n">
        <v>46203</v>
      </c>
      <c r="E209" s="1" t="n">
        <v>46316</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49847-2023</t>
        </is>
      </c>
      <c r="B210" t="inlineStr">
        <is>
          <t>avverkningsanmälan</t>
        </is>
      </c>
      <c r="C210" t="inlineStr">
        <is>
          <t>Föryngringsavverkning</t>
        </is>
      </c>
      <c r="D210" s="1" t="n">
        <v>45212</v>
      </c>
      <c r="E210" s="1" t="n">
        <v>46316</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10995-2023</t>
        </is>
      </c>
      <c r="B211" t="inlineStr">
        <is>
          <t>avverkningsanmälan</t>
        </is>
      </c>
      <c r="C211" t="inlineStr">
        <is>
          <t>Föryngringsavverkning</t>
        </is>
      </c>
      <c r="D211" s="1" t="n">
        <v>44986</v>
      </c>
      <c r="E211" s="1" t="n">
        <v>46316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S 2744-2023</t>
        </is>
      </c>
      <c r="B212" t="inlineStr">
        <is>
          <t>samrådsanmälan</t>
        </is>
      </c>
      <c r="C212" t="inlineStr">
        <is>
          <t>Annan skogsbruksåtgärd</t>
        </is>
      </c>
      <c r="D212" s="1" t="n">
        <v>45159</v>
      </c>
      <c r="E212" s="1" t="n">
        <v>46316</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46316</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46316</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46316</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46316</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46316</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46316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46316</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46316</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46316</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46316</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46316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44942-2022</t>
        </is>
      </c>
      <c r="B225" t="inlineStr">
        <is>
          <t>avverkningsanmälan</t>
        </is>
      </c>
      <c r="C225" t="inlineStr">
        <is>
          <t>Föryngringsavverkning</t>
        </is>
      </c>
      <c r="D225" s="1" t="n">
        <v>44841</v>
      </c>
      <c r="E225" s="1" t="n">
        <v>46316</v>
      </c>
      <c r="F225" t="inlineStr">
        <is>
          <t>GOTLANDS LÄN</t>
        </is>
      </c>
      <c r="G225" t="inlineStr">
        <is>
          <t>GOTLAND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46316</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46316</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46316</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46316</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17901-2023</t>
        </is>
      </c>
      <c r="B231" t="inlineStr">
        <is>
          <t>avverkningsanmälan</t>
        </is>
      </c>
      <c r="C231" t="inlineStr">
        <is>
          <t>Föryngringsavverkning</t>
        </is>
      </c>
      <c r="D231" s="1" t="n">
        <v>45039</v>
      </c>
      <c r="E231" s="1" t="n">
        <v>46316</v>
      </c>
      <c r="F231" t="inlineStr">
        <is>
          <t>GOTLANDS LÄN</t>
        </is>
      </c>
      <c r="G231" t="inlineStr">
        <is>
          <t>GOTLAND</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46316</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46316</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46316</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46316</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46316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3964-2024</t>
        </is>
      </c>
      <c r="B237" t="inlineStr">
        <is>
          <t>avverkningsanmälan</t>
        </is>
      </c>
      <c r="C237" t="inlineStr">
        <is>
          <t>Föryngringsavverkning</t>
        </is>
      </c>
      <c r="D237" s="1" t="n">
        <v>45322</v>
      </c>
      <c r="E237" s="1" t="n">
        <v>46316</v>
      </c>
      <c r="F237" t="inlineStr">
        <is>
          <t>GOTLANDS LÄN</t>
        </is>
      </c>
      <c r="G237" t="inlineStr">
        <is>
          <t>GOTLAND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46316</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46316</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1351-2025</t>
        </is>
      </c>
      <c r="B241" t="inlineStr">
        <is>
          <t>avverkningsanmälan</t>
        </is>
      </c>
      <c r="C241" t="inlineStr">
        <is>
          <t>Föryngringsavverkning</t>
        </is>
      </c>
      <c r="D241" s="1" t="n">
        <v>45667</v>
      </c>
      <c r="E241" s="1" t="n">
        <v>46316</v>
      </c>
      <c r="F241" t="inlineStr">
        <is>
          <t>GOTLANDS LÄN</t>
        </is>
      </c>
      <c r="G241" t="inlineStr">
        <is>
          <t>GOTLAND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23698-2025</t>
        </is>
      </c>
      <c r="B242" t="inlineStr">
        <is>
          <t>avverkningsanmälan</t>
        </is>
      </c>
      <c r="C242" t="inlineStr">
        <is>
          <t>Föryngringsavverkning</t>
        </is>
      </c>
      <c r="D242" s="1" t="n">
        <v>45793</v>
      </c>
      <c r="E242" s="1" t="n">
        <v>46316</v>
      </c>
      <c r="F242" t="inlineStr">
        <is>
          <t>GOTLANDS LÄN</t>
        </is>
      </c>
      <c r="G242" t="inlineStr">
        <is>
          <t>GOTLAND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20356-2022</t>
        </is>
      </c>
      <c r="B243" t="inlineStr">
        <is>
          <t>avverkningsanmälan</t>
        </is>
      </c>
      <c r="C243" t="inlineStr">
        <is>
          <t>Avverkning för annat ändamål</t>
        </is>
      </c>
      <c r="D243" s="1" t="n">
        <v>44699</v>
      </c>
      <c r="E243" s="1" t="n">
        <v>46316</v>
      </c>
      <c r="F243" t="inlineStr">
        <is>
          <t>GOTLANDS LÄN</t>
        </is>
      </c>
      <c r="G243" t="inlineStr">
        <is>
          <t>GOTLAND</t>
        </is>
      </c>
      <c r="H243" t="inlineStr">
        <is>
          <t>Övriga Aktiebolag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6749-2025</t>
        </is>
      </c>
      <c r="B244" t="inlineStr">
        <is>
          <t>avverkningsanmälan</t>
        </is>
      </c>
      <c r="C244" t="inlineStr">
        <is>
          <t>Föryngringsavverkning</t>
        </is>
      </c>
      <c r="D244" s="1" t="n">
        <v>45700</v>
      </c>
      <c r="E244" s="1" t="n">
        <v>46316</v>
      </c>
      <c r="F244" t="inlineStr">
        <is>
          <t>GOTLANDS LÄN</t>
        </is>
      </c>
      <c r="G244" t="inlineStr">
        <is>
          <t>GOTLAND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5462-2025</t>
        </is>
      </c>
      <c r="B245" t="inlineStr">
        <is>
          <t>avverkningsanmälan</t>
        </is>
      </c>
      <c r="C245" t="inlineStr">
        <is>
          <t>Föryngringsavverkning</t>
        </is>
      </c>
      <c r="D245" s="1" t="n">
        <v>45693</v>
      </c>
      <c r="E245" s="1" t="n">
        <v>46316</v>
      </c>
      <c r="F245" t="inlineStr">
        <is>
          <t>GOTLANDS LÄN</t>
        </is>
      </c>
      <c r="G245" t="inlineStr">
        <is>
          <t>GOTLAND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51782-2023</t>
        </is>
      </c>
      <c r="B246" t="inlineStr">
        <is>
          <t>avverkningsanmälan</t>
        </is>
      </c>
      <c r="C246" t="inlineStr">
        <is>
          <t>Föryngringsavverkning</t>
        </is>
      </c>
      <c r="D246" s="1" t="n">
        <v>45222</v>
      </c>
      <c r="E246" s="1" t="n">
        <v>46316</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60675-2021</t>
        </is>
      </c>
      <c r="B247" t="inlineStr">
        <is>
          <t>avverkningsanmälan</t>
        </is>
      </c>
      <c r="C247" t="inlineStr">
        <is>
          <t>Föryngringsavverkning</t>
        </is>
      </c>
      <c r="D247" s="1" t="n">
        <v>44496</v>
      </c>
      <c r="E247" s="1" t="n">
        <v>46316</v>
      </c>
      <c r="F247" t="inlineStr">
        <is>
          <t>GOTLANDS LÄN</t>
        </is>
      </c>
      <c r="G247" t="inlineStr">
        <is>
          <t>GOTLAND</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35142-2025</t>
        </is>
      </c>
      <c r="B248" t="inlineStr">
        <is>
          <t>avverkningsanmälan</t>
        </is>
      </c>
      <c r="C248" t="inlineStr">
        <is>
          <t>Föryngringsavverkning</t>
        </is>
      </c>
      <c r="D248" s="1" t="n">
        <v>45852</v>
      </c>
      <c r="E248" s="1" t="n">
        <v>46316</v>
      </c>
      <c r="F248" t="inlineStr">
        <is>
          <t>GOTLANDS LÄN</t>
        </is>
      </c>
      <c r="G248" t="inlineStr">
        <is>
          <t>GOTLAND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46316</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63002-2025</t>
        </is>
      </c>
      <c r="B250" t="inlineStr">
        <is>
          <t>avverkningsanmälan</t>
        </is>
      </c>
      <c r="C250" t="inlineStr">
        <is>
          <t>Föryngringsavverkning</t>
        </is>
      </c>
      <c r="D250" s="1" t="n">
        <v>46009</v>
      </c>
      <c r="E250" s="1" t="n">
        <v>46316</v>
      </c>
      <c r="F250" t="inlineStr">
        <is>
          <t>GOTLANDS LÄN</t>
        </is>
      </c>
      <c r="G250" t="inlineStr">
        <is>
          <t>GOTLAND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35141-2025</t>
        </is>
      </c>
      <c r="B251" t="inlineStr">
        <is>
          <t>avverkningsanmälan</t>
        </is>
      </c>
      <c r="C251" t="inlineStr">
        <is>
          <t>Föryngringsavverkning</t>
        </is>
      </c>
      <c r="D251" s="1" t="n">
        <v>45852</v>
      </c>
      <c r="E251" s="1" t="n">
        <v>46316</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46316</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46316</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39816-2025</t>
        </is>
      </c>
      <c r="B254" t="inlineStr">
        <is>
          <t>avverkningsanmälan</t>
        </is>
      </c>
      <c r="C254" t="inlineStr">
        <is>
          <t>Föryngringsavverkning</t>
        </is>
      </c>
      <c r="D254" s="1" t="n">
        <v>45891</v>
      </c>
      <c r="E254" s="1" t="n">
        <v>46316</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33876-2024</t>
        </is>
      </c>
      <c r="B255" t="inlineStr">
        <is>
          <t>avverkningsanmälan</t>
        </is>
      </c>
      <c r="C255" t="inlineStr">
        <is>
          <t>Föryngringsavverkning</t>
        </is>
      </c>
      <c r="D255" s="1" t="n">
        <v>45521</v>
      </c>
      <c r="E255" s="1" t="n">
        <v>46316</v>
      </c>
      <c r="F255" t="inlineStr">
        <is>
          <t>GOTLANDS LÄN</t>
        </is>
      </c>
      <c r="G255" t="inlineStr">
        <is>
          <t>GOTLAND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40373-2025</t>
        </is>
      </c>
      <c r="B256" t="inlineStr">
        <is>
          <t>avverkningsanmälan</t>
        </is>
      </c>
      <c r="C256" t="inlineStr">
        <is>
          <t>Föryngringsavverkning</t>
        </is>
      </c>
      <c r="D256" s="1" t="n">
        <v>45895</v>
      </c>
      <c r="E256" s="1" t="n">
        <v>46316</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46316</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61962-2024</t>
        </is>
      </c>
      <c r="B258" t="inlineStr">
        <is>
          <t>avverkningsanmälan</t>
        </is>
      </c>
      <c r="C258" t="inlineStr">
        <is>
          <t>Föryngringsavverkning</t>
        </is>
      </c>
      <c r="D258" s="1" t="n">
        <v>45653</v>
      </c>
      <c r="E258" s="1" t="n">
        <v>46316</v>
      </c>
      <c r="F258" t="inlineStr">
        <is>
          <t>GOTLANDS LÄN</t>
        </is>
      </c>
      <c r="G258" t="inlineStr">
        <is>
          <t>GOTLAND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46316</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46316</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46316</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7850-2025</t>
        </is>
      </c>
      <c r="B262" t="inlineStr">
        <is>
          <t>avverkningsanmälan</t>
        </is>
      </c>
      <c r="C262" t="inlineStr">
        <is>
          <t>Föryngringsavverkning</t>
        </is>
      </c>
      <c r="D262" s="1" t="n">
        <v>45706</v>
      </c>
      <c r="E262" s="1" t="n">
        <v>46316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8444-2025</t>
        </is>
      </c>
      <c r="B263" t="inlineStr">
        <is>
          <t>avverkningsanmälan</t>
        </is>
      </c>
      <c r="C263" t="inlineStr">
        <is>
          <t>Föryngringsavverkning</t>
        </is>
      </c>
      <c r="D263" s="1" t="n">
        <v>45709</v>
      </c>
      <c r="E263" s="1" t="n">
        <v>46316</v>
      </c>
      <c r="F263" t="inlineStr">
        <is>
          <t>GOTLANDS LÄN</t>
        </is>
      </c>
      <c r="G263" t="inlineStr">
        <is>
          <t>GOTLAND</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6696-2023</t>
        </is>
      </c>
      <c r="B264" t="inlineStr">
        <is>
          <t>avverkningsanmälan</t>
        </is>
      </c>
      <c r="C264" t="inlineStr">
        <is>
          <t>Föryngringsavverkning</t>
        </is>
      </c>
      <c r="D264" s="1" t="n">
        <v>44966</v>
      </c>
      <c r="E264" s="1" t="n">
        <v>46316</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28485-2023</t>
        </is>
      </c>
      <c r="B265" t="inlineStr">
        <is>
          <t>avverkningsanmälan</t>
        </is>
      </c>
      <c r="C265" t="inlineStr">
        <is>
          <t>Föryngringsavverkning</t>
        </is>
      </c>
      <c r="D265" s="1" t="n">
        <v>45103</v>
      </c>
      <c r="E265" s="1" t="n">
        <v>46316</v>
      </c>
      <c r="F265" t="inlineStr">
        <is>
          <t>GOTLANDS LÄN</t>
        </is>
      </c>
      <c r="G265" t="inlineStr">
        <is>
          <t>GOTLAND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4990-2025</t>
        </is>
      </c>
      <c r="B266" t="inlineStr">
        <is>
          <t>avverkningsanmälan</t>
        </is>
      </c>
      <c r="C266" t="inlineStr">
        <is>
          <t>Föryngringsavverkning</t>
        </is>
      </c>
      <c r="D266" s="1" t="n">
        <v>45691</v>
      </c>
      <c r="E266" s="1" t="n">
        <v>46316</v>
      </c>
      <c r="F266" t="inlineStr">
        <is>
          <t>GOTLANDS LÄN</t>
        </is>
      </c>
      <c r="G266" t="inlineStr">
        <is>
          <t>GOTLAND</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2415-2026</t>
        </is>
      </c>
      <c r="B267" t="inlineStr">
        <is>
          <t>avverkningsanmälan</t>
        </is>
      </c>
      <c r="C267" t="inlineStr">
        <is>
          <t>Föryngringsavverkning</t>
        </is>
      </c>
      <c r="D267" s="1" t="n">
        <v>46036</v>
      </c>
      <c r="E267" s="1" t="n">
        <v>46316</v>
      </c>
      <c r="F267" t="inlineStr">
        <is>
          <t>GOTLANDS LÄN</t>
        </is>
      </c>
      <c r="G267" t="inlineStr">
        <is>
          <t>GOTLAND</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46527-2023</t>
        </is>
      </c>
      <c r="B268" t="inlineStr">
        <is>
          <t>avverkningsanmälan</t>
        </is>
      </c>
      <c r="C268" t="inlineStr">
        <is>
          <t>Avverkning för annat ändamål</t>
        </is>
      </c>
      <c r="D268" s="1" t="n">
        <v>45197</v>
      </c>
      <c r="E268" s="1" t="n">
        <v>46316</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43951-2025</t>
        </is>
      </c>
      <c r="B269" t="inlineStr">
        <is>
          <t>avverkningsanmälan</t>
        </is>
      </c>
      <c r="C269" t="inlineStr">
        <is>
          <t>Föryngringsavverkning</t>
        </is>
      </c>
      <c r="D269" s="1" t="n">
        <v>45915</v>
      </c>
      <c r="E269" s="1" t="n">
        <v>46316</v>
      </c>
      <c r="F269" t="inlineStr">
        <is>
          <t>GOTLANDS LÄN</t>
        </is>
      </c>
      <c r="G269" t="inlineStr">
        <is>
          <t>GOTLAND</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4646-2026</t>
        </is>
      </c>
      <c r="B270" t="inlineStr">
        <is>
          <t>avverkningsanmälan</t>
        </is>
      </c>
      <c r="C270" t="inlineStr">
        <is>
          <t>Föryngringsavverkning</t>
        </is>
      </c>
      <c r="D270" s="1" t="n">
        <v>46048</v>
      </c>
      <c r="E270" s="1" t="n">
        <v>46316</v>
      </c>
      <c r="F270" t="inlineStr">
        <is>
          <t>GOTLANDS LÄN</t>
        </is>
      </c>
      <c r="G270" t="inlineStr">
        <is>
          <t>GOTLAND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4634-2026</t>
        </is>
      </c>
      <c r="B271" t="inlineStr">
        <is>
          <t>avverkningsanmälan</t>
        </is>
      </c>
      <c r="C271" t="inlineStr">
        <is>
          <t>Föryngringsavverkning</t>
        </is>
      </c>
      <c r="D271" s="1" t="n">
        <v>46048</v>
      </c>
      <c r="E271" s="1" t="n">
        <v>46316</v>
      </c>
      <c r="F271" t="inlineStr">
        <is>
          <t>GOTLANDS LÄN</t>
        </is>
      </c>
      <c r="G271" t="inlineStr">
        <is>
          <t>GOTLAND</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4670-2026</t>
        </is>
      </c>
      <c r="B272" t="inlineStr">
        <is>
          <t>avverkningsanmälan</t>
        </is>
      </c>
      <c r="C272" t="inlineStr">
        <is>
          <t>Föryngringsavverkning</t>
        </is>
      </c>
      <c r="D272" s="1" t="n">
        <v>46048</v>
      </c>
      <c r="E272" s="1" t="n">
        <v>46316</v>
      </c>
      <c r="F272" t="inlineStr">
        <is>
          <t>GOTLANDS LÄN</t>
        </is>
      </c>
      <c r="G272" t="inlineStr">
        <is>
          <t>GOTLAND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49697-2023</t>
        </is>
      </c>
      <c r="B273" t="inlineStr">
        <is>
          <t>avverkningsanmälan</t>
        </is>
      </c>
      <c r="C273" t="inlineStr">
        <is>
          <t>Föryngringsavverkning</t>
        </is>
      </c>
      <c r="D273" s="1" t="n">
        <v>45212</v>
      </c>
      <c r="E273" s="1" t="n">
        <v>46316</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46316</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48503-2023</t>
        </is>
      </c>
      <c r="B275" t="inlineStr">
        <is>
          <t>avverkningsanmälan</t>
        </is>
      </c>
      <c r="C275" t="inlineStr">
        <is>
          <t>Föryngringsavverkning</t>
        </is>
      </c>
      <c r="D275" s="1" t="n">
        <v>45207</v>
      </c>
      <c r="E275" s="1" t="n">
        <v>46316</v>
      </c>
      <c r="F275" t="inlineStr">
        <is>
          <t>GOTLANDS LÄN</t>
        </is>
      </c>
      <c r="G275" t="inlineStr">
        <is>
          <t>GOTLAND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24825-2024</t>
        </is>
      </c>
      <c r="B276" t="inlineStr">
        <is>
          <t>avverkningsanmälan</t>
        </is>
      </c>
      <c r="C276" t="inlineStr">
        <is>
          <t>Avverkning för annat ändamål</t>
        </is>
      </c>
      <c r="D276" s="1" t="n">
        <v>45461</v>
      </c>
      <c r="E276" s="1" t="n">
        <v>46316</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26391-2025</t>
        </is>
      </c>
      <c r="B277" t="inlineStr">
        <is>
          <t>avverkningsanmälan</t>
        </is>
      </c>
      <c r="C277" t="inlineStr">
        <is>
          <t>Avverkning för annat ändamål</t>
        </is>
      </c>
      <c r="D277" s="1" t="n">
        <v>45806</v>
      </c>
      <c r="E277" s="1" t="n">
        <v>46316</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7627-2026</t>
        </is>
      </c>
      <c r="B278" t="inlineStr">
        <is>
          <t>avverkningsanmälan</t>
        </is>
      </c>
      <c r="C278" t="inlineStr">
        <is>
          <t>Föryngringsavverkning</t>
        </is>
      </c>
      <c r="D278" s="1" t="n">
        <v>46062</v>
      </c>
      <c r="E278" s="1" t="n">
        <v>46316</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46836-2025</t>
        </is>
      </c>
      <c r="B279" t="inlineStr">
        <is>
          <t>avverkningsanmälan</t>
        </is>
      </c>
      <c r="C279" t="inlineStr">
        <is>
          <t>Föryngringsavverkning</t>
        </is>
      </c>
      <c r="D279" s="1" t="n">
        <v>45928</v>
      </c>
      <c r="E279" s="1" t="n">
        <v>46316</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2135-2026</t>
        </is>
      </c>
      <c r="B280" t="inlineStr">
        <is>
          <t>avverkningsanmälan</t>
        </is>
      </c>
      <c r="C280" t="inlineStr">
        <is>
          <t>Avverkning för annat ändamål</t>
        </is>
      </c>
      <c r="D280" s="1" t="n">
        <v>46036</v>
      </c>
      <c r="E280" s="1" t="n">
        <v>46316</v>
      </c>
      <c r="F280" t="inlineStr">
        <is>
          <t>GOTLANDS LÄN</t>
        </is>
      </c>
      <c r="G280" t="inlineStr">
        <is>
          <t>GOTLAND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22031-2024</t>
        </is>
      </c>
      <c r="B281" t="inlineStr">
        <is>
          <t>avverkningsanmälan</t>
        </is>
      </c>
      <c r="C281" t="inlineStr">
        <is>
          <t>Föryngringsavverkning</t>
        </is>
      </c>
      <c r="D281" s="1" t="n">
        <v>45443</v>
      </c>
      <c r="E281" s="1" t="n">
        <v>46316</v>
      </c>
      <c r="F281" t="inlineStr">
        <is>
          <t>GOTLANDS LÄN</t>
        </is>
      </c>
      <c r="G281" t="inlineStr">
        <is>
          <t>GOTLAND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17688-2024</t>
        </is>
      </c>
      <c r="B282" t="inlineStr">
        <is>
          <t>avverkningsanmälan</t>
        </is>
      </c>
      <c r="C282" t="inlineStr">
        <is>
          <t>Föryngringsavverkning</t>
        </is>
      </c>
      <c r="D282" s="1" t="n">
        <v>45418</v>
      </c>
      <c r="E282" s="1" t="n">
        <v>46316</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47637-2025</t>
        </is>
      </c>
      <c r="B283" t="inlineStr">
        <is>
          <t>avverkningsanmälan</t>
        </is>
      </c>
      <c r="C283" t="inlineStr">
        <is>
          <t>Föryngringsavverkning</t>
        </is>
      </c>
      <c r="D283" s="1" t="n">
        <v>45931</v>
      </c>
      <c r="E283" s="1" t="n">
        <v>46316</v>
      </c>
      <c r="F283" t="inlineStr">
        <is>
          <t>GOTLANDS LÄN</t>
        </is>
      </c>
      <c r="G283" t="inlineStr">
        <is>
          <t>GOTLAND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27694-2024</t>
        </is>
      </c>
      <c r="B284" t="inlineStr">
        <is>
          <t>avverkningsanmälan</t>
        </is>
      </c>
      <c r="C284" t="inlineStr">
        <is>
          <t>Föryngringsavverkning</t>
        </is>
      </c>
      <c r="D284" s="1" t="n">
        <v>45475</v>
      </c>
      <c r="E284" s="1" t="n">
        <v>46316</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39764-2022</t>
        </is>
      </c>
      <c r="B285" t="inlineStr">
        <is>
          <t>avverkningsanmälan</t>
        </is>
      </c>
      <c r="C285" t="inlineStr">
        <is>
          <t>Föryngringsavverkning</t>
        </is>
      </c>
      <c r="D285" s="1" t="n">
        <v>44819</v>
      </c>
      <c r="E285" s="1" t="n">
        <v>46316</v>
      </c>
      <c r="F285" t="inlineStr">
        <is>
          <t>GOTLANDS LÄN</t>
        </is>
      </c>
      <c r="G285" t="inlineStr">
        <is>
          <t>GOTLAND</t>
        </is>
      </c>
      <c r="H285" t="inlineStr">
        <is>
          <t>Kyrkan</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6099-2024</t>
        </is>
      </c>
      <c r="B286" t="inlineStr">
        <is>
          <t>avverkningsanmälan</t>
        </is>
      </c>
      <c r="C286" t="inlineStr">
        <is>
          <t>Föryngringsavverkning</t>
        </is>
      </c>
      <c r="D286" s="1" t="n">
        <v>45337</v>
      </c>
      <c r="E286" s="1" t="n">
        <v>46316</v>
      </c>
      <c r="F286" t="inlineStr">
        <is>
          <t>GOTLANDS LÄN</t>
        </is>
      </c>
      <c r="G286" t="inlineStr">
        <is>
          <t>GOTLAND</t>
        </is>
      </c>
      <c r="I286" t="n">
        <v>12.6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9521-2026</t>
        </is>
      </c>
      <c r="B287" t="inlineStr">
        <is>
          <t>avverkningsanmälan</t>
        </is>
      </c>
      <c r="C287" t="inlineStr">
        <is>
          <t>Föryngringsavverkning</t>
        </is>
      </c>
      <c r="D287" s="1" t="n">
        <v>46071</v>
      </c>
      <c r="E287" s="1" t="n">
        <v>46316</v>
      </c>
      <c r="F287" t="inlineStr">
        <is>
          <t>GOTLANDS LÄN</t>
        </is>
      </c>
      <c r="G287" t="inlineStr">
        <is>
          <t>GOTLAND</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9524-2026</t>
        </is>
      </c>
      <c r="B288" t="inlineStr">
        <is>
          <t>avverkningsanmälan</t>
        </is>
      </c>
      <c r="C288" t="inlineStr">
        <is>
          <t>Föryngringsavverkning</t>
        </is>
      </c>
      <c r="D288" s="1" t="n">
        <v>46071</v>
      </c>
      <c r="E288" s="1" t="n">
        <v>46316</v>
      </c>
      <c r="F288" t="inlineStr">
        <is>
          <t>GOTLANDS LÄN</t>
        </is>
      </c>
      <c r="G288" t="inlineStr">
        <is>
          <t>GOTLAND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8260-2023</t>
        </is>
      </c>
      <c r="B289" t="inlineStr">
        <is>
          <t>avverkningsanmälan</t>
        </is>
      </c>
      <c r="C289" t="inlineStr">
        <is>
          <t>Föryngringsavverkning</t>
        </is>
      </c>
      <c r="D289" s="1" t="n">
        <v>44974</v>
      </c>
      <c r="E289" s="1" t="n">
        <v>46316</v>
      </c>
      <c r="F289" t="inlineStr">
        <is>
          <t>GOTLANDS LÄN</t>
        </is>
      </c>
      <c r="G289" t="inlineStr">
        <is>
          <t>GOTLAND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9519-2026</t>
        </is>
      </c>
      <c r="B290" t="inlineStr">
        <is>
          <t>avverkningsanmälan</t>
        </is>
      </c>
      <c r="C290" t="inlineStr">
        <is>
          <t>Föryngringsavverkning</t>
        </is>
      </c>
      <c r="D290" s="1" t="n">
        <v>46071</v>
      </c>
      <c r="E290" s="1" t="n">
        <v>46316</v>
      </c>
      <c r="F290" t="inlineStr">
        <is>
          <t>GOTLANDS LÄN</t>
        </is>
      </c>
      <c r="G290" t="inlineStr">
        <is>
          <t>GOTLAND</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35550-2025</t>
        </is>
      </c>
      <c r="B291" t="inlineStr">
        <is>
          <t>avverkningsanmälan</t>
        </is>
      </c>
      <c r="C291" t="inlineStr">
        <is>
          <t>Föryngringsavverkning</t>
        </is>
      </c>
      <c r="D291" s="1" t="n">
        <v>45856</v>
      </c>
      <c r="E291" s="1" t="n">
        <v>46316</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46316</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47578-2025</t>
        </is>
      </c>
      <c r="B293" t="inlineStr">
        <is>
          <t>avverkningsanmälan</t>
        </is>
      </c>
      <c r="C293" t="inlineStr">
        <is>
          <t>Avverkning för annat ändamål</t>
        </is>
      </c>
      <c r="D293" s="1" t="n">
        <v>45931</v>
      </c>
      <c r="E293" s="1" t="n">
        <v>46316</v>
      </c>
      <c r="F293" t="inlineStr">
        <is>
          <t>GOTLANDS LÄN</t>
        </is>
      </c>
      <c r="G293" t="inlineStr">
        <is>
          <t>GOTLAND</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49690-2025</t>
        </is>
      </c>
      <c r="B294" t="inlineStr">
        <is>
          <t>avverkningsanmälan</t>
        </is>
      </c>
      <c r="C294" t="inlineStr">
        <is>
          <t>Föryngringsavverkning</t>
        </is>
      </c>
      <c r="D294" s="1" t="n">
        <v>45939</v>
      </c>
      <c r="E294" s="1" t="n">
        <v>46316</v>
      </c>
      <c r="F294" t="inlineStr">
        <is>
          <t>GOTLANDS LÄN</t>
        </is>
      </c>
      <c r="G294" t="inlineStr">
        <is>
          <t>GOTLAND</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49730-2025</t>
        </is>
      </c>
      <c r="B295" t="inlineStr">
        <is>
          <t>avverkningsanmälan</t>
        </is>
      </c>
      <c r="C295" t="inlineStr">
        <is>
          <t>Föryngringsavverkning</t>
        </is>
      </c>
      <c r="D295" s="1" t="n">
        <v>45939</v>
      </c>
      <c r="E295" s="1" t="n">
        <v>46316</v>
      </c>
      <c r="F295" t="inlineStr">
        <is>
          <t>GOTLANDS LÄN</t>
        </is>
      </c>
      <c r="G295" t="inlineStr">
        <is>
          <t>GOTLAND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3067-2026</t>
        </is>
      </c>
      <c r="B296" t="inlineStr">
        <is>
          <t>avverkningsanmälan</t>
        </is>
      </c>
      <c r="C296" t="inlineStr">
        <is>
          <t>Föryngringsavverkning</t>
        </is>
      </c>
      <c r="D296" s="1" t="n">
        <v>46040</v>
      </c>
      <c r="E296" s="1" t="n">
        <v>46316</v>
      </c>
      <c r="F296" t="inlineStr">
        <is>
          <t>GOTLANDS LÄN</t>
        </is>
      </c>
      <c r="G296" t="inlineStr">
        <is>
          <t>GOTLAND</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20855-2023</t>
        </is>
      </c>
      <c r="B297" t="inlineStr">
        <is>
          <t>avverkningsanmälan</t>
        </is>
      </c>
      <c r="C297" t="inlineStr">
        <is>
          <t>Föryngringsavverkning</t>
        </is>
      </c>
      <c r="D297" s="1" t="n">
        <v>45058</v>
      </c>
      <c r="E297" s="1" t="n">
        <v>46316</v>
      </c>
      <c r="F297" t="inlineStr">
        <is>
          <t>GOTLANDS LÄN</t>
        </is>
      </c>
      <c r="G297" t="inlineStr">
        <is>
          <t>GOTLAND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60709-2023</t>
        </is>
      </c>
      <c r="B298" t="inlineStr">
        <is>
          <t>avverkningsanmälan</t>
        </is>
      </c>
      <c r="C298" t="inlineStr">
        <is>
          <t>Föryngringsavverkning</t>
        </is>
      </c>
      <c r="D298" s="1" t="n">
        <v>45260</v>
      </c>
      <c r="E298" s="1" t="n">
        <v>46316</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1000-2024</t>
        </is>
      </c>
      <c r="B299" t="inlineStr">
        <is>
          <t>avverkningsanmälan</t>
        </is>
      </c>
      <c r="C299" t="inlineStr">
        <is>
          <t>Föryngringsavverkning</t>
        </is>
      </c>
      <c r="D299" s="1" t="n">
        <v>45301</v>
      </c>
      <c r="E299" s="1" t="n">
        <v>46316</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65249-2023</t>
        </is>
      </c>
      <c r="B300" t="inlineStr">
        <is>
          <t>avverkningsanmälan</t>
        </is>
      </c>
      <c r="C300" t="inlineStr">
        <is>
          <t>Föryngringsavverkning</t>
        </is>
      </c>
      <c r="D300" s="1" t="n">
        <v>45290</v>
      </c>
      <c r="E300" s="1" t="n">
        <v>46316</v>
      </c>
      <c r="F300" t="inlineStr">
        <is>
          <t>GOTLANDS LÄN</t>
        </is>
      </c>
      <c r="G300" t="inlineStr">
        <is>
          <t>GOTLAND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46316</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46316</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8045-2022</t>
        </is>
      </c>
      <c r="B303" t="inlineStr">
        <is>
          <t>avverkningsanmälan</t>
        </is>
      </c>
      <c r="C303" t="inlineStr">
        <is>
          <t>Föryngringsavverkning</t>
        </is>
      </c>
      <c r="D303" s="1" t="n">
        <v>44609</v>
      </c>
      <c r="E303" s="1" t="n">
        <v>46316</v>
      </c>
      <c r="F303" t="inlineStr">
        <is>
          <t>GOTLANDS LÄN</t>
        </is>
      </c>
      <c r="G303" t="inlineStr">
        <is>
          <t>GOTLAND</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58160-2024</t>
        </is>
      </c>
      <c r="B304" t="inlineStr">
        <is>
          <t>avverkningsanmälan</t>
        </is>
      </c>
      <c r="C304" t="inlineStr">
        <is>
          <t>Föryngringsavverkning</t>
        </is>
      </c>
      <c r="D304" s="1" t="n">
        <v>45632</v>
      </c>
      <c r="E304" s="1" t="n">
        <v>46316</v>
      </c>
      <c r="F304" t="inlineStr">
        <is>
          <t>GOTLANDS LÄN</t>
        </is>
      </c>
      <c r="G304" t="inlineStr">
        <is>
          <t>GOTLAND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999-2024</t>
        </is>
      </c>
      <c r="B305" t="inlineStr">
        <is>
          <t>avverkningsanmälan</t>
        </is>
      </c>
      <c r="C305" t="inlineStr">
        <is>
          <t>Föryngringsavverkning</t>
        </is>
      </c>
      <c r="D305" s="1" t="n">
        <v>45301</v>
      </c>
      <c r="E305" s="1" t="n">
        <v>46316</v>
      </c>
      <c r="F305" t="inlineStr">
        <is>
          <t>GOTLANDS LÄN</t>
        </is>
      </c>
      <c r="G305" t="inlineStr">
        <is>
          <t>GOTLAND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65901-2021</t>
        </is>
      </c>
      <c r="B306" t="inlineStr">
        <is>
          <t>avverkningsanmälan</t>
        </is>
      </c>
      <c r="C306" t="inlineStr">
        <is>
          <t>Föryngringsavverkning</t>
        </is>
      </c>
      <c r="D306" s="1" t="n">
        <v>44516</v>
      </c>
      <c r="E306" s="1" t="n">
        <v>46316</v>
      </c>
      <c r="F306" t="inlineStr">
        <is>
          <t>GOTLANDS LÄN</t>
        </is>
      </c>
      <c r="G306" t="inlineStr">
        <is>
          <t>GOTLAND</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47762-2023</t>
        </is>
      </c>
      <c r="B307" t="inlineStr">
        <is>
          <t>avverkningsanmälan</t>
        </is>
      </c>
      <c r="C307" t="inlineStr">
        <is>
          <t>Föryngringsavverkning</t>
        </is>
      </c>
      <c r="D307" s="1" t="n">
        <v>45203</v>
      </c>
      <c r="E307" s="1" t="n">
        <v>46316</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58780-2024</t>
        </is>
      </c>
      <c r="B308" t="inlineStr">
        <is>
          <t>avverkningsanmälan</t>
        </is>
      </c>
      <c r="C308" t="inlineStr">
        <is>
          <t>Föryngringsavverkning</t>
        </is>
      </c>
      <c r="D308" s="1" t="n">
        <v>45635</v>
      </c>
      <c r="E308" s="1" t="n">
        <v>46316</v>
      </c>
      <c r="F308" t="inlineStr">
        <is>
          <t>GOTLANDS LÄN</t>
        </is>
      </c>
      <c r="G308" t="inlineStr">
        <is>
          <t>GOTLAND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12322-2025</t>
        </is>
      </c>
      <c r="B309" t="inlineStr">
        <is>
          <t>avverkningsanmälan</t>
        </is>
      </c>
      <c r="C309" t="inlineStr">
        <is>
          <t>Föryngringsavverkning</t>
        </is>
      </c>
      <c r="D309" s="1" t="n">
        <v>45730</v>
      </c>
      <c r="E309" s="1" t="n">
        <v>46316</v>
      </c>
      <c r="F309" t="inlineStr">
        <is>
          <t>GOTLANDS LÄN</t>
        </is>
      </c>
      <c r="G309" t="inlineStr">
        <is>
          <t>GOTLAND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24192-2023</t>
        </is>
      </c>
      <c r="B310" t="inlineStr">
        <is>
          <t>avverkningsanmälan</t>
        </is>
      </c>
      <c r="C310" t="inlineStr">
        <is>
          <t>Föryngringsavverkning</t>
        </is>
      </c>
      <c r="D310" s="1" t="n">
        <v>45079</v>
      </c>
      <c r="E310" s="1" t="n">
        <v>46316</v>
      </c>
      <c r="F310" t="inlineStr">
        <is>
          <t>GOTLANDS LÄN</t>
        </is>
      </c>
      <c r="G310" t="inlineStr">
        <is>
          <t>GOTLAND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30282-2022</t>
        </is>
      </c>
      <c r="B311" t="inlineStr">
        <is>
          <t>avverkningsanmälan</t>
        </is>
      </c>
      <c r="C311" t="inlineStr">
        <is>
          <t>Föryngringsavverkning</t>
        </is>
      </c>
      <c r="D311" s="1" t="n">
        <v>44760</v>
      </c>
      <c r="E311" s="1" t="n">
        <v>46316</v>
      </c>
      <c r="F311" t="inlineStr">
        <is>
          <t>GOTLANDS LÄN</t>
        </is>
      </c>
      <c r="G311" t="inlineStr">
        <is>
          <t>GOTLAND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7835-2024</t>
        </is>
      </c>
      <c r="B312" t="inlineStr">
        <is>
          <t>avverkningsanmälan</t>
        </is>
      </c>
      <c r="C312" t="inlineStr">
        <is>
          <t>Föryngringsavverkning</t>
        </is>
      </c>
      <c r="D312" s="1" t="n">
        <v>45349</v>
      </c>
      <c r="E312" s="1" t="n">
        <v>46316</v>
      </c>
      <c r="F312" t="inlineStr">
        <is>
          <t>GOTLANDS LÄN</t>
        </is>
      </c>
      <c r="G312" t="inlineStr">
        <is>
          <t>GOTLAND</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10650-2022</t>
        </is>
      </c>
      <c r="B313" t="inlineStr">
        <is>
          <t>avverkningsanmälan</t>
        </is>
      </c>
      <c r="C313" t="inlineStr">
        <is>
          <t>Föryngringsavverkning</t>
        </is>
      </c>
      <c r="D313" s="1" t="n">
        <v>44624</v>
      </c>
      <c r="E313" s="1" t="n">
        <v>46316</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16109-2025</t>
        </is>
      </c>
      <c r="B314" t="inlineStr">
        <is>
          <t>avverkningsanmälan</t>
        </is>
      </c>
      <c r="C314" t="inlineStr">
        <is>
          <t>Avverkning för annat ändamål</t>
        </is>
      </c>
      <c r="D314" s="1" t="n">
        <v>45750</v>
      </c>
      <c r="E314" s="1" t="n">
        <v>46316</v>
      </c>
      <c r="F314" t="inlineStr">
        <is>
          <t>GOTLANDS LÄN</t>
        </is>
      </c>
      <c r="G314" t="inlineStr">
        <is>
          <t>GOTLAND</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56799-2025</t>
        </is>
      </c>
      <c r="B315" t="inlineStr">
        <is>
          <t>avverkningsanmälan</t>
        </is>
      </c>
      <c r="C315" t="inlineStr">
        <is>
          <t>Föryngringsavverkning</t>
        </is>
      </c>
      <c r="D315" s="1" t="n">
        <v>45978</v>
      </c>
      <c r="E315" s="1" t="n">
        <v>46316</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18804-2026</t>
        </is>
      </c>
      <c r="B316" t="inlineStr">
        <is>
          <t>avverkningsanmälan</t>
        </is>
      </c>
      <c r="C316" t="inlineStr">
        <is>
          <t>Föryngringsavverkning</t>
        </is>
      </c>
      <c r="D316" s="1" t="n">
        <v>46128</v>
      </c>
      <c r="E316" s="1" t="n">
        <v>46316</v>
      </c>
      <c r="F316" t="inlineStr">
        <is>
          <t>GOTLANDS LÄN</t>
        </is>
      </c>
      <c r="G316" t="inlineStr">
        <is>
          <t>GOTLAND</t>
        </is>
      </c>
      <c r="H316" t="inlineStr">
        <is>
          <t>Kyrkan</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46316</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46316</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26467-2025</t>
        </is>
      </c>
      <c r="B319" t="inlineStr">
        <is>
          <t>avverkningsanmälan</t>
        </is>
      </c>
      <c r="C319" t="inlineStr">
        <is>
          <t>Föryngringsavverkning</t>
        </is>
      </c>
      <c r="D319" s="1" t="n">
        <v>45807</v>
      </c>
      <c r="E319" s="1" t="n">
        <v>46316</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25796-2025</t>
        </is>
      </c>
      <c r="B320" t="inlineStr">
        <is>
          <t>avverkningsanmälan</t>
        </is>
      </c>
      <c r="C320" t="inlineStr">
        <is>
          <t>Föryngringsavverkning</t>
        </is>
      </c>
      <c r="D320" s="1" t="n">
        <v>45804</v>
      </c>
      <c r="E320" s="1" t="n">
        <v>46316</v>
      </c>
      <c r="F320" t="inlineStr">
        <is>
          <t>GOTLANDS LÄN</t>
        </is>
      </c>
      <c r="G320" t="inlineStr">
        <is>
          <t>GOTLAND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1854-2026</t>
        </is>
      </c>
      <c r="B321" t="inlineStr">
        <is>
          <t>avverkningsanmälan</t>
        </is>
      </c>
      <c r="C321" t="inlineStr">
        <is>
          <t>Föryngringsavverkning</t>
        </is>
      </c>
      <c r="D321" s="1" t="n">
        <v>46035</v>
      </c>
      <c r="E321" s="1" t="n">
        <v>46316</v>
      </c>
      <c r="F321" t="inlineStr">
        <is>
          <t>GOTLANDS LÄN</t>
        </is>
      </c>
      <c r="G321" t="inlineStr">
        <is>
          <t>GOTLAND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10746-2025</t>
        </is>
      </c>
      <c r="B322" t="inlineStr">
        <is>
          <t>avverkningsanmälan</t>
        </is>
      </c>
      <c r="C322" t="inlineStr">
        <is>
          <t>Föryngringsavverkning</t>
        </is>
      </c>
      <c r="D322" s="1" t="n">
        <v>45722</v>
      </c>
      <c r="E322" s="1" t="n">
        <v>46316</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35123-2025</t>
        </is>
      </c>
      <c r="B323" t="inlineStr">
        <is>
          <t>avverkningsanmälan</t>
        </is>
      </c>
      <c r="C323" t="inlineStr">
        <is>
          <t>Föryngringsavverkning</t>
        </is>
      </c>
      <c r="D323" s="1" t="n">
        <v>45852</v>
      </c>
      <c r="E323" s="1" t="n">
        <v>46316</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2180-2025</t>
        </is>
      </c>
      <c r="B324" t="inlineStr">
        <is>
          <t>avverkningsanmälan</t>
        </is>
      </c>
      <c r="C324" t="inlineStr">
        <is>
          <t>Föryngringsavverkning</t>
        </is>
      </c>
      <c r="D324" s="1" t="n">
        <v>45673</v>
      </c>
      <c r="E324" s="1" t="n">
        <v>46316</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43229-2023</t>
        </is>
      </c>
      <c r="B325" t="inlineStr">
        <is>
          <t>avverkningsanmälan</t>
        </is>
      </c>
      <c r="C325" t="inlineStr">
        <is>
          <t>Föryngringsavverkning</t>
        </is>
      </c>
      <c r="D325" s="1" t="n">
        <v>45183</v>
      </c>
      <c r="E325" s="1" t="n">
        <v>46316</v>
      </c>
      <c r="F325" t="inlineStr">
        <is>
          <t>GOTLANDS LÄN</t>
        </is>
      </c>
      <c r="G325" t="inlineStr">
        <is>
          <t>GOTLAND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13910-2025</t>
        </is>
      </c>
      <c r="B326" t="inlineStr">
        <is>
          <t>avverkningsanmälan</t>
        </is>
      </c>
      <c r="C326" t="inlineStr">
        <is>
          <t>Föryngringsavverkning</t>
        </is>
      </c>
      <c r="D326" s="1" t="n">
        <v>45737</v>
      </c>
      <c r="E326" s="1" t="n">
        <v>46316</v>
      </c>
      <c r="F326" t="inlineStr">
        <is>
          <t>GOTLANDS LÄN</t>
        </is>
      </c>
      <c r="G326" t="inlineStr">
        <is>
          <t>GOTLAND</t>
        </is>
      </c>
      <c r="H326" t="inlineStr">
        <is>
          <t>Kommuner</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41038-2023</t>
        </is>
      </c>
      <c r="B327" t="inlineStr">
        <is>
          <t>avverkningsanmälan</t>
        </is>
      </c>
      <c r="C327" t="inlineStr">
        <is>
          <t>Föryngringsavverkning</t>
        </is>
      </c>
      <c r="D327" s="1" t="n">
        <v>45173</v>
      </c>
      <c r="E327" s="1" t="n">
        <v>46316</v>
      </c>
      <c r="F327" t="inlineStr">
        <is>
          <t>GOTLANDS LÄN</t>
        </is>
      </c>
      <c r="G327" t="inlineStr">
        <is>
          <t>GOTLAND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32669-2024</t>
        </is>
      </c>
      <c r="B328" t="inlineStr">
        <is>
          <t>avverkningsanmälan</t>
        </is>
      </c>
      <c r="C328" t="inlineStr">
        <is>
          <t>Föryngringsavverkning</t>
        </is>
      </c>
      <c r="D328" s="1" t="n">
        <v>45514</v>
      </c>
      <c r="E328" s="1" t="n">
        <v>46316</v>
      </c>
      <c r="F328" t="inlineStr">
        <is>
          <t>GOTLANDS LÄN</t>
        </is>
      </c>
      <c r="G328" t="inlineStr">
        <is>
          <t>GOTLAND</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45112-2024</t>
        </is>
      </c>
      <c r="B329" t="inlineStr">
        <is>
          <t>avverkningsanmälan</t>
        </is>
      </c>
      <c r="C329" t="inlineStr">
        <is>
          <t>Föryngringsavverkning</t>
        </is>
      </c>
      <c r="D329" s="1" t="n">
        <v>45575</v>
      </c>
      <c r="E329" s="1" t="n">
        <v>46316</v>
      </c>
      <c r="F329" t="inlineStr">
        <is>
          <t>GOTLANDS LÄN</t>
        </is>
      </c>
      <c r="G329" t="inlineStr">
        <is>
          <t>GOTLAND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57652-2023</t>
        </is>
      </c>
      <c r="B330" t="inlineStr">
        <is>
          <t>avverkningsanmälan</t>
        </is>
      </c>
      <c r="C330" t="inlineStr">
        <is>
          <t>Avverkning för annat ändamål</t>
        </is>
      </c>
      <c r="D330" s="1" t="n">
        <v>45246</v>
      </c>
      <c r="E330" s="1" t="n">
        <v>46316</v>
      </c>
      <c r="F330" t="inlineStr">
        <is>
          <t>GOTLANDS LÄN</t>
        </is>
      </c>
      <c r="G330" t="inlineStr">
        <is>
          <t>GOTLAND</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57522-2022</t>
        </is>
      </c>
      <c r="B331" t="inlineStr">
        <is>
          <t>avverkningsanmälan</t>
        </is>
      </c>
      <c r="C331" t="inlineStr">
        <is>
          <t>Föryngringsavverkning</t>
        </is>
      </c>
      <c r="D331" s="1" t="n">
        <v>44896</v>
      </c>
      <c r="E331" s="1" t="n">
        <v>46316</v>
      </c>
      <c r="F331" t="inlineStr">
        <is>
          <t>GOTLANDS LÄN</t>
        </is>
      </c>
      <c r="G331" t="inlineStr">
        <is>
          <t>GOTLAND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14797-2024</t>
        </is>
      </c>
      <c r="B332" t="inlineStr">
        <is>
          <t>avverkningsanmälan</t>
        </is>
      </c>
      <c r="C332" t="inlineStr">
        <is>
          <t>Föryngringsavverkning</t>
        </is>
      </c>
      <c r="D332" s="1" t="n">
        <v>45397</v>
      </c>
      <c r="E332" s="1" t="n">
        <v>46316</v>
      </c>
      <c r="F332" t="inlineStr">
        <is>
          <t>GOTLANDS LÄN</t>
        </is>
      </c>
      <c r="G332" t="inlineStr">
        <is>
          <t>GOTLAND</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30488-2025</t>
        </is>
      </c>
      <c r="B333" t="inlineStr">
        <is>
          <t>avverkningsanmälan</t>
        </is>
      </c>
      <c r="C333" t="inlineStr">
        <is>
          <t>Föryngringsavverkning</t>
        </is>
      </c>
      <c r="D333" s="1" t="n">
        <v>45830</v>
      </c>
      <c r="E333" s="1" t="n">
        <v>46316</v>
      </c>
      <c r="F333" t="inlineStr">
        <is>
          <t>GOTLANDS LÄN</t>
        </is>
      </c>
      <c r="G333" t="inlineStr">
        <is>
          <t>GOTLAND</t>
        </is>
      </c>
      <c r="H333" t="inlineStr">
        <is>
          <t>Kyrkan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15216-2025</t>
        </is>
      </c>
      <c r="B334" t="inlineStr">
        <is>
          <t>avverkningsanmälan</t>
        </is>
      </c>
      <c r="C334" t="inlineStr">
        <is>
          <t>Föryngringsavverkning</t>
        </is>
      </c>
      <c r="D334" s="1" t="n">
        <v>45744</v>
      </c>
      <c r="E334" s="1" t="n">
        <v>46316</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15001-2025</t>
        </is>
      </c>
      <c r="B335" t="inlineStr">
        <is>
          <t>avverkningsanmälan</t>
        </is>
      </c>
      <c r="C335" t="inlineStr">
        <is>
          <t>Föryngringsavverkning</t>
        </is>
      </c>
      <c r="D335" s="1" t="n">
        <v>45743</v>
      </c>
      <c r="E335" s="1" t="n">
        <v>46316</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43790-2024</t>
        </is>
      </c>
      <c r="B336" t="inlineStr">
        <is>
          <t>avverkningsanmälan</t>
        </is>
      </c>
      <c r="C336" t="inlineStr">
        <is>
          <t>Föryngringsavverkning</t>
        </is>
      </c>
      <c r="D336" s="1" t="n">
        <v>45571</v>
      </c>
      <c r="E336" s="1" t="n">
        <v>46316</v>
      </c>
      <c r="F336" t="inlineStr">
        <is>
          <t>GOTLANDS LÄN</t>
        </is>
      </c>
      <c r="G336" t="inlineStr">
        <is>
          <t>GOTLAND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17847-2025</t>
        </is>
      </c>
      <c r="B337" t="inlineStr">
        <is>
          <t>avverkningsanmälan</t>
        </is>
      </c>
      <c r="C337" t="inlineStr">
        <is>
          <t>Föryngringsavverkning</t>
        </is>
      </c>
      <c r="D337" s="1" t="n">
        <v>45758</v>
      </c>
      <c r="E337" s="1" t="n">
        <v>46316</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20225-2025</t>
        </is>
      </c>
      <c r="B338" t="inlineStr">
        <is>
          <t>avverkningsanmälan</t>
        </is>
      </c>
      <c r="C338" t="inlineStr">
        <is>
          <t>Föryngringsavverkning</t>
        </is>
      </c>
      <c r="D338" s="1" t="n">
        <v>45772</v>
      </c>
      <c r="E338" s="1" t="n">
        <v>46316</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7837-2024</t>
        </is>
      </c>
      <c r="B339" t="inlineStr">
        <is>
          <t>avverkningsanmälan</t>
        </is>
      </c>
      <c r="C339" t="inlineStr">
        <is>
          <t>Föryngringsavverkning</t>
        </is>
      </c>
      <c r="D339" s="1" t="n">
        <v>45349</v>
      </c>
      <c r="E339" s="1" t="n">
        <v>46316</v>
      </c>
      <c r="F339" t="inlineStr">
        <is>
          <t>GOTLANDS LÄN</t>
        </is>
      </c>
      <c r="G339" t="inlineStr">
        <is>
          <t>GOTLAND</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6959-2026</t>
        </is>
      </c>
      <c r="B340" t="inlineStr">
        <is>
          <t>avverkningsanmälan</t>
        </is>
      </c>
      <c r="C340" t="inlineStr">
        <is>
          <t>Föryngringsavverkning</t>
        </is>
      </c>
      <c r="D340" s="1" t="n">
        <v>46057</v>
      </c>
      <c r="E340" s="1" t="n">
        <v>46316</v>
      </c>
      <c r="F340" t="inlineStr">
        <is>
          <t>GOTLANDS LÄN</t>
        </is>
      </c>
      <c r="G340" t="inlineStr">
        <is>
          <t>GOTLAND</t>
        </is>
      </c>
      <c r="H340" t="inlineStr">
        <is>
          <t>Kyrkan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18742-2025</t>
        </is>
      </c>
      <c r="B341" t="inlineStr">
        <is>
          <t>avverkningsanmälan</t>
        </is>
      </c>
      <c r="C341" t="inlineStr">
        <is>
          <t>Avverkning för annat ändamål</t>
        </is>
      </c>
      <c r="D341" s="1" t="n">
        <v>45763</v>
      </c>
      <c r="E341" s="1" t="n">
        <v>46316</v>
      </c>
      <c r="F341" t="inlineStr">
        <is>
          <t>GOTLANDS LÄN</t>
        </is>
      </c>
      <c r="G341" t="inlineStr">
        <is>
          <t>GOTLAND</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35129-2025</t>
        </is>
      </c>
      <c r="B342" t="inlineStr">
        <is>
          <t>avverkningsanmälan</t>
        </is>
      </c>
      <c r="C342" t="inlineStr">
        <is>
          <t>Föryngringsavverkning</t>
        </is>
      </c>
      <c r="D342" s="1" t="n">
        <v>45852</v>
      </c>
      <c r="E342" s="1" t="n">
        <v>46316</v>
      </c>
      <c r="F342" t="inlineStr">
        <is>
          <t>GOTLANDS LÄN</t>
        </is>
      </c>
      <c r="G342" t="inlineStr">
        <is>
          <t>GOTLAND</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29207-2025</t>
        </is>
      </c>
      <c r="B343" t="inlineStr">
        <is>
          <t>avverkningsanmälan</t>
        </is>
      </c>
      <c r="C343" t="inlineStr">
        <is>
          <t>Föryngringsavverkning</t>
        </is>
      </c>
      <c r="D343" s="1" t="n">
        <v>45823</v>
      </c>
      <c r="E343" s="1" t="n">
        <v>46316</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46316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46316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46316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46316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32379-2025</t>
        </is>
      </c>
      <c r="B348" t="inlineStr">
        <is>
          <t>avverkningsanmälan</t>
        </is>
      </c>
      <c r="C348" t="inlineStr">
        <is>
          <t>Föryngringsavverkning</t>
        </is>
      </c>
      <c r="D348" s="1" t="n">
        <v>45837</v>
      </c>
      <c r="E348" s="1" t="n">
        <v>46316</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22275-2023</t>
        </is>
      </c>
      <c r="B349" t="inlineStr">
        <is>
          <t>avverkningsanmälan</t>
        </is>
      </c>
      <c r="C349" t="inlineStr">
        <is>
          <t>Föryngringsavverkning</t>
        </is>
      </c>
      <c r="D349" s="1" t="n">
        <v>45070</v>
      </c>
      <c r="E349" s="1" t="n">
        <v>46316</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46316</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46316</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46316</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46316</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38165-2023</t>
        </is>
      </c>
      <c r="B354" t="inlineStr">
        <is>
          <t>avverkningsanmälan</t>
        </is>
      </c>
      <c r="C354" t="inlineStr">
        <is>
          <t>Föryngringsavverkning</t>
        </is>
      </c>
      <c r="D354" s="1" t="n">
        <v>45161</v>
      </c>
      <c r="E354" s="1" t="n">
        <v>46316</v>
      </c>
      <c r="F354" t="inlineStr">
        <is>
          <t>GOTLANDS LÄN</t>
        </is>
      </c>
      <c r="G354" t="inlineStr">
        <is>
          <t>GOTLAND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46316</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46316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7034-2023</t>
        </is>
      </c>
      <c r="B357" t="inlineStr">
        <is>
          <t>avverkningsanmälan</t>
        </is>
      </c>
      <c r="C357" t="inlineStr">
        <is>
          <t>Föryngringsavverkning</t>
        </is>
      </c>
      <c r="D357" s="1" t="n">
        <v>44968</v>
      </c>
      <c r="E357" s="1" t="n">
        <v>46316</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21142-2025</t>
        </is>
      </c>
      <c r="B358" t="inlineStr">
        <is>
          <t>avverkningsanmälan</t>
        </is>
      </c>
      <c r="C358" t="inlineStr">
        <is>
          <t>Föryngringsavverkning</t>
        </is>
      </c>
      <c r="D358" s="1" t="n">
        <v>45779</v>
      </c>
      <c r="E358" s="1" t="n">
        <v>46316</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6108-2025</t>
        </is>
      </c>
      <c r="B359" t="inlineStr">
        <is>
          <t>avverkningsanmälan</t>
        </is>
      </c>
      <c r="C359" t="inlineStr">
        <is>
          <t>Föryngringsavverkning</t>
        </is>
      </c>
      <c r="D359" s="1" t="n">
        <v>45698</v>
      </c>
      <c r="E359" s="1" t="n">
        <v>46316</v>
      </c>
      <c r="F359" t="inlineStr">
        <is>
          <t>GOTLANDS LÄN</t>
        </is>
      </c>
      <c r="G359" t="inlineStr">
        <is>
          <t>GOTLAND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18938-2025</t>
        </is>
      </c>
      <c r="B360" t="inlineStr">
        <is>
          <t>avverkningsanmälan</t>
        </is>
      </c>
      <c r="C360" t="inlineStr">
        <is>
          <t>Föryngringsavverkning</t>
        </is>
      </c>
      <c r="D360" s="1" t="n">
        <v>45764</v>
      </c>
      <c r="E360" s="1" t="n">
        <v>46316</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54074-2022</t>
        </is>
      </c>
      <c r="B361" t="inlineStr">
        <is>
          <t>avverkningsanmälan</t>
        </is>
      </c>
      <c r="C361" t="inlineStr">
        <is>
          <t>Föryngringsavverkning</t>
        </is>
      </c>
      <c r="D361" s="1" t="n">
        <v>44881</v>
      </c>
      <c r="E361" s="1" t="n">
        <v>46316</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61694-2023</t>
        </is>
      </c>
      <c r="B362" t="inlineStr">
        <is>
          <t>avverkningsanmälan</t>
        </is>
      </c>
      <c r="C362" t="inlineStr">
        <is>
          <t>Föryngringsavverkning</t>
        </is>
      </c>
      <c r="D362" s="1" t="n">
        <v>45264</v>
      </c>
      <c r="E362" s="1" t="n">
        <v>46316</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46316</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46316</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46316</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57685-2022</t>
        </is>
      </c>
      <c r="B366" t="inlineStr">
        <is>
          <t>avverkningsanmälan</t>
        </is>
      </c>
      <c r="C366" t="inlineStr">
        <is>
          <t>Föryngringsavverkning</t>
        </is>
      </c>
      <c r="D366" s="1" t="n">
        <v>44897</v>
      </c>
      <c r="E366" s="1" t="n">
        <v>46316</v>
      </c>
      <c r="F366" t="inlineStr">
        <is>
          <t>GOTLANDS LÄN</t>
        </is>
      </c>
      <c r="G366" t="inlineStr">
        <is>
          <t>GOTLAND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12599-2025</t>
        </is>
      </c>
      <c r="B367" t="inlineStr">
        <is>
          <t>avverkningsanmälan</t>
        </is>
      </c>
      <c r="C367" t="inlineStr">
        <is>
          <t>Föryngringsavverkning</t>
        </is>
      </c>
      <c r="D367" s="1" t="n">
        <v>45733</v>
      </c>
      <c r="E367" s="1" t="n">
        <v>46316</v>
      </c>
      <c r="F367" t="inlineStr">
        <is>
          <t>GOTLANDS LÄN</t>
        </is>
      </c>
      <c r="G367" t="inlineStr">
        <is>
          <t>GOTLAND</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811-2023</t>
        </is>
      </c>
      <c r="B368" t="inlineStr">
        <is>
          <t>avverkningsanmälan</t>
        </is>
      </c>
      <c r="C368" t="inlineStr">
        <is>
          <t>Föryngringsavverkning</t>
        </is>
      </c>
      <c r="D368" s="1" t="n">
        <v>44931</v>
      </c>
      <c r="E368" s="1" t="n">
        <v>46316</v>
      </c>
      <c r="F368" t="inlineStr">
        <is>
          <t>GOTLANDS LÄN</t>
        </is>
      </c>
      <c r="G368" t="inlineStr">
        <is>
          <t>GOTLAND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5905-2024</t>
        </is>
      </c>
      <c r="B369" t="inlineStr">
        <is>
          <t>avverkningsanmälan</t>
        </is>
      </c>
      <c r="C369" t="inlineStr">
        <is>
          <t>Föryngringsavverkning</t>
        </is>
      </c>
      <c r="D369" s="1" t="n">
        <v>45335</v>
      </c>
      <c r="E369" s="1" t="n">
        <v>46316</v>
      </c>
      <c r="F369" t="inlineStr">
        <is>
          <t>GOTLANDS LÄN</t>
        </is>
      </c>
      <c r="G369" t="inlineStr">
        <is>
          <t>GOTLAND</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3431-2025</t>
        </is>
      </c>
      <c r="B370" t="inlineStr">
        <is>
          <t>avverkningsanmälan</t>
        </is>
      </c>
      <c r="C370" t="inlineStr">
        <is>
          <t>Föryngringsavverkning</t>
        </is>
      </c>
      <c r="D370" s="1" t="n">
        <v>45680</v>
      </c>
      <c r="E370" s="1" t="n">
        <v>46316</v>
      </c>
      <c r="F370" t="inlineStr">
        <is>
          <t>GOTLANDS LÄN</t>
        </is>
      </c>
      <c r="G370" t="inlineStr">
        <is>
          <t>GOTLAND</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34407-2023</t>
        </is>
      </c>
      <c r="B371" t="inlineStr">
        <is>
          <t>avverkningsanmälan</t>
        </is>
      </c>
      <c r="C371" t="inlineStr">
        <is>
          <t>Föryngringsavverkning</t>
        </is>
      </c>
      <c r="D371" s="1" t="n">
        <v>45132</v>
      </c>
      <c r="E371" s="1" t="n">
        <v>46316</v>
      </c>
      <c r="F371" t="inlineStr">
        <is>
          <t>GOTLANDS LÄN</t>
        </is>
      </c>
      <c r="G371" t="inlineStr">
        <is>
          <t>GOTLAND</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7858-2025</t>
        </is>
      </c>
      <c r="B372" t="inlineStr">
        <is>
          <t>avverkningsanmälan</t>
        </is>
      </c>
      <c r="C372" t="inlineStr">
        <is>
          <t>Föryngringsavverkning</t>
        </is>
      </c>
      <c r="D372" s="1" t="n">
        <v>45706</v>
      </c>
      <c r="E372" s="1" t="n">
        <v>46316</v>
      </c>
      <c r="F372" t="inlineStr">
        <is>
          <t>GOTLANDS LÄN</t>
        </is>
      </c>
      <c r="G372" t="inlineStr">
        <is>
          <t>GOTLAND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2125-2025</t>
        </is>
      </c>
      <c r="B373" t="inlineStr">
        <is>
          <t>avverkningsanmälan</t>
        </is>
      </c>
      <c r="C373" t="inlineStr">
        <is>
          <t>Föryngringsavverkning</t>
        </is>
      </c>
      <c r="D373" s="1" t="n">
        <v>45672</v>
      </c>
      <c r="E373" s="1" t="n">
        <v>46316</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22348-2026</t>
        </is>
      </c>
      <c r="B374" t="inlineStr">
        <is>
          <t>avverkningsanmälan</t>
        </is>
      </c>
      <c r="C374" t="inlineStr">
        <is>
          <t>Föryngringsavverkning</t>
        </is>
      </c>
      <c r="D374" s="1" t="n">
        <v>46154</v>
      </c>
      <c r="E374" s="1" t="n">
        <v>46316</v>
      </c>
      <c r="F374" t="inlineStr">
        <is>
          <t>GOTLANDS LÄN</t>
        </is>
      </c>
      <c r="G374" t="inlineStr">
        <is>
          <t>GOTLAND</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22351-2026</t>
        </is>
      </c>
      <c r="B375" t="inlineStr">
        <is>
          <t>avverkningsanmälan</t>
        </is>
      </c>
      <c r="C375" t="inlineStr">
        <is>
          <t>Föryngringsavverkning</t>
        </is>
      </c>
      <c r="D375" s="1" t="n">
        <v>46154</v>
      </c>
      <c r="E375" s="1" t="n">
        <v>46316</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22281-2026</t>
        </is>
      </c>
      <c r="B376" t="inlineStr">
        <is>
          <t>avverkningsanmälan</t>
        </is>
      </c>
      <c r="C376" t="inlineStr">
        <is>
          <t>Avverkning för annat ändamål</t>
        </is>
      </c>
      <c r="D376" s="1" t="n">
        <v>46154</v>
      </c>
      <c r="E376" s="1" t="n">
        <v>46316</v>
      </c>
      <c r="F376" t="inlineStr">
        <is>
          <t>GOTLANDS LÄN</t>
        </is>
      </c>
      <c r="G376" t="inlineStr">
        <is>
          <t>GOTLAND</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12155-2023</t>
        </is>
      </c>
      <c r="B377" t="inlineStr">
        <is>
          <t>avverkningsanmälan</t>
        </is>
      </c>
      <c r="C377" t="inlineStr">
        <is>
          <t>Föryngringsavverkning</t>
        </is>
      </c>
      <c r="D377" s="1" t="n">
        <v>44998</v>
      </c>
      <c r="E377" s="1" t="n">
        <v>46316</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2774-2024</t>
        </is>
      </c>
      <c r="B378" t="inlineStr">
        <is>
          <t>avverkningsanmälan</t>
        </is>
      </c>
      <c r="C378" t="inlineStr">
        <is>
          <t>Föryngringsavverkning</t>
        </is>
      </c>
      <c r="D378" s="1" t="n">
        <v>45314</v>
      </c>
      <c r="E378" s="1" t="n">
        <v>46316</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9947-2024</t>
        </is>
      </c>
      <c r="B379" t="inlineStr">
        <is>
          <t>avverkningsanmälan</t>
        </is>
      </c>
      <c r="C379" t="inlineStr">
        <is>
          <t>Föryngringsavverkning</t>
        </is>
      </c>
      <c r="D379" s="1" t="n">
        <v>45363</v>
      </c>
      <c r="E379" s="1" t="n">
        <v>46316</v>
      </c>
      <c r="F379" t="inlineStr">
        <is>
          <t>GOTLANDS LÄN</t>
        </is>
      </c>
      <c r="G379" t="inlineStr">
        <is>
          <t>GOTLAND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42007-2023</t>
        </is>
      </c>
      <c r="B380" t="inlineStr">
        <is>
          <t>avverkningsanmälan</t>
        </is>
      </c>
      <c r="C380" t="inlineStr">
        <is>
          <t>Avverkning för annat ändamål</t>
        </is>
      </c>
      <c r="D380" s="1" t="n">
        <v>45177</v>
      </c>
      <c r="E380" s="1" t="n">
        <v>46316</v>
      </c>
      <c r="F380" t="inlineStr">
        <is>
          <t>GOTLANDS LÄN</t>
        </is>
      </c>
      <c r="G380" t="inlineStr">
        <is>
          <t>GOTLAND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35096-2025</t>
        </is>
      </c>
      <c r="B381" t="inlineStr">
        <is>
          <t>avverkningsanmälan</t>
        </is>
      </c>
      <c r="C381" t="inlineStr">
        <is>
          <t>Föryngringsavverkning</t>
        </is>
      </c>
      <c r="D381" s="1" t="n">
        <v>45852</v>
      </c>
      <c r="E381" s="1" t="n">
        <v>46316</v>
      </c>
      <c r="F381" t="inlineStr">
        <is>
          <t>GOTLANDS LÄN</t>
        </is>
      </c>
      <c r="G381" t="inlineStr">
        <is>
          <t>GOTLAND</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15083-2025</t>
        </is>
      </c>
      <c r="B382" t="inlineStr">
        <is>
          <t>avverkningsanmälan</t>
        </is>
      </c>
      <c r="C382" t="inlineStr">
        <is>
          <t>Avverkning för annat ändamål</t>
        </is>
      </c>
      <c r="D382" s="1" t="n">
        <v>45743</v>
      </c>
      <c r="E382" s="1" t="n">
        <v>46316</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24448-2026</t>
        </is>
      </c>
      <c r="B383" t="inlineStr">
        <is>
          <t>avverkningsanmälan</t>
        </is>
      </c>
      <c r="C383" t="inlineStr">
        <is>
          <t>Föryngringsavverkning</t>
        </is>
      </c>
      <c r="D383" s="1" t="n">
        <v>46170</v>
      </c>
      <c r="E383" s="1" t="n">
        <v>46316</v>
      </c>
      <c r="F383" t="inlineStr">
        <is>
          <t>GOTLANDS LÄN</t>
        </is>
      </c>
      <c r="G383" t="inlineStr">
        <is>
          <t>GOTLAND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37202-2024</t>
        </is>
      </c>
      <c r="B384" t="inlineStr">
        <is>
          <t>avverkningsanmälan</t>
        </is>
      </c>
      <c r="C384" t="inlineStr">
        <is>
          <t>Föryngringsavverkning</t>
        </is>
      </c>
      <c r="D384" s="1" t="n">
        <v>45539</v>
      </c>
      <c r="E384" s="1" t="n">
        <v>46316</v>
      </c>
      <c r="F384" t="inlineStr">
        <is>
          <t>GOTLANDS LÄN</t>
        </is>
      </c>
      <c r="G384" t="inlineStr">
        <is>
          <t>GOTLAND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30815-2023</t>
        </is>
      </c>
      <c r="B385" t="inlineStr">
        <is>
          <t>avverkningsanmälan</t>
        </is>
      </c>
      <c r="C385" t="inlineStr">
        <is>
          <t>Avverkning för annat ändamål</t>
        </is>
      </c>
      <c r="D385" s="1" t="n">
        <v>45112</v>
      </c>
      <c r="E385" s="1" t="n">
        <v>46316</v>
      </c>
      <c r="F385" t="inlineStr">
        <is>
          <t>GOTLANDS LÄN</t>
        </is>
      </c>
      <c r="G385" t="inlineStr">
        <is>
          <t>GOTLAND</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46400-2023</t>
        </is>
      </c>
      <c r="B386" t="inlineStr">
        <is>
          <t>avverkningsanmälan</t>
        </is>
      </c>
      <c r="C386" t="inlineStr">
        <is>
          <t>Föryngringsavverkning</t>
        </is>
      </c>
      <c r="D386" s="1" t="n">
        <v>45197</v>
      </c>
      <c r="E386" s="1" t="n">
        <v>46316</v>
      </c>
      <c r="F386" t="inlineStr">
        <is>
          <t>GOTLANDS LÄN</t>
        </is>
      </c>
      <c r="G386" t="inlineStr">
        <is>
          <t>GOTLAND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10492-2023</t>
        </is>
      </c>
      <c r="B387" t="inlineStr">
        <is>
          <t>avverkningsanmälan</t>
        </is>
      </c>
      <c r="C387" t="inlineStr">
        <is>
          <t>Föryngringsavverkning</t>
        </is>
      </c>
      <c r="D387" s="1" t="n">
        <v>44987</v>
      </c>
      <c r="E387" s="1" t="n">
        <v>46316</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44919-2022</t>
        </is>
      </c>
      <c r="B388" t="inlineStr">
        <is>
          <t>avverkningsanmälan</t>
        </is>
      </c>
      <c r="C388" t="inlineStr">
        <is>
          <t>Föryngringsavverkning</t>
        </is>
      </c>
      <c r="D388" s="1" t="n">
        <v>44841</v>
      </c>
      <c r="E388" s="1" t="n">
        <v>46316</v>
      </c>
      <c r="F388" t="inlineStr">
        <is>
          <t>GOTLANDS LÄN</t>
        </is>
      </c>
      <c r="G388" t="inlineStr">
        <is>
          <t>GOTLAND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16501-2023</t>
        </is>
      </c>
      <c r="B389" t="inlineStr">
        <is>
          <t>avverkningsanmälan</t>
        </is>
      </c>
      <c r="C389" t="inlineStr">
        <is>
          <t>Avverkning för att bevara och utveckla /försöksver</t>
        </is>
      </c>
      <c r="D389" s="1" t="n">
        <v>45029</v>
      </c>
      <c r="E389" s="1" t="n">
        <v>46316</v>
      </c>
      <c r="F389" t="inlineStr">
        <is>
          <t>GOTLANDS LÄN</t>
        </is>
      </c>
      <c r="G389" t="inlineStr">
        <is>
          <t>GOTLAND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27095-2022</t>
        </is>
      </c>
      <c r="B390" t="inlineStr">
        <is>
          <t>avverkningsanmälan</t>
        </is>
      </c>
      <c r="C390" t="inlineStr">
        <is>
          <t>Avverkning för annat ändamål</t>
        </is>
      </c>
      <c r="D390" s="1" t="n">
        <v>44741</v>
      </c>
      <c r="E390" s="1" t="n">
        <v>46316</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1291-2023</t>
        </is>
      </c>
      <c r="B391" t="inlineStr">
        <is>
          <t>avverkningsanmälan</t>
        </is>
      </c>
      <c r="C391" t="inlineStr">
        <is>
          <t>Föryngringsavverkning</t>
        </is>
      </c>
      <c r="D391" s="1" t="n">
        <v>44936</v>
      </c>
      <c r="E391" s="1" t="n">
        <v>46316</v>
      </c>
      <c r="F391" t="inlineStr">
        <is>
          <t>GOTLANDS LÄN</t>
        </is>
      </c>
      <c r="G391" t="inlineStr">
        <is>
          <t>GOTLAND</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5891-2025</t>
        </is>
      </c>
      <c r="B392" t="inlineStr">
        <is>
          <t>avverkningsanmälan</t>
        </is>
      </c>
      <c r="C392" t="inlineStr">
        <is>
          <t>Föryngringsavverkning</t>
        </is>
      </c>
      <c r="D392" s="1" t="n">
        <v>45695</v>
      </c>
      <c r="E392" s="1" t="n">
        <v>46316</v>
      </c>
      <c r="F392" t="inlineStr">
        <is>
          <t>GOTLANDS LÄN</t>
        </is>
      </c>
      <c r="G392" t="inlineStr">
        <is>
          <t>GOTLAND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46316</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27354-2026</t>
        </is>
      </c>
      <c r="B394" t="inlineStr">
        <is>
          <t>avverkningsanmälan</t>
        </is>
      </c>
      <c r="C394" t="inlineStr">
        <is>
          <t>Föryngringsavverkning</t>
        </is>
      </c>
      <c r="D394" s="1" t="n">
        <v>46184</v>
      </c>
      <c r="E394" s="1" t="n">
        <v>46316</v>
      </c>
      <c r="F394" t="inlineStr">
        <is>
          <t>GOTLANDS LÄN</t>
        </is>
      </c>
      <c r="G394" t="inlineStr">
        <is>
          <t>GOTLAND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16361-2024</t>
        </is>
      </c>
      <c r="B395" t="inlineStr">
        <is>
          <t>avverkningsanmälan</t>
        </is>
      </c>
      <c r="C395" t="inlineStr">
        <is>
          <t>Föryngringsavverkning</t>
        </is>
      </c>
      <c r="D395" s="1" t="n">
        <v>45407</v>
      </c>
      <c r="E395" s="1" t="n">
        <v>46316</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46316</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46316</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21247-2022</t>
        </is>
      </c>
      <c r="B398" t="inlineStr">
        <is>
          <t>avverkningsanmälan</t>
        </is>
      </c>
      <c r="C398" t="inlineStr">
        <is>
          <t>Föryngringsavverkning</t>
        </is>
      </c>
      <c r="D398" s="1" t="n">
        <v>44705</v>
      </c>
      <c r="E398" s="1" t="n">
        <v>46316</v>
      </c>
      <c r="F398" t="inlineStr">
        <is>
          <t>GOTLANDS LÄN</t>
        </is>
      </c>
      <c r="G398" t="inlineStr">
        <is>
          <t>GOTLAND</t>
        </is>
      </c>
      <c r="I398" t="n">
        <v>16.2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46316</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63516-2023</t>
        </is>
      </c>
      <c r="B400" t="inlineStr">
        <is>
          <t>avverkningsanmälan</t>
        </is>
      </c>
      <c r="C400" t="inlineStr">
        <is>
          <t>Föryngringsavverkning</t>
        </is>
      </c>
      <c r="D400" s="1" t="n">
        <v>45274</v>
      </c>
      <c r="E400" s="1" t="n">
        <v>46316</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53935-2024</t>
        </is>
      </c>
      <c r="B401" t="inlineStr">
        <is>
          <t>avverkningsanmälan</t>
        </is>
      </c>
      <c r="C401" t="inlineStr">
        <is>
          <t>Föryngringsavverkning</t>
        </is>
      </c>
      <c r="D401" s="1" t="n">
        <v>45615</v>
      </c>
      <c r="E401" s="1" t="n">
        <v>46316</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48734-2022</t>
        </is>
      </c>
      <c r="B402" t="inlineStr">
        <is>
          <t>avverkningsanmälan</t>
        </is>
      </c>
      <c r="C402" t="inlineStr">
        <is>
          <t>Föryngringsavverkning</t>
        </is>
      </c>
      <c r="D402" s="1" t="n">
        <v>44855</v>
      </c>
      <c r="E402" s="1" t="n">
        <v>46316</v>
      </c>
      <c r="F402" t="inlineStr">
        <is>
          <t>GOTLANDS LÄN</t>
        </is>
      </c>
      <c r="G402" t="inlineStr">
        <is>
          <t>GOTLAND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23516-2023</t>
        </is>
      </c>
      <c r="B403" t="inlineStr">
        <is>
          <t>avverkningsanmälan</t>
        </is>
      </c>
      <c r="C403" t="inlineStr">
        <is>
          <t>Föryngringsavverkning</t>
        </is>
      </c>
      <c r="D403" s="1" t="n">
        <v>45076</v>
      </c>
      <c r="E403" s="1" t="n">
        <v>46316</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43231-2023</t>
        </is>
      </c>
      <c r="B404" t="inlineStr">
        <is>
          <t>avverkningsanmälan</t>
        </is>
      </c>
      <c r="C404" t="inlineStr">
        <is>
          <t>Föryngringsavverkning</t>
        </is>
      </c>
      <c r="D404" s="1" t="n">
        <v>45183</v>
      </c>
      <c r="E404" s="1" t="n">
        <v>46316</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64555-2023</t>
        </is>
      </c>
      <c r="B405" t="inlineStr">
        <is>
          <t>avverkningsanmälan</t>
        </is>
      </c>
      <c r="C405" t="inlineStr">
        <is>
          <t>Avverkning för annat ändamål</t>
        </is>
      </c>
      <c r="D405" s="1" t="n">
        <v>45281</v>
      </c>
      <c r="E405" s="1" t="n">
        <v>46316</v>
      </c>
      <c r="F405" t="inlineStr">
        <is>
          <t>GOTLANDS LÄN</t>
        </is>
      </c>
      <c r="G405" t="inlineStr">
        <is>
          <t>GOTLAND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457-2023</t>
        </is>
      </c>
      <c r="B406" t="inlineStr">
        <is>
          <t>avverkningsanmälan</t>
        </is>
      </c>
      <c r="C406" t="inlineStr">
        <is>
          <t>Föryngringsavverkning</t>
        </is>
      </c>
      <c r="D406" s="1" t="n">
        <v>44929</v>
      </c>
      <c r="E406" s="1" t="n">
        <v>46316</v>
      </c>
      <c r="F406" t="inlineStr">
        <is>
          <t>GOTLANDS LÄN</t>
        </is>
      </c>
      <c r="G406" t="inlineStr">
        <is>
          <t>GOTLAND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459-2023</t>
        </is>
      </c>
      <c r="B407" t="inlineStr">
        <is>
          <t>avverkningsanmälan</t>
        </is>
      </c>
      <c r="C407" t="inlineStr">
        <is>
          <t>Föryngringsavverkning</t>
        </is>
      </c>
      <c r="D407" s="1" t="n">
        <v>44929</v>
      </c>
      <c r="E407" s="1" t="n">
        <v>46316</v>
      </c>
      <c r="F407" t="inlineStr">
        <is>
          <t>GOTLANDS LÄN</t>
        </is>
      </c>
      <c r="G407" t="inlineStr">
        <is>
          <t>GOTLAND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876-2024</t>
        </is>
      </c>
      <c r="B408" t="inlineStr">
        <is>
          <t>avverkningsanmälan</t>
        </is>
      </c>
      <c r="C408" t="inlineStr">
        <is>
          <t>Avverkning för annat ändamål</t>
        </is>
      </c>
      <c r="D408" s="1" t="n">
        <v>45301</v>
      </c>
      <c r="E408" s="1" t="n">
        <v>46316</v>
      </c>
      <c r="F408" t="inlineStr">
        <is>
          <t>GOTLANDS LÄN</t>
        </is>
      </c>
      <c r="G408" t="inlineStr">
        <is>
          <t>GOTLAND</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5923-2023</t>
        </is>
      </c>
      <c r="B409" t="inlineStr">
        <is>
          <t>avverkningsanmälan</t>
        </is>
      </c>
      <c r="C409" t="inlineStr">
        <is>
          <t>Föryngringsavverkning</t>
        </is>
      </c>
      <c r="D409" s="1" t="n">
        <v>44963</v>
      </c>
      <c r="E409" s="1" t="n">
        <v>46316</v>
      </c>
      <c r="F409" t="inlineStr">
        <is>
          <t>GOTLANDS LÄN</t>
        </is>
      </c>
      <c r="G409" t="inlineStr">
        <is>
          <t>GOTLAND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50482-2024</t>
        </is>
      </c>
      <c r="B410" t="inlineStr">
        <is>
          <t>avverkningsanmälan</t>
        </is>
      </c>
      <c r="C410" t="inlineStr">
        <is>
          <t>Föryngringsavverkning</t>
        </is>
      </c>
      <c r="D410" s="1" t="n">
        <v>45601</v>
      </c>
      <c r="E410" s="1" t="n">
        <v>46316</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5943-2024</t>
        </is>
      </c>
      <c r="B411" t="inlineStr">
        <is>
          <t>avverkningsanmälan</t>
        </is>
      </c>
      <c r="C411" t="inlineStr">
        <is>
          <t>Avverkning för annat ändamål</t>
        </is>
      </c>
      <c r="D411" s="1" t="n">
        <v>45336</v>
      </c>
      <c r="E411" s="1" t="n">
        <v>46316</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38234-2023</t>
        </is>
      </c>
      <c r="B412" t="inlineStr">
        <is>
          <t>avverkningsanmälan</t>
        </is>
      </c>
      <c r="C412" t="inlineStr">
        <is>
          <t>Föryngringsavverkning</t>
        </is>
      </c>
      <c r="D412" s="1" t="n">
        <v>45161</v>
      </c>
      <c r="E412" s="1" t="n">
        <v>46316</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31287-2026</t>
        </is>
      </c>
      <c r="B413" t="inlineStr">
        <is>
          <t>avverkningsanmälan</t>
        </is>
      </c>
      <c r="C413" t="inlineStr">
        <is>
          <t>Föryngringsavverkning</t>
        </is>
      </c>
      <c r="D413" s="1" t="n">
        <v>46218</v>
      </c>
      <c r="E413" s="1" t="n">
        <v>46316</v>
      </c>
      <c r="F413" t="inlineStr">
        <is>
          <t>GOTLANDS LÄN</t>
        </is>
      </c>
      <c r="G413" t="inlineStr">
        <is>
          <t>GOTLAND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17724-2024</t>
        </is>
      </c>
      <c r="B414" t="inlineStr">
        <is>
          <t>avverkningsanmälan</t>
        </is>
      </c>
      <c r="C414" t="inlineStr">
        <is>
          <t>Föryngringsavverkning</t>
        </is>
      </c>
      <c r="D414" s="1" t="n">
        <v>45418</v>
      </c>
      <c r="E414" s="1" t="n">
        <v>46316</v>
      </c>
      <c r="F414" t="inlineStr">
        <is>
          <t>GOTLANDS LÄN</t>
        </is>
      </c>
      <c r="G414" t="inlineStr">
        <is>
          <t>GOTLAND</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46316</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23978-2023</t>
        </is>
      </c>
      <c r="B416" t="inlineStr">
        <is>
          <t>avverkningsanmälan</t>
        </is>
      </c>
      <c r="C416" t="inlineStr">
        <is>
          <t>Föryngringsavverkning</t>
        </is>
      </c>
      <c r="D416" s="1" t="n">
        <v>45078</v>
      </c>
      <c r="E416" s="1" t="n">
        <v>46316</v>
      </c>
      <c r="F416" t="inlineStr">
        <is>
          <t>GOTLANDS LÄN</t>
        </is>
      </c>
      <c r="G416" t="inlineStr">
        <is>
          <t>GOTLAND</t>
        </is>
      </c>
      <c r="H416" t="inlineStr">
        <is>
          <t>Naturvårdsverket</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12846-2025</t>
        </is>
      </c>
      <c r="B417" t="inlineStr">
        <is>
          <t>avverkningsanmälan</t>
        </is>
      </c>
      <c r="C417" t="inlineStr">
        <is>
          <t>Föryngringsavverkning</t>
        </is>
      </c>
      <c r="D417" s="1" t="n">
        <v>45733</v>
      </c>
      <c r="E417" s="1" t="n">
        <v>46316</v>
      </c>
      <c r="F417" t="inlineStr">
        <is>
          <t>GOTLANDS LÄN</t>
        </is>
      </c>
      <c r="G417" t="inlineStr">
        <is>
          <t>GOTLAND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46316</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32239-2026</t>
        </is>
      </c>
      <c r="B419" t="inlineStr">
        <is>
          <t>avverkningsanmälan</t>
        </is>
      </c>
      <c r="C419" t="inlineStr">
        <is>
          <t>Föryngringsavverkning</t>
        </is>
      </c>
      <c r="D419" s="1" t="n">
        <v>46237</v>
      </c>
      <c r="E419" s="1" t="n">
        <v>46316</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32626-2026</t>
        </is>
      </c>
      <c r="B420" t="inlineStr">
        <is>
          <t>avverkningsanmälan</t>
        </is>
      </c>
      <c r="C420" t="inlineStr">
        <is>
          <t>Föryngringsavverkning</t>
        </is>
      </c>
      <c r="D420" s="1" t="n">
        <v>46240</v>
      </c>
      <c r="E420" s="1" t="n">
        <v>46316</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32553-2026</t>
        </is>
      </c>
      <c r="B421" t="inlineStr">
        <is>
          <t>avverkningsanmälan</t>
        </is>
      </c>
      <c r="C421" t="inlineStr">
        <is>
          <t>Föryngringsavverkning</t>
        </is>
      </c>
      <c r="D421" s="1" t="n">
        <v>46239</v>
      </c>
      <c r="E421" s="1" t="n">
        <v>46316</v>
      </c>
      <c r="F421" t="inlineStr">
        <is>
          <t>GOTLANDS LÄN</t>
        </is>
      </c>
      <c r="G421" t="inlineStr">
        <is>
          <t>GOTLAND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10653-2023</t>
        </is>
      </c>
      <c r="B422" t="inlineStr">
        <is>
          <t>avverkningsanmälan</t>
        </is>
      </c>
      <c r="C422" t="inlineStr">
        <is>
          <t>Föryngringsavverkning</t>
        </is>
      </c>
      <c r="D422" s="1" t="n">
        <v>44988</v>
      </c>
      <c r="E422" s="1" t="n">
        <v>46316</v>
      </c>
      <c r="F422" t="inlineStr">
        <is>
          <t>GOTLANDS LÄN</t>
        </is>
      </c>
      <c r="G422" t="inlineStr">
        <is>
          <t>GOTLAND</t>
        </is>
      </c>
      <c r="H422" t="inlineStr">
        <is>
          <t>Kyrkan</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38311-2026</t>
        </is>
      </c>
      <c r="B423" t="inlineStr">
        <is>
          <t>avverkningsanmälan</t>
        </is>
      </c>
      <c r="C423" t="inlineStr">
        <is>
          <t>Föryngringsavverkning</t>
        </is>
      </c>
      <c r="D423" s="1" t="n">
        <v>46282</v>
      </c>
      <c r="E423" s="1" t="n">
        <v>46316</v>
      </c>
      <c r="F423" t="inlineStr">
        <is>
          <t>GOTLANDS LÄN</t>
        </is>
      </c>
      <c r="G423" t="inlineStr">
        <is>
          <t>GOTLAND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35512-2023</t>
        </is>
      </c>
      <c r="B424" t="inlineStr">
        <is>
          <t>avverkningsanmälan</t>
        </is>
      </c>
      <c r="C424" t="inlineStr">
        <is>
          <t>Föryngringsavverkning</t>
        </is>
      </c>
      <c r="D424" s="1" t="n">
        <v>45147</v>
      </c>
      <c r="E424" s="1" t="n">
        <v>46316</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11874-2024</t>
        </is>
      </c>
      <c r="B425" t="inlineStr">
        <is>
          <t>avverkningsanmälan</t>
        </is>
      </c>
      <c r="C425" t="inlineStr">
        <is>
          <t>Föryngringsavverkning</t>
        </is>
      </c>
      <c r="D425" s="1" t="n">
        <v>45376</v>
      </c>
      <c r="E425" s="1" t="n">
        <v>46316</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38928-2026</t>
        </is>
      </c>
      <c r="B426" t="inlineStr">
        <is>
          <t>avverkningsanmälan</t>
        </is>
      </c>
      <c r="C426" t="inlineStr">
        <is>
          <t>Föryngringsavverkning</t>
        </is>
      </c>
      <c r="D426" s="1" t="n">
        <v>46286</v>
      </c>
      <c r="E426" s="1" t="n">
        <v>46316</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38932-2026</t>
        </is>
      </c>
      <c r="B427" t="inlineStr">
        <is>
          <t>avverkningsanmälan</t>
        </is>
      </c>
      <c r="C427" t="inlineStr">
        <is>
          <t>Föryngringsavverkning</t>
        </is>
      </c>
      <c r="D427" s="1" t="n">
        <v>46286</v>
      </c>
      <c r="E427" s="1" t="n">
        <v>46316</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23188-2025</t>
        </is>
      </c>
      <c r="B428" t="inlineStr">
        <is>
          <t>avverkningsanmälan</t>
        </is>
      </c>
      <c r="C428" t="inlineStr">
        <is>
          <t>Avverkning för annat ändamål</t>
        </is>
      </c>
      <c r="D428" s="1" t="n">
        <v>45791</v>
      </c>
      <c r="E428" s="1" t="n">
        <v>46316</v>
      </c>
      <c r="F428" t="inlineStr">
        <is>
          <t>GOTLANDS LÄN</t>
        </is>
      </c>
      <c r="G428" t="inlineStr">
        <is>
          <t>GOTLAND</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64831-2023</t>
        </is>
      </c>
      <c r="B429" t="inlineStr">
        <is>
          <t>avverkningsanmälan</t>
        </is>
      </c>
      <c r="C429" t="inlineStr">
        <is>
          <t>Föryngringsavverkning</t>
        </is>
      </c>
      <c r="D429" s="1" t="n">
        <v>45282</v>
      </c>
      <c r="E429" s="1" t="n">
        <v>46316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27164-2026</t>
        </is>
      </c>
      <c r="B430" t="inlineStr">
        <is>
          <t>avverkningsanmälan</t>
        </is>
      </c>
      <c r="C430" t="inlineStr">
        <is>
          <t>Föryngringsavverkning</t>
        </is>
      </c>
      <c r="D430" s="1" t="n">
        <v>46188</v>
      </c>
      <c r="E430" s="1" t="n">
        <v>46316</v>
      </c>
      <c r="F430" t="inlineStr">
        <is>
          <t>GOTLANDS LÄN</t>
        </is>
      </c>
      <c r="G430" t="inlineStr">
        <is>
          <t>GOTLAND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7638-2025</t>
        </is>
      </c>
      <c r="B431" t="inlineStr">
        <is>
          <t>avverkningsanmälan</t>
        </is>
      </c>
      <c r="C431" t="inlineStr">
        <is>
          <t>Föryngringsavverkning</t>
        </is>
      </c>
      <c r="D431" s="1" t="n">
        <v>45705</v>
      </c>
      <c r="E431" s="1" t="n">
        <v>46316</v>
      </c>
      <c r="F431" t="inlineStr">
        <is>
          <t>GOTLANDS LÄN</t>
        </is>
      </c>
      <c r="G431" t="inlineStr">
        <is>
          <t>GOTLAND</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22275-2026</t>
        </is>
      </c>
      <c r="B432" t="inlineStr">
        <is>
          <t>avverkningsanmälan</t>
        </is>
      </c>
      <c r="C432" t="inlineStr">
        <is>
          <t>Föryngringsavverkning</t>
        </is>
      </c>
      <c r="D432" s="1" t="n">
        <v>46154</v>
      </c>
      <c r="E432" s="1" t="n">
        <v>46316</v>
      </c>
      <c r="F432" t="inlineStr">
        <is>
          <t>GOTLANDS LÄN</t>
        </is>
      </c>
      <c r="G432" t="inlineStr">
        <is>
          <t>GOTLAND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27341-2026</t>
        </is>
      </c>
      <c r="B433" t="inlineStr">
        <is>
          <t>avverkningsanmälan</t>
        </is>
      </c>
      <c r="C433" t="inlineStr">
        <is>
          <t>Föryngringsavverkning</t>
        </is>
      </c>
      <c r="D433" s="1" t="n">
        <v>46188</v>
      </c>
      <c r="E433" s="1" t="n">
        <v>46316</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4377-2023</t>
        </is>
      </c>
      <c r="B434" t="inlineStr">
        <is>
          <t>avverkningsanmälan</t>
        </is>
      </c>
      <c r="C434" t="inlineStr">
        <is>
          <t>Föryngringsavverkning</t>
        </is>
      </c>
      <c r="D434" s="1" t="n">
        <v>44955</v>
      </c>
      <c r="E434" s="1" t="n">
        <v>46316</v>
      </c>
      <c r="F434" t="inlineStr">
        <is>
          <t>GOTLANDS LÄN</t>
        </is>
      </c>
      <c r="G434" t="inlineStr">
        <is>
          <t>GOTLAND</t>
        </is>
      </c>
      <c r="H434" t="inlineStr">
        <is>
          <t>Kyrkan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22887-2026</t>
        </is>
      </c>
      <c r="B435" t="inlineStr">
        <is>
          <t>avverkningsanmälan</t>
        </is>
      </c>
      <c r="C435" t="inlineStr">
        <is>
          <t>Avverkning för att bevara och utveckla /försöksver</t>
        </is>
      </c>
      <c r="D435" s="1" t="n">
        <v>46160</v>
      </c>
      <c r="E435" s="1" t="n">
        <v>46316</v>
      </c>
      <c r="F435" t="inlineStr">
        <is>
          <t>GOTLANDS LÄN</t>
        </is>
      </c>
      <c r="G435" t="inlineStr">
        <is>
          <t>GOTLAND</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23504-2026</t>
        </is>
      </c>
      <c r="B436" t="inlineStr">
        <is>
          <t>avverkningsanmälan</t>
        </is>
      </c>
      <c r="C436" t="inlineStr">
        <is>
          <t>Föryngringsavverkning</t>
        </is>
      </c>
      <c r="D436" s="1" t="n">
        <v>46163</v>
      </c>
      <c r="E436" s="1" t="n">
        <v>46316</v>
      </c>
      <c r="F436" t="inlineStr">
        <is>
          <t>GOTLANDS LÄN</t>
        </is>
      </c>
      <c r="G436" t="inlineStr">
        <is>
          <t>GOTLAND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39967-2026</t>
        </is>
      </c>
      <c r="B437" t="inlineStr">
        <is>
          <t>avverkningsanmälan</t>
        </is>
      </c>
      <c r="C437" t="inlineStr">
        <is>
          <t>Föryngringsavverkning</t>
        </is>
      </c>
      <c r="D437" s="1" t="n">
        <v>46292</v>
      </c>
      <c r="E437" s="1" t="n">
        <v>46316</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10284-2026</t>
        </is>
      </c>
      <c r="B438" t="inlineStr">
        <is>
          <t>avverkningsanmälan</t>
        </is>
      </c>
      <c r="C438" t="inlineStr">
        <is>
          <t>Avverkning för annat ändamål</t>
        </is>
      </c>
      <c r="D438" s="1" t="n">
        <v>46076</v>
      </c>
      <c r="E438" s="1" t="n">
        <v>46316</v>
      </c>
      <c r="F438" t="inlineStr">
        <is>
          <t>GOTLANDS LÄN</t>
        </is>
      </c>
      <c r="G438" t="inlineStr">
        <is>
          <t>GOTLAND</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43901-2023</t>
        </is>
      </c>
      <c r="B439" t="inlineStr">
        <is>
          <t>avverkningsanmälan</t>
        </is>
      </c>
      <c r="C439" t="inlineStr">
        <is>
          <t>Föryngringsavverkning</t>
        </is>
      </c>
      <c r="D439" s="1" t="n">
        <v>45187</v>
      </c>
      <c r="E439" s="1" t="n">
        <v>46316</v>
      </c>
      <c r="F439" t="inlineStr">
        <is>
          <t>GOTLANDS LÄN</t>
        </is>
      </c>
      <c r="G439" t="inlineStr">
        <is>
          <t>GOTLAND</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17532-2024</t>
        </is>
      </c>
      <c r="B440" t="inlineStr">
        <is>
          <t>avverkningsanmälan</t>
        </is>
      </c>
      <c r="C440" t="inlineStr">
        <is>
          <t>Föryngringsavverkning</t>
        </is>
      </c>
      <c r="D440" s="1" t="n">
        <v>45415</v>
      </c>
      <c r="E440" s="1" t="n">
        <v>46316</v>
      </c>
      <c r="F440" t="inlineStr">
        <is>
          <t>GOTLANDS LÄN</t>
        </is>
      </c>
      <c r="G440" t="inlineStr">
        <is>
          <t>GOTLAND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40372-2025</t>
        </is>
      </c>
      <c r="B441" t="inlineStr">
        <is>
          <t>avverkningsanmälan</t>
        </is>
      </c>
      <c r="C441" t="inlineStr">
        <is>
          <t>Föryngringsavverkning</t>
        </is>
      </c>
      <c r="D441" s="1" t="n">
        <v>45895</v>
      </c>
      <c r="E441" s="1" t="n">
        <v>46316</v>
      </c>
      <c r="F441" t="inlineStr">
        <is>
          <t>GOTLANDS LÄN</t>
        </is>
      </c>
      <c r="G441" t="inlineStr">
        <is>
          <t>GOTLAND</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46316</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40001-2026</t>
        </is>
      </c>
      <c r="B443" t="inlineStr">
        <is>
          <t>avverkningsanmälan</t>
        </is>
      </c>
      <c r="C443" t="inlineStr">
        <is>
          <t>Föryngringsavverkning</t>
        </is>
      </c>
      <c r="D443" s="1" t="n">
        <v>46293</v>
      </c>
      <c r="E443" s="1" t="n">
        <v>46316</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58132-2023</t>
        </is>
      </c>
      <c r="B444" t="inlineStr">
        <is>
          <t>avverkningsanmälan</t>
        </is>
      </c>
      <c r="C444" t="inlineStr">
        <is>
          <t>Föryngringsavverkning</t>
        </is>
      </c>
      <c r="D444" s="1" t="n">
        <v>45250</v>
      </c>
      <c r="E444" s="1" t="n">
        <v>46316</v>
      </c>
      <c r="F444" t="inlineStr">
        <is>
          <t>GOTLANDS LÄN</t>
        </is>
      </c>
      <c r="G444" t="inlineStr">
        <is>
          <t>GOTLAND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22899-2023</t>
        </is>
      </c>
      <c r="B445" t="inlineStr">
        <is>
          <t>avverkningsanmälan</t>
        </is>
      </c>
      <c r="C445" t="inlineStr">
        <is>
          <t>Föryngringsavverkning</t>
        </is>
      </c>
      <c r="D445" s="1" t="n">
        <v>45072</v>
      </c>
      <c r="E445" s="1" t="n">
        <v>46316</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28285-2024</t>
        </is>
      </c>
      <c r="B446" t="inlineStr">
        <is>
          <t>avverkningsanmälan</t>
        </is>
      </c>
      <c r="C446" t="inlineStr">
        <is>
          <t>Avverkning för annat ändamål</t>
        </is>
      </c>
      <c r="D446" s="1" t="n">
        <v>45477</v>
      </c>
      <c r="E446" s="1" t="n">
        <v>46316</v>
      </c>
      <c r="F446" t="inlineStr">
        <is>
          <t>GOTLANDS LÄN</t>
        </is>
      </c>
      <c r="G446" t="inlineStr">
        <is>
          <t>GOTLAND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51963-2024</t>
        </is>
      </c>
      <c r="B447" t="inlineStr">
        <is>
          <t>avverkningsanmälan</t>
        </is>
      </c>
      <c r="C447" t="inlineStr">
        <is>
          <t>Föryngringsavverkning</t>
        </is>
      </c>
      <c r="D447" s="1" t="n">
        <v>45607</v>
      </c>
      <c r="E447" s="1" t="n">
        <v>46316</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1734-2025</t>
        </is>
      </c>
      <c r="B448" t="inlineStr">
        <is>
          <t>avverkningsanmälan</t>
        </is>
      </c>
      <c r="C448" t="inlineStr">
        <is>
          <t>Föryngringsavverkning</t>
        </is>
      </c>
      <c r="D448" s="1" t="n">
        <v>45671</v>
      </c>
      <c r="E448" s="1" t="n">
        <v>46316</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30365-2024</t>
        </is>
      </c>
      <c r="B449" t="inlineStr">
        <is>
          <t>avverkningsanmälan</t>
        </is>
      </c>
      <c r="C449" t="inlineStr">
        <is>
          <t>Föryngringsavverkning</t>
        </is>
      </c>
      <c r="D449" s="1" t="n">
        <v>45491</v>
      </c>
      <c r="E449" s="1" t="n">
        <v>46316</v>
      </c>
      <c r="F449" t="inlineStr">
        <is>
          <t>GOTLANDS LÄN</t>
        </is>
      </c>
      <c r="G449" t="inlineStr">
        <is>
          <t>GOTLAND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2674-2023</t>
        </is>
      </c>
      <c r="B450" t="inlineStr">
        <is>
          <t>avverkningsanmälan</t>
        </is>
      </c>
      <c r="C450" t="inlineStr">
        <is>
          <t>Avverkning för annat ändamål</t>
        </is>
      </c>
      <c r="D450" s="1" t="n">
        <v>44944</v>
      </c>
      <c r="E450" s="1" t="n">
        <v>46316</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10655-2023</t>
        </is>
      </c>
      <c r="B451" t="inlineStr">
        <is>
          <t>avverkningsanmälan</t>
        </is>
      </c>
      <c r="C451" t="inlineStr">
        <is>
          <t>Föryngringsavverkning</t>
        </is>
      </c>
      <c r="D451" s="1" t="n">
        <v>44988</v>
      </c>
      <c r="E451" s="1" t="n">
        <v>46316</v>
      </c>
      <c r="F451" t="inlineStr">
        <is>
          <t>GOTLANDS LÄN</t>
        </is>
      </c>
      <c r="G451" t="inlineStr">
        <is>
          <t>GOTLAND</t>
        </is>
      </c>
      <c r="H451" t="inlineStr">
        <is>
          <t>Kyrkan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8484-2025</t>
        </is>
      </c>
      <c r="B452" t="inlineStr">
        <is>
          <t>avverkningsanmälan</t>
        </is>
      </c>
      <c r="C452" t="inlineStr">
        <is>
          <t>Avverkning för annat ändamål</t>
        </is>
      </c>
      <c r="D452" s="1" t="n">
        <v>45709</v>
      </c>
      <c r="E452" s="1" t="n">
        <v>46316</v>
      </c>
      <c r="F452" t="inlineStr">
        <is>
          <t>GOTLANDS LÄN</t>
        </is>
      </c>
      <c r="G452" t="inlineStr">
        <is>
          <t>GOTLAND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37990-2026</t>
        </is>
      </c>
      <c r="B453" t="inlineStr">
        <is>
          <t>avverkningsanmälan</t>
        </is>
      </c>
      <c r="C453" t="inlineStr">
        <is>
          <t>Avverkning för annat ändamål</t>
        </is>
      </c>
      <c r="D453" s="1" t="n">
        <v>46280</v>
      </c>
      <c r="E453" s="1" t="n">
        <v>46316</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28839-2026</t>
        </is>
      </c>
      <c r="B454" t="inlineStr">
        <is>
          <t>avverkningsanmälan</t>
        </is>
      </c>
      <c r="C454" t="inlineStr">
        <is>
          <t>Föryngringsavverkning</t>
        </is>
      </c>
      <c r="D454" s="1" t="n">
        <v>46198</v>
      </c>
      <c r="E454" s="1" t="n">
        <v>46316</v>
      </c>
      <c r="F454" t="inlineStr">
        <is>
          <t>GOTLANDS LÄN</t>
        </is>
      </c>
      <c r="G454" t="inlineStr">
        <is>
          <t>GOTLAND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41034-2026</t>
        </is>
      </c>
      <c r="B455" t="inlineStr">
        <is>
          <t>avverkningsanmälan</t>
        </is>
      </c>
      <c r="C455" t="inlineStr">
        <is>
          <t>Föryngringsavverkning</t>
        </is>
      </c>
      <c r="D455" s="1" t="n">
        <v>46298</v>
      </c>
      <c r="E455" s="1" t="n">
        <v>46316</v>
      </c>
      <c r="F455" t="inlineStr">
        <is>
          <t>GOTLANDS LÄN</t>
        </is>
      </c>
      <c r="G455" t="inlineStr">
        <is>
          <t>GOTLAND</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41520-2026</t>
        </is>
      </c>
      <c r="B456" t="inlineStr">
        <is>
          <t>avverkningsanmälan</t>
        </is>
      </c>
      <c r="C456" t="inlineStr">
        <is>
          <t>Föryngringsavverkning</t>
        </is>
      </c>
      <c r="D456" s="1" t="n">
        <v>46301</v>
      </c>
      <c r="E456" s="1" t="n">
        <v>46316</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28012-2026</t>
        </is>
      </c>
      <c r="B457" t="inlineStr">
        <is>
          <t>avverkningsanmälan</t>
        </is>
      </c>
      <c r="C457" t="inlineStr">
        <is>
          <t>Föryngringsavverkning</t>
        </is>
      </c>
      <c r="D457" s="1" t="n">
        <v>46195</v>
      </c>
      <c r="E457" s="1" t="n">
        <v>46316</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50744-2024</t>
        </is>
      </c>
      <c r="B458" t="inlineStr">
        <is>
          <t>avverkningsanmälan</t>
        </is>
      </c>
      <c r="C458" t="inlineStr">
        <is>
          <t>Föryngringsavverkning</t>
        </is>
      </c>
      <c r="D458" s="1" t="n">
        <v>45602</v>
      </c>
      <c r="E458" s="1" t="n">
        <v>46316</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45244-2024</t>
        </is>
      </c>
      <c r="B459" t="inlineStr">
        <is>
          <t>avverkningsanmälan</t>
        </is>
      </c>
      <c r="C459" t="inlineStr">
        <is>
          <t>Avverkning för annat ändamål</t>
        </is>
      </c>
      <c r="D459" s="1" t="n">
        <v>45576</v>
      </c>
      <c r="E459" s="1" t="n">
        <v>46316</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38787-2023</t>
        </is>
      </c>
      <c r="B460" t="inlineStr">
        <is>
          <t>avverkningsanmälan</t>
        </is>
      </c>
      <c r="C460" t="inlineStr">
        <is>
          <t>Föryngringsavverkning</t>
        </is>
      </c>
      <c r="D460" s="1" t="n">
        <v>45163</v>
      </c>
      <c r="E460" s="1" t="n">
        <v>46316</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41129-2026</t>
        </is>
      </c>
      <c r="B461" t="inlineStr">
        <is>
          <t>avverkningsanmälan</t>
        </is>
      </c>
      <c r="C461" t="inlineStr">
        <is>
          <t>Föryngringsavverkning</t>
        </is>
      </c>
      <c r="D461" s="1" t="n">
        <v>46300</v>
      </c>
      <c r="E461" s="1" t="n">
        <v>46316</v>
      </c>
      <c r="F461" t="inlineStr">
        <is>
          <t>GOTLANDS LÄN</t>
        </is>
      </c>
      <c r="G461" t="inlineStr">
        <is>
          <t>GOTLAND</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41436-2026</t>
        </is>
      </c>
      <c r="B462" t="inlineStr">
        <is>
          <t>avverkningsanmälan</t>
        </is>
      </c>
      <c r="C462" t="inlineStr">
        <is>
          <t>Föryngringsavverkning</t>
        </is>
      </c>
      <c r="D462" s="1" t="n">
        <v>46301</v>
      </c>
      <c r="E462" s="1" t="n">
        <v>46316</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2714-2023</t>
        </is>
      </c>
      <c r="B463" t="inlineStr">
        <is>
          <t>avverkningsanmälan</t>
        </is>
      </c>
      <c r="C463" t="inlineStr">
        <is>
          <t>Föryngringsavverkning</t>
        </is>
      </c>
      <c r="D463" s="1" t="n">
        <v>44944</v>
      </c>
      <c r="E463" s="1" t="n">
        <v>46316</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46316</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46316</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46316</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46316</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46316</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45084-2024</t>
        </is>
      </c>
      <c r="B469" t="inlineStr">
        <is>
          <t>avverkningsanmälan</t>
        </is>
      </c>
      <c r="C469" t="inlineStr">
        <is>
          <t>Föryngringsavverkning</t>
        </is>
      </c>
      <c r="D469" s="1" t="n">
        <v>45575</v>
      </c>
      <c r="E469" s="1" t="n">
        <v>46316</v>
      </c>
      <c r="F469" t="inlineStr">
        <is>
          <t>GOTLANDS LÄN</t>
        </is>
      </c>
      <c r="G469" t="inlineStr">
        <is>
          <t>GOTLAND</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20356-2022</t>
        </is>
      </c>
      <c r="B470" t="inlineStr">
        <is>
          <t>avverkningsanmälan</t>
        </is>
      </c>
      <c r="C470" t="inlineStr">
        <is>
          <t>Avverkning för annat ändamål</t>
        </is>
      </c>
      <c r="D470" s="1" t="n">
        <v>44699</v>
      </c>
      <c r="E470" s="1" t="n">
        <v>46316</v>
      </c>
      <c r="F470" t="inlineStr">
        <is>
          <t>GOTLANDS LÄN</t>
        </is>
      </c>
      <c r="G470" t="inlineStr">
        <is>
          <t>GOTLAND</t>
        </is>
      </c>
      <c r="H470" t="inlineStr">
        <is>
          <t>Övriga Aktiebolag</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5386-2023</t>
        </is>
      </c>
      <c r="B471" t="inlineStr">
        <is>
          <t>avverkningsanmälan</t>
        </is>
      </c>
      <c r="C471" t="inlineStr">
        <is>
          <t>Föryngringsavverkning</t>
        </is>
      </c>
      <c r="D471" s="1" t="n">
        <v>44959</v>
      </c>
      <c r="E471" s="1" t="n">
        <v>46316</v>
      </c>
      <c r="F471" t="inlineStr">
        <is>
          <t>GOTLANDS LÄN</t>
        </is>
      </c>
      <c r="G471" t="inlineStr">
        <is>
          <t>GOTLAND</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5884-2025</t>
        </is>
      </c>
      <c r="B472" t="inlineStr">
        <is>
          <t>avverkningsanmälan</t>
        </is>
      </c>
      <c r="C472" t="inlineStr">
        <is>
          <t>Föryngringsavverkning</t>
        </is>
      </c>
      <c r="D472" s="1" t="n">
        <v>45695</v>
      </c>
      <c r="E472" s="1" t="n">
        <v>46316</v>
      </c>
      <c r="F472" t="inlineStr">
        <is>
          <t>GOTLANDS LÄN</t>
        </is>
      </c>
      <c r="G472" t="inlineStr">
        <is>
          <t>GOTLAND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5897-2025</t>
        </is>
      </c>
      <c r="B473" t="inlineStr">
        <is>
          <t>avverkningsanmälan</t>
        </is>
      </c>
      <c r="C473" t="inlineStr">
        <is>
          <t>Föryngringsavverkning</t>
        </is>
      </c>
      <c r="D473" s="1" t="n">
        <v>45695</v>
      </c>
      <c r="E473" s="1" t="n">
        <v>46316</v>
      </c>
      <c r="F473" t="inlineStr">
        <is>
          <t>GOTLANDS LÄN</t>
        </is>
      </c>
      <c r="G473" t="inlineStr">
        <is>
          <t>GOTLAND</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60086-2022</t>
        </is>
      </c>
      <c r="B474" t="inlineStr">
        <is>
          <t>avverkningsanmälan</t>
        </is>
      </c>
      <c r="C474" t="inlineStr">
        <is>
          <t>Föryngringsavverkning</t>
        </is>
      </c>
      <c r="D474" s="1" t="n">
        <v>44909</v>
      </c>
      <c r="E474" s="1" t="n">
        <v>46316</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22704-2023</t>
        </is>
      </c>
      <c r="B475" t="inlineStr">
        <is>
          <t>avverkningsanmälan</t>
        </is>
      </c>
      <c r="C475" t="inlineStr">
        <is>
          <t>Föryngringsavverkning</t>
        </is>
      </c>
      <c r="D475" s="1" t="n">
        <v>45071</v>
      </c>
      <c r="E475" s="1" t="n">
        <v>46316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25866-2022</t>
        </is>
      </c>
      <c r="B476" t="inlineStr">
        <is>
          <t>avverkningsanmälan</t>
        </is>
      </c>
      <c r="C476" t="inlineStr">
        <is>
          <t>Föryngringsavverkning</t>
        </is>
      </c>
      <c r="D476" s="1" t="n">
        <v>44733</v>
      </c>
      <c r="E476" s="1" t="n">
        <v>46316</v>
      </c>
      <c r="F476" t="inlineStr">
        <is>
          <t>GOTLANDS LÄN</t>
        </is>
      </c>
      <c r="G476" t="inlineStr">
        <is>
          <t>GOTLAND</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42801-2026</t>
        </is>
      </c>
      <c r="B477" t="inlineStr">
        <is>
          <t>avverkningsanmälan</t>
        </is>
      </c>
      <c r="C477" t="inlineStr">
        <is>
          <t>Avverkning för annat ändamål</t>
        </is>
      </c>
      <c r="D477" s="1" t="n">
        <v>46309</v>
      </c>
      <c r="E477" s="1" t="n">
        <v>46316</v>
      </c>
      <c r="F477" t="inlineStr">
        <is>
          <t>GOTLANDS LÄN</t>
        </is>
      </c>
      <c r="G477" t="inlineStr">
        <is>
          <t>GOTLAND</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9887-2025</t>
        </is>
      </c>
      <c r="B478" t="inlineStr">
        <is>
          <t>avverkningsanmälan</t>
        </is>
      </c>
      <c r="C478" t="inlineStr">
        <is>
          <t>Föryngringsavverkning</t>
        </is>
      </c>
      <c r="D478" s="1" t="n">
        <v>45716</v>
      </c>
      <c r="E478" s="1" t="n">
        <v>46316</v>
      </c>
      <c r="F478" t="inlineStr">
        <is>
          <t>GOTLANDS LÄN</t>
        </is>
      </c>
      <c r="G478" t="inlineStr">
        <is>
          <t>GOTLAND</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59986-2022</t>
        </is>
      </c>
      <c r="B479" t="inlineStr">
        <is>
          <t>avverkningsanmälan</t>
        </is>
      </c>
      <c r="C479" t="inlineStr">
        <is>
          <t>Avverkning för annat ändamål</t>
        </is>
      </c>
      <c r="D479" s="1" t="n">
        <v>44909</v>
      </c>
      <c r="E479" s="1" t="n">
        <v>46316</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46316</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46316</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31802-2024</t>
        </is>
      </c>
      <c r="B482" t="inlineStr">
        <is>
          <t>avverkningsanmälan</t>
        </is>
      </c>
      <c r="C482" t="inlineStr">
        <is>
          <t>Avverkning för annat ändamål</t>
        </is>
      </c>
      <c r="D482" s="1" t="n">
        <v>45509</v>
      </c>
      <c r="E482" s="1" t="n">
        <v>46316</v>
      </c>
      <c r="F482" t="inlineStr">
        <is>
          <t>GOTLANDS LÄN</t>
        </is>
      </c>
      <c r="G482" t="inlineStr">
        <is>
          <t>GOTLAND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20993-2023</t>
        </is>
      </c>
      <c r="B483" t="inlineStr">
        <is>
          <t>avverkningsanmälan</t>
        </is>
      </c>
      <c r="C483" t="inlineStr">
        <is>
          <t>Föryngringsavverkning</t>
        </is>
      </c>
      <c r="D483" s="1" t="n">
        <v>45056</v>
      </c>
      <c r="E483" s="1" t="n">
        <v>46316</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14427-2024</t>
        </is>
      </c>
      <c r="B484" t="inlineStr">
        <is>
          <t>avverkningsanmälan</t>
        </is>
      </c>
      <c r="C484" t="inlineStr">
        <is>
          <t>Avverkning för att bevara och utveckla /försöksver</t>
        </is>
      </c>
      <c r="D484" s="1" t="n">
        <v>45394</v>
      </c>
      <c r="E484" s="1" t="n">
        <v>46316</v>
      </c>
      <c r="F484" t="inlineStr">
        <is>
          <t>GOTLANDS LÄN</t>
        </is>
      </c>
      <c r="G484" t="inlineStr">
        <is>
          <t>GOTLAND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30925-2026</t>
        </is>
      </c>
      <c r="B485" t="inlineStr">
        <is>
          <t>avverkningsanmälan</t>
        </is>
      </c>
      <c r="C485" t="inlineStr">
        <is>
          <t>Föryngringsavverkning</t>
        </is>
      </c>
      <c r="D485" s="1" t="n">
        <v>46213</v>
      </c>
      <c r="E485" s="1" t="n">
        <v>46316</v>
      </c>
      <c r="F485" t="inlineStr">
        <is>
          <t>GOTLANDS LÄN</t>
        </is>
      </c>
      <c r="G485" t="inlineStr">
        <is>
          <t>GOTLAND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30926-2026</t>
        </is>
      </c>
      <c r="B486" t="inlineStr">
        <is>
          <t>avverkningsanmälan</t>
        </is>
      </c>
      <c r="C486" t="inlineStr">
        <is>
          <t>Föryngringsavverkning</t>
        </is>
      </c>
      <c r="D486" s="1" t="n">
        <v>46213</v>
      </c>
      <c r="E486" s="1" t="n">
        <v>46316</v>
      </c>
      <c r="F486" t="inlineStr">
        <is>
          <t>GOTLANDS LÄN</t>
        </is>
      </c>
      <c r="G486" t="inlineStr">
        <is>
          <t>GOTLAND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49315-2024</t>
        </is>
      </c>
      <c r="B487" t="inlineStr">
        <is>
          <t>avverkningsanmälan</t>
        </is>
      </c>
      <c r="C487" t="inlineStr">
        <is>
          <t>Avverkning för annat ändamål</t>
        </is>
      </c>
      <c r="D487" s="1" t="n">
        <v>45595</v>
      </c>
      <c r="E487" s="1" t="n">
        <v>46316</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27596-2023</t>
        </is>
      </c>
      <c r="B488" t="inlineStr">
        <is>
          <t>avverkningsanmälan</t>
        </is>
      </c>
      <c r="C488" t="inlineStr">
        <is>
          <t>Avverkning för annat ändamål</t>
        </is>
      </c>
      <c r="D488" s="1" t="n">
        <v>45097</v>
      </c>
      <c r="E488" s="1" t="n">
        <v>46316</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64969-2023</t>
        </is>
      </c>
      <c r="B489" t="inlineStr">
        <is>
          <t>avverkningsanmälan</t>
        </is>
      </c>
      <c r="C489" t="inlineStr">
        <is>
          <t>Föryngringsavverkning</t>
        </is>
      </c>
      <c r="D489" s="1" t="n">
        <v>45284</v>
      </c>
      <c r="E489" s="1" t="n">
        <v>46316</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46949-2024</t>
        </is>
      </c>
      <c r="B490" t="inlineStr">
        <is>
          <t>avverkningsanmälan</t>
        </is>
      </c>
      <c r="C490" t="inlineStr">
        <is>
          <t>Föryngringsavverkning</t>
        </is>
      </c>
      <c r="D490" s="1" t="n">
        <v>45585</v>
      </c>
      <c r="E490" s="1" t="n">
        <v>46316</v>
      </c>
      <c r="F490" t="inlineStr">
        <is>
          <t>GOTLANDS LÄN</t>
        </is>
      </c>
      <c r="G490" t="inlineStr">
        <is>
          <t>GOTLAND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39479-2022</t>
        </is>
      </c>
      <c r="B491" t="inlineStr">
        <is>
          <t>avverkningsanmälan</t>
        </is>
      </c>
      <c r="C491" t="inlineStr">
        <is>
          <t>Föryngringsavverkning</t>
        </is>
      </c>
      <c r="D491" s="1" t="n">
        <v>44818</v>
      </c>
      <c r="E491" s="1" t="n">
        <v>46316</v>
      </c>
      <c r="F491" t="inlineStr">
        <is>
          <t>GOTLANDS LÄN</t>
        </is>
      </c>
      <c r="G491" t="inlineStr">
        <is>
          <t>GOTLAND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39496-2022</t>
        </is>
      </c>
      <c r="B492" t="inlineStr">
        <is>
          <t>avverkningsanmälan</t>
        </is>
      </c>
      <c r="C492" t="inlineStr">
        <is>
          <t>Föryngringsavverkning</t>
        </is>
      </c>
      <c r="D492" s="1" t="n">
        <v>44818</v>
      </c>
      <c r="E492" s="1" t="n">
        <v>46316</v>
      </c>
      <c r="F492" t="inlineStr">
        <is>
          <t>GOTLANDS LÄN</t>
        </is>
      </c>
      <c r="G492" t="inlineStr">
        <is>
          <t>GOTLAND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44949-2023</t>
        </is>
      </c>
      <c r="B493" t="inlineStr">
        <is>
          <t>avverkningsanmälan</t>
        </is>
      </c>
      <c r="C493" t="inlineStr">
        <is>
          <t>Föryngringsavverkning</t>
        </is>
      </c>
      <c r="D493" s="1" t="n">
        <v>45190</v>
      </c>
      <c r="E493" s="1" t="n">
        <v>46316</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17682-2024</t>
        </is>
      </c>
      <c r="B494" t="inlineStr">
        <is>
          <t>avverkningsanmälan</t>
        </is>
      </c>
      <c r="C494" t="inlineStr">
        <is>
          <t>Föryngringsavverkning</t>
        </is>
      </c>
      <c r="D494" s="1" t="n">
        <v>45418</v>
      </c>
      <c r="E494" s="1" t="n">
        <v>46316</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61897-2024</t>
        </is>
      </c>
      <c r="B495" t="inlineStr">
        <is>
          <t>avverkningsanmälan</t>
        </is>
      </c>
      <c r="C495" t="inlineStr">
        <is>
          <t>Föryngringsavverkning</t>
        </is>
      </c>
      <c r="D495" s="1" t="n">
        <v>45652</v>
      </c>
      <c r="E495" s="1" t="n">
        <v>46316</v>
      </c>
      <c r="F495" t="inlineStr">
        <is>
          <t>GOTLANDS LÄN</t>
        </is>
      </c>
      <c r="G495" t="inlineStr">
        <is>
          <t>GOTLAND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12032-2025</t>
        </is>
      </c>
      <c r="B496" t="inlineStr">
        <is>
          <t>avverkningsanmälan</t>
        </is>
      </c>
      <c r="C496" t="inlineStr">
        <is>
          <t>Föryngringsavverkning</t>
        </is>
      </c>
      <c r="D496" s="1" t="n">
        <v>45728</v>
      </c>
      <c r="E496" s="1" t="n">
        <v>46316</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21164-2024</t>
        </is>
      </c>
      <c r="B497" t="inlineStr">
        <is>
          <t>avverkningsanmälan</t>
        </is>
      </c>
      <c r="C497" t="inlineStr">
        <is>
          <t>Föryngringsavverkning</t>
        </is>
      </c>
      <c r="D497" s="1" t="n">
        <v>45440</v>
      </c>
      <c r="E497" s="1" t="n">
        <v>46316</v>
      </c>
      <c r="F497" t="inlineStr">
        <is>
          <t>GOTLANDS LÄN</t>
        </is>
      </c>
      <c r="G497" t="inlineStr">
        <is>
          <t>GOTLAND</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17541-2024</t>
        </is>
      </c>
      <c r="B498" t="inlineStr">
        <is>
          <t>avverkningsanmälan</t>
        </is>
      </c>
      <c r="C498" t="inlineStr">
        <is>
          <t>Föryngringsavverkning</t>
        </is>
      </c>
      <c r="D498" s="1" t="n">
        <v>45415</v>
      </c>
      <c r="E498" s="1" t="n">
        <v>46316</v>
      </c>
      <c r="F498" t="inlineStr">
        <is>
          <t>GOTLANDS LÄN</t>
        </is>
      </c>
      <c r="G498" t="inlineStr">
        <is>
          <t>GOTLAND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21389-2025</t>
        </is>
      </c>
      <c r="B499" t="inlineStr">
        <is>
          <t>avverkningsanmälan</t>
        </is>
      </c>
      <c r="C499" t="inlineStr">
        <is>
          <t>Föryngringsavverkning</t>
        </is>
      </c>
      <c r="D499" s="1" t="n">
        <v>45782</v>
      </c>
      <c r="E499" s="1" t="n">
        <v>46316</v>
      </c>
      <c r="F499" t="inlineStr">
        <is>
          <t>GOTLANDS LÄN</t>
        </is>
      </c>
      <c r="G499" t="inlineStr">
        <is>
          <t>GOTLAND</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21420-2024</t>
        </is>
      </c>
      <c r="B500" t="inlineStr">
        <is>
          <t>avverkningsanmälan</t>
        </is>
      </c>
      <c r="C500" t="inlineStr">
        <is>
          <t>Föryngringsavverkning</t>
        </is>
      </c>
      <c r="D500" s="1" t="n">
        <v>45441</v>
      </c>
      <c r="E500" s="1" t="n">
        <v>46316</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10656-2024</t>
        </is>
      </c>
      <c r="B501" t="inlineStr">
        <is>
          <t>avverkningsanmälan</t>
        </is>
      </c>
      <c r="C501" t="inlineStr">
        <is>
          <t>Föryngringsavverkning</t>
        </is>
      </c>
      <c r="D501" s="1" t="n">
        <v>45368</v>
      </c>
      <c r="E501" s="1" t="n">
        <v>46316</v>
      </c>
      <c r="F501" t="inlineStr">
        <is>
          <t>GOTLANDS LÄN</t>
        </is>
      </c>
      <c r="G501" t="inlineStr">
        <is>
          <t>GOTLAND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57356-2023</t>
        </is>
      </c>
      <c r="B502" t="inlineStr">
        <is>
          <t>avverkningsanmälan</t>
        </is>
      </c>
      <c r="C502" t="inlineStr">
        <is>
          <t>Föryngringsavverkning</t>
        </is>
      </c>
      <c r="D502" s="1" t="n">
        <v>45240</v>
      </c>
      <c r="E502" s="1" t="n">
        <v>46316</v>
      </c>
      <c r="F502" t="inlineStr">
        <is>
          <t>GOTLANDS LÄN</t>
        </is>
      </c>
      <c r="G502" t="inlineStr">
        <is>
          <t>GOTLAND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28506-2023</t>
        </is>
      </c>
      <c r="B503" t="inlineStr">
        <is>
          <t>avverkningsanmälan</t>
        </is>
      </c>
      <c r="C503" t="inlineStr">
        <is>
          <t>Avverkning för annat ändamål</t>
        </is>
      </c>
      <c r="D503" s="1" t="n">
        <v>45103</v>
      </c>
      <c r="E503" s="1" t="n">
        <v>46316</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46316</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46316</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46316</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46316</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46316</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46316</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46316</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46316</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46316</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46316</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46316</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46316</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2026-10-21T02:02:30Z</dcterms:created>
  <dcterms:modified xmlns:dcterms="http://purl.org/dc/terms/" xmlns:xsi="http://www.w3.org/2001/XMLSchema-instance" xsi:type="dcterms:W3CDTF">2026-10-21T02:02:30Z</dcterms:modified>
</cp:coreProperties>
</file>