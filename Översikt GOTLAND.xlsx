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45584</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45584</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45584</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45584</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45584</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530-2024</t>
        </is>
      </c>
      <c r="B9" s="1" t="n">
        <v>45299</v>
      </c>
      <c r="C9" s="1" t="n">
        <v>45584</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45584</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1684-2023</t>
        </is>
      </c>
      <c r="B11" s="1" t="n">
        <v>44938</v>
      </c>
      <c r="C11" s="1" t="n">
        <v>45584</v>
      </c>
      <c r="D11" t="inlineStr">
        <is>
          <t>GOTLANDS LÄN</t>
        </is>
      </c>
      <c r="E11" t="inlineStr">
        <is>
          <t>GOTLAND</t>
        </is>
      </c>
      <c r="G11" t="n">
        <v>23.3</v>
      </c>
      <c r="H11" t="n">
        <v>2</v>
      </c>
      <c r="I11" t="n">
        <v>8</v>
      </c>
      <c r="J11" t="n">
        <v>3</v>
      </c>
      <c r="K11" t="n">
        <v>1</v>
      </c>
      <c r="L11" t="n">
        <v>1</v>
      </c>
      <c r="M11" t="n">
        <v>2</v>
      </c>
      <c r="N11" t="n">
        <v>0</v>
      </c>
      <c r="O11" t="n">
        <v>7</v>
      </c>
      <c r="P11" t="n">
        <v>4</v>
      </c>
      <c r="Q11" t="n">
        <v>17</v>
      </c>
      <c r="R11" s="2" t="inlineStr">
        <is>
          <t>Cinnoberfläck
Frostfläck
Ädellav
Mörk kraterlav
Loppstarr
Mjölmusseron
Odörspindling
Anisspindling
Besk kastanjemusseron
Havstulpanlav
Kattfotslav
Korallblylav
Murgröna
Rikfruktig blemlav
Västlig hakmossa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row>
    <row r="12" ht="15" customHeight="1">
      <c r="A12" t="inlineStr">
        <is>
          <t>A 53920-2023</t>
        </is>
      </c>
      <c r="B12" s="1" t="n">
        <v>45231</v>
      </c>
      <c r="C12" s="1" t="n">
        <v>45584</v>
      </c>
      <c r="D12" t="inlineStr">
        <is>
          <t>GOTLANDS LÄN</t>
        </is>
      </c>
      <c r="E12" t="inlineStr">
        <is>
          <t>GOTLAND</t>
        </is>
      </c>
      <c r="G12" t="n">
        <v>11.4</v>
      </c>
      <c r="H12" t="n">
        <v>2</v>
      </c>
      <c r="I12" t="n">
        <v>7</v>
      </c>
      <c r="J12" t="n">
        <v>2</v>
      </c>
      <c r="K12" t="n">
        <v>6</v>
      </c>
      <c r="L12" t="n">
        <v>0</v>
      </c>
      <c r="M12" t="n">
        <v>0</v>
      </c>
      <c r="N12" t="n">
        <v>0</v>
      </c>
      <c r="O12" t="n">
        <v>9</v>
      </c>
      <c r="P12" t="n">
        <v>6</v>
      </c>
      <c r="Q12" t="n">
        <v>17</v>
      </c>
      <c r="R12" s="2" t="inlineStr">
        <is>
          <t>Duvspindling
Granrotspindling
Gulsträngad fagerspindling
Svartgrön spindling
Tvillingspindling
Vit taggsvamp
Igelkott
Odörspindling
Trollspindling
Anisspindling
Blå slemspindling
Diskvaxskivling
Nästrot
Olivspindling
Rödfläckig zontaggsvamp
Trådticka
Blåsippa</t>
        </is>
      </c>
      <c r="S12">
        <f>HYPERLINK("https://klasma.github.io/Logging_0980/artfynd/A 53920-2023 artfynd.xlsx", "A 53920-2023")</f>
        <v/>
      </c>
      <c r="T12">
        <f>HYPERLINK("https://klasma.github.io/Logging_0980/kartor/A 53920-2023 karta.png", "A 53920-2023")</f>
        <v/>
      </c>
      <c r="V12">
        <f>HYPERLINK("https://klasma.github.io/Logging_0980/klagomål/A 53920-2023 FSC-klagomål.docx", "A 53920-2023")</f>
        <v/>
      </c>
      <c r="W12">
        <f>HYPERLINK("https://klasma.github.io/Logging_0980/klagomålsmail/A 53920-2023 FSC-klagomål mail.docx", "A 53920-2023")</f>
        <v/>
      </c>
      <c r="X12">
        <f>HYPERLINK("https://klasma.github.io/Logging_0980/tillsyn/A 53920-2023 tillsynsbegäran.docx", "A 53920-2023")</f>
        <v/>
      </c>
      <c r="Y12">
        <f>HYPERLINK("https://klasma.github.io/Logging_0980/tillsynsmail/A 53920-2023 tillsynsbegäran mail.docx", "A 53920-2023")</f>
        <v/>
      </c>
    </row>
    <row r="13" ht="15" customHeight="1">
      <c r="A13" t="inlineStr">
        <is>
          <t>A 34100-2024</t>
        </is>
      </c>
      <c r="B13" s="1" t="n">
        <v>45523</v>
      </c>
      <c r="C13" s="1" t="n">
        <v>45584</v>
      </c>
      <c r="D13" t="inlineStr">
        <is>
          <t>GOTLANDS LÄN</t>
        </is>
      </c>
      <c r="E13" t="inlineStr">
        <is>
          <t>GOTLAND</t>
        </is>
      </c>
      <c r="F13" t="inlineStr">
        <is>
          <t>Övriga statliga verk och myndigheter</t>
        </is>
      </c>
      <c r="G13" t="n">
        <v>8.5</v>
      </c>
      <c r="H13" t="n">
        <v>3</v>
      </c>
      <c r="I13" t="n">
        <v>7</v>
      </c>
      <c r="J13" t="n">
        <v>3</v>
      </c>
      <c r="K13" t="n">
        <v>2</v>
      </c>
      <c r="L13" t="n">
        <v>1</v>
      </c>
      <c r="M13" t="n">
        <v>0</v>
      </c>
      <c r="N13" t="n">
        <v>0</v>
      </c>
      <c r="O13" t="n">
        <v>7</v>
      </c>
      <c r="P13" t="n">
        <v>3</v>
      </c>
      <c r="Q13" t="n">
        <v>17</v>
      </c>
      <c r="R13" s="2" t="inlineStr">
        <is>
          <t>Blek bananspindling
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61664-2023</t>
        </is>
      </c>
      <c r="B14" s="1" t="n">
        <v>45265</v>
      </c>
      <c r="C14" s="1" t="n">
        <v>45584</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58474-2022</t>
        </is>
      </c>
      <c r="B15" s="1" t="n">
        <v>44902</v>
      </c>
      <c r="C15" s="1" t="n">
        <v>45584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45584</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45584</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12841-2020</t>
        </is>
      </c>
      <c r="B20" s="1" t="n">
        <v>43899</v>
      </c>
      <c r="C20" s="1" t="n">
        <v>45584</v>
      </c>
      <c r="D20" t="inlineStr">
        <is>
          <t>GOTLANDS LÄN</t>
        </is>
      </c>
      <c r="E20" t="inlineStr">
        <is>
          <t>GOTLAND</t>
        </is>
      </c>
      <c r="G20" t="n">
        <v>6.4</v>
      </c>
      <c r="H20" t="n">
        <v>1</v>
      </c>
      <c r="I20" t="n">
        <v>4</v>
      </c>
      <c r="J20" t="n">
        <v>3</v>
      </c>
      <c r="K20" t="n">
        <v>6</v>
      </c>
      <c r="L20" t="n">
        <v>0</v>
      </c>
      <c r="M20" t="n">
        <v>0</v>
      </c>
      <c r="N20" t="n">
        <v>0</v>
      </c>
      <c r="O20" t="n">
        <v>9</v>
      </c>
      <c r="P20" t="n">
        <v>6</v>
      </c>
      <c r="Q20" t="n">
        <v>13</v>
      </c>
      <c r="R20" s="2" t="inlineStr">
        <is>
          <t>Bullspindling
Duvspindling
Granrotspindling
Kopparspindling
Svartgrön spindling
Vit taggsvamp
Odörspindling
Orange taggsvamp
Röd skogslilja
Dropptaggsvamp
Rödbrun jordstjärna
Skarp dropptaggsvamp
Zontaggsvamp</t>
        </is>
      </c>
      <c r="S20">
        <f>HYPERLINK("https://klasma.github.io/Logging_0980/artfynd/A 12841-2020 artfynd.xlsx", "A 12841-2020")</f>
        <v/>
      </c>
      <c r="T20">
        <f>HYPERLINK("https://klasma.github.io/Logging_0980/kartor/A 12841-2020 karta.png", "A 12841-2020")</f>
        <v/>
      </c>
      <c r="V20">
        <f>HYPERLINK("https://klasma.github.io/Logging_0980/klagomål/A 12841-2020 FSC-klagomål.docx", "A 12841-2020")</f>
        <v/>
      </c>
      <c r="W20">
        <f>HYPERLINK("https://klasma.github.io/Logging_0980/klagomålsmail/A 12841-2020 FSC-klagomål mail.docx", "A 12841-2020")</f>
        <v/>
      </c>
      <c r="X20">
        <f>HYPERLINK("https://klasma.github.io/Logging_0980/tillsyn/A 12841-2020 tillsynsbegäran.docx", "A 12841-2020")</f>
        <v/>
      </c>
      <c r="Y20">
        <f>HYPERLINK("https://klasma.github.io/Logging_0980/tillsynsmail/A 12841-2020 tillsynsbegäran mail.docx", "A 12841-2020")</f>
        <v/>
      </c>
    </row>
    <row r="21" ht="15" customHeight="1">
      <c r="A21" t="inlineStr">
        <is>
          <t>A 35141-2022</t>
        </is>
      </c>
      <c r="B21" s="1" t="n">
        <v>44797</v>
      </c>
      <c r="C21" s="1" t="n">
        <v>45584</v>
      </c>
      <c r="D21" t="inlineStr">
        <is>
          <t>GOTLANDS LÄN</t>
        </is>
      </c>
      <c r="E21" t="inlineStr">
        <is>
          <t>GOTLAND</t>
        </is>
      </c>
      <c r="G21" t="n">
        <v>1.8</v>
      </c>
      <c r="H21" t="n">
        <v>0</v>
      </c>
      <c r="I21" t="n">
        <v>7</v>
      </c>
      <c r="J21" t="n">
        <v>3</v>
      </c>
      <c r="K21" t="n">
        <v>3</v>
      </c>
      <c r="L21" t="n">
        <v>0</v>
      </c>
      <c r="M21" t="n">
        <v>0</v>
      </c>
      <c r="N21" t="n">
        <v>0</v>
      </c>
      <c r="O21" t="n">
        <v>6</v>
      </c>
      <c r="P21" t="n">
        <v>3</v>
      </c>
      <c r="Q21" t="n">
        <v>13</v>
      </c>
      <c r="R21" s="2" t="inlineStr">
        <is>
          <t>Dvärgfjällskivling
Svartgrön spindling
Violettfläckig spindling
Bittermusseron
Flattoppad klubbsvamp
Odörspindling
Anisspindling
Fransig jordstjärna
Kambräken
Olivspindling
Rödgul trumpetsvamp
Svavelriska
Vågbandad barkbock</t>
        </is>
      </c>
      <c r="S21">
        <f>HYPERLINK("https://klasma.github.io/Logging_0980/artfynd/A 35141-2022 artfynd.xlsx", "A 35141-2022")</f>
        <v/>
      </c>
      <c r="T21">
        <f>HYPERLINK("https://klasma.github.io/Logging_0980/kartor/A 35141-2022 karta.png", "A 35141-2022")</f>
        <v/>
      </c>
      <c r="V21">
        <f>HYPERLINK("https://klasma.github.io/Logging_0980/klagomål/A 35141-2022 FSC-klagomål.docx", "A 35141-2022")</f>
        <v/>
      </c>
      <c r="W21">
        <f>HYPERLINK("https://klasma.github.io/Logging_0980/klagomålsmail/A 35141-2022 FSC-klagomål mail.docx", "A 35141-2022")</f>
        <v/>
      </c>
      <c r="X21">
        <f>HYPERLINK("https://klasma.github.io/Logging_0980/tillsyn/A 35141-2022 tillsynsbegäran.docx", "A 35141-2022")</f>
        <v/>
      </c>
      <c r="Y21">
        <f>HYPERLINK("https://klasma.github.io/Logging_0980/tillsynsmail/A 35141-2022 tillsynsbegäran mail.docx", "A 35141-2022")</f>
        <v/>
      </c>
    </row>
    <row r="22" ht="15" customHeight="1">
      <c r="A22" t="inlineStr">
        <is>
          <t>A 44928-2022</t>
        </is>
      </c>
      <c r="B22" s="1" t="n">
        <v>44841</v>
      </c>
      <c r="C22" s="1" t="n">
        <v>45584</v>
      </c>
      <c r="D22" t="inlineStr">
        <is>
          <t>GOTLANDS LÄN</t>
        </is>
      </c>
      <c r="E22" t="inlineStr">
        <is>
          <t>GOTLAND</t>
        </is>
      </c>
      <c r="G22" t="n">
        <v>3.7</v>
      </c>
      <c r="H22" t="n">
        <v>1</v>
      </c>
      <c r="I22" t="n">
        <v>6</v>
      </c>
      <c r="J22" t="n">
        <v>3</v>
      </c>
      <c r="K22" t="n">
        <v>2</v>
      </c>
      <c r="L22" t="n">
        <v>1</v>
      </c>
      <c r="M22" t="n">
        <v>0</v>
      </c>
      <c r="N22" t="n">
        <v>0</v>
      </c>
      <c r="O22" t="n">
        <v>7</v>
      </c>
      <c r="P22" t="n">
        <v>3</v>
      </c>
      <c r="Q22" t="n">
        <v>13</v>
      </c>
      <c r="R22" s="2" t="inlineStr">
        <is>
          <t>Barkkvastmossa
Gulsträngad fagerspindling
Tvillingspindling
Odörspindling
Puderspindling
Ängsstarr
Frostig asplav
Anisspindling
Axag
Blå slemspindling
Kattfotslav
Kärrlilja
Svavelriska</t>
        </is>
      </c>
      <c r="S22">
        <f>HYPERLINK("https://klasma.github.io/Logging_0980/artfynd/A 44928-2022 artfynd.xlsx", "A 44928-2022")</f>
        <v/>
      </c>
      <c r="T22">
        <f>HYPERLINK("https://klasma.github.io/Logging_0980/kartor/A 44928-2022 karta.png", "A 44928-2022")</f>
        <v/>
      </c>
      <c r="V22">
        <f>HYPERLINK("https://klasma.github.io/Logging_0980/klagomål/A 44928-2022 FSC-klagomål.docx", "A 44928-2022")</f>
        <v/>
      </c>
      <c r="W22">
        <f>HYPERLINK("https://klasma.github.io/Logging_0980/klagomålsmail/A 44928-2022 FSC-klagomål mail.docx", "A 44928-2022")</f>
        <v/>
      </c>
      <c r="X22">
        <f>HYPERLINK("https://klasma.github.io/Logging_0980/tillsyn/A 44928-2022 tillsynsbegäran.docx", "A 44928-2022")</f>
        <v/>
      </c>
      <c r="Y22">
        <f>HYPERLINK("https://klasma.github.io/Logging_0980/tillsynsmail/A 44928-2022 tillsynsbegäran mail.docx", "A 44928-2022")</f>
        <v/>
      </c>
    </row>
    <row r="23" ht="15" customHeight="1">
      <c r="A23" t="inlineStr">
        <is>
          <t>A 2804-2023</t>
        </is>
      </c>
      <c r="B23" s="1" t="n">
        <v>44944</v>
      </c>
      <c r="C23" s="1" t="n">
        <v>45584</v>
      </c>
      <c r="D23" t="inlineStr">
        <is>
          <t>GOTLANDS LÄN</t>
        </is>
      </c>
      <c r="E23" t="inlineStr">
        <is>
          <t>GOTLAND</t>
        </is>
      </c>
      <c r="G23" t="n">
        <v>7.6</v>
      </c>
      <c r="H23" t="n">
        <v>2</v>
      </c>
      <c r="I23" t="n">
        <v>4</v>
      </c>
      <c r="J23" t="n">
        <v>4</v>
      </c>
      <c r="K23" t="n">
        <v>3</v>
      </c>
      <c r="L23" t="n">
        <v>0</v>
      </c>
      <c r="M23" t="n">
        <v>0</v>
      </c>
      <c r="N23" t="n">
        <v>0</v>
      </c>
      <c r="O23" t="n">
        <v>7</v>
      </c>
      <c r="P23" t="n">
        <v>3</v>
      </c>
      <c r="Q23" t="n">
        <v>13</v>
      </c>
      <c r="R23" s="2" t="inlineStr">
        <is>
          <t>Granrotspindling
Narrspindling
Violettfläckig spindling
Ekticka
Granticka
Oxtungssvamp
Svinrot
Blå slemspindling
Fransig jordstjärna
Rödgul trumpetsvamp
Svavelriska
Sankt pers nycklar
Blåsippa</t>
        </is>
      </c>
      <c r="S23">
        <f>HYPERLINK("https://klasma.github.io/Logging_0980/artfynd/A 2804-2023 artfynd.xlsx", "A 2804-2023")</f>
        <v/>
      </c>
      <c r="T23">
        <f>HYPERLINK("https://klasma.github.io/Logging_0980/kartor/A 2804-2023 karta.png", "A 2804-2023")</f>
        <v/>
      </c>
      <c r="V23">
        <f>HYPERLINK("https://klasma.github.io/Logging_0980/klagomål/A 2804-2023 FSC-klagomål.docx", "A 2804-2023")</f>
        <v/>
      </c>
      <c r="W23">
        <f>HYPERLINK("https://klasma.github.io/Logging_0980/klagomålsmail/A 2804-2023 FSC-klagomål mail.docx", "A 2804-2023")</f>
        <v/>
      </c>
      <c r="X23">
        <f>HYPERLINK("https://klasma.github.io/Logging_0980/tillsyn/A 2804-2023 tillsynsbegäran.docx", "A 2804-2023")</f>
        <v/>
      </c>
      <c r="Y23">
        <f>HYPERLINK("https://klasma.github.io/Logging_0980/tillsynsmail/A 2804-2023 tillsynsbegäran mail.docx", "A 2804-2023")</f>
        <v/>
      </c>
    </row>
    <row r="24" ht="15" customHeight="1">
      <c r="A24" t="inlineStr">
        <is>
          <t>A 2222-2024</t>
        </is>
      </c>
      <c r="B24" s="1" t="n">
        <v>45309</v>
      </c>
      <c r="C24" s="1" t="n">
        <v>45584</v>
      </c>
      <c r="D24" t="inlineStr">
        <is>
          <t>GOTLANDS LÄN</t>
        </is>
      </c>
      <c r="E24" t="inlineStr">
        <is>
          <t>GOTLAND</t>
        </is>
      </c>
      <c r="F24" t="inlineStr">
        <is>
          <t>Kyrkan</t>
        </is>
      </c>
      <c r="G24" t="n">
        <v>10.6</v>
      </c>
      <c r="H24" t="n">
        <v>0</v>
      </c>
      <c r="I24" t="n">
        <v>6</v>
      </c>
      <c r="J24" t="n">
        <v>2</v>
      </c>
      <c r="K24" t="n">
        <v>5</v>
      </c>
      <c r="L24" t="n">
        <v>0</v>
      </c>
      <c r="M24" t="n">
        <v>0</v>
      </c>
      <c r="N24" t="n">
        <v>0</v>
      </c>
      <c r="O24" t="n">
        <v>7</v>
      </c>
      <c r="P24" t="n">
        <v>5</v>
      </c>
      <c r="Q24" t="n">
        <v>13</v>
      </c>
      <c r="R24" s="2" t="inlineStr">
        <is>
          <t>Granrotspindling
Gulsträngad fagerspindling
Svartgrön spindling
Tvillingspindling
Vit taggsvamp
Gulfotad denisespindling
Odörspindling
Anisspindling
Blå slemspindling
Diskvaxskivling
Fransig jordstjärna
Olivspindling
Rödfläckig zontaggsvamp</t>
        </is>
      </c>
      <c r="S24">
        <f>HYPERLINK("https://klasma.github.io/Logging_0980/artfynd/A 2222-2024 artfynd.xlsx", "A 2222-2024")</f>
        <v/>
      </c>
      <c r="T24">
        <f>HYPERLINK("https://klasma.github.io/Logging_0980/kartor/A 2222-2024 karta.png", "A 2222-2024")</f>
        <v/>
      </c>
      <c r="V24">
        <f>HYPERLINK("https://klasma.github.io/Logging_0980/klagomål/A 2222-2024 FSC-klagomål.docx", "A 2222-2024")</f>
        <v/>
      </c>
      <c r="W24">
        <f>HYPERLINK("https://klasma.github.io/Logging_0980/klagomålsmail/A 2222-2024 FSC-klagomål mail.docx", "A 2222-2024")</f>
        <v/>
      </c>
      <c r="X24">
        <f>HYPERLINK("https://klasma.github.io/Logging_0980/tillsyn/A 2222-2024 tillsynsbegäran.docx", "A 2222-2024")</f>
        <v/>
      </c>
      <c r="Y24">
        <f>HYPERLINK("https://klasma.github.io/Logging_0980/tillsynsmail/A 2222-2024 tillsynsbegäran mail.docx", "A 2222-2024")</f>
        <v/>
      </c>
    </row>
    <row r="25" ht="15" customHeight="1">
      <c r="A25" t="inlineStr">
        <is>
          <t>A 17762-2024</t>
        </is>
      </c>
      <c r="B25" s="1" t="n">
        <v>45418</v>
      </c>
      <c r="C25" s="1" t="n">
        <v>45584</v>
      </c>
      <c r="D25" t="inlineStr">
        <is>
          <t>GOTLANDS LÄN</t>
        </is>
      </c>
      <c r="E25" t="inlineStr">
        <is>
          <t>GOTLAND</t>
        </is>
      </c>
      <c r="G25" t="n">
        <v>5.8</v>
      </c>
      <c r="H25" t="n">
        <v>2</v>
      </c>
      <c r="I25" t="n">
        <v>1</v>
      </c>
      <c r="J25" t="n">
        <v>7</v>
      </c>
      <c r="K25" t="n">
        <v>1</v>
      </c>
      <c r="L25" t="n">
        <v>1</v>
      </c>
      <c r="M25" t="n">
        <v>1</v>
      </c>
      <c r="N25" t="n">
        <v>0</v>
      </c>
      <c r="O25" t="n">
        <v>10</v>
      </c>
      <c r="P25" t="n">
        <v>3</v>
      </c>
      <c r="Q25" t="n">
        <v>13</v>
      </c>
      <c r="R25" s="2" t="inlineStr">
        <is>
          <t>Järnek
Naveljordstjärna
Gråfingerört
Axveronika
Backstarr
Backtimjan
Crepis tectorum subsp. tectorum
Kalkvaxskivling
Solvända
Svinrot
Anisspindling
Sankt pers nycklar
Blåsippa</t>
        </is>
      </c>
      <c r="S25">
        <f>HYPERLINK("https://klasma.github.io/Logging_0980/artfynd/A 17762-2024 artfynd.xlsx", "A 17762-2024")</f>
        <v/>
      </c>
      <c r="T25">
        <f>HYPERLINK("https://klasma.github.io/Logging_0980/kartor/A 17762-2024 karta.png", "A 17762-2024")</f>
        <v/>
      </c>
      <c r="V25">
        <f>HYPERLINK("https://klasma.github.io/Logging_0980/klagomål/A 17762-2024 FSC-klagomål.docx", "A 17762-2024")</f>
        <v/>
      </c>
      <c r="W25">
        <f>HYPERLINK("https://klasma.github.io/Logging_0980/klagomålsmail/A 17762-2024 FSC-klagomål mail.docx", "A 17762-2024")</f>
        <v/>
      </c>
      <c r="X25">
        <f>HYPERLINK("https://klasma.github.io/Logging_0980/tillsyn/A 17762-2024 tillsynsbegäran.docx", "A 17762-2024")</f>
        <v/>
      </c>
      <c r="Y25">
        <f>HYPERLINK("https://klasma.github.io/Logging_0980/tillsynsmail/A 17762-2024 tillsynsbegäran mail.docx", "A 17762-2024")</f>
        <v/>
      </c>
    </row>
    <row r="26" ht="15" customHeight="1">
      <c r="A26" t="inlineStr">
        <is>
          <t>A 25218-2021</t>
        </is>
      </c>
      <c r="B26" s="1" t="n">
        <v>44342</v>
      </c>
      <c r="C26" s="1" t="n">
        <v>45584</v>
      </c>
      <c r="D26" t="inlineStr">
        <is>
          <t>GOTLANDS LÄN</t>
        </is>
      </c>
      <c r="E26" t="inlineStr">
        <is>
          <t>GOTLAND</t>
        </is>
      </c>
      <c r="G26" t="n">
        <v>7.6</v>
      </c>
      <c r="H26" t="n">
        <v>1</v>
      </c>
      <c r="I26" t="n">
        <v>4</v>
      </c>
      <c r="J26" t="n">
        <v>2</v>
      </c>
      <c r="K26" t="n">
        <v>4</v>
      </c>
      <c r="L26" t="n">
        <v>1</v>
      </c>
      <c r="M26" t="n">
        <v>1</v>
      </c>
      <c r="N26" t="n">
        <v>0</v>
      </c>
      <c r="O26" t="n">
        <v>8</v>
      </c>
      <c r="P26" t="n">
        <v>6</v>
      </c>
      <c r="Q26" t="n">
        <v>12</v>
      </c>
      <c r="R26" s="2" t="inlineStr">
        <is>
          <t>Mörk lundlav
Ädellav
Almlav
Klosterlav
Mörk kraterlav
Rosa lundlav
Duvhök
Rosa skärelav
Hasselsopp
Lönnlav
Rikfruktig blemlav
Slät lönnlav</t>
        </is>
      </c>
      <c r="S26">
        <f>HYPERLINK("https://klasma.github.io/Logging_0980/artfynd/A 25218-2021 artfynd.xlsx", "A 25218-2021")</f>
        <v/>
      </c>
      <c r="T26">
        <f>HYPERLINK("https://klasma.github.io/Logging_0980/kartor/A 25218-2021 karta.png", "A 25218-2021")</f>
        <v/>
      </c>
      <c r="V26">
        <f>HYPERLINK("https://klasma.github.io/Logging_0980/klagomål/A 25218-2021 FSC-klagomål.docx", "A 25218-2021")</f>
        <v/>
      </c>
      <c r="W26">
        <f>HYPERLINK("https://klasma.github.io/Logging_0980/klagomålsmail/A 25218-2021 FSC-klagomål mail.docx", "A 25218-2021")</f>
        <v/>
      </c>
      <c r="X26">
        <f>HYPERLINK("https://klasma.github.io/Logging_0980/tillsyn/A 25218-2021 tillsynsbegäran.docx", "A 25218-2021")</f>
        <v/>
      </c>
      <c r="Y26">
        <f>HYPERLINK("https://klasma.github.io/Logging_0980/tillsynsmail/A 25218-2021 tillsynsbegäran mail.docx", "A 25218-2021")</f>
        <v/>
      </c>
      <c r="Z26">
        <f>HYPERLINK("https://klasma.github.io/Logging_0980/fåglar/A 25218-2021 prioriterade fågelarter.docx", "A 25218-2021")</f>
        <v/>
      </c>
    </row>
    <row r="27" ht="15" customHeight="1">
      <c r="A27" t="inlineStr">
        <is>
          <t>A 53103-2021</t>
        </is>
      </c>
      <c r="B27" s="1" t="n">
        <v>44467</v>
      </c>
      <c r="C27" s="1" t="n">
        <v>45584</v>
      </c>
      <c r="D27" t="inlineStr">
        <is>
          <t>GOTLANDS LÄN</t>
        </is>
      </c>
      <c r="E27" t="inlineStr">
        <is>
          <t>GOTLAND</t>
        </is>
      </c>
      <c r="G27" t="n">
        <v>5.3</v>
      </c>
      <c r="H27" t="n">
        <v>6</v>
      </c>
      <c r="I27" t="n">
        <v>6</v>
      </c>
      <c r="J27" t="n">
        <v>4</v>
      </c>
      <c r="K27" t="n">
        <v>0</v>
      </c>
      <c r="L27" t="n">
        <v>0</v>
      </c>
      <c r="M27" t="n">
        <v>0</v>
      </c>
      <c r="N27" t="n">
        <v>0</v>
      </c>
      <c r="O27" t="n">
        <v>4</v>
      </c>
      <c r="P27" t="n">
        <v>0</v>
      </c>
      <c r="Q27" t="n">
        <v>12</v>
      </c>
      <c r="R27" s="2" t="inlineStr">
        <is>
          <t>Backtimjan
Grönsångare
Sandviol
Svartfläckig blåvinge
Björksplintborre
Blåmossa
Granbarkgnagare
Kattfotslav
Purpurknipprot
Skogsknipprot
Sankt pers nycklar
Blåsippa</t>
        </is>
      </c>
      <c r="S27">
        <f>HYPERLINK("https://klasma.github.io/Logging_0980/artfynd/A 53103-2021 artfynd.xlsx", "A 53103-2021")</f>
        <v/>
      </c>
      <c r="T27">
        <f>HYPERLINK("https://klasma.github.io/Logging_0980/kartor/A 53103-2021 karta.png", "A 53103-2021")</f>
        <v/>
      </c>
      <c r="V27">
        <f>HYPERLINK("https://klasma.github.io/Logging_0980/klagomål/A 53103-2021 FSC-klagomål.docx", "A 53103-2021")</f>
        <v/>
      </c>
      <c r="W27">
        <f>HYPERLINK("https://klasma.github.io/Logging_0980/klagomålsmail/A 53103-2021 FSC-klagomål mail.docx", "A 53103-2021")</f>
        <v/>
      </c>
      <c r="X27">
        <f>HYPERLINK("https://klasma.github.io/Logging_0980/tillsyn/A 53103-2021 tillsynsbegäran.docx", "A 53103-2021")</f>
        <v/>
      </c>
      <c r="Y27">
        <f>HYPERLINK("https://klasma.github.io/Logging_0980/tillsynsmail/A 53103-2021 tillsynsbegäran mail.docx", "A 53103-2021")</f>
        <v/>
      </c>
      <c r="Z27">
        <f>HYPERLINK("https://klasma.github.io/Logging_0980/fåglar/A 53103-2021 prioriterade fågelarter.docx", "A 53103-2021")</f>
        <v/>
      </c>
    </row>
    <row r="28" ht="15" customHeight="1">
      <c r="A28" t="inlineStr">
        <is>
          <t>A 3324-2023</t>
        </is>
      </c>
      <c r="B28" s="1" t="n">
        <v>44949</v>
      </c>
      <c r="C28" s="1" t="n">
        <v>45584</v>
      </c>
      <c r="D28" t="inlineStr">
        <is>
          <t>GOTLANDS LÄN</t>
        </is>
      </c>
      <c r="E28" t="inlineStr">
        <is>
          <t>GOTLAND</t>
        </is>
      </c>
      <c r="G28" t="n">
        <v>6.2</v>
      </c>
      <c r="H28" t="n">
        <v>0</v>
      </c>
      <c r="I28" t="n">
        <v>4</v>
      </c>
      <c r="J28" t="n">
        <v>2</v>
      </c>
      <c r="K28" t="n">
        <v>6</v>
      </c>
      <c r="L28" t="n">
        <v>0</v>
      </c>
      <c r="M28" t="n">
        <v>0</v>
      </c>
      <c r="N28" t="n">
        <v>0</v>
      </c>
      <c r="O28" t="n">
        <v>8</v>
      </c>
      <c r="P28" t="n">
        <v>6</v>
      </c>
      <c r="Q28" t="n">
        <v>12</v>
      </c>
      <c r="R28" s="2" t="inlineStr">
        <is>
          <t>Blåfotad fagerspindling
Duvspindling
Granrotspindling
Gulsträngad fagerspindling
Svartgrön spindling
Tvillingspindling
Odörspindling
Äggspindling
Anisspindling
Blå slemspindling
Olivspindling
Rödgul trumpetsvamp</t>
        </is>
      </c>
      <c r="S28">
        <f>HYPERLINK("https://klasma.github.io/Logging_0980/artfynd/A 3324-2023 artfynd.xlsx", "A 3324-2023")</f>
        <v/>
      </c>
      <c r="T28">
        <f>HYPERLINK("https://klasma.github.io/Logging_0980/kartor/A 3324-2023 karta.png", "A 3324-2023")</f>
        <v/>
      </c>
      <c r="V28">
        <f>HYPERLINK("https://klasma.github.io/Logging_0980/klagomål/A 3324-2023 FSC-klagomål.docx", "A 3324-2023")</f>
        <v/>
      </c>
      <c r="W28">
        <f>HYPERLINK("https://klasma.github.io/Logging_0980/klagomålsmail/A 3324-2023 FSC-klagomål mail.docx", "A 3324-2023")</f>
        <v/>
      </c>
      <c r="X28">
        <f>HYPERLINK("https://klasma.github.io/Logging_0980/tillsyn/A 3324-2023 tillsynsbegäran.docx", "A 3324-2023")</f>
        <v/>
      </c>
      <c r="Y28">
        <f>HYPERLINK("https://klasma.github.io/Logging_0980/tillsynsmail/A 3324-2023 tillsynsbegäran mail.docx", "A 3324-2023")</f>
        <v/>
      </c>
    </row>
    <row r="29" ht="15" customHeight="1">
      <c r="A29" t="inlineStr">
        <is>
          <t>A 4669-2024</t>
        </is>
      </c>
      <c r="B29" s="1" t="n">
        <v>45328</v>
      </c>
      <c r="C29" s="1" t="n">
        <v>45584</v>
      </c>
      <c r="D29" t="inlineStr">
        <is>
          <t>GOTLANDS LÄN</t>
        </is>
      </c>
      <c r="E29" t="inlineStr">
        <is>
          <t>GOTLAND</t>
        </is>
      </c>
      <c r="G29" t="n">
        <v>3.2</v>
      </c>
      <c r="H29" t="n">
        <v>1</v>
      </c>
      <c r="I29" t="n">
        <v>8</v>
      </c>
      <c r="J29" t="n">
        <v>3</v>
      </c>
      <c r="K29" t="n">
        <v>1</v>
      </c>
      <c r="L29" t="n">
        <v>0</v>
      </c>
      <c r="M29" t="n">
        <v>0</v>
      </c>
      <c r="N29" t="n">
        <v>0</v>
      </c>
      <c r="O29" t="n">
        <v>4</v>
      </c>
      <c r="P29" t="n">
        <v>1</v>
      </c>
      <c r="Q29" t="n">
        <v>12</v>
      </c>
      <c r="R29" s="2" t="inlineStr">
        <is>
          <t>Tvillingspindling
Barrviolspindling
Odörspindling
Spillkråka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c r="Z29">
        <f>HYPERLINK("https://klasma.github.io/Logging_0980/fåglar/A 4669-2024 prioriterade fågelarter.docx", "A 4669-2024")</f>
        <v/>
      </c>
    </row>
    <row r="30" ht="15" customHeight="1">
      <c r="A30" t="inlineStr">
        <is>
          <t>A 28287-2024</t>
        </is>
      </c>
      <c r="B30" s="1" t="n">
        <v>45477</v>
      </c>
      <c r="C30" s="1" t="n">
        <v>45584</v>
      </c>
      <c r="D30" t="inlineStr">
        <is>
          <t>GOTLANDS LÄN</t>
        </is>
      </c>
      <c r="E30" t="inlineStr">
        <is>
          <t>GOTLAND</t>
        </is>
      </c>
      <c r="G30" t="n">
        <v>23.4</v>
      </c>
      <c r="H30" t="n">
        <v>2</v>
      </c>
      <c r="I30" t="n">
        <v>0</v>
      </c>
      <c r="J30" t="n">
        <v>10</v>
      </c>
      <c r="K30" t="n">
        <v>0</v>
      </c>
      <c r="L30" t="n">
        <v>1</v>
      </c>
      <c r="M30" t="n">
        <v>0</v>
      </c>
      <c r="N30" t="n">
        <v>0</v>
      </c>
      <c r="O30" t="n">
        <v>11</v>
      </c>
      <c r="P30" t="n">
        <v>1</v>
      </c>
      <c r="Q30" t="n">
        <v>12</v>
      </c>
      <c r="R30" s="2" t="inlineStr">
        <is>
          <t>Ask
Axveronika
Backtimjan
Flentimotej
Gulsparv
Jordtistel
Piggtistel
Silversmygare
Smedbock
Solvända
Vårstarr
Blåsippa</t>
        </is>
      </c>
      <c r="S30">
        <f>HYPERLINK("https://klasma.github.io/Logging_0980/artfynd/A 28287-2024 artfynd.xlsx", "A 28287-2024")</f>
        <v/>
      </c>
      <c r="T30">
        <f>HYPERLINK("https://klasma.github.io/Logging_0980/kartor/A 28287-2024 karta.png", "A 28287-2024")</f>
        <v/>
      </c>
      <c r="V30">
        <f>HYPERLINK("https://klasma.github.io/Logging_0980/klagomål/A 28287-2024 FSC-klagomål.docx", "A 28287-2024")</f>
        <v/>
      </c>
      <c r="W30">
        <f>HYPERLINK("https://klasma.github.io/Logging_0980/klagomålsmail/A 28287-2024 FSC-klagomål mail.docx", "A 28287-2024")</f>
        <v/>
      </c>
      <c r="X30">
        <f>HYPERLINK("https://klasma.github.io/Logging_0980/tillsyn/A 28287-2024 tillsynsbegäran.docx", "A 28287-2024")</f>
        <v/>
      </c>
      <c r="Y30">
        <f>HYPERLINK("https://klasma.github.io/Logging_0980/tillsynsmail/A 28287-2024 tillsynsbegäran mail.docx", "A 28287-2024")</f>
        <v/>
      </c>
      <c r="Z30">
        <f>HYPERLINK("https://klasma.github.io/Logging_0980/fåglar/A 28287-2024 prioriterade fågelarter.docx", "A 28287-2024")</f>
        <v/>
      </c>
    </row>
    <row r="31" ht="15" customHeight="1">
      <c r="A31" t="inlineStr">
        <is>
          <t>A 25252-2021</t>
        </is>
      </c>
      <c r="B31" s="1" t="n">
        <v>44342</v>
      </c>
      <c r="C31" s="1" t="n">
        <v>45584</v>
      </c>
      <c r="D31" t="inlineStr">
        <is>
          <t>GOTLANDS LÄN</t>
        </is>
      </c>
      <c r="E31" t="inlineStr">
        <is>
          <t>GOTLAND</t>
        </is>
      </c>
      <c r="G31" t="n">
        <v>4.3</v>
      </c>
      <c r="H31" t="n">
        <v>0</v>
      </c>
      <c r="I31" t="n">
        <v>2</v>
      </c>
      <c r="J31" t="n">
        <v>3</v>
      </c>
      <c r="K31" t="n">
        <v>5</v>
      </c>
      <c r="L31" t="n">
        <v>0</v>
      </c>
      <c r="M31" t="n">
        <v>0</v>
      </c>
      <c r="N31" t="n">
        <v>0</v>
      </c>
      <c r="O31" t="n">
        <v>9</v>
      </c>
      <c r="P31" t="n">
        <v>5</v>
      </c>
      <c r="Q31" t="n">
        <v>11</v>
      </c>
      <c r="R31" s="2" t="inlineStr">
        <is>
          <t>Granrotspindling
Gulsträngad fagerspindling
Narrspindling
Svartgrön spindling
Vit taggsvamp
Flattoppad klubbsvamp
Odörspindling
Orange taggsvamp
Trollspindling
Blå slemspindling
Fransig jordstjärna</t>
        </is>
      </c>
      <c r="S31">
        <f>HYPERLINK("https://klasma.github.io/Logging_0980/artfynd/A 25252-2021 artfynd.xlsx", "A 25252-2021")</f>
        <v/>
      </c>
      <c r="T31">
        <f>HYPERLINK("https://klasma.github.io/Logging_0980/kartor/A 25252-2021 karta.png", "A 25252-2021")</f>
        <v/>
      </c>
      <c r="V31">
        <f>HYPERLINK("https://klasma.github.io/Logging_0980/klagomål/A 25252-2021 FSC-klagomål.docx", "A 25252-2021")</f>
        <v/>
      </c>
      <c r="W31">
        <f>HYPERLINK("https://klasma.github.io/Logging_0980/klagomålsmail/A 25252-2021 FSC-klagomål mail.docx", "A 25252-2021")</f>
        <v/>
      </c>
      <c r="X31">
        <f>HYPERLINK("https://klasma.github.io/Logging_0980/tillsyn/A 25252-2021 tillsynsbegäran.docx", "A 25252-2021")</f>
        <v/>
      </c>
      <c r="Y31">
        <f>HYPERLINK("https://klasma.github.io/Logging_0980/tillsynsmail/A 25252-2021 tillsynsbegäran mail.docx", "A 25252-2021")</f>
        <v/>
      </c>
    </row>
    <row r="32" ht="15" customHeight="1">
      <c r="A32" t="inlineStr">
        <is>
          <t>A 43201-2023</t>
        </is>
      </c>
      <c r="B32" s="1" t="n">
        <v>45183</v>
      </c>
      <c r="C32" s="1" t="n">
        <v>45584</v>
      </c>
      <c r="D32" t="inlineStr">
        <is>
          <t>GOTLANDS LÄN</t>
        </is>
      </c>
      <c r="E32" t="inlineStr">
        <is>
          <t>GOTLAND</t>
        </is>
      </c>
      <c r="G32" t="n">
        <v>5.6</v>
      </c>
      <c r="H32" t="n">
        <v>0</v>
      </c>
      <c r="I32" t="n">
        <v>4</v>
      </c>
      <c r="J32" t="n">
        <v>2</v>
      </c>
      <c r="K32" t="n">
        <v>3</v>
      </c>
      <c r="L32" t="n">
        <v>1</v>
      </c>
      <c r="M32" t="n">
        <v>1</v>
      </c>
      <c r="N32" t="n">
        <v>0</v>
      </c>
      <c r="O32" t="n">
        <v>7</v>
      </c>
      <c r="P32" t="n">
        <v>5</v>
      </c>
      <c r="Q32" t="n">
        <v>11</v>
      </c>
      <c r="R32" s="2" t="inlineStr">
        <is>
          <t>Mörk lundlav
Norsk belonia
Almlav
Blek kraterlav
Mörk kraterlav
Lunglav
Skuggorangelav
Lönnlav
Rostfläck
Slät lönnlav
Vitskivlav</t>
        </is>
      </c>
      <c r="S32">
        <f>HYPERLINK("https://klasma.github.io/Logging_0980/artfynd/A 43201-2023 artfynd.xlsx", "A 43201-2023")</f>
        <v/>
      </c>
      <c r="T32">
        <f>HYPERLINK("https://klasma.github.io/Logging_0980/kartor/A 43201-2023 karta.png", "A 43201-2023")</f>
        <v/>
      </c>
      <c r="V32">
        <f>HYPERLINK("https://klasma.github.io/Logging_0980/klagomål/A 43201-2023 FSC-klagomål.docx", "A 43201-2023")</f>
        <v/>
      </c>
      <c r="W32">
        <f>HYPERLINK("https://klasma.github.io/Logging_0980/klagomålsmail/A 43201-2023 FSC-klagomål mail.docx", "A 43201-2023")</f>
        <v/>
      </c>
      <c r="X32">
        <f>HYPERLINK("https://klasma.github.io/Logging_0980/tillsyn/A 43201-2023 tillsynsbegäran.docx", "A 43201-2023")</f>
        <v/>
      </c>
      <c r="Y32">
        <f>HYPERLINK("https://klasma.github.io/Logging_0980/tillsynsmail/A 43201-2023 tillsynsbegäran mail.docx", "A 43201-2023")</f>
        <v/>
      </c>
    </row>
    <row r="33" ht="15" customHeight="1">
      <c r="A33" t="inlineStr">
        <is>
          <t>A 3372-2024</t>
        </is>
      </c>
      <c r="B33" s="1" t="n">
        <v>45317</v>
      </c>
      <c r="C33" s="1" t="n">
        <v>45584</v>
      </c>
      <c r="D33" t="inlineStr">
        <is>
          <t>GOTLANDS LÄN</t>
        </is>
      </c>
      <c r="E33" t="inlineStr">
        <is>
          <t>GOTLAND</t>
        </is>
      </c>
      <c r="G33" t="n">
        <v>6</v>
      </c>
      <c r="H33" t="n">
        <v>1</v>
      </c>
      <c r="I33" t="n">
        <v>5</v>
      </c>
      <c r="J33" t="n">
        <v>2</v>
      </c>
      <c r="K33" t="n">
        <v>2</v>
      </c>
      <c r="L33" t="n">
        <v>1</v>
      </c>
      <c r="M33" t="n">
        <v>1</v>
      </c>
      <c r="N33" t="n">
        <v>0</v>
      </c>
      <c r="O33" t="n">
        <v>6</v>
      </c>
      <c r="P33" t="n">
        <v>4</v>
      </c>
      <c r="Q33" t="n">
        <v>11</v>
      </c>
      <c r="R33" s="2" t="inlineStr">
        <is>
          <t>Lundalm
Ädellav
Gul lammticka
Vit taggsvamp
Barrviolspindling
Odörspindling
Anisspindling
Brandticka
Fjällig taggsvamp s.str.
Nästrot
Svavelriska</t>
        </is>
      </c>
      <c r="S33">
        <f>HYPERLINK("https://klasma.github.io/Logging_0980/artfynd/A 3372-2024 artfynd.xlsx", "A 3372-2024")</f>
        <v/>
      </c>
      <c r="T33">
        <f>HYPERLINK("https://klasma.github.io/Logging_0980/kartor/A 3372-2024 karta.png", "A 3372-2024")</f>
        <v/>
      </c>
      <c r="V33">
        <f>HYPERLINK("https://klasma.github.io/Logging_0980/klagomål/A 3372-2024 FSC-klagomål.docx", "A 3372-2024")</f>
        <v/>
      </c>
      <c r="W33">
        <f>HYPERLINK("https://klasma.github.io/Logging_0980/klagomålsmail/A 3372-2024 FSC-klagomål mail.docx", "A 3372-2024")</f>
        <v/>
      </c>
      <c r="X33">
        <f>HYPERLINK("https://klasma.github.io/Logging_0980/tillsyn/A 3372-2024 tillsynsbegäran.docx", "A 3372-2024")</f>
        <v/>
      </c>
      <c r="Y33">
        <f>HYPERLINK("https://klasma.github.io/Logging_0980/tillsynsmail/A 3372-2024 tillsynsbegäran mail.docx", "A 3372-2024")</f>
        <v/>
      </c>
    </row>
    <row r="34" ht="15" customHeight="1">
      <c r="A34" t="inlineStr">
        <is>
          <t>A 5686-2024</t>
        </is>
      </c>
      <c r="B34" s="1" t="n">
        <v>45334</v>
      </c>
      <c r="C34" s="1" t="n">
        <v>45584</v>
      </c>
      <c r="D34" t="inlineStr">
        <is>
          <t>GOTLANDS LÄN</t>
        </is>
      </c>
      <c r="E34" t="inlineStr">
        <is>
          <t>GOTLAND</t>
        </is>
      </c>
      <c r="G34" t="n">
        <v>6</v>
      </c>
      <c r="H34" t="n">
        <v>9</v>
      </c>
      <c r="I34" t="n">
        <v>1</v>
      </c>
      <c r="J34" t="n">
        <v>3</v>
      </c>
      <c r="K34" t="n">
        <v>0</v>
      </c>
      <c r="L34" t="n">
        <v>0</v>
      </c>
      <c r="M34" t="n">
        <v>0</v>
      </c>
      <c r="N34" t="n">
        <v>0</v>
      </c>
      <c r="O34" t="n">
        <v>3</v>
      </c>
      <c r="P34" t="n">
        <v>0</v>
      </c>
      <c r="Q34" t="n">
        <v>11</v>
      </c>
      <c r="R34" s="2" t="inlineStr">
        <is>
          <t>Grönsångare
Majviva
Ängsstarr
Purpurknipprot
Halsbandsflugsnappare
Skogsduva
Brudsporre
Dactylorhiza incarnata subsp. incarnata
Fläcknycklar
Grönvit nattviol
Kärrknipprot</t>
        </is>
      </c>
      <c r="S34">
        <f>HYPERLINK("https://klasma.github.io/Logging_0980/artfynd/A 5686-2024 artfynd.xlsx", "A 5686-2024")</f>
        <v/>
      </c>
      <c r="T34">
        <f>HYPERLINK("https://klasma.github.io/Logging_0980/kartor/A 5686-2024 karta.png", "A 5686-2024")</f>
        <v/>
      </c>
      <c r="V34">
        <f>HYPERLINK("https://klasma.github.io/Logging_0980/klagomål/A 5686-2024 FSC-klagomål.docx", "A 5686-2024")</f>
        <v/>
      </c>
      <c r="W34">
        <f>HYPERLINK("https://klasma.github.io/Logging_0980/klagomålsmail/A 5686-2024 FSC-klagomål mail.docx", "A 5686-2024")</f>
        <v/>
      </c>
      <c r="X34">
        <f>HYPERLINK("https://klasma.github.io/Logging_0980/tillsyn/A 5686-2024 tillsynsbegäran.docx", "A 5686-2024")</f>
        <v/>
      </c>
      <c r="Y34">
        <f>HYPERLINK("https://klasma.github.io/Logging_0980/tillsynsmail/A 5686-2024 tillsynsbegäran mail.docx", "A 5686-2024")</f>
        <v/>
      </c>
      <c r="Z34">
        <f>HYPERLINK("https://klasma.github.io/Logging_0980/fåglar/A 5686-2024 prioriterade fågelarter.docx", "A 5686-2024")</f>
        <v/>
      </c>
    </row>
    <row r="35" ht="15" customHeight="1">
      <c r="A35" t="inlineStr">
        <is>
          <t>A 6052-2024</t>
        </is>
      </c>
      <c r="B35" s="1" t="n">
        <v>45336</v>
      </c>
      <c r="C35" s="1" t="n">
        <v>45584</v>
      </c>
      <c r="D35" t="inlineStr">
        <is>
          <t>GOTLANDS LÄN</t>
        </is>
      </c>
      <c r="E35" t="inlineStr">
        <is>
          <t>GOTLAND</t>
        </is>
      </c>
      <c r="G35" t="n">
        <v>10.3</v>
      </c>
      <c r="H35" t="n">
        <v>1</v>
      </c>
      <c r="I35" t="n">
        <v>3</v>
      </c>
      <c r="J35" t="n">
        <v>6</v>
      </c>
      <c r="K35" t="n">
        <v>2</v>
      </c>
      <c r="L35" t="n">
        <v>0</v>
      </c>
      <c r="M35" t="n">
        <v>0</v>
      </c>
      <c r="N35" t="n">
        <v>0</v>
      </c>
      <c r="O35" t="n">
        <v>8</v>
      </c>
      <c r="P35" t="n">
        <v>2</v>
      </c>
      <c r="Q35" t="n">
        <v>11</v>
      </c>
      <c r="R35" s="2" t="inlineStr">
        <is>
          <t>Lansettfibbla
Narrspindling
Ladlav
Odörspindling
Smedbock
Svinrot
Tallticka
Vippärt
Anisspindling
Nästrot
Vårärt</t>
        </is>
      </c>
      <c r="S35">
        <f>HYPERLINK("https://klasma.github.io/Logging_0980/artfynd/A 6052-2024 artfynd.xlsx", "A 6052-2024")</f>
        <v/>
      </c>
      <c r="T35">
        <f>HYPERLINK("https://klasma.github.io/Logging_0980/kartor/A 6052-2024 karta.png", "A 6052-2024")</f>
        <v/>
      </c>
      <c r="V35">
        <f>HYPERLINK("https://klasma.github.io/Logging_0980/klagomål/A 6052-2024 FSC-klagomål.docx", "A 6052-2024")</f>
        <v/>
      </c>
      <c r="W35">
        <f>HYPERLINK("https://klasma.github.io/Logging_0980/klagomålsmail/A 6052-2024 FSC-klagomål mail.docx", "A 6052-2024")</f>
        <v/>
      </c>
      <c r="X35">
        <f>HYPERLINK("https://klasma.github.io/Logging_0980/tillsyn/A 6052-2024 tillsynsbegäran.docx", "A 6052-2024")</f>
        <v/>
      </c>
      <c r="Y35">
        <f>HYPERLINK("https://klasma.github.io/Logging_0980/tillsynsmail/A 6052-2024 tillsynsbegäran mail.docx", "A 6052-2024")</f>
        <v/>
      </c>
    </row>
    <row r="36" ht="15" customHeight="1">
      <c r="A36" t="inlineStr">
        <is>
          <t>A 11176-2024</t>
        </is>
      </c>
      <c r="B36" s="1" t="n">
        <v>45371</v>
      </c>
      <c r="C36" s="1" t="n">
        <v>45584</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18957-2024</t>
        </is>
      </c>
      <c r="B37" s="1" t="n">
        <v>45427</v>
      </c>
      <c r="C37" s="1" t="n">
        <v>45584</v>
      </c>
      <c r="D37" t="inlineStr">
        <is>
          <t>GOTLANDS LÄN</t>
        </is>
      </c>
      <c r="E37" t="inlineStr">
        <is>
          <t>GOTLAND</t>
        </is>
      </c>
      <c r="G37" t="n">
        <v>7</v>
      </c>
      <c r="H37" t="n">
        <v>7</v>
      </c>
      <c r="I37" t="n">
        <v>2</v>
      </c>
      <c r="J37" t="n">
        <v>6</v>
      </c>
      <c r="K37" t="n">
        <v>0</v>
      </c>
      <c r="L37" t="n">
        <v>0</v>
      </c>
      <c r="M37" t="n">
        <v>0</v>
      </c>
      <c r="N37" t="n">
        <v>0</v>
      </c>
      <c r="O37" t="n">
        <v>6</v>
      </c>
      <c r="P37" t="n">
        <v>0</v>
      </c>
      <c r="Q37" t="n">
        <v>11</v>
      </c>
      <c r="R37" s="2" t="inlineStr">
        <is>
          <t>Dårgräsfjäril
Jordtistel
Sexfläckig bastardsvärmare
Solvända
Svartfläckig blåvinge
Svinrot
Skogsknipprot
Tvåblad
Nattviol
Blåsippa
Revlummer</t>
        </is>
      </c>
      <c r="S37">
        <f>HYPERLINK("https://klasma.github.io/Logging_0980/artfynd/A 18957-2024 artfynd.xlsx", "A 18957-2024")</f>
        <v/>
      </c>
      <c r="T37">
        <f>HYPERLINK("https://klasma.github.io/Logging_0980/kartor/A 18957-2024 karta.png", "A 18957-2024")</f>
        <v/>
      </c>
      <c r="V37">
        <f>HYPERLINK("https://klasma.github.io/Logging_0980/klagomål/A 18957-2024 FSC-klagomål.docx", "A 18957-2024")</f>
        <v/>
      </c>
      <c r="W37">
        <f>HYPERLINK("https://klasma.github.io/Logging_0980/klagomålsmail/A 18957-2024 FSC-klagomål mail.docx", "A 18957-2024")</f>
        <v/>
      </c>
      <c r="X37">
        <f>HYPERLINK("https://klasma.github.io/Logging_0980/tillsyn/A 18957-2024 tillsynsbegäran.docx", "A 18957-2024")</f>
        <v/>
      </c>
      <c r="Y37">
        <f>HYPERLINK("https://klasma.github.io/Logging_0980/tillsynsmail/A 18957-2024 tillsynsbegäran mail.docx", "A 18957-2024")</f>
        <v/>
      </c>
    </row>
    <row r="38" ht="15" customHeight="1">
      <c r="A38" t="inlineStr">
        <is>
          <t>A 64683-2023</t>
        </is>
      </c>
      <c r="B38" s="1" t="n">
        <v>45281</v>
      </c>
      <c r="C38" s="1" t="n">
        <v>45584</v>
      </c>
      <c r="D38" t="inlineStr">
        <is>
          <t>GOTLANDS LÄN</t>
        </is>
      </c>
      <c r="E38" t="inlineStr">
        <is>
          <t>GOTLAND</t>
        </is>
      </c>
      <c r="G38" t="n">
        <v>6.3</v>
      </c>
      <c r="H38" t="n">
        <v>0</v>
      </c>
      <c r="I38" t="n">
        <v>7</v>
      </c>
      <c r="J38" t="n">
        <v>1</v>
      </c>
      <c r="K38" t="n">
        <v>2</v>
      </c>
      <c r="L38" t="n">
        <v>0</v>
      </c>
      <c r="M38" t="n">
        <v>0</v>
      </c>
      <c r="N38" t="n">
        <v>0</v>
      </c>
      <c r="O38" t="n">
        <v>3</v>
      </c>
      <c r="P38" t="n">
        <v>2</v>
      </c>
      <c r="Q38" t="n">
        <v>10</v>
      </c>
      <c r="R38" s="2" t="inlineStr">
        <is>
          <t>Gulsträngad fagerspindling
Violettfläckig spindling
Odörspindling
Anisspindling
Blomkålssvamp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17739-2024</t>
        </is>
      </c>
      <c r="B39" s="1" t="n">
        <v>45418</v>
      </c>
      <c r="C39" s="1" t="n">
        <v>45584</v>
      </c>
      <c r="D39" t="inlineStr">
        <is>
          <t>GOTLANDS LÄN</t>
        </is>
      </c>
      <c r="E39" t="inlineStr">
        <is>
          <t>GOTLAND</t>
        </is>
      </c>
      <c r="G39" t="n">
        <v>14.3</v>
      </c>
      <c r="H39" t="n">
        <v>3</v>
      </c>
      <c r="I39" t="n">
        <v>2</v>
      </c>
      <c r="J39" t="n">
        <v>6</v>
      </c>
      <c r="K39" t="n">
        <v>1</v>
      </c>
      <c r="L39" t="n">
        <v>0</v>
      </c>
      <c r="M39" t="n">
        <v>0</v>
      </c>
      <c r="N39" t="n">
        <v>0</v>
      </c>
      <c r="O39" t="n">
        <v>7</v>
      </c>
      <c r="P39" t="n">
        <v>1</v>
      </c>
      <c r="Q39" t="n">
        <v>10</v>
      </c>
      <c r="R39" s="2" t="inlineStr">
        <is>
          <t>Ljungsnärja
Axveronika
Backtimjan
Flentimotej
Havsörn
Jordtistel
Solvända
Blåmossa
Tvåblad
Blåsippa</t>
        </is>
      </c>
      <c r="S39">
        <f>HYPERLINK("https://klasma.github.io/Logging_0980/artfynd/A 17739-2024 artfynd.xlsx", "A 17739-2024")</f>
        <v/>
      </c>
      <c r="T39">
        <f>HYPERLINK("https://klasma.github.io/Logging_0980/kartor/A 17739-2024 karta.png", "A 17739-2024")</f>
        <v/>
      </c>
      <c r="V39">
        <f>HYPERLINK("https://klasma.github.io/Logging_0980/klagomål/A 17739-2024 FSC-klagomål.docx", "A 17739-2024")</f>
        <v/>
      </c>
      <c r="W39">
        <f>HYPERLINK("https://klasma.github.io/Logging_0980/klagomålsmail/A 17739-2024 FSC-klagomål mail.docx", "A 17739-2024")</f>
        <v/>
      </c>
      <c r="X39">
        <f>HYPERLINK("https://klasma.github.io/Logging_0980/tillsyn/A 17739-2024 tillsynsbegäran.docx", "A 17739-2024")</f>
        <v/>
      </c>
      <c r="Y39">
        <f>HYPERLINK("https://klasma.github.io/Logging_0980/tillsynsmail/A 17739-2024 tillsynsbegäran mail.docx", "A 17739-2024")</f>
        <v/>
      </c>
      <c r="Z39">
        <f>HYPERLINK("https://klasma.github.io/Logging_0980/fåglar/A 17739-2024 prioriterade fågelarter.docx", "A 17739-2024")</f>
        <v/>
      </c>
    </row>
    <row r="40" ht="15" customHeight="1">
      <c r="A40" t="inlineStr">
        <is>
          <t>A 22404-2024</t>
        </is>
      </c>
      <c r="B40" s="1" t="n">
        <v>45446</v>
      </c>
      <c r="C40" s="1" t="n">
        <v>45584</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33153-2024</t>
        </is>
      </c>
      <c r="B41" s="1" t="n">
        <v>45518</v>
      </c>
      <c r="C41" s="1" t="n">
        <v>45584</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63872-2021</t>
        </is>
      </c>
      <c r="B42" s="1" t="n">
        <v>44509</v>
      </c>
      <c r="C42" s="1" t="n">
        <v>45584</v>
      </c>
      <c r="D42" t="inlineStr">
        <is>
          <t>GOTLANDS LÄN</t>
        </is>
      </c>
      <c r="E42" t="inlineStr">
        <is>
          <t>GOTLAND</t>
        </is>
      </c>
      <c r="G42" t="n">
        <v>20.5</v>
      </c>
      <c r="H42" t="n">
        <v>2</v>
      </c>
      <c r="I42" t="n">
        <v>0</v>
      </c>
      <c r="J42" t="n">
        <v>3</v>
      </c>
      <c r="K42" t="n">
        <v>4</v>
      </c>
      <c r="L42" t="n">
        <v>0</v>
      </c>
      <c r="M42" t="n">
        <v>0</v>
      </c>
      <c r="N42" t="n">
        <v>0</v>
      </c>
      <c r="O42" t="n">
        <v>7</v>
      </c>
      <c r="P42" t="n">
        <v>4</v>
      </c>
      <c r="Q42" t="n">
        <v>9</v>
      </c>
      <c r="R42" s="2" t="inlineStr">
        <is>
          <t>Duvspindling
Gulsträngad fagerspindling
Svartgrön spindling
Tallpraktspindling
Jordtistel
Lundvaxskivling
Odörspindling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row>
    <row r="43" ht="15" customHeight="1">
      <c r="A43" t="inlineStr">
        <is>
          <t>A 8915-2023</t>
        </is>
      </c>
      <c r="B43" s="1" t="n">
        <v>44973</v>
      </c>
      <c r="C43" s="1" t="n">
        <v>45584</v>
      </c>
      <c r="D43" t="inlineStr">
        <is>
          <t>GOTLANDS LÄN</t>
        </is>
      </c>
      <c r="E43" t="inlineStr">
        <is>
          <t>GOTLAND</t>
        </is>
      </c>
      <c r="G43" t="n">
        <v>3.3</v>
      </c>
      <c r="H43" t="n">
        <v>0</v>
      </c>
      <c r="I43" t="n">
        <v>3</v>
      </c>
      <c r="J43" t="n">
        <v>3</v>
      </c>
      <c r="K43" t="n">
        <v>3</v>
      </c>
      <c r="L43" t="n">
        <v>0</v>
      </c>
      <c r="M43" t="n">
        <v>0</v>
      </c>
      <c r="N43" t="n">
        <v>0</v>
      </c>
      <c r="O43" t="n">
        <v>6</v>
      </c>
      <c r="P43" t="n">
        <v>3</v>
      </c>
      <c r="Q43" t="n">
        <v>9</v>
      </c>
      <c r="R43" s="2" t="inlineStr">
        <is>
          <t>Gul lammticka
Lammticka
Tvillingspindling
Mjölsvärting
Odörspindling
Svart taggsvamp
Blå slemspindling
Fransig jordstjärna
Skarp dropptaggsvamp</t>
        </is>
      </c>
      <c r="S43">
        <f>HYPERLINK("https://klasma.github.io/Logging_0980/artfynd/A 8915-2023 artfynd.xlsx", "A 8915-2023")</f>
        <v/>
      </c>
      <c r="T43">
        <f>HYPERLINK("https://klasma.github.io/Logging_0980/kartor/A 8915-2023 karta.png", "A 8915-2023")</f>
        <v/>
      </c>
      <c r="V43">
        <f>HYPERLINK("https://klasma.github.io/Logging_0980/klagomål/A 8915-2023 FSC-klagomål.docx", "A 8915-2023")</f>
        <v/>
      </c>
      <c r="W43">
        <f>HYPERLINK("https://klasma.github.io/Logging_0980/klagomålsmail/A 8915-2023 FSC-klagomål mail.docx", "A 8915-2023")</f>
        <v/>
      </c>
      <c r="X43">
        <f>HYPERLINK("https://klasma.github.io/Logging_0980/tillsyn/A 8915-2023 tillsynsbegäran.docx", "A 8915-2023")</f>
        <v/>
      </c>
      <c r="Y43">
        <f>HYPERLINK("https://klasma.github.io/Logging_0980/tillsynsmail/A 8915-2023 tillsynsbegäran mail.docx", "A 8915-2023")</f>
        <v/>
      </c>
    </row>
    <row r="44" ht="15" customHeight="1">
      <c r="A44" t="inlineStr">
        <is>
          <t>A 39376-2023</t>
        </is>
      </c>
      <c r="B44" s="1" t="n">
        <v>45166</v>
      </c>
      <c r="C44" s="1" t="n">
        <v>45584</v>
      </c>
      <c r="D44" t="inlineStr">
        <is>
          <t>GOTLANDS LÄN</t>
        </is>
      </c>
      <c r="E44" t="inlineStr">
        <is>
          <t>GOTLAND</t>
        </is>
      </c>
      <c r="G44" t="n">
        <v>9.199999999999999</v>
      </c>
      <c r="H44" t="n">
        <v>1</v>
      </c>
      <c r="I44" t="n">
        <v>5</v>
      </c>
      <c r="J44" t="n">
        <v>4</v>
      </c>
      <c r="K44" t="n">
        <v>0</v>
      </c>
      <c r="L44" t="n">
        <v>0</v>
      </c>
      <c r="M44" t="n">
        <v>0</v>
      </c>
      <c r="N44" t="n">
        <v>0</v>
      </c>
      <c r="O44" t="n">
        <v>4</v>
      </c>
      <c r="P44" t="n">
        <v>0</v>
      </c>
      <c r="Q44" t="n">
        <v>9</v>
      </c>
      <c r="R44" s="2" t="inlineStr">
        <is>
          <t>Flattoppad klubbsvamp
Gulfotad denisespindling
Odörspindling
Äggspindling
Anisspindling
Blå slemspindling
Kattfotslav
Rödgul trumpetsvamp
Skogsknipprot</t>
        </is>
      </c>
      <c r="S44">
        <f>HYPERLINK("https://klasma.github.io/Logging_0980/artfynd/A 39376-2023 artfynd.xlsx", "A 39376-2023")</f>
        <v/>
      </c>
      <c r="T44">
        <f>HYPERLINK("https://klasma.github.io/Logging_0980/kartor/A 39376-2023 karta.png", "A 39376-2023")</f>
        <v/>
      </c>
      <c r="V44">
        <f>HYPERLINK("https://klasma.github.io/Logging_0980/klagomål/A 39376-2023 FSC-klagomål.docx", "A 39376-2023")</f>
        <v/>
      </c>
      <c r="W44">
        <f>HYPERLINK("https://klasma.github.io/Logging_0980/klagomålsmail/A 39376-2023 FSC-klagomål mail.docx", "A 39376-2023")</f>
        <v/>
      </c>
      <c r="X44">
        <f>HYPERLINK("https://klasma.github.io/Logging_0980/tillsyn/A 39376-2023 tillsynsbegäran.docx", "A 39376-2023")</f>
        <v/>
      </c>
      <c r="Y44">
        <f>HYPERLINK("https://klasma.github.io/Logging_0980/tillsynsmail/A 39376-2023 tillsynsbegäran mail.docx", "A 39376-2023")</f>
        <v/>
      </c>
    </row>
    <row r="45" ht="15" customHeight="1">
      <c r="A45" t="inlineStr">
        <is>
          <t>A 455-2020</t>
        </is>
      </c>
      <c r="B45" s="1" t="n">
        <v>43837</v>
      </c>
      <c r="C45" s="1" t="n">
        <v>45584</v>
      </c>
      <c r="D45" t="inlineStr">
        <is>
          <t>GOTLANDS LÄN</t>
        </is>
      </c>
      <c r="E45" t="inlineStr">
        <is>
          <t>GOTLAND</t>
        </is>
      </c>
      <c r="G45" t="n">
        <v>7.9</v>
      </c>
      <c r="H45" t="n">
        <v>0</v>
      </c>
      <c r="I45" t="n">
        <v>4</v>
      </c>
      <c r="J45" t="n">
        <v>2</v>
      </c>
      <c r="K45" t="n">
        <v>2</v>
      </c>
      <c r="L45" t="n">
        <v>0</v>
      </c>
      <c r="M45" t="n">
        <v>0</v>
      </c>
      <c r="N45" t="n">
        <v>0</v>
      </c>
      <c r="O45" t="n">
        <v>4</v>
      </c>
      <c r="P45" t="n">
        <v>2</v>
      </c>
      <c r="Q45" t="n">
        <v>8</v>
      </c>
      <c r="R45" s="2" t="inlineStr">
        <is>
          <t>Duvspindling
Violettfläckig spindling
Odörspindling
Äggspindling
Anisspindling
Blå slemspindling
Fjällig taggsvamp s.str.
Svavelriska</t>
        </is>
      </c>
      <c r="S45">
        <f>HYPERLINK("https://klasma.github.io/Logging_0980/artfynd/A 455-2020 artfynd.xlsx", "A 455-2020")</f>
        <v/>
      </c>
      <c r="T45">
        <f>HYPERLINK("https://klasma.github.io/Logging_0980/kartor/A 455-2020 karta.png", "A 455-2020")</f>
        <v/>
      </c>
      <c r="V45">
        <f>HYPERLINK("https://klasma.github.io/Logging_0980/klagomål/A 455-2020 FSC-klagomål.docx", "A 455-2020")</f>
        <v/>
      </c>
      <c r="W45">
        <f>HYPERLINK("https://klasma.github.io/Logging_0980/klagomålsmail/A 455-2020 FSC-klagomål mail.docx", "A 455-2020")</f>
        <v/>
      </c>
      <c r="X45">
        <f>HYPERLINK("https://klasma.github.io/Logging_0980/tillsyn/A 455-2020 tillsynsbegäran.docx", "A 455-2020")</f>
        <v/>
      </c>
      <c r="Y45">
        <f>HYPERLINK("https://klasma.github.io/Logging_0980/tillsynsmail/A 455-2020 tillsynsbegäran mail.docx", "A 455-2020")</f>
        <v/>
      </c>
    </row>
    <row r="46" ht="15" customHeight="1">
      <c r="A46" t="inlineStr">
        <is>
          <t>A 10699-2020</t>
        </is>
      </c>
      <c r="B46" s="1" t="n">
        <v>43888</v>
      </c>
      <c r="C46" s="1" t="n">
        <v>45584</v>
      </c>
      <c r="D46" t="inlineStr">
        <is>
          <t>GOTLANDS LÄN</t>
        </is>
      </c>
      <c r="E46" t="inlineStr">
        <is>
          <t>GOTLAND</t>
        </is>
      </c>
      <c r="F46" t="inlineStr">
        <is>
          <t>Övriga statliga verk och myndigheter</t>
        </is>
      </c>
      <c r="G46" t="n">
        <v>51.4</v>
      </c>
      <c r="H46" t="n">
        <v>6</v>
      </c>
      <c r="I46" t="n">
        <v>3</v>
      </c>
      <c r="J46" t="n">
        <v>3</v>
      </c>
      <c r="K46" t="n">
        <v>0</v>
      </c>
      <c r="L46" t="n">
        <v>0</v>
      </c>
      <c r="M46" t="n">
        <v>0</v>
      </c>
      <c r="N46" t="n">
        <v>0</v>
      </c>
      <c r="O46" t="n">
        <v>3</v>
      </c>
      <c r="P46" t="n">
        <v>0</v>
      </c>
      <c r="Q46" t="n">
        <v>8</v>
      </c>
      <c r="R46" s="2" t="inlineStr">
        <is>
          <t>Luktsporre
Röd skogslilja
Småtörel
Anisspindling
Nästrot
Purpurknipprot
Fläcknycklar
Kärrknipprot</t>
        </is>
      </c>
      <c r="S46">
        <f>HYPERLINK("https://klasma.github.io/Logging_0980/artfynd/A 10699-2020 artfynd.xlsx", "A 10699-2020")</f>
        <v/>
      </c>
      <c r="T46">
        <f>HYPERLINK("https://klasma.github.io/Logging_0980/kartor/A 10699-2020 karta.png", "A 10699-2020")</f>
        <v/>
      </c>
      <c r="V46">
        <f>HYPERLINK("https://klasma.github.io/Logging_0980/klagomål/A 10699-2020 FSC-klagomål.docx", "A 10699-2020")</f>
        <v/>
      </c>
      <c r="W46">
        <f>HYPERLINK("https://klasma.github.io/Logging_0980/klagomålsmail/A 10699-2020 FSC-klagomål mail.docx", "A 10699-2020")</f>
        <v/>
      </c>
      <c r="X46">
        <f>HYPERLINK("https://klasma.github.io/Logging_0980/tillsyn/A 10699-2020 tillsynsbegäran.docx", "A 10699-2020")</f>
        <v/>
      </c>
      <c r="Y46">
        <f>HYPERLINK("https://klasma.github.io/Logging_0980/tillsynsmail/A 10699-2020 tillsynsbegäran mail.docx", "A 10699-2020")</f>
        <v/>
      </c>
    </row>
    <row r="47" ht="15" customHeight="1">
      <c r="A47" t="inlineStr">
        <is>
          <t>A 13990-2020</t>
        </is>
      </c>
      <c r="B47" s="1" t="n">
        <v>43906</v>
      </c>
      <c r="C47" s="1" t="n">
        <v>45584</v>
      </c>
      <c r="D47" t="inlineStr">
        <is>
          <t>GOTLANDS LÄN</t>
        </is>
      </c>
      <c r="E47" t="inlineStr">
        <is>
          <t>GOTLAND</t>
        </is>
      </c>
      <c r="F47" t="inlineStr">
        <is>
          <t>Övriga Aktiebolag</t>
        </is>
      </c>
      <c r="G47" t="n">
        <v>2.3</v>
      </c>
      <c r="H47" t="n">
        <v>2</v>
      </c>
      <c r="I47" t="n">
        <v>3</v>
      </c>
      <c r="J47" t="n">
        <v>1</v>
      </c>
      <c r="K47" t="n">
        <v>1</v>
      </c>
      <c r="L47" t="n">
        <v>2</v>
      </c>
      <c r="M47" t="n">
        <v>0</v>
      </c>
      <c r="N47" t="n">
        <v>0</v>
      </c>
      <c r="O47" t="n">
        <v>4</v>
      </c>
      <c r="P47" t="n">
        <v>3</v>
      </c>
      <c r="Q47" t="n">
        <v>8</v>
      </c>
      <c r="R47" s="2" t="inlineStr">
        <is>
          <t>Norsk belonia
Ädellav
Gulbrunt nejlikfly
Lordithon pulchellus
Dorcatoma dresdensis
Nästrot
Rikfruktig blemlav
Halsbandsflugsnappare</t>
        </is>
      </c>
      <c r="S47">
        <f>HYPERLINK("https://klasma.github.io/Logging_0980/artfynd/A 13990-2020 artfynd.xlsx", "A 13990-2020")</f>
        <v/>
      </c>
      <c r="T47">
        <f>HYPERLINK("https://klasma.github.io/Logging_0980/kartor/A 13990-2020 karta.png", "A 13990-2020")</f>
        <v/>
      </c>
      <c r="V47">
        <f>HYPERLINK("https://klasma.github.io/Logging_0980/klagomål/A 13990-2020 FSC-klagomål.docx", "A 13990-2020")</f>
        <v/>
      </c>
      <c r="W47">
        <f>HYPERLINK("https://klasma.github.io/Logging_0980/klagomålsmail/A 13990-2020 FSC-klagomål mail.docx", "A 13990-2020")</f>
        <v/>
      </c>
      <c r="X47">
        <f>HYPERLINK("https://klasma.github.io/Logging_0980/tillsyn/A 13990-2020 tillsynsbegäran.docx", "A 13990-2020")</f>
        <v/>
      </c>
      <c r="Y47">
        <f>HYPERLINK("https://klasma.github.io/Logging_0980/tillsynsmail/A 13990-2020 tillsynsbegäran mail.docx", "A 13990-2020")</f>
        <v/>
      </c>
      <c r="Z47">
        <f>HYPERLINK("https://klasma.github.io/Logging_0980/fåglar/A 13990-2020 prioriterade fågelarter.docx", "A 13990-2020")</f>
        <v/>
      </c>
    </row>
    <row r="48" ht="15" customHeight="1">
      <c r="A48" t="inlineStr">
        <is>
          <t>A 21371-2020</t>
        </is>
      </c>
      <c r="B48" s="1" t="n">
        <v>43955</v>
      </c>
      <c r="C48" s="1" t="n">
        <v>45584</v>
      </c>
      <c r="D48" t="inlineStr">
        <is>
          <t>GOTLANDS LÄN</t>
        </is>
      </c>
      <c r="E48" t="inlineStr">
        <is>
          <t>GOTLAND</t>
        </is>
      </c>
      <c r="G48" t="n">
        <v>2</v>
      </c>
      <c r="H48" t="n">
        <v>0</v>
      </c>
      <c r="I48" t="n">
        <v>5</v>
      </c>
      <c r="J48" t="n">
        <v>0</v>
      </c>
      <c r="K48" t="n">
        <v>3</v>
      </c>
      <c r="L48" t="n">
        <v>0</v>
      </c>
      <c r="M48" t="n">
        <v>0</v>
      </c>
      <c r="N48" t="n">
        <v>0</v>
      </c>
      <c r="O48" t="n">
        <v>3</v>
      </c>
      <c r="P48" t="n">
        <v>3</v>
      </c>
      <c r="Q48" t="n">
        <v>8</v>
      </c>
      <c r="R48" s="2" t="inlineStr">
        <is>
          <t>Gulsträngad fagerspindling
Mörkfjällig olivspindling
Violettfläckig spindling
Anisspindling
Blå slemspindling
Fjällig taggsvamp s.str.
Kryddspindling
Olivspindling</t>
        </is>
      </c>
      <c r="S48">
        <f>HYPERLINK("https://klasma.github.io/Logging_0980/artfynd/A 21371-2020 artfynd.xlsx", "A 21371-2020")</f>
        <v/>
      </c>
      <c r="T48">
        <f>HYPERLINK("https://klasma.github.io/Logging_0980/kartor/A 21371-2020 karta.png", "A 21371-2020")</f>
        <v/>
      </c>
      <c r="V48">
        <f>HYPERLINK("https://klasma.github.io/Logging_0980/klagomål/A 21371-2020 FSC-klagomål.docx", "A 21371-2020")</f>
        <v/>
      </c>
      <c r="W48">
        <f>HYPERLINK("https://klasma.github.io/Logging_0980/klagomålsmail/A 21371-2020 FSC-klagomål mail.docx", "A 21371-2020")</f>
        <v/>
      </c>
      <c r="X48">
        <f>HYPERLINK("https://klasma.github.io/Logging_0980/tillsyn/A 21371-2020 tillsynsbegäran.docx", "A 21371-2020")</f>
        <v/>
      </c>
      <c r="Y48">
        <f>HYPERLINK("https://klasma.github.io/Logging_0980/tillsynsmail/A 21371-2020 tillsynsbegäran mail.docx", "A 21371-2020")</f>
        <v/>
      </c>
    </row>
    <row r="49" ht="15" customHeight="1">
      <c r="A49" t="inlineStr">
        <is>
          <t>A 1769-2022</t>
        </is>
      </c>
      <c r="B49" s="1" t="n">
        <v>44574</v>
      </c>
      <c r="C49" s="1" t="n">
        <v>45584</v>
      </c>
      <c r="D49" t="inlineStr">
        <is>
          <t>GOTLANDS LÄN</t>
        </is>
      </c>
      <c r="E49" t="inlineStr">
        <is>
          <t>GOTLAND</t>
        </is>
      </c>
      <c r="G49" t="n">
        <v>31.3</v>
      </c>
      <c r="H49" t="n">
        <v>5</v>
      </c>
      <c r="I49" t="n">
        <v>1</v>
      </c>
      <c r="J49" t="n">
        <v>3</v>
      </c>
      <c r="K49" t="n">
        <v>0</v>
      </c>
      <c r="L49" t="n">
        <v>0</v>
      </c>
      <c r="M49" t="n">
        <v>0</v>
      </c>
      <c r="N49" t="n">
        <v>0</v>
      </c>
      <c r="O49" t="n">
        <v>3</v>
      </c>
      <c r="P49" t="n">
        <v>0</v>
      </c>
      <c r="Q49" t="n">
        <v>8</v>
      </c>
      <c r="R49" s="2" t="inlineStr">
        <is>
          <t>Loppstarr
Majviva
Ängsstarr
Flugblomster
Brudsporre
Dactylorhiza incarnata subsp. incarnata
Grönvit nattviol
Kärrknipprot</t>
        </is>
      </c>
      <c r="S49">
        <f>HYPERLINK("https://klasma.github.io/Logging_0980/artfynd/A 1769-2022 artfynd.xlsx", "A 1769-2022")</f>
        <v/>
      </c>
      <c r="T49">
        <f>HYPERLINK("https://klasma.github.io/Logging_0980/kartor/A 1769-2022 karta.png", "A 1769-2022")</f>
        <v/>
      </c>
      <c r="V49">
        <f>HYPERLINK("https://klasma.github.io/Logging_0980/klagomål/A 1769-2022 FSC-klagomål.docx", "A 1769-2022")</f>
        <v/>
      </c>
      <c r="W49">
        <f>HYPERLINK("https://klasma.github.io/Logging_0980/klagomålsmail/A 1769-2022 FSC-klagomål mail.docx", "A 1769-2022")</f>
        <v/>
      </c>
      <c r="X49">
        <f>HYPERLINK("https://klasma.github.io/Logging_0980/tillsyn/A 1769-2022 tillsynsbegäran.docx", "A 1769-2022")</f>
        <v/>
      </c>
      <c r="Y49">
        <f>HYPERLINK("https://klasma.github.io/Logging_0980/tillsynsmail/A 1769-2022 tillsynsbegäran mail.docx", "A 1769-2022")</f>
        <v/>
      </c>
    </row>
    <row r="50" ht="15" customHeight="1">
      <c r="A50" t="inlineStr">
        <is>
          <t>A 22318-2022</t>
        </is>
      </c>
      <c r="B50" s="1" t="n">
        <v>44712</v>
      </c>
      <c r="C50" s="1" t="n">
        <v>45584</v>
      </c>
      <c r="D50" t="inlineStr">
        <is>
          <t>GOTLANDS LÄN</t>
        </is>
      </c>
      <c r="E50" t="inlineStr">
        <is>
          <t>GOTLAND</t>
        </is>
      </c>
      <c r="G50" t="n">
        <v>3</v>
      </c>
      <c r="H50" t="n">
        <v>0</v>
      </c>
      <c r="I50" t="n">
        <v>4</v>
      </c>
      <c r="J50" t="n">
        <v>2</v>
      </c>
      <c r="K50" t="n">
        <v>2</v>
      </c>
      <c r="L50" t="n">
        <v>0</v>
      </c>
      <c r="M50" t="n">
        <v>0</v>
      </c>
      <c r="N50" t="n">
        <v>0</v>
      </c>
      <c r="O50" t="n">
        <v>4</v>
      </c>
      <c r="P50" t="n">
        <v>2</v>
      </c>
      <c r="Q50" t="n">
        <v>8</v>
      </c>
      <c r="R50" s="2" t="inlineStr">
        <is>
          <t>Duvspindling
Mörk kraterlav
Odörspindling
Svinrot
Anisspindling
Blå slemspindling
Rödgul trumpetsvamp
Svavelriska</t>
        </is>
      </c>
      <c r="S50">
        <f>HYPERLINK("https://klasma.github.io/Logging_0980/artfynd/A 22318-2022 artfynd.xlsx", "A 22318-2022")</f>
        <v/>
      </c>
      <c r="T50">
        <f>HYPERLINK("https://klasma.github.io/Logging_0980/kartor/A 22318-2022 karta.png", "A 22318-2022")</f>
        <v/>
      </c>
      <c r="V50">
        <f>HYPERLINK("https://klasma.github.io/Logging_0980/klagomål/A 22318-2022 FSC-klagomål.docx", "A 22318-2022")</f>
        <v/>
      </c>
      <c r="W50">
        <f>HYPERLINK("https://klasma.github.io/Logging_0980/klagomålsmail/A 22318-2022 FSC-klagomål mail.docx", "A 22318-2022")</f>
        <v/>
      </c>
      <c r="X50">
        <f>HYPERLINK("https://klasma.github.io/Logging_0980/tillsyn/A 22318-2022 tillsynsbegäran.docx", "A 22318-2022")</f>
        <v/>
      </c>
      <c r="Y50">
        <f>HYPERLINK("https://klasma.github.io/Logging_0980/tillsynsmail/A 22318-2022 tillsynsbegäran mail.docx", "A 22318-2022")</f>
        <v/>
      </c>
    </row>
    <row r="51" ht="15" customHeight="1">
      <c r="A51" t="inlineStr">
        <is>
          <t>A 7039-2023</t>
        </is>
      </c>
      <c r="B51" s="1" t="n">
        <v>44968</v>
      </c>
      <c r="C51" s="1" t="n">
        <v>45584</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54797-2023</t>
        </is>
      </c>
      <c r="B52" s="1" t="n">
        <v>45236</v>
      </c>
      <c r="C52" s="1" t="n">
        <v>45584</v>
      </c>
      <c r="D52" t="inlineStr">
        <is>
          <t>GOTLANDS LÄN</t>
        </is>
      </c>
      <c r="E52" t="inlineStr">
        <is>
          <t>GOTLAND</t>
        </is>
      </c>
      <c r="G52" t="n">
        <v>4.2</v>
      </c>
      <c r="H52" t="n">
        <v>1</v>
      </c>
      <c r="I52" t="n">
        <v>4</v>
      </c>
      <c r="J52" t="n">
        <v>3</v>
      </c>
      <c r="K52" t="n">
        <v>0</v>
      </c>
      <c r="L52" t="n">
        <v>0</v>
      </c>
      <c r="M52" t="n">
        <v>0</v>
      </c>
      <c r="N52" t="n">
        <v>0</v>
      </c>
      <c r="O52" t="n">
        <v>3</v>
      </c>
      <c r="P52" t="n">
        <v>0</v>
      </c>
      <c r="Q52" t="n">
        <v>8</v>
      </c>
      <c r="R52" s="2" t="inlineStr">
        <is>
          <t>Gulfotad denisespindling
Odörspindling
Svinrot
Anisspindling
Blåmossa
Kattfotslav
Rödgul trumpetsvamp
Sankt pers nycklar</t>
        </is>
      </c>
      <c r="S52">
        <f>HYPERLINK("https://klasma.github.io/Logging_0980/artfynd/A 54797-2023 artfynd.xlsx", "A 54797-2023")</f>
        <v/>
      </c>
      <c r="T52">
        <f>HYPERLINK("https://klasma.github.io/Logging_0980/kartor/A 54797-2023 karta.png", "A 54797-2023")</f>
        <v/>
      </c>
      <c r="V52">
        <f>HYPERLINK("https://klasma.github.io/Logging_0980/klagomål/A 54797-2023 FSC-klagomål.docx", "A 54797-2023")</f>
        <v/>
      </c>
      <c r="W52">
        <f>HYPERLINK("https://klasma.github.io/Logging_0980/klagomålsmail/A 54797-2023 FSC-klagomål mail.docx", "A 54797-2023")</f>
        <v/>
      </c>
      <c r="X52">
        <f>HYPERLINK("https://klasma.github.io/Logging_0980/tillsyn/A 54797-2023 tillsynsbegäran.docx", "A 54797-2023")</f>
        <v/>
      </c>
      <c r="Y52">
        <f>HYPERLINK("https://klasma.github.io/Logging_0980/tillsynsmail/A 54797-2023 tillsynsbegäran mail.docx", "A 54797-2023")</f>
        <v/>
      </c>
    </row>
    <row r="53" ht="15" customHeight="1">
      <c r="A53" t="inlineStr">
        <is>
          <t>A 3588-2024</t>
        </is>
      </c>
      <c r="B53" s="1" t="n">
        <v>45320</v>
      </c>
      <c r="C53" s="1" t="n">
        <v>45584</v>
      </c>
      <c r="D53" t="inlineStr">
        <is>
          <t>GOTLANDS LÄN</t>
        </is>
      </c>
      <c r="E53" t="inlineStr">
        <is>
          <t>GOTLAND</t>
        </is>
      </c>
      <c r="G53" t="n">
        <v>7.3</v>
      </c>
      <c r="H53" t="n">
        <v>2</v>
      </c>
      <c r="I53" t="n">
        <v>5</v>
      </c>
      <c r="J53" t="n">
        <v>1</v>
      </c>
      <c r="K53" t="n">
        <v>1</v>
      </c>
      <c r="L53" t="n">
        <v>0</v>
      </c>
      <c r="M53" t="n">
        <v>0</v>
      </c>
      <c r="N53" t="n">
        <v>0</v>
      </c>
      <c r="O53" t="n">
        <v>2</v>
      </c>
      <c r="P53" t="n">
        <v>1</v>
      </c>
      <c r="Q53" t="n">
        <v>8</v>
      </c>
      <c r="R53" s="2" t="inlineStr">
        <is>
          <t>Kopparspindling
Bittermusseron
Anisspindling
Besk kastanjemusseron
Granbarkgnagare
Grovticka
Skogsknipprot
Revlummer</t>
        </is>
      </c>
      <c r="S53">
        <f>HYPERLINK("https://klasma.github.io/Logging_0980/artfynd/A 3588-2024 artfynd.xlsx", "A 3588-2024")</f>
        <v/>
      </c>
      <c r="T53">
        <f>HYPERLINK("https://klasma.github.io/Logging_0980/kartor/A 3588-2024 karta.png", "A 3588-2024")</f>
        <v/>
      </c>
      <c r="V53">
        <f>HYPERLINK("https://klasma.github.io/Logging_0980/klagomål/A 3588-2024 FSC-klagomål.docx", "A 3588-2024")</f>
        <v/>
      </c>
      <c r="W53">
        <f>HYPERLINK("https://klasma.github.io/Logging_0980/klagomålsmail/A 3588-2024 FSC-klagomål mail.docx", "A 3588-2024")</f>
        <v/>
      </c>
      <c r="X53">
        <f>HYPERLINK("https://klasma.github.io/Logging_0980/tillsyn/A 3588-2024 tillsynsbegäran.docx", "A 3588-2024")</f>
        <v/>
      </c>
      <c r="Y53">
        <f>HYPERLINK("https://klasma.github.io/Logging_0980/tillsynsmail/A 3588-2024 tillsynsbegäran mail.docx", "A 3588-2024")</f>
        <v/>
      </c>
    </row>
    <row r="54" ht="15" customHeight="1">
      <c r="A54" t="inlineStr">
        <is>
          <t>A 17766-2024</t>
        </is>
      </c>
      <c r="B54" s="1" t="n">
        <v>45418</v>
      </c>
      <c r="C54" s="1" t="n">
        <v>45584</v>
      </c>
      <c r="D54" t="inlineStr">
        <is>
          <t>GOTLANDS LÄN</t>
        </is>
      </c>
      <c r="E54" t="inlineStr">
        <is>
          <t>GOTLAND</t>
        </is>
      </c>
      <c r="G54" t="n">
        <v>1.3</v>
      </c>
      <c r="H54" t="n">
        <v>2</v>
      </c>
      <c r="I54" t="n">
        <v>2</v>
      </c>
      <c r="J54" t="n">
        <v>4</v>
      </c>
      <c r="K54" t="n">
        <v>0</v>
      </c>
      <c r="L54" t="n">
        <v>2</v>
      </c>
      <c r="M54" t="n">
        <v>0</v>
      </c>
      <c r="N54" t="n">
        <v>0</v>
      </c>
      <c r="O54" t="n">
        <v>6</v>
      </c>
      <c r="P54" t="n">
        <v>2</v>
      </c>
      <c r="Q54" t="n">
        <v>8</v>
      </c>
      <c r="R54" s="2" t="inlineStr">
        <is>
          <t>Naveljordstjärna
Svartnande fingersvamp
Bredbrämad bastardsvärmare
Fyrflikig jordstjärna
Svartfläckig blåvinge
Timjansnyltrot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21467-2024</t>
        </is>
      </c>
      <c r="B55" s="1" t="n">
        <v>45441</v>
      </c>
      <c r="C55" s="1" t="n">
        <v>45584</v>
      </c>
      <c r="D55" t="inlineStr">
        <is>
          <t>GOTLANDS LÄN</t>
        </is>
      </c>
      <c r="E55" t="inlineStr">
        <is>
          <t>GOTLAND</t>
        </is>
      </c>
      <c r="G55" t="n">
        <v>8.800000000000001</v>
      </c>
      <c r="H55" t="n">
        <v>5</v>
      </c>
      <c r="I55" t="n">
        <v>0</v>
      </c>
      <c r="J55" t="n">
        <v>6</v>
      </c>
      <c r="K55" t="n">
        <v>1</v>
      </c>
      <c r="L55" t="n">
        <v>0</v>
      </c>
      <c r="M55" t="n">
        <v>0</v>
      </c>
      <c r="N55" t="n">
        <v>0</v>
      </c>
      <c r="O55" t="n">
        <v>7</v>
      </c>
      <c r="P55" t="n">
        <v>1</v>
      </c>
      <c r="Q55" t="n">
        <v>8</v>
      </c>
      <c r="R55" s="2" t="inlineStr">
        <is>
          <t>Garderönn
Backtimjan
Dårgräsfjäril
Gulsparv
Jordtistel
Spillkråka
Svinrot
Blåsippa</t>
        </is>
      </c>
      <c r="S55">
        <f>HYPERLINK("https://klasma.github.io/Logging_0980/artfynd/A 21467-2024 artfynd.xlsx", "A 21467-2024")</f>
        <v/>
      </c>
      <c r="T55">
        <f>HYPERLINK("https://klasma.github.io/Logging_0980/kartor/A 21467-2024 karta.png", "A 21467-2024")</f>
        <v/>
      </c>
      <c r="V55">
        <f>HYPERLINK("https://klasma.github.io/Logging_0980/klagomål/A 21467-2024 FSC-klagomål.docx", "A 21467-2024")</f>
        <v/>
      </c>
      <c r="W55">
        <f>HYPERLINK("https://klasma.github.io/Logging_0980/klagomålsmail/A 21467-2024 FSC-klagomål mail.docx", "A 21467-2024")</f>
        <v/>
      </c>
      <c r="X55">
        <f>HYPERLINK("https://klasma.github.io/Logging_0980/tillsyn/A 21467-2024 tillsynsbegäran.docx", "A 21467-2024")</f>
        <v/>
      </c>
      <c r="Y55">
        <f>HYPERLINK("https://klasma.github.io/Logging_0980/tillsynsmail/A 21467-2024 tillsynsbegäran mail.docx", "A 21467-2024")</f>
        <v/>
      </c>
      <c r="Z55">
        <f>HYPERLINK("https://klasma.github.io/Logging_0980/fåglar/A 21467-2024 prioriterade fågelarter.docx", "A 21467-2024")</f>
        <v/>
      </c>
    </row>
    <row r="56" ht="15" customHeight="1">
      <c r="A56" t="inlineStr">
        <is>
          <t>A 34600-2019</t>
        </is>
      </c>
      <c r="B56" s="1" t="n">
        <v>43647</v>
      </c>
      <c r="C56" s="1" t="n">
        <v>45584</v>
      </c>
      <c r="D56" t="inlineStr">
        <is>
          <t>GOTLANDS LÄN</t>
        </is>
      </c>
      <c r="E56" t="inlineStr">
        <is>
          <t>GOTLAND</t>
        </is>
      </c>
      <c r="F56" t="inlineStr">
        <is>
          <t>Övriga statliga verk och myndigheter</t>
        </is>
      </c>
      <c r="G56" t="n">
        <v>2.3</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34600-2019 artfynd.xlsx", "A 34600-2019")</f>
        <v/>
      </c>
      <c r="T56">
        <f>HYPERLINK("https://klasma.github.io/Logging_0980/kartor/A 34600-2019 karta.png", "A 34600-2019")</f>
        <v/>
      </c>
      <c r="V56">
        <f>HYPERLINK("https://klasma.github.io/Logging_0980/klagomål/A 34600-2019 FSC-klagomål.docx", "A 34600-2019")</f>
        <v/>
      </c>
      <c r="W56">
        <f>HYPERLINK("https://klasma.github.io/Logging_0980/klagomålsmail/A 34600-2019 FSC-klagomål mail.docx", "A 34600-2019")</f>
        <v/>
      </c>
      <c r="X56">
        <f>HYPERLINK("https://klasma.github.io/Logging_0980/tillsyn/A 34600-2019 tillsynsbegäran.docx", "A 34600-2019")</f>
        <v/>
      </c>
      <c r="Y56">
        <f>HYPERLINK("https://klasma.github.io/Logging_0980/tillsynsmail/A 34600-2019 tillsynsbegäran mail.docx", "A 34600-2019")</f>
        <v/>
      </c>
      <c r="Z56">
        <f>HYPERLINK("https://klasma.github.io/Logging_0980/fåglar/A 34600-2019 prioriterade fågelarter.docx", "A 34600-2019")</f>
        <v/>
      </c>
    </row>
    <row r="57" ht="15" customHeight="1">
      <c r="A57" t="inlineStr">
        <is>
          <t>A 25887-2020</t>
        </is>
      </c>
      <c r="B57" s="1" t="n">
        <v>43984</v>
      </c>
      <c r="C57" s="1" t="n">
        <v>45584</v>
      </c>
      <c r="D57" t="inlineStr">
        <is>
          <t>GOTLANDS LÄN</t>
        </is>
      </c>
      <c r="E57" t="inlineStr">
        <is>
          <t>GOTLAND</t>
        </is>
      </c>
      <c r="G57" t="n">
        <v>4.7</v>
      </c>
      <c r="H57" t="n">
        <v>1</v>
      </c>
      <c r="I57" t="n">
        <v>4</v>
      </c>
      <c r="J57" t="n">
        <v>1</v>
      </c>
      <c r="K57" t="n">
        <v>2</v>
      </c>
      <c r="L57" t="n">
        <v>0</v>
      </c>
      <c r="M57" t="n">
        <v>0</v>
      </c>
      <c r="N57" t="n">
        <v>0</v>
      </c>
      <c r="O57" t="n">
        <v>3</v>
      </c>
      <c r="P57" t="n">
        <v>2</v>
      </c>
      <c r="Q57" t="n">
        <v>7</v>
      </c>
      <c r="R57" s="2" t="inlineStr">
        <is>
          <t>Pluggtrattskivling
Svartgrön spindling
Odörspindling
Anisspindling
Blå slemspindling
Fjällig taggsvamp s.str.
Nästrot</t>
        </is>
      </c>
      <c r="S57">
        <f>HYPERLINK("https://klasma.github.io/Logging_0980/artfynd/A 25887-2020 artfynd.xlsx", "A 25887-2020")</f>
        <v/>
      </c>
      <c r="T57">
        <f>HYPERLINK("https://klasma.github.io/Logging_0980/kartor/A 25887-2020 karta.png", "A 25887-2020")</f>
        <v/>
      </c>
      <c r="V57">
        <f>HYPERLINK("https://klasma.github.io/Logging_0980/klagomål/A 25887-2020 FSC-klagomål.docx", "A 25887-2020")</f>
        <v/>
      </c>
      <c r="W57">
        <f>HYPERLINK("https://klasma.github.io/Logging_0980/klagomålsmail/A 25887-2020 FSC-klagomål mail.docx", "A 25887-2020")</f>
        <v/>
      </c>
      <c r="X57">
        <f>HYPERLINK("https://klasma.github.io/Logging_0980/tillsyn/A 25887-2020 tillsynsbegäran.docx", "A 25887-2020")</f>
        <v/>
      </c>
      <c r="Y57">
        <f>HYPERLINK("https://klasma.github.io/Logging_0980/tillsynsmail/A 25887-2020 tillsynsbegäran mail.docx", "A 25887-2020")</f>
        <v/>
      </c>
    </row>
    <row r="58" ht="15" customHeight="1">
      <c r="A58" t="inlineStr">
        <is>
          <t>A 445-2023</t>
        </is>
      </c>
      <c r="B58" s="1" t="n">
        <v>44929</v>
      </c>
      <c r="C58" s="1" t="n">
        <v>45584</v>
      </c>
      <c r="D58" t="inlineStr">
        <is>
          <t>GOTLANDS LÄN</t>
        </is>
      </c>
      <c r="E58" t="inlineStr">
        <is>
          <t>GOTLAND</t>
        </is>
      </c>
      <c r="G58" t="n">
        <v>4.9</v>
      </c>
      <c r="H58" t="n">
        <v>1</v>
      </c>
      <c r="I58" t="n">
        <v>2</v>
      </c>
      <c r="J58" t="n">
        <v>2</v>
      </c>
      <c r="K58" t="n">
        <v>3</v>
      </c>
      <c r="L58" t="n">
        <v>0</v>
      </c>
      <c r="M58" t="n">
        <v>0</v>
      </c>
      <c r="N58" t="n">
        <v>0</v>
      </c>
      <c r="O58" t="n">
        <v>5</v>
      </c>
      <c r="P58" t="n">
        <v>3</v>
      </c>
      <c r="Q58" t="n">
        <v>7</v>
      </c>
      <c r="R58" s="2" t="inlineStr">
        <is>
          <t>Garderönn
Granrotspindling
Taggfingersvamp
Jordtistel
Svinrot
Rödgul trumpetsvamp
Vårärt</t>
        </is>
      </c>
      <c r="S58">
        <f>HYPERLINK("https://klasma.github.io/Logging_0980/artfynd/A 445-2023 artfynd.xlsx", "A 445-2023")</f>
        <v/>
      </c>
      <c r="T58">
        <f>HYPERLINK("https://klasma.github.io/Logging_0980/kartor/A 445-2023 karta.png", "A 445-2023")</f>
        <v/>
      </c>
      <c r="V58">
        <f>HYPERLINK("https://klasma.github.io/Logging_0980/klagomål/A 445-2023 FSC-klagomål.docx", "A 445-2023")</f>
        <v/>
      </c>
      <c r="W58">
        <f>HYPERLINK("https://klasma.github.io/Logging_0980/klagomålsmail/A 445-2023 FSC-klagomål mail.docx", "A 445-2023")</f>
        <v/>
      </c>
      <c r="X58">
        <f>HYPERLINK("https://klasma.github.io/Logging_0980/tillsyn/A 445-2023 tillsynsbegäran.docx", "A 445-2023")</f>
        <v/>
      </c>
      <c r="Y58">
        <f>HYPERLINK("https://klasma.github.io/Logging_0980/tillsynsmail/A 445-2023 tillsynsbegäran mail.docx", "A 445-2023")</f>
        <v/>
      </c>
    </row>
    <row r="59" ht="15" customHeight="1">
      <c r="A59" t="inlineStr">
        <is>
          <t>A 62132-2023</t>
        </is>
      </c>
      <c r="B59" s="1" t="n">
        <v>45267</v>
      </c>
      <c r="C59" s="1" t="n">
        <v>45584</v>
      </c>
      <c r="D59" t="inlineStr">
        <is>
          <t>GOTLANDS LÄN</t>
        </is>
      </c>
      <c r="E59" t="inlineStr">
        <is>
          <t>GOTLAND</t>
        </is>
      </c>
      <c r="G59" t="n">
        <v>13.9</v>
      </c>
      <c r="H59" t="n">
        <v>2</v>
      </c>
      <c r="I59" t="n">
        <v>4</v>
      </c>
      <c r="J59" t="n">
        <v>2</v>
      </c>
      <c r="K59" t="n">
        <v>1</v>
      </c>
      <c r="L59" t="n">
        <v>0</v>
      </c>
      <c r="M59" t="n">
        <v>0</v>
      </c>
      <c r="N59" t="n">
        <v>0</v>
      </c>
      <c r="O59" t="n">
        <v>3</v>
      </c>
      <c r="P59" t="n">
        <v>1</v>
      </c>
      <c r="Q59" t="n">
        <v>7</v>
      </c>
      <c r="R59" s="2" t="inlineStr">
        <is>
          <t>Vit taggsvamp
Dårgräsfjäril
Jordtistel
Blå slemspindling
Blåmossa
Mindre märgborre
Nästrot</t>
        </is>
      </c>
      <c r="S59">
        <f>HYPERLINK("https://klasma.github.io/Logging_0980/artfynd/A 62132-2023 artfynd.xlsx", "A 62132-2023")</f>
        <v/>
      </c>
      <c r="T59">
        <f>HYPERLINK("https://klasma.github.io/Logging_0980/kartor/A 62132-2023 karta.png", "A 62132-2023")</f>
        <v/>
      </c>
      <c r="V59">
        <f>HYPERLINK("https://klasma.github.io/Logging_0980/klagomål/A 62132-2023 FSC-klagomål.docx", "A 62132-2023")</f>
        <v/>
      </c>
      <c r="W59">
        <f>HYPERLINK("https://klasma.github.io/Logging_0980/klagomålsmail/A 62132-2023 FSC-klagomål mail.docx", "A 62132-2023")</f>
        <v/>
      </c>
      <c r="X59">
        <f>HYPERLINK("https://klasma.github.io/Logging_0980/tillsyn/A 62132-2023 tillsynsbegäran.docx", "A 62132-2023")</f>
        <v/>
      </c>
      <c r="Y59">
        <f>HYPERLINK("https://klasma.github.io/Logging_0980/tillsynsmail/A 62132-2023 tillsynsbegäran mail.docx", "A 62132-2023")</f>
        <v/>
      </c>
    </row>
    <row r="60" ht="15" customHeight="1">
      <c r="A60" t="inlineStr">
        <is>
          <t>A 18541-2024</t>
        </is>
      </c>
      <c r="B60" s="1" t="n">
        <v>45425</v>
      </c>
      <c r="C60" s="1" t="n">
        <v>45584</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45584</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45584</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45584</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45584</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45584</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45584</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45584</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45584</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45584</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45584</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45584</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45584</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45584</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45584</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45584</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45584</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45584</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45584</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45584</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45584</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45584</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45584</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45584</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45584</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45584</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45584</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45584</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45584</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45584</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45584</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45584</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45584</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45584</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45584</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45584</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45584</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45584</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45584</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45584</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45584</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45584</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45584</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45584</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45584</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45584</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45584</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45584</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45584</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45584</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45584</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45584</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45584</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45584</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45584</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45584</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45584</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45584</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45584</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45584</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45584</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45584</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45584</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45584</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45584</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45584</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45584</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45584</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45584</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45584</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45584</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45584</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45584</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45584</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45584</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45584</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45584</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45584</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40879-2020</t>
        </is>
      </c>
      <c r="B139" s="1" t="n">
        <v>44070</v>
      </c>
      <c r="C139" s="1" t="n">
        <v>45584</v>
      </c>
      <c r="D139" t="inlineStr">
        <is>
          <t>GOTLANDS LÄN</t>
        </is>
      </c>
      <c r="E139" t="inlineStr">
        <is>
          <t>GOTLAND</t>
        </is>
      </c>
      <c r="G139" t="n">
        <v>6.4</v>
      </c>
      <c r="H139" t="n">
        <v>0</v>
      </c>
      <c r="I139" t="n">
        <v>1</v>
      </c>
      <c r="J139" t="n">
        <v>1</v>
      </c>
      <c r="K139" t="n">
        <v>0</v>
      </c>
      <c r="L139" t="n">
        <v>0</v>
      </c>
      <c r="M139" t="n">
        <v>0</v>
      </c>
      <c r="N139" t="n">
        <v>0</v>
      </c>
      <c r="O139" t="n">
        <v>1</v>
      </c>
      <c r="P139" t="n">
        <v>0</v>
      </c>
      <c r="Q139" t="n">
        <v>2</v>
      </c>
      <c r="R139" s="2" t="inlineStr">
        <is>
          <t>Odörspindling
Olivspindling</t>
        </is>
      </c>
      <c r="S139">
        <f>HYPERLINK("https://klasma.github.io/Logging_0980/artfynd/A 40879-2020 artfynd.xlsx", "A 40879-2020")</f>
        <v/>
      </c>
      <c r="T139">
        <f>HYPERLINK("https://klasma.github.io/Logging_0980/kartor/A 40879-2020 karta.png", "A 40879-2020")</f>
        <v/>
      </c>
      <c r="V139">
        <f>HYPERLINK("https://klasma.github.io/Logging_0980/klagomål/A 40879-2020 FSC-klagomål.docx", "A 40879-2020")</f>
        <v/>
      </c>
      <c r="W139">
        <f>HYPERLINK("https://klasma.github.io/Logging_0980/klagomålsmail/A 40879-2020 FSC-klagomål mail.docx", "A 40879-2020")</f>
        <v/>
      </c>
      <c r="X139">
        <f>HYPERLINK("https://klasma.github.io/Logging_0980/tillsyn/A 40879-2020 tillsynsbegäran.docx", "A 40879-2020")</f>
        <v/>
      </c>
      <c r="Y139">
        <f>HYPERLINK("https://klasma.github.io/Logging_0980/tillsynsmail/A 40879-2020 tillsynsbegäran mail.docx", "A 40879-2020")</f>
        <v/>
      </c>
    </row>
    <row r="140" ht="15" customHeight="1">
      <c r="A140" t="inlineStr">
        <is>
          <t>A 43321-2020</t>
        </is>
      </c>
      <c r="B140" s="1" t="n">
        <v>44081</v>
      </c>
      <c r="C140" s="1" t="n">
        <v>45584</v>
      </c>
      <c r="D140" t="inlineStr">
        <is>
          <t>GOTLANDS LÄN</t>
        </is>
      </c>
      <c r="E140" t="inlineStr">
        <is>
          <t>GOTLAND</t>
        </is>
      </c>
      <c r="G140" t="n">
        <v>10</v>
      </c>
      <c r="H140" t="n">
        <v>1</v>
      </c>
      <c r="I140" t="n">
        <v>0</v>
      </c>
      <c r="J140" t="n">
        <v>2</v>
      </c>
      <c r="K140" t="n">
        <v>0</v>
      </c>
      <c r="L140" t="n">
        <v>0</v>
      </c>
      <c r="M140" t="n">
        <v>0</v>
      </c>
      <c r="N140" t="n">
        <v>0</v>
      </c>
      <c r="O140" t="n">
        <v>2</v>
      </c>
      <c r="P140" t="n">
        <v>0</v>
      </c>
      <c r="Q140" t="n">
        <v>2</v>
      </c>
      <c r="R140" s="2" t="inlineStr">
        <is>
          <t>Buskskvätta
Ängsnätfjäril</t>
        </is>
      </c>
      <c r="S140">
        <f>HYPERLINK("https://klasma.github.io/Logging_0980/artfynd/A 43321-2020 artfynd.xlsx", "A 43321-2020")</f>
        <v/>
      </c>
      <c r="T140">
        <f>HYPERLINK("https://klasma.github.io/Logging_0980/kartor/A 43321-2020 karta.png", "A 43321-2020")</f>
        <v/>
      </c>
      <c r="V140">
        <f>HYPERLINK("https://klasma.github.io/Logging_0980/klagomål/A 43321-2020 FSC-klagomål.docx", "A 43321-2020")</f>
        <v/>
      </c>
      <c r="W140">
        <f>HYPERLINK("https://klasma.github.io/Logging_0980/klagomålsmail/A 43321-2020 FSC-klagomål mail.docx", "A 43321-2020")</f>
        <v/>
      </c>
      <c r="X140">
        <f>HYPERLINK("https://klasma.github.io/Logging_0980/tillsyn/A 43321-2020 tillsynsbegäran.docx", "A 43321-2020")</f>
        <v/>
      </c>
      <c r="Y140">
        <f>HYPERLINK("https://klasma.github.io/Logging_0980/tillsynsmail/A 43321-2020 tillsynsbegäran mail.docx", "A 43321-2020")</f>
        <v/>
      </c>
      <c r="Z140">
        <f>HYPERLINK("https://klasma.github.io/Logging_0980/fåglar/A 43321-2020 prioriterade fågelarter.docx", "A 43321-2020")</f>
        <v/>
      </c>
    </row>
    <row r="141" ht="15" customHeight="1">
      <c r="A141" t="inlineStr">
        <is>
          <t>A 58701-2020</t>
        </is>
      </c>
      <c r="B141" s="1" t="n">
        <v>44146</v>
      </c>
      <c r="C141" s="1" t="n">
        <v>45584</v>
      </c>
      <c r="D141" t="inlineStr">
        <is>
          <t>GOTLANDS LÄN</t>
        </is>
      </c>
      <c r="E141" t="inlineStr">
        <is>
          <t>GOTLAND</t>
        </is>
      </c>
      <c r="G141" t="n">
        <v>5.5</v>
      </c>
      <c r="H141" t="n">
        <v>0</v>
      </c>
      <c r="I141" t="n">
        <v>0</v>
      </c>
      <c r="J141" t="n">
        <v>1</v>
      </c>
      <c r="K141" t="n">
        <v>1</v>
      </c>
      <c r="L141" t="n">
        <v>0</v>
      </c>
      <c r="M141" t="n">
        <v>0</v>
      </c>
      <c r="N141" t="n">
        <v>0</v>
      </c>
      <c r="O141" t="n">
        <v>2</v>
      </c>
      <c r="P141" t="n">
        <v>1</v>
      </c>
      <c r="Q141" t="n">
        <v>2</v>
      </c>
      <c r="R141" s="2" t="inlineStr">
        <is>
          <t>Vit taggsvamp
Odörspindling</t>
        </is>
      </c>
      <c r="S141">
        <f>HYPERLINK("https://klasma.github.io/Logging_0980/artfynd/A 58701-2020 artfynd.xlsx", "A 58701-2020")</f>
        <v/>
      </c>
      <c r="T141">
        <f>HYPERLINK("https://klasma.github.io/Logging_0980/kartor/A 58701-2020 karta.png", "A 58701-2020")</f>
        <v/>
      </c>
      <c r="V141">
        <f>HYPERLINK("https://klasma.github.io/Logging_0980/klagomål/A 58701-2020 FSC-klagomål.docx", "A 58701-2020")</f>
        <v/>
      </c>
      <c r="W141">
        <f>HYPERLINK("https://klasma.github.io/Logging_0980/klagomålsmail/A 58701-2020 FSC-klagomål mail.docx", "A 58701-2020")</f>
        <v/>
      </c>
      <c r="X141">
        <f>HYPERLINK("https://klasma.github.io/Logging_0980/tillsyn/A 58701-2020 tillsynsbegäran.docx", "A 58701-2020")</f>
        <v/>
      </c>
      <c r="Y141">
        <f>HYPERLINK("https://klasma.github.io/Logging_0980/tillsynsmail/A 58701-2020 tillsynsbegäran mail.docx", "A 58701-2020")</f>
        <v/>
      </c>
    </row>
    <row r="142" ht="15" customHeight="1">
      <c r="A142" t="inlineStr">
        <is>
          <t>A 64263-2020</t>
        </is>
      </c>
      <c r="B142" s="1" t="n">
        <v>44168</v>
      </c>
      <c r="C142" s="1" t="n">
        <v>45584</v>
      </c>
      <c r="D142" t="inlineStr">
        <is>
          <t>GOTLANDS LÄN</t>
        </is>
      </c>
      <c r="E142" t="inlineStr">
        <is>
          <t>GOTLAND</t>
        </is>
      </c>
      <c r="G142" t="n">
        <v>10.9</v>
      </c>
      <c r="H142" t="n">
        <v>1</v>
      </c>
      <c r="I142" t="n">
        <v>0</v>
      </c>
      <c r="J142" t="n">
        <v>2</v>
      </c>
      <c r="K142" t="n">
        <v>0</v>
      </c>
      <c r="L142" t="n">
        <v>0</v>
      </c>
      <c r="M142" t="n">
        <v>0</v>
      </c>
      <c r="N142" t="n">
        <v>0</v>
      </c>
      <c r="O142" t="n">
        <v>2</v>
      </c>
      <c r="P142" t="n">
        <v>0</v>
      </c>
      <c r="Q142" t="n">
        <v>2</v>
      </c>
      <c r="R142" s="2" t="inlineStr">
        <is>
          <t>Mindre hackspett
Ullticka</t>
        </is>
      </c>
      <c r="S142">
        <f>HYPERLINK("https://klasma.github.io/Logging_0980/artfynd/A 64263-2020 artfynd.xlsx", "A 64263-2020")</f>
        <v/>
      </c>
      <c r="T142">
        <f>HYPERLINK("https://klasma.github.io/Logging_0980/kartor/A 64263-2020 karta.png", "A 64263-2020")</f>
        <v/>
      </c>
      <c r="V142">
        <f>HYPERLINK("https://klasma.github.io/Logging_0980/klagomål/A 64263-2020 FSC-klagomål.docx", "A 64263-2020")</f>
        <v/>
      </c>
      <c r="W142">
        <f>HYPERLINK("https://klasma.github.io/Logging_0980/klagomålsmail/A 64263-2020 FSC-klagomål mail.docx", "A 64263-2020")</f>
        <v/>
      </c>
      <c r="X142">
        <f>HYPERLINK("https://klasma.github.io/Logging_0980/tillsyn/A 64263-2020 tillsynsbegäran.docx", "A 64263-2020")</f>
        <v/>
      </c>
      <c r="Y142">
        <f>HYPERLINK("https://klasma.github.io/Logging_0980/tillsynsmail/A 64263-2020 tillsynsbegäran mail.docx", "A 64263-2020")</f>
        <v/>
      </c>
      <c r="Z142">
        <f>HYPERLINK("https://klasma.github.io/Logging_0980/fåglar/A 64263-2020 prioriterade fågelarter.docx", "A 64263-2020")</f>
        <v/>
      </c>
    </row>
    <row r="143" ht="15" customHeight="1">
      <c r="A143" t="inlineStr">
        <is>
          <t>A 9930-2021</t>
        </is>
      </c>
      <c r="B143" s="1" t="n">
        <v>44252</v>
      </c>
      <c r="C143" s="1" t="n">
        <v>45584</v>
      </c>
      <c r="D143" t="inlineStr">
        <is>
          <t>GOTLANDS LÄN</t>
        </is>
      </c>
      <c r="E143" t="inlineStr">
        <is>
          <t>GOTLAND</t>
        </is>
      </c>
      <c r="G143" t="n">
        <v>1.9</v>
      </c>
      <c r="H143" t="n">
        <v>0</v>
      </c>
      <c r="I143" t="n">
        <v>0</v>
      </c>
      <c r="J143" t="n">
        <v>0</v>
      </c>
      <c r="K143" t="n">
        <v>0</v>
      </c>
      <c r="L143" t="n">
        <v>1</v>
      </c>
      <c r="M143" t="n">
        <v>1</v>
      </c>
      <c r="N143" t="n">
        <v>0</v>
      </c>
      <c r="O143" t="n">
        <v>2</v>
      </c>
      <c r="P143" t="n">
        <v>2</v>
      </c>
      <c r="Q143" t="n">
        <v>2</v>
      </c>
      <c r="R143" s="2" t="inlineStr">
        <is>
          <t>Lundalm
Ask</t>
        </is>
      </c>
      <c r="S143">
        <f>HYPERLINK("https://klasma.github.io/Logging_0980/artfynd/A 9930-2021 artfynd.xlsx", "A 9930-2021")</f>
        <v/>
      </c>
      <c r="T143">
        <f>HYPERLINK("https://klasma.github.io/Logging_0980/kartor/A 9930-2021 karta.png", "A 9930-2021")</f>
        <v/>
      </c>
      <c r="V143">
        <f>HYPERLINK("https://klasma.github.io/Logging_0980/klagomål/A 9930-2021 FSC-klagomål.docx", "A 9930-2021")</f>
        <v/>
      </c>
      <c r="W143">
        <f>HYPERLINK("https://klasma.github.io/Logging_0980/klagomålsmail/A 9930-2021 FSC-klagomål mail.docx", "A 9930-2021")</f>
        <v/>
      </c>
      <c r="X143">
        <f>HYPERLINK("https://klasma.github.io/Logging_0980/tillsyn/A 9930-2021 tillsynsbegäran.docx", "A 9930-2021")</f>
        <v/>
      </c>
      <c r="Y143">
        <f>HYPERLINK("https://klasma.github.io/Logging_0980/tillsynsmail/A 9930-2021 tillsynsbegäran mail.docx", "A 9930-2021")</f>
        <v/>
      </c>
    </row>
    <row r="144" ht="15" customHeight="1">
      <c r="A144" t="inlineStr">
        <is>
          <t>A 16429-2021</t>
        </is>
      </c>
      <c r="B144" s="1" t="n">
        <v>44293</v>
      </c>
      <c r="C144" s="1" t="n">
        <v>45584</v>
      </c>
      <c r="D144" t="inlineStr">
        <is>
          <t>GOTLANDS LÄN</t>
        </is>
      </c>
      <c r="E144" t="inlineStr">
        <is>
          <t>GOTLAND</t>
        </is>
      </c>
      <c r="G144" t="n">
        <v>3.4</v>
      </c>
      <c r="H144" t="n">
        <v>0</v>
      </c>
      <c r="I144" t="n">
        <v>0</v>
      </c>
      <c r="J144" t="n">
        <v>1</v>
      </c>
      <c r="K144" t="n">
        <v>1</v>
      </c>
      <c r="L144" t="n">
        <v>0</v>
      </c>
      <c r="M144" t="n">
        <v>0</v>
      </c>
      <c r="N144" t="n">
        <v>0</v>
      </c>
      <c r="O144" t="n">
        <v>2</v>
      </c>
      <c r="P144" t="n">
        <v>1</v>
      </c>
      <c r="Q144" t="n">
        <v>2</v>
      </c>
      <c r="R144" s="2" t="inlineStr">
        <is>
          <t>Gotlandsmåra
Barrviolspindling</t>
        </is>
      </c>
      <c r="S144">
        <f>HYPERLINK("https://klasma.github.io/Logging_0980/artfynd/A 16429-2021 artfynd.xlsx", "A 16429-2021")</f>
        <v/>
      </c>
      <c r="T144">
        <f>HYPERLINK("https://klasma.github.io/Logging_0980/kartor/A 16429-2021 karta.png", "A 16429-2021")</f>
        <v/>
      </c>
      <c r="V144">
        <f>HYPERLINK("https://klasma.github.io/Logging_0980/klagomål/A 16429-2021 FSC-klagomål.docx", "A 16429-2021")</f>
        <v/>
      </c>
      <c r="W144">
        <f>HYPERLINK("https://klasma.github.io/Logging_0980/klagomålsmail/A 16429-2021 FSC-klagomål mail.docx", "A 16429-2021")</f>
        <v/>
      </c>
      <c r="X144">
        <f>HYPERLINK("https://klasma.github.io/Logging_0980/tillsyn/A 16429-2021 tillsynsbegäran.docx", "A 16429-2021")</f>
        <v/>
      </c>
      <c r="Y144">
        <f>HYPERLINK("https://klasma.github.io/Logging_0980/tillsynsmail/A 16429-2021 tillsynsbegäran mail.docx", "A 16429-2021")</f>
        <v/>
      </c>
    </row>
    <row r="145" ht="15" customHeight="1">
      <c r="A145" t="inlineStr">
        <is>
          <t>A 29870-2021</t>
        </is>
      </c>
      <c r="B145" s="1" t="n">
        <v>44362</v>
      </c>
      <c r="C145" s="1" t="n">
        <v>45584</v>
      </c>
      <c r="D145" t="inlineStr">
        <is>
          <t>GOTLANDS LÄN</t>
        </is>
      </c>
      <c r="E145" t="inlineStr">
        <is>
          <t>GOTLAND</t>
        </is>
      </c>
      <c r="G145" t="n">
        <v>2.4</v>
      </c>
      <c r="H145" t="n">
        <v>0</v>
      </c>
      <c r="I145" t="n">
        <v>1</v>
      </c>
      <c r="J145" t="n">
        <v>0</v>
      </c>
      <c r="K145" t="n">
        <v>1</v>
      </c>
      <c r="L145" t="n">
        <v>0</v>
      </c>
      <c r="M145" t="n">
        <v>0</v>
      </c>
      <c r="N145" t="n">
        <v>0</v>
      </c>
      <c r="O145" t="n">
        <v>1</v>
      </c>
      <c r="P145" t="n">
        <v>1</v>
      </c>
      <c r="Q145" t="n">
        <v>2</v>
      </c>
      <c r="R145" s="2" t="inlineStr">
        <is>
          <t>Blåfotad fagerspindling
Olivspindling</t>
        </is>
      </c>
      <c r="S145">
        <f>HYPERLINK("https://klasma.github.io/Logging_0980/artfynd/A 29870-2021 artfynd.xlsx", "A 29870-2021")</f>
        <v/>
      </c>
      <c r="T145">
        <f>HYPERLINK("https://klasma.github.io/Logging_0980/kartor/A 29870-2021 karta.png", "A 29870-2021")</f>
        <v/>
      </c>
      <c r="V145">
        <f>HYPERLINK("https://klasma.github.io/Logging_0980/klagomål/A 29870-2021 FSC-klagomål.docx", "A 29870-2021")</f>
        <v/>
      </c>
      <c r="W145">
        <f>HYPERLINK("https://klasma.github.io/Logging_0980/klagomålsmail/A 29870-2021 FSC-klagomål mail.docx", "A 29870-2021")</f>
        <v/>
      </c>
      <c r="X145">
        <f>HYPERLINK("https://klasma.github.io/Logging_0980/tillsyn/A 29870-2021 tillsynsbegäran.docx", "A 29870-2021")</f>
        <v/>
      </c>
      <c r="Y145">
        <f>HYPERLINK("https://klasma.github.io/Logging_0980/tillsynsmail/A 29870-2021 tillsynsbegäran mail.docx", "A 29870-2021")</f>
        <v/>
      </c>
    </row>
    <row r="146" ht="15" customHeight="1">
      <c r="A146" t="inlineStr">
        <is>
          <t>A 41346-2021</t>
        </is>
      </c>
      <c r="B146" s="1" t="n">
        <v>44424</v>
      </c>
      <c r="C146" s="1" t="n">
        <v>45584</v>
      </c>
      <c r="D146" t="inlineStr">
        <is>
          <t>GOTLANDS LÄN</t>
        </is>
      </c>
      <c r="E146" t="inlineStr">
        <is>
          <t>GOTLAND</t>
        </is>
      </c>
      <c r="G146" t="n">
        <v>0.9</v>
      </c>
      <c r="H146" t="n">
        <v>0</v>
      </c>
      <c r="I146" t="n">
        <v>1</v>
      </c>
      <c r="J146" t="n">
        <v>0</v>
      </c>
      <c r="K146" t="n">
        <v>1</v>
      </c>
      <c r="L146" t="n">
        <v>0</v>
      </c>
      <c r="M146" t="n">
        <v>0</v>
      </c>
      <c r="N146" t="n">
        <v>0</v>
      </c>
      <c r="O146" t="n">
        <v>1</v>
      </c>
      <c r="P146" t="n">
        <v>1</v>
      </c>
      <c r="Q146" t="n">
        <v>2</v>
      </c>
      <c r="R146" s="2" t="inlineStr">
        <is>
          <t>Vit taggsvamp
Fjällig taggsvamp s.str.</t>
        </is>
      </c>
      <c r="S146">
        <f>HYPERLINK("https://klasma.github.io/Logging_0980/artfynd/A 41346-2021 artfynd.xlsx", "A 41346-2021")</f>
        <v/>
      </c>
      <c r="T146">
        <f>HYPERLINK("https://klasma.github.io/Logging_0980/kartor/A 41346-2021 karta.png", "A 41346-2021")</f>
        <v/>
      </c>
      <c r="V146">
        <f>HYPERLINK("https://klasma.github.io/Logging_0980/klagomål/A 41346-2021 FSC-klagomål.docx", "A 41346-2021")</f>
        <v/>
      </c>
      <c r="W146">
        <f>HYPERLINK("https://klasma.github.io/Logging_0980/klagomålsmail/A 41346-2021 FSC-klagomål mail.docx", "A 41346-2021")</f>
        <v/>
      </c>
      <c r="X146">
        <f>HYPERLINK("https://klasma.github.io/Logging_0980/tillsyn/A 41346-2021 tillsynsbegäran.docx", "A 41346-2021")</f>
        <v/>
      </c>
      <c r="Y146">
        <f>HYPERLINK("https://klasma.github.io/Logging_0980/tillsynsmail/A 41346-2021 tillsynsbegäran mail.docx", "A 41346-2021")</f>
        <v/>
      </c>
    </row>
    <row r="147" ht="15" customHeight="1">
      <c r="A147" t="inlineStr">
        <is>
          <t>A 51737-2021</t>
        </is>
      </c>
      <c r="B147" s="1" t="n">
        <v>44462</v>
      </c>
      <c r="C147" s="1" t="n">
        <v>45584</v>
      </c>
      <c r="D147" t="inlineStr">
        <is>
          <t>GOTLANDS LÄN</t>
        </is>
      </c>
      <c r="E147" t="inlineStr">
        <is>
          <t>GOTLAND</t>
        </is>
      </c>
      <c r="G147" t="n">
        <v>8.6</v>
      </c>
      <c r="H147" t="n">
        <v>0</v>
      </c>
      <c r="I147" t="n">
        <v>1</v>
      </c>
      <c r="J147" t="n">
        <v>1</v>
      </c>
      <c r="K147" t="n">
        <v>0</v>
      </c>
      <c r="L147" t="n">
        <v>0</v>
      </c>
      <c r="M147" t="n">
        <v>0</v>
      </c>
      <c r="N147" t="n">
        <v>0</v>
      </c>
      <c r="O147" t="n">
        <v>1</v>
      </c>
      <c r="P147" t="n">
        <v>0</v>
      </c>
      <c r="Q147" t="n">
        <v>2</v>
      </c>
      <c r="R147" s="2" t="inlineStr">
        <is>
          <t>Igelkott
Kambräken</t>
        </is>
      </c>
      <c r="S147">
        <f>HYPERLINK("https://klasma.github.io/Logging_0980/artfynd/A 51737-2021 artfynd.xlsx", "A 51737-2021")</f>
        <v/>
      </c>
      <c r="T147">
        <f>HYPERLINK("https://klasma.github.io/Logging_0980/kartor/A 51737-2021 karta.png", "A 51737-2021")</f>
        <v/>
      </c>
      <c r="V147">
        <f>HYPERLINK("https://klasma.github.io/Logging_0980/klagomål/A 51737-2021 FSC-klagomål.docx", "A 51737-2021")</f>
        <v/>
      </c>
      <c r="W147">
        <f>HYPERLINK("https://klasma.github.io/Logging_0980/klagomålsmail/A 51737-2021 FSC-klagomål mail.docx", "A 51737-2021")</f>
        <v/>
      </c>
      <c r="X147">
        <f>HYPERLINK("https://klasma.github.io/Logging_0980/tillsyn/A 51737-2021 tillsynsbegäran.docx", "A 51737-2021")</f>
        <v/>
      </c>
      <c r="Y147">
        <f>HYPERLINK("https://klasma.github.io/Logging_0980/tillsynsmail/A 51737-2021 tillsynsbegäran mail.docx", "A 51737-2021")</f>
        <v/>
      </c>
    </row>
    <row r="148" ht="15" customHeight="1">
      <c r="A148" t="inlineStr">
        <is>
          <t>A 60665-2021</t>
        </is>
      </c>
      <c r="B148" s="1" t="n">
        <v>44496</v>
      </c>
      <c r="C148" s="1" t="n">
        <v>45584</v>
      </c>
      <c r="D148" t="inlineStr">
        <is>
          <t>GOTLANDS LÄN</t>
        </is>
      </c>
      <c r="E148" t="inlineStr">
        <is>
          <t>GOTLAND</t>
        </is>
      </c>
      <c r="G148" t="n">
        <v>1.6</v>
      </c>
      <c r="H148" t="n">
        <v>0</v>
      </c>
      <c r="I148" t="n">
        <v>0</v>
      </c>
      <c r="J148" t="n">
        <v>0</v>
      </c>
      <c r="K148" t="n">
        <v>1</v>
      </c>
      <c r="L148" t="n">
        <v>1</v>
      </c>
      <c r="M148" t="n">
        <v>0</v>
      </c>
      <c r="N148" t="n">
        <v>0</v>
      </c>
      <c r="O148" t="n">
        <v>2</v>
      </c>
      <c r="P148" t="n">
        <v>2</v>
      </c>
      <c r="Q148" t="n">
        <v>2</v>
      </c>
      <c r="R148" s="2" t="inlineStr">
        <is>
          <t>Ädellav
Skogskorn</t>
        </is>
      </c>
      <c r="S148">
        <f>HYPERLINK("https://klasma.github.io/Logging_0980/artfynd/A 60665-2021 artfynd.xlsx", "A 60665-2021")</f>
        <v/>
      </c>
      <c r="T148">
        <f>HYPERLINK("https://klasma.github.io/Logging_0980/kartor/A 60665-2021 karta.png", "A 60665-2021")</f>
        <v/>
      </c>
      <c r="V148">
        <f>HYPERLINK("https://klasma.github.io/Logging_0980/klagomål/A 60665-2021 FSC-klagomål.docx", "A 60665-2021")</f>
        <v/>
      </c>
      <c r="W148">
        <f>HYPERLINK("https://klasma.github.io/Logging_0980/klagomålsmail/A 60665-2021 FSC-klagomål mail.docx", "A 60665-2021")</f>
        <v/>
      </c>
      <c r="X148">
        <f>HYPERLINK("https://klasma.github.io/Logging_0980/tillsyn/A 60665-2021 tillsynsbegäran.docx", "A 60665-2021")</f>
        <v/>
      </c>
      <c r="Y148">
        <f>HYPERLINK("https://klasma.github.io/Logging_0980/tillsynsmail/A 60665-2021 tillsynsbegäran mail.docx", "A 60665-2021")</f>
        <v/>
      </c>
    </row>
    <row r="149" ht="15" customHeight="1">
      <c r="A149" t="inlineStr">
        <is>
          <t>A 73144-2021</t>
        </is>
      </c>
      <c r="B149" s="1" t="n">
        <v>44550</v>
      </c>
      <c r="C149" s="1" t="n">
        <v>45584</v>
      </c>
      <c r="D149" t="inlineStr">
        <is>
          <t>GOTLANDS LÄN</t>
        </is>
      </c>
      <c r="E149" t="inlineStr">
        <is>
          <t>GOTLAND</t>
        </is>
      </c>
      <c r="G149" t="n">
        <v>1.9</v>
      </c>
      <c r="H149" t="n">
        <v>0</v>
      </c>
      <c r="I149" t="n">
        <v>1</v>
      </c>
      <c r="J149" t="n">
        <v>0</v>
      </c>
      <c r="K149" t="n">
        <v>1</v>
      </c>
      <c r="L149" t="n">
        <v>0</v>
      </c>
      <c r="M149" t="n">
        <v>0</v>
      </c>
      <c r="N149" t="n">
        <v>0</v>
      </c>
      <c r="O149" t="n">
        <v>1</v>
      </c>
      <c r="P149" t="n">
        <v>1</v>
      </c>
      <c r="Q149" t="n">
        <v>2</v>
      </c>
      <c r="R149" s="2" t="inlineStr">
        <is>
          <t>Skogskorn
Kambräken</t>
        </is>
      </c>
      <c r="S149">
        <f>HYPERLINK("https://klasma.github.io/Logging_0980/artfynd/A 73144-2021 artfynd.xlsx", "A 73144-2021")</f>
        <v/>
      </c>
      <c r="T149">
        <f>HYPERLINK("https://klasma.github.io/Logging_0980/kartor/A 73144-2021 karta.png", "A 73144-2021")</f>
        <v/>
      </c>
      <c r="V149">
        <f>HYPERLINK("https://klasma.github.io/Logging_0980/klagomål/A 73144-2021 FSC-klagomål.docx", "A 73144-2021")</f>
        <v/>
      </c>
      <c r="W149">
        <f>HYPERLINK("https://klasma.github.io/Logging_0980/klagomålsmail/A 73144-2021 FSC-klagomål mail.docx", "A 73144-2021")</f>
        <v/>
      </c>
      <c r="X149">
        <f>HYPERLINK("https://klasma.github.io/Logging_0980/tillsyn/A 73144-2021 tillsynsbegäran.docx", "A 73144-2021")</f>
        <v/>
      </c>
      <c r="Y149">
        <f>HYPERLINK("https://klasma.github.io/Logging_0980/tillsynsmail/A 73144-2021 tillsynsbegäran mail.docx", "A 73144-2021")</f>
        <v/>
      </c>
    </row>
    <row r="150" ht="15" customHeight="1">
      <c r="A150" t="inlineStr">
        <is>
          <t>A 7070-2022</t>
        </is>
      </c>
      <c r="B150" s="1" t="n">
        <v>44603</v>
      </c>
      <c r="C150" s="1" t="n">
        <v>45584</v>
      </c>
      <c r="D150" t="inlineStr">
        <is>
          <t>GOTLANDS LÄN</t>
        </is>
      </c>
      <c r="E150" t="inlineStr">
        <is>
          <t>GOTLAND</t>
        </is>
      </c>
      <c r="G150" t="n">
        <v>2.6</v>
      </c>
      <c r="H150" t="n">
        <v>0</v>
      </c>
      <c r="I150" t="n">
        <v>2</v>
      </c>
      <c r="J150" t="n">
        <v>0</v>
      </c>
      <c r="K150" t="n">
        <v>0</v>
      </c>
      <c r="L150" t="n">
        <v>0</v>
      </c>
      <c r="M150" t="n">
        <v>0</v>
      </c>
      <c r="N150" t="n">
        <v>0</v>
      </c>
      <c r="O150" t="n">
        <v>0</v>
      </c>
      <c r="P150" t="n">
        <v>0</v>
      </c>
      <c r="Q150" t="n">
        <v>2</v>
      </c>
      <c r="R150" s="2" t="inlineStr">
        <is>
          <t>Blåmossa
Kattfotslav</t>
        </is>
      </c>
      <c r="S150">
        <f>HYPERLINK("https://klasma.github.io/Logging_0980/artfynd/A 7070-2022 artfynd.xlsx", "A 7070-2022")</f>
        <v/>
      </c>
      <c r="T150">
        <f>HYPERLINK("https://klasma.github.io/Logging_0980/kartor/A 7070-2022 karta.png", "A 7070-2022")</f>
        <v/>
      </c>
      <c r="V150">
        <f>HYPERLINK("https://klasma.github.io/Logging_0980/klagomål/A 7070-2022 FSC-klagomål.docx", "A 7070-2022")</f>
        <v/>
      </c>
      <c r="W150">
        <f>HYPERLINK("https://klasma.github.io/Logging_0980/klagomålsmail/A 7070-2022 FSC-klagomål mail.docx", "A 7070-2022")</f>
        <v/>
      </c>
      <c r="X150">
        <f>HYPERLINK("https://klasma.github.io/Logging_0980/tillsyn/A 7070-2022 tillsynsbegäran.docx", "A 7070-2022")</f>
        <v/>
      </c>
      <c r="Y150">
        <f>HYPERLINK("https://klasma.github.io/Logging_0980/tillsynsmail/A 7070-2022 tillsynsbegäran mail.docx", "A 7070-2022")</f>
        <v/>
      </c>
    </row>
    <row r="151" ht="15" customHeight="1">
      <c r="A151" t="inlineStr">
        <is>
          <t>A 19175-2022</t>
        </is>
      </c>
      <c r="B151" s="1" t="n">
        <v>44691</v>
      </c>
      <c r="C151" s="1" t="n">
        <v>45584</v>
      </c>
      <c r="D151" t="inlineStr">
        <is>
          <t>GOTLANDS LÄN</t>
        </is>
      </c>
      <c r="E151" t="inlineStr">
        <is>
          <t>GOTLAND</t>
        </is>
      </c>
      <c r="G151" t="n">
        <v>8.5</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19175-2022 artfynd.xlsx", "A 19175-2022")</f>
        <v/>
      </c>
      <c r="T151">
        <f>HYPERLINK("https://klasma.github.io/Logging_0980/kartor/A 19175-2022 karta.png", "A 19175-2022")</f>
        <v/>
      </c>
      <c r="V151">
        <f>HYPERLINK("https://klasma.github.io/Logging_0980/klagomål/A 19175-2022 FSC-klagomål.docx", "A 19175-2022")</f>
        <v/>
      </c>
      <c r="W151">
        <f>HYPERLINK("https://klasma.github.io/Logging_0980/klagomålsmail/A 19175-2022 FSC-klagomål mail.docx", "A 19175-2022")</f>
        <v/>
      </c>
      <c r="X151">
        <f>HYPERLINK("https://klasma.github.io/Logging_0980/tillsyn/A 19175-2022 tillsynsbegäran.docx", "A 19175-2022")</f>
        <v/>
      </c>
      <c r="Y151">
        <f>HYPERLINK("https://klasma.github.io/Logging_0980/tillsynsmail/A 19175-2022 tillsynsbegäran mail.docx", "A 19175-2022")</f>
        <v/>
      </c>
      <c r="Z151">
        <f>HYPERLINK("https://klasma.github.io/Logging_0980/fåglar/A 19175-2022 prioriterade fågelarter.docx", "A 19175-2022")</f>
        <v/>
      </c>
    </row>
    <row r="152" ht="15" customHeight="1">
      <c r="A152" t="inlineStr">
        <is>
          <t>A 20218-2022</t>
        </is>
      </c>
      <c r="B152" s="1" t="n">
        <v>44698</v>
      </c>
      <c r="C152" s="1" t="n">
        <v>45584</v>
      </c>
      <c r="D152" t="inlineStr">
        <is>
          <t>GOTLANDS LÄN</t>
        </is>
      </c>
      <c r="E152" t="inlineStr">
        <is>
          <t>GOTLAND</t>
        </is>
      </c>
      <c r="G152" t="n">
        <v>4.3</v>
      </c>
      <c r="H152" t="n">
        <v>0</v>
      </c>
      <c r="I152" t="n">
        <v>1</v>
      </c>
      <c r="J152" t="n">
        <v>1</v>
      </c>
      <c r="K152" t="n">
        <v>0</v>
      </c>
      <c r="L152" t="n">
        <v>0</v>
      </c>
      <c r="M152" t="n">
        <v>0</v>
      </c>
      <c r="N152" t="n">
        <v>0</v>
      </c>
      <c r="O152" t="n">
        <v>1</v>
      </c>
      <c r="P152" t="n">
        <v>0</v>
      </c>
      <c r="Q152" t="n">
        <v>2</v>
      </c>
      <c r="R152" s="2" t="inlineStr">
        <is>
          <t>Flattoppad klubbsvamp
Rödgul trumpetsvamp</t>
        </is>
      </c>
      <c r="S152">
        <f>HYPERLINK("https://klasma.github.io/Logging_0980/artfynd/A 20218-2022 artfynd.xlsx", "A 20218-2022")</f>
        <v/>
      </c>
      <c r="T152">
        <f>HYPERLINK("https://klasma.github.io/Logging_0980/kartor/A 20218-2022 karta.png", "A 20218-2022")</f>
        <v/>
      </c>
      <c r="V152">
        <f>HYPERLINK("https://klasma.github.io/Logging_0980/klagomål/A 20218-2022 FSC-klagomål.docx", "A 20218-2022")</f>
        <v/>
      </c>
      <c r="W152">
        <f>HYPERLINK("https://klasma.github.io/Logging_0980/klagomålsmail/A 20218-2022 FSC-klagomål mail.docx", "A 20218-2022")</f>
        <v/>
      </c>
      <c r="X152">
        <f>HYPERLINK("https://klasma.github.io/Logging_0980/tillsyn/A 20218-2022 tillsynsbegäran.docx", "A 20218-2022")</f>
        <v/>
      </c>
      <c r="Y152">
        <f>HYPERLINK("https://klasma.github.io/Logging_0980/tillsynsmail/A 20218-2022 tillsynsbegäran mail.docx", "A 20218-2022")</f>
        <v/>
      </c>
    </row>
    <row r="153" ht="15" customHeight="1">
      <c r="A153" t="inlineStr">
        <is>
          <t>A 48126-2022</t>
        </is>
      </c>
      <c r="B153" s="1" t="n">
        <v>44857</v>
      </c>
      <c r="C153" s="1" t="n">
        <v>45584</v>
      </c>
      <c r="D153" t="inlineStr">
        <is>
          <t>GOTLANDS LÄN</t>
        </is>
      </c>
      <c r="E153" t="inlineStr">
        <is>
          <t>GOTLAND</t>
        </is>
      </c>
      <c r="G153" t="n">
        <v>9.800000000000001</v>
      </c>
      <c r="H153" t="n">
        <v>1</v>
      </c>
      <c r="I153" t="n">
        <v>0</v>
      </c>
      <c r="J153" t="n">
        <v>2</v>
      </c>
      <c r="K153" t="n">
        <v>0</v>
      </c>
      <c r="L153" t="n">
        <v>0</v>
      </c>
      <c r="M153" t="n">
        <v>0</v>
      </c>
      <c r="N153" t="n">
        <v>0</v>
      </c>
      <c r="O153" t="n">
        <v>2</v>
      </c>
      <c r="P153" t="n">
        <v>0</v>
      </c>
      <c r="Q153" t="n">
        <v>2</v>
      </c>
      <c r="R153" s="2" t="inlineStr">
        <is>
          <t>Jordtistel
Spillkråka</t>
        </is>
      </c>
      <c r="S153">
        <f>HYPERLINK("https://klasma.github.io/Logging_0980/artfynd/A 48126-2022 artfynd.xlsx", "A 48126-2022")</f>
        <v/>
      </c>
      <c r="T153">
        <f>HYPERLINK("https://klasma.github.io/Logging_0980/kartor/A 48126-2022 karta.png", "A 48126-2022")</f>
        <v/>
      </c>
      <c r="V153">
        <f>HYPERLINK("https://klasma.github.io/Logging_0980/klagomål/A 48126-2022 FSC-klagomål.docx", "A 48126-2022")</f>
        <v/>
      </c>
      <c r="W153">
        <f>HYPERLINK("https://klasma.github.io/Logging_0980/klagomålsmail/A 48126-2022 FSC-klagomål mail.docx", "A 48126-2022")</f>
        <v/>
      </c>
      <c r="X153">
        <f>HYPERLINK("https://klasma.github.io/Logging_0980/tillsyn/A 48126-2022 tillsynsbegäran.docx", "A 48126-2022")</f>
        <v/>
      </c>
      <c r="Y153">
        <f>HYPERLINK("https://klasma.github.io/Logging_0980/tillsynsmail/A 48126-2022 tillsynsbegäran mail.docx", "A 48126-2022")</f>
        <v/>
      </c>
      <c r="Z153">
        <f>HYPERLINK("https://klasma.github.io/Logging_0980/fåglar/A 48126-2022 prioriterade fågelarter.docx", "A 48126-2022")</f>
        <v/>
      </c>
    </row>
    <row r="154" ht="15" customHeight="1">
      <c r="A154" t="inlineStr">
        <is>
          <t>A 3779-2023</t>
        </is>
      </c>
      <c r="B154" s="1" t="n">
        <v>44951</v>
      </c>
      <c r="C154" s="1" t="n">
        <v>45584</v>
      </c>
      <c r="D154" t="inlineStr">
        <is>
          <t>GOTLANDS LÄN</t>
        </is>
      </c>
      <c r="E154" t="inlineStr">
        <is>
          <t>GOTLAND</t>
        </is>
      </c>
      <c r="G154" t="n">
        <v>5.2</v>
      </c>
      <c r="H154" t="n">
        <v>0</v>
      </c>
      <c r="I154" t="n">
        <v>2</v>
      </c>
      <c r="J154" t="n">
        <v>0</v>
      </c>
      <c r="K154" t="n">
        <v>0</v>
      </c>
      <c r="L154" t="n">
        <v>0</v>
      </c>
      <c r="M154" t="n">
        <v>0</v>
      </c>
      <c r="N154" t="n">
        <v>0</v>
      </c>
      <c r="O154" t="n">
        <v>0</v>
      </c>
      <c r="P154" t="n">
        <v>0</v>
      </c>
      <c r="Q154" t="n">
        <v>2</v>
      </c>
      <c r="R154" s="2" t="inlineStr">
        <is>
          <t>Blå slemspindling
Olivspindling</t>
        </is>
      </c>
      <c r="S154">
        <f>HYPERLINK("https://klasma.github.io/Logging_0980/artfynd/A 3779-2023 artfynd.xlsx", "A 3779-2023")</f>
        <v/>
      </c>
      <c r="T154">
        <f>HYPERLINK("https://klasma.github.io/Logging_0980/kartor/A 3779-2023 karta.png", "A 3779-2023")</f>
        <v/>
      </c>
      <c r="V154">
        <f>HYPERLINK("https://klasma.github.io/Logging_0980/klagomål/A 3779-2023 FSC-klagomål.docx", "A 3779-2023")</f>
        <v/>
      </c>
      <c r="W154">
        <f>HYPERLINK("https://klasma.github.io/Logging_0980/klagomålsmail/A 3779-2023 FSC-klagomål mail.docx", "A 3779-2023")</f>
        <v/>
      </c>
      <c r="X154">
        <f>HYPERLINK("https://klasma.github.io/Logging_0980/tillsyn/A 3779-2023 tillsynsbegäran.docx", "A 3779-2023")</f>
        <v/>
      </c>
      <c r="Y154">
        <f>HYPERLINK("https://klasma.github.io/Logging_0980/tillsynsmail/A 3779-2023 tillsynsbegäran mail.docx", "A 3779-2023")</f>
        <v/>
      </c>
    </row>
    <row r="155" ht="15" customHeight="1">
      <c r="A155" t="inlineStr">
        <is>
          <t>A 27280-2023</t>
        </is>
      </c>
      <c r="B155" s="1" t="n">
        <v>45096</v>
      </c>
      <c r="C155" s="1" t="n">
        <v>45584</v>
      </c>
      <c r="D155" t="inlineStr">
        <is>
          <t>GOTLANDS LÄN</t>
        </is>
      </c>
      <c r="E155" t="inlineStr">
        <is>
          <t>GOTLAND</t>
        </is>
      </c>
      <c r="G155" t="n">
        <v>2.7</v>
      </c>
      <c r="H155" t="n">
        <v>2</v>
      </c>
      <c r="I155" t="n">
        <v>0</v>
      </c>
      <c r="J155" t="n">
        <v>0</v>
      </c>
      <c r="K155" t="n">
        <v>0</v>
      </c>
      <c r="L155" t="n">
        <v>0</v>
      </c>
      <c r="M155" t="n">
        <v>0</v>
      </c>
      <c r="N155" t="n">
        <v>0</v>
      </c>
      <c r="O155" t="n">
        <v>0</v>
      </c>
      <c r="P155" t="n">
        <v>0</v>
      </c>
      <c r="Q155" t="n">
        <v>2</v>
      </c>
      <c r="R155" s="2" t="inlineStr">
        <is>
          <t>Fläcknycklar
Grönvit nattviol</t>
        </is>
      </c>
      <c r="S155">
        <f>HYPERLINK("https://klasma.github.io/Logging_0980/artfynd/A 27280-2023 artfynd.xlsx", "A 27280-2023")</f>
        <v/>
      </c>
      <c r="T155">
        <f>HYPERLINK("https://klasma.github.io/Logging_0980/kartor/A 27280-2023 karta.png", "A 27280-2023")</f>
        <v/>
      </c>
      <c r="V155">
        <f>HYPERLINK("https://klasma.github.io/Logging_0980/klagomål/A 27280-2023 FSC-klagomål.docx", "A 27280-2023")</f>
        <v/>
      </c>
      <c r="W155">
        <f>HYPERLINK("https://klasma.github.io/Logging_0980/klagomålsmail/A 27280-2023 FSC-klagomål mail.docx", "A 27280-2023")</f>
        <v/>
      </c>
      <c r="X155">
        <f>HYPERLINK("https://klasma.github.io/Logging_0980/tillsyn/A 27280-2023 tillsynsbegäran.docx", "A 27280-2023")</f>
        <v/>
      </c>
      <c r="Y155">
        <f>HYPERLINK("https://klasma.github.io/Logging_0980/tillsynsmail/A 27280-2023 tillsynsbegäran mail.docx", "A 27280-2023")</f>
        <v/>
      </c>
    </row>
    <row r="156" ht="15" customHeight="1">
      <c r="A156" t="inlineStr">
        <is>
          <t>A 35028-2023</t>
        </is>
      </c>
      <c r="B156" s="1" t="n">
        <v>45145</v>
      </c>
      <c r="C156" s="1" t="n">
        <v>45584</v>
      </c>
      <c r="D156" t="inlineStr">
        <is>
          <t>GOTLANDS LÄN</t>
        </is>
      </c>
      <c r="E156" t="inlineStr">
        <is>
          <t>GOTLAND</t>
        </is>
      </c>
      <c r="G156" t="n">
        <v>1.1</v>
      </c>
      <c r="H156" t="n">
        <v>0</v>
      </c>
      <c r="I156" t="n">
        <v>1</v>
      </c>
      <c r="J156" t="n">
        <v>0</v>
      </c>
      <c r="K156" t="n">
        <v>1</v>
      </c>
      <c r="L156" t="n">
        <v>0</v>
      </c>
      <c r="M156" t="n">
        <v>0</v>
      </c>
      <c r="N156" t="n">
        <v>0</v>
      </c>
      <c r="O156" t="n">
        <v>1</v>
      </c>
      <c r="P156" t="n">
        <v>1</v>
      </c>
      <c r="Q156" t="n">
        <v>2</v>
      </c>
      <c r="R156" s="2" t="inlineStr">
        <is>
          <t>Tät korallorangelav
Guldlockmossa</t>
        </is>
      </c>
      <c r="S156">
        <f>HYPERLINK("https://klasma.github.io/Logging_0980/artfynd/A 35028-2023 artfynd.xlsx", "A 35028-2023")</f>
        <v/>
      </c>
      <c r="T156">
        <f>HYPERLINK("https://klasma.github.io/Logging_0980/kartor/A 35028-2023 karta.png", "A 35028-2023")</f>
        <v/>
      </c>
      <c r="V156">
        <f>HYPERLINK("https://klasma.github.io/Logging_0980/klagomål/A 35028-2023 FSC-klagomål.docx", "A 35028-2023")</f>
        <v/>
      </c>
      <c r="W156">
        <f>HYPERLINK("https://klasma.github.io/Logging_0980/klagomålsmail/A 35028-2023 FSC-klagomål mail.docx", "A 35028-2023")</f>
        <v/>
      </c>
      <c r="X156">
        <f>HYPERLINK("https://klasma.github.io/Logging_0980/tillsyn/A 35028-2023 tillsynsbegäran.docx", "A 35028-2023")</f>
        <v/>
      </c>
      <c r="Y156">
        <f>HYPERLINK("https://klasma.github.io/Logging_0980/tillsynsmail/A 35028-2023 tillsynsbegäran mail.docx", "A 35028-2023")</f>
        <v/>
      </c>
    </row>
    <row r="157" ht="15" customHeight="1">
      <c r="A157" t="inlineStr">
        <is>
          <t>A 35029-2023</t>
        </is>
      </c>
      <c r="B157" s="1" t="n">
        <v>45145</v>
      </c>
      <c r="C157" s="1" t="n">
        <v>45584</v>
      </c>
      <c r="D157" t="inlineStr">
        <is>
          <t>GOTLANDS LÄN</t>
        </is>
      </c>
      <c r="E157" t="inlineStr">
        <is>
          <t>GOTLAND</t>
        </is>
      </c>
      <c r="G157" t="n">
        <v>1.7</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35029-2023 artfynd.xlsx", "A 35029-2023")</f>
        <v/>
      </c>
      <c r="T157">
        <f>HYPERLINK("https://klasma.github.io/Logging_0980/kartor/A 35029-2023 karta.png", "A 35029-2023")</f>
        <v/>
      </c>
      <c r="V157">
        <f>HYPERLINK("https://klasma.github.io/Logging_0980/klagomål/A 35029-2023 FSC-klagomål.docx", "A 35029-2023")</f>
        <v/>
      </c>
      <c r="W157">
        <f>HYPERLINK("https://klasma.github.io/Logging_0980/klagomålsmail/A 35029-2023 FSC-klagomål mail.docx", "A 35029-2023")</f>
        <v/>
      </c>
      <c r="X157">
        <f>HYPERLINK("https://klasma.github.io/Logging_0980/tillsyn/A 35029-2023 tillsynsbegäran.docx", "A 35029-2023")</f>
        <v/>
      </c>
      <c r="Y157">
        <f>HYPERLINK("https://klasma.github.io/Logging_0980/tillsynsmail/A 35029-2023 tillsynsbegäran mail.docx", "A 35029-2023")</f>
        <v/>
      </c>
    </row>
    <row r="158" ht="15" customHeight="1">
      <c r="A158" t="inlineStr">
        <is>
          <t>A 39430-2023</t>
        </is>
      </c>
      <c r="B158" s="1" t="n">
        <v>45166</v>
      </c>
      <c r="C158" s="1" t="n">
        <v>45584</v>
      </c>
      <c r="D158" t="inlineStr">
        <is>
          <t>GOTLANDS LÄN</t>
        </is>
      </c>
      <c r="E158" t="inlineStr">
        <is>
          <t>GOTLAND</t>
        </is>
      </c>
      <c r="G158" t="n">
        <v>2.3</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39430-2023 artfynd.xlsx", "A 39430-2023")</f>
        <v/>
      </c>
      <c r="T158">
        <f>HYPERLINK("https://klasma.github.io/Logging_0980/kartor/A 39430-2023 karta.png", "A 39430-2023")</f>
        <v/>
      </c>
      <c r="V158">
        <f>HYPERLINK("https://klasma.github.io/Logging_0980/klagomål/A 39430-2023 FSC-klagomål.docx", "A 39430-2023")</f>
        <v/>
      </c>
      <c r="W158">
        <f>HYPERLINK("https://klasma.github.io/Logging_0980/klagomålsmail/A 39430-2023 FSC-klagomål mail.docx", "A 39430-2023")</f>
        <v/>
      </c>
      <c r="X158">
        <f>HYPERLINK("https://klasma.github.io/Logging_0980/tillsyn/A 39430-2023 tillsynsbegäran.docx", "A 39430-2023")</f>
        <v/>
      </c>
      <c r="Y158">
        <f>HYPERLINK("https://klasma.github.io/Logging_0980/tillsynsmail/A 39430-2023 tillsynsbegäran mail.docx", "A 39430-2023")</f>
        <v/>
      </c>
    </row>
    <row r="159" ht="15" customHeight="1">
      <c r="A159" t="inlineStr">
        <is>
          <t>A 39749-2023</t>
        </is>
      </c>
      <c r="B159" s="1" t="n">
        <v>45167</v>
      </c>
      <c r="C159" s="1" t="n">
        <v>45584</v>
      </c>
      <c r="D159" t="inlineStr">
        <is>
          <t>GOTLANDS LÄN</t>
        </is>
      </c>
      <c r="E159" t="inlineStr">
        <is>
          <t>GOTLAND</t>
        </is>
      </c>
      <c r="G159" t="n">
        <v>8.300000000000001</v>
      </c>
      <c r="H159" t="n">
        <v>0</v>
      </c>
      <c r="I159" t="n">
        <v>1</v>
      </c>
      <c r="J159" t="n">
        <v>1</v>
      </c>
      <c r="K159" t="n">
        <v>0</v>
      </c>
      <c r="L159" t="n">
        <v>0</v>
      </c>
      <c r="M159" t="n">
        <v>0</v>
      </c>
      <c r="N159" t="n">
        <v>0</v>
      </c>
      <c r="O159" t="n">
        <v>1</v>
      </c>
      <c r="P159" t="n">
        <v>0</v>
      </c>
      <c r="Q159" t="n">
        <v>2</v>
      </c>
      <c r="R159" s="2" t="inlineStr">
        <is>
          <t>Majviva
Axag</t>
        </is>
      </c>
      <c r="S159">
        <f>HYPERLINK("https://klasma.github.io/Logging_0980/artfynd/A 39749-2023 artfynd.xlsx", "A 39749-2023")</f>
        <v/>
      </c>
      <c r="T159">
        <f>HYPERLINK("https://klasma.github.io/Logging_0980/kartor/A 39749-2023 karta.png", "A 39749-2023")</f>
        <v/>
      </c>
      <c r="V159">
        <f>HYPERLINK("https://klasma.github.io/Logging_0980/klagomål/A 39749-2023 FSC-klagomål.docx", "A 39749-2023")</f>
        <v/>
      </c>
      <c r="W159">
        <f>HYPERLINK("https://klasma.github.io/Logging_0980/klagomålsmail/A 39749-2023 FSC-klagomål mail.docx", "A 39749-2023")</f>
        <v/>
      </c>
      <c r="X159">
        <f>HYPERLINK("https://klasma.github.io/Logging_0980/tillsyn/A 39749-2023 tillsynsbegäran.docx", "A 39749-2023")</f>
        <v/>
      </c>
      <c r="Y159">
        <f>HYPERLINK("https://klasma.github.io/Logging_0980/tillsynsmail/A 39749-2023 tillsynsbegäran mail.docx", "A 39749-2023")</f>
        <v/>
      </c>
    </row>
    <row r="160" ht="15" customHeight="1">
      <c r="A160" t="inlineStr">
        <is>
          <t>A 54523-2023</t>
        </is>
      </c>
      <c r="B160" s="1" t="n">
        <v>45233</v>
      </c>
      <c r="C160" s="1" t="n">
        <v>45584</v>
      </c>
      <c r="D160" t="inlineStr">
        <is>
          <t>GOTLANDS LÄN</t>
        </is>
      </c>
      <c r="E160" t="inlineStr">
        <is>
          <t>GOTLAND</t>
        </is>
      </c>
      <c r="G160" t="n">
        <v>3.7</v>
      </c>
      <c r="H160" t="n">
        <v>0</v>
      </c>
      <c r="I160" t="n">
        <v>0</v>
      </c>
      <c r="J160" t="n">
        <v>1</v>
      </c>
      <c r="K160" t="n">
        <v>1</v>
      </c>
      <c r="L160" t="n">
        <v>0</v>
      </c>
      <c r="M160" t="n">
        <v>0</v>
      </c>
      <c r="N160" t="n">
        <v>0</v>
      </c>
      <c r="O160" t="n">
        <v>2</v>
      </c>
      <c r="P160" t="n">
        <v>1</v>
      </c>
      <c r="Q160" t="n">
        <v>2</v>
      </c>
      <c r="R160" s="2" t="inlineStr">
        <is>
          <t>Sommarklynne
Åkerkulla</t>
        </is>
      </c>
      <c r="S160">
        <f>HYPERLINK("https://klasma.github.io/Logging_0980/artfynd/A 54523-2023 artfynd.xlsx", "A 54523-2023")</f>
        <v/>
      </c>
      <c r="T160">
        <f>HYPERLINK("https://klasma.github.io/Logging_0980/kartor/A 54523-2023 karta.png", "A 54523-2023")</f>
        <v/>
      </c>
      <c r="V160">
        <f>HYPERLINK("https://klasma.github.io/Logging_0980/klagomål/A 54523-2023 FSC-klagomål.docx", "A 54523-2023")</f>
        <v/>
      </c>
      <c r="W160">
        <f>HYPERLINK("https://klasma.github.io/Logging_0980/klagomålsmail/A 54523-2023 FSC-klagomål mail.docx", "A 54523-2023")</f>
        <v/>
      </c>
      <c r="X160">
        <f>HYPERLINK("https://klasma.github.io/Logging_0980/tillsyn/A 54523-2023 tillsynsbegäran.docx", "A 54523-2023")</f>
        <v/>
      </c>
      <c r="Y160">
        <f>HYPERLINK("https://klasma.github.io/Logging_0980/tillsynsmail/A 54523-2023 tillsynsbegäran mail.docx", "A 54523-2023")</f>
        <v/>
      </c>
    </row>
    <row r="161" ht="15" customHeight="1">
      <c r="A161" t="inlineStr">
        <is>
          <t>A 2818-2024</t>
        </is>
      </c>
      <c r="B161" s="1" t="n">
        <v>45314</v>
      </c>
      <c r="C161" s="1" t="n">
        <v>45584</v>
      </c>
      <c r="D161" t="inlineStr">
        <is>
          <t>GOTLANDS LÄN</t>
        </is>
      </c>
      <c r="E161" t="inlineStr">
        <is>
          <t>GOTLAND</t>
        </is>
      </c>
      <c r="G161" t="n">
        <v>2.4</v>
      </c>
      <c r="H161" t="n">
        <v>1</v>
      </c>
      <c r="I161" t="n">
        <v>0</v>
      </c>
      <c r="J161" t="n">
        <v>1</v>
      </c>
      <c r="K161" t="n">
        <v>0</v>
      </c>
      <c r="L161" t="n">
        <v>0</v>
      </c>
      <c r="M161" t="n">
        <v>0</v>
      </c>
      <c r="N161" t="n">
        <v>0</v>
      </c>
      <c r="O161" t="n">
        <v>1</v>
      </c>
      <c r="P161" t="n">
        <v>0</v>
      </c>
      <c r="Q161" t="n">
        <v>2</v>
      </c>
      <c r="R161" s="2" t="inlineStr">
        <is>
          <t>Solvända
Gullviva</t>
        </is>
      </c>
      <c r="S161">
        <f>HYPERLINK("https://klasma.github.io/Logging_0980/artfynd/A 2818-2024 artfynd.xlsx", "A 2818-2024")</f>
        <v/>
      </c>
      <c r="T161">
        <f>HYPERLINK("https://klasma.github.io/Logging_0980/kartor/A 2818-2024 karta.png", "A 2818-2024")</f>
        <v/>
      </c>
      <c r="V161">
        <f>HYPERLINK("https://klasma.github.io/Logging_0980/klagomål/A 2818-2024 FSC-klagomål.docx", "A 2818-2024")</f>
        <v/>
      </c>
      <c r="W161">
        <f>HYPERLINK("https://klasma.github.io/Logging_0980/klagomålsmail/A 2818-2024 FSC-klagomål mail.docx", "A 2818-2024")</f>
        <v/>
      </c>
      <c r="X161">
        <f>HYPERLINK("https://klasma.github.io/Logging_0980/tillsyn/A 2818-2024 tillsynsbegäran.docx", "A 2818-2024")</f>
        <v/>
      </c>
      <c r="Y161">
        <f>HYPERLINK("https://klasma.github.io/Logging_0980/tillsynsmail/A 2818-2024 tillsynsbegäran mail.docx", "A 2818-2024")</f>
        <v/>
      </c>
    </row>
    <row r="162" ht="15" customHeight="1">
      <c r="A162" t="inlineStr">
        <is>
          <t>A 12315-2024</t>
        </is>
      </c>
      <c r="B162" s="1" t="n">
        <v>45378</v>
      </c>
      <c r="C162" s="1" t="n">
        <v>45584</v>
      </c>
      <c r="D162" t="inlineStr">
        <is>
          <t>GOTLANDS LÄN</t>
        </is>
      </c>
      <c r="E162" t="inlineStr">
        <is>
          <t>GOTLAND</t>
        </is>
      </c>
      <c r="G162" t="n">
        <v>6</v>
      </c>
      <c r="H162" t="n">
        <v>2</v>
      </c>
      <c r="I162" t="n">
        <v>1</v>
      </c>
      <c r="J162" t="n">
        <v>0</v>
      </c>
      <c r="K162" t="n">
        <v>0</v>
      </c>
      <c r="L162" t="n">
        <v>0</v>
      </c>
      <c r="M162" t="n">
        <v>0</v>
      </c>
      <c r="N162" t="n">
        <v>0</v>
      </c>
      <c r="O162" t="n">
        <v>0</v>
      </c>
      <c r="P162" t="n">
        <v>0</v>
      </c>
      <c r="Q162" t="n">
        <v>2</v>
      </c>
      <c r="R162" s="2" t="inlineStr">
        <is>
          <t>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row>
    <row r="163" ht="15" customHeight="1">
      <c r="A163" t="inlineStr">
        <is>
          <t>A 16331-2024</t>
        </is>
      </c>
      <c r="B163" s="1" t="n">
        <v>45407</v>
      </c>
      <c r="C163" s="1" t="n">
        <v>45584</v>
      </c>
      <c r="D163" t="inlineStr">
        <is>
          <t>GOTLANDS LÄN</t>
        </is>
      </c>
      <c r="E163" t="inlineStr">
        <is>
          <t>GOTLAND</t>
        </is>
      </c>
      <c r="G163" t="n">
        <v>4.2</v>
      </c>
      <c r="H163" t="n">
        <v>0</v>
      </c>
      <c r="I163" t="n">
        <v>2</v>
      </c>
      <c r="J163" t="n">
        <v>0</v>
      </c>
      <c r="K163" t="n">
        <v>0</v>
      </c>
      <c r="L163" t="n">
        <v>0</v>
      </c>
      <c r="M163" t="n">
        <v>0</v>
      </c>
      <c r="N163" t="n">
        <v>0</v>
      </c>
      <c r="O163" t="n">
        <v>0</v>
      </c>
      <c r="P163" t="n">
        <v>0</v>
      </c>
      <c r="Q163" t="n">
        <v>2</v>
      </c>
      <c r="R163" s="2" t="inlineStr">
        <is>
          <t>Blå slemspindling
Västlig hakmossa</t>
        </is>
      </c>
      <c r="S163">
        <f>HYPERLINK("https://klasma.github.io/Logging_0980/artfynd/A 16331-2024 artfynd.xlsx", "A 16331-2024")</f>
        <v/>
      </c>
      <c r="T163">
        <f>HYPERLINK("https://klasma.github.io/Logging_0980/kartor/A 16331-2024 karta.png", "A 16331-2024")</f>
        <v/>
      </c>
      <c r="V163">
        <f>HYPERLINK("https://klasma.github.io/Logging_0980/klagomål/A 16331-2024 FSC-klagomål.docx", "A 16331-2024")</f>
        <v/>
      </c>
      <c r="W163">
        <f>HYPERLINK("https://klasma.github.io/Logging_0980/klagomålsmail/A 16331-2024 FSC-klagomål mail.docx", "A 16331-2024")</f>
        <v/>
      </c>
      <c r="X163">
        <f>HYPERLINK("https://klasma.github.io/Logging_0980/tillsyn/A 16331-2024 tillsynsbegäran.docx", "A 16331-2024")</f>
        <v/>
      </c>
      <c r="Y163">
        <f>HYPERLINK("https://klasma.github.io/Logging_0980/tillsynsmail/A 16331-2024 tillsynsbegäran mail.docx", "A 16331-2024")</f>
        <v/>
      </c>
    </row>
    <row r="164" ht="15" customHeight="1">
      <c r="A164" t="inlineStr">
        <is>
          <t>A 17533-2024</t>
        </is>
      </c>
      <c r="B164" s="1" t="n">
        <v>45415</v>
      </c>
      <c r="C164" s="1" t="n">
        <v>45584</v>
      </c>
      <c r="D164" t="inlineStr">
        <is>
          <t>GOTLANDS LÄN</t>
        </is>
      </c>
      <c r="E164" t="inlineStr">
        <is>
          <t>GOTLAND</t>
        </is>
      </c>
      <c r="G164" t="n">
        <v>2.3</v>
      </c>
      <c r="H164" t="n">
        <v>0</v>
      </c>
      <c r="I164" t="n">
        <v>1</v>
      </c>
      <c r="J164" t="n">
        <v>0</v>
      </c>
      <c r="K164" t="n">
        <v>1</v>
      </c>
      <c r="L164" t="n">
        <v>0</v>
      </c>
      <c r="M164" t="n">
        <v>0</v>
      </c>
      <c r="N164" t="n">
        <v>0</v>
      </c>
      <c r="O164" t="n">
        <v>1</v>
      </c>
      <c r="P164" t="n">
        <v>1</v>
      </c>
      <c r="Q164" t="n">
        <v>2</v>
      </c>
      <c r="R164" s="2" t="inlineStr">
        <is>
          <t>Skogskorn
Strävlosta</t>
        </is>
      </c>
      <c r="S164">
        <f>HYPERLINK("https://klasma.github.io/Logging_0980/artfynd/A 17533-2024 artfynd.xlsx", "A 17533-2024")</f>
        <v/>
      </c>
      <c r="T164">
        <f>HYPERLINK("https://klasma.github.io/Logging_0980/kartor/A 17533-2024 karta.png", "A 17533-2024")</f>
        <v/>
      </c>
      <c r="V164">
        <f>HYPERLINK("https://klasma.github.io/Logging_0980/klagomål/A 17533-2024 FSC-klagomål.docx", "A 17533-2024")</f>
        <v/>
      </c>
      <c r="W164">
        <f>HYPERLINK("https://klasma.github.io/Logging_0980/klagomålsmail/A 17533-2024 FSC-klagomål mail.docx", "A 17533-2024")</f>
        <v/>
      </c>
      <c r="X164">
        <f>HYPERLINK("https://klasma.github.io/Logging_0980/tillsyn/A 17533-2024 tillsynsbegäran.docx", "A 17533-2024")</f>
        <v/>
      </c>
      <c r="Y164">
        <f>HYPERLINK("https://klasma.github.io/Logging_0980/tillsynsmail/A 17533-2024 tillsynsbegäran mail.docx", "A 17533-2024")</f>
        <v/>
      </c>
    </row>
    <row r="165" ht="15" customHeight="1">
      <c r="A165" t="inlineStr">
        <is>
          <t>A 25973-2024</t>
        </is>
      </c>
      <c r="B165" s="1" t="n">
        <v>45467</v>
      </c>
      <c r="C165" s="1" t="n">
        <v>45584</v>
      </c>
      <c r="D165" t="inlineStr">
        <is>
          <t>GOTLANDS LÄN</t>
        </is>
      </c>
      <c r="E165" t="inlineStr">
        <is>
          <t>GOTLAND</t>
        </is>
      </c>
      <c r="G165" t="n">
        <v>2.3</v>
      </c>
      <c r="H165" t="n">
        <v>1</v>
      </c>
      <c r="I165" t="n">
        <v>0</v>
      </c>
      <c r="J165" t="n">
        <v>2</v>
      </c>
      <c r="K165" t="n">
        <v>0</v>
      </c>
      <c r="L165" t="n">
        <v>0</v>
      </c>
      <c r="M165" t="n">
        <v>0</v>
      </c>
      <c r="N165" t="n">
        <v>0</v>
      </c>
      <c r="O165" t="n">
        <v>2</v>
      </c>
      <c r="P165" t="n">
        <v>0</v>
      </c>
      <c r="Q165" t="n">
        <v>2</v>
      </c>
      <c r="R165" s="2" t="inlineStr">
        <is>
          <t>Dårgräsfjäril
Svinrot</t>
        </is>
      </c>
      <c r="S165">
        <f>HYPERLINK("https://klasma.github.io/Logging_0980/artfynd/A 25973-2024 artfynd.xlsx", "A 25973-2024")</f>
        <v/>
      </c>
      <c r="T165">
        <f>HYPERLINK("https://klasma.github.io/Logging_0980/kartor/A 25973-2024 karta.png", "A 25973-2024")</f>
        <v/>
      </c>
      <c r="V165">
        <f>HYPERLINK("https://klasma.github.io/Logging_0980/klagomål/A 25973-2024 FSC-klagomål.docx", "A 25973-2024")</f>
        <v/>
      </c>
      <c r="W165">
        <f>HYPERLINK("https://klasma.github.io/Logging_0980/klagomålsmail/A 25973-2024 FSC-klagomål mail.docx", "A 25973-2024")</f>
        <v/>
      </c>
      <c r="X165">
        <f>HYPERLINK("https://klasma.github.io/Logging_0980/tillsyn/A 25973-2024 tillsynsbegäran.docx", "A 25973-2024")</f>
        <v/>
      </c>
      <c r="Y165">
        <f>HYPERLINK("https://klasma.github.io/Logging_0980/tillsynsmail/A 25973-2024 tillsynsbegäran mail.docx", "A 25973-2024")</f>
        <v/>
      </c>
    </row>
    <row r="166" ht="15" customHeight="1">
      <c r="A166" t="inlineStr">
        <is>
          <t>A 26077-2024</t>
        </is>
      </c>
      <c r="B166" s="1" t="n">
        <v>45467</v>
      </c>
      <c r="C166" s="1" t="n">
        <v>45584</v>
      </c>
      <c r="D166" t="inlineStr">
        <is>
          <t>GOTLANDS LÄN</t>
        </is>
      </c>
      <c r="E166" t="inlineStr">
        <is>
          <t>GOTLAND</t>
        </is>
      </c>
      <c r="G166" t="n">
        <v>4.6</v>
      </c>
      <c r="H166" t="n">
        <v>0</v>
      </c>
      <c r="I166" t="n">
        <v>0</v>
      </c>
      <c r="J166" t="n">
        <v>1</v>
      </c>
      <c r="K166" t="n">
        <v>0</v>
      </c>
      <c r="L166" t="n">
        <v>1</v>
      </c>
      <c r="M166" t="n">
        <v>0</v>
      </c>
      <c r="N166" t="n">
        <v>0</v>
      </c>
      <c r="O166" t="n">
        <v>2</v>
      </c>
      <c r="P166" t="n">
        <v>1</v>
      </c>
      <c r="Q166" t="n">
        <v>2</v>
      </c>
      <c r="R166" s="2" t="inlineStr">
        <is>
          <t>Ask
Tallticka</t>
        </is>
      </c>
      <c r="S166">
        <f>HYPERLINK("https://klasma.github.io/Logging_0980/artfynd/A 26077-2024 artfynd.xlsx", "A 26077-2024")</f>
        <v/>
      </c>
      <c r="T166">
        <f>HYPERLINK("https://klasma.github.io/Logging_0980/kartor/A 26077-2024 karta.png", "A 26077-2024")</f>
        <v/>
      </c>
      <c r="V166">
        <f>HYPERLINK("https://klasma.github.io/Logging_0980/klagomål/A 26077-2024 FSC-klagomål.docx", "A 26077-2024")</f>
        <v/>
      </c>
      <c r="W166">
        <f>HYPERLINK("https://klasma.github.io/Logging_0980/klagomålsmail/A 26077-2024 FSC-klagomål mail.docx", "A 26077-2024")</f>
        <v/>
      </c>
      <c r="X166">
        <f>HYPERLINK("https://klasma.github.io/Logging_0980/tillsyn/A 26077-2024 tillsynsbegäran.docx", "A 26077-2024")</f>
        <v/>
      </c>
      <c r="Y166">
        <f>HYPERLINK("https://klasma.github.io/Logging_0980/tillsynsmail/A 26077-2024 tillsynsbegäran mail.docx", "A 26077-2024")</f>
        <v/>
      </c>
    </row>
    <row r="167" ht="15" customHeight="1">
      <c r="A167" t="inlineStr">
        <is>
          <t>A 28261-2024</t>
        </is>
      </c>
      <c r="B167" s="1" t="n">
        <v>45477</v>
      </c>
      <c r="C167" s="1" t="n">
        <v>45584</v>
      </c>
      <c r="D167" t="inlineStr">
        <is>
          <t>GOTLANDS LÄN</t>
        </is>
      </c>
      <c r="E167" t="inlineStr">
        <is>
          <t>GOTLAND</t>
        </is>
      </c>
      <c r="G167" t="n">
        <v>22.8</v>
      </c>
      <c r="H167" t="n">
        <v>0</v>
      </c>
      <c r="I167" t="n">
        <v>0</v>
      </c>
      <c r="J167" t="n">
        <v>2</v>
      </c>
      <c r="K167" t="n">
        <v>0</v>
      </c>
      <c r="L167" t="n">
        <v>0</v>
      </c>
      <c r="M167" t="n">
        <v>0</v>
      </c>
      <c r="N167" t="n">
        <v>0</v>
      </c>
      <c r="O167" t="n">
        <v>2</v>
      </c>
      <c r="P167" t="n">
        <v>0</v>
      </c>
      <c r="Q167" t="n">
        <v>2</v>
      </c>
      <c r="R167" s="2" t="inlineStr">
        <is>
          <t>Grådådra
Åkerkulla</t>
        </is>
      </c>
      <c r="S167">
        <f>HYPERLINK("https://klasma.github.io/Logging_0980/artfynd/A 28261-2024 artfynd.xlsx", "A 28261-2024")</f>
        <v/>
      </c>
      <c r="T167">
        <f>HYPERLINK("https://klasma.github.io/Logging_0980/kartor/A 28261-2024 karta.png", "A 28261-2024")</f>
        <v/>
      </c>
      <c r="V167">
        <f>HYPERLINK("https://klasma.github.io/Logging_0980/klagomål/A 28261-2024 FSC-klagomål.docx", "A 28261-2024")</f>
        <v/>
      </c>
      <c r="W167">
        <f>HYPERLINK("https://klasma.github.io/Logging_0980/klagomålsmail/A 28261-2024 FSC-klagomål mail.docx", "A 28261-2024")</f>
        <v/>
      </c>
      <c r="X167">
        <f>HYPERLINK("https://klasma.github.io/Logging_0980/tillsyn/A 28261-2024 tillsynsbegäran.docx", "A 28261-2024")</f>
        <v/>
      </c>
      <c r="Y167">
        <f>HYPERLINK("https://klasma.github.io/Logging_0980/tillsynsmail/A 28261-2024 tillsynsbegäran mail.docx", "A 28261-2024")</f>
        <v/>
      </c>
    </row>
    <row r="168" ht="15" customHeight="1">
      <c r="A168" t="inlineStr">
        <is>
          <t>A 28276-2024</t>
        </is>
      </c>
      <c r="B168" s="1" t="n">
        <v>45477</v>
      </c>
      <c r="C168" s="1" t="n">
        <v>45584</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28276-2024 artfynd.xlsx", "A 28276-2024")</f>
        <v/>
      </c>
      <c r="T168">
        <f>HYPERLINK("https://klasma.github.io/Logging_0980/kartor/A 28276-2024 karta.png", "A 28276-2024")</f>
        <v/>
      </c>
      <c r="V168">
        <f>HYPERLINK("https://klasma.github.io/Logging_0980/klagomål/A 28276-2024 FSC-klagomål.docx", "A 28276-2024")</f>
        <v/>
      </c>
      <c r="W168">
        <f>HYPERLINK("https://klasma.github.io/Logging_0980/klagomålsmail/A 28276-2024 FSC-klagomål mail.docx", "A 28276-2024")</f>
        <v/>
      </c>
      <c r="X168">
        <f>HYPERLINK("https://klasma.github.io/Logging_0980/tillsyn/A 28276-2024 tillsynsbegäran.docx", "A 28276-2024")</f>
        <v/>
      </c>
      <c r="Y168">
        <f>HYPERLINK("https://klasma.github.io/Logging_0980/tillsynsmail/A 28276-2024 tillsynsbegäran mail.docx", "A 28276-2024")</f>
        <v/>
      </c>
    </row>
    <row r="169" ht="15" customHeight="1">
      <c r="A169" t="inlineStr">
        <is>
          <t>A 18223-2019</t>
        </is>
      </c>
      <c r="B169" s="1" t="n">
        <v>43558</v>
      </c>
      <c r="C169" s="1" t="n">
        <v>45584</v>
      </c>
      <c r="D169" t="inlineStr">
        <is>
          <t>GOTLANDS LÄN</t>
        </is>
      </c>
      <c r="E169" t="inlineStr">
        <is>
          <t>GOTLAND</t>
        </is>
      </c>
      <c r="G169" t="n">
        <v>1.1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18223-2019 artfynd.xlsx", "A 18223-2019")</f>
        <v/>
      </c>
      <c r="T169">
        <f>HYPERLINK("https://klasma.github.io/Logging_0980/kartor/A 18223-2019 karta.png", "A 18223-2019")</f>
        <v/>
      </c>
      <c r="V169">
        <f>HYPERLINK("https://klasma.github.io/Logging_0980/klagomål/A 18223-2019 FSC-klagomål.docx", "A 18223-2019")</f>
        <v/>
      </c>
      <c r="W169">
        <f>HYPERLINK("https://klasma.github.io/Logging_0980/klagomålsmail/A 18223-2019 FSC-klagomål mail.docx", "A 18223-2019")</f>
        <v/>
      </c>
      <c r="X169">
        <f>HYPERLINK("https://klasma.github.io/Logging_0980/tillsyn/A 18223-2019 tillsynsbegäran.docx", "A 18223-2019")</f>
        <v/>
      </c>
      <c r="Y169">
        <f>HYPERLINK("https://klasma.github.io/Logging_0980/tillsynsmail/A 18223-2019 tillsynsbegäran mail.docx", "A 18223-2019")</f>
        <v/>
      </c>
    </row>
    <row r="170" ht="15" customHeight="1">
      <c r="A170" t="inlineStr">
        <is>
          <t>A 23016-2019</t>
        </is>
      </c>
      <c r="B170" s="1" t="n">
        <v>43591</v>
      </c>
      <c r="C170" s="1" t="n">
        <v>45584</v>
      </c>
      <c r="D170" t="inlineStr">
        <is>
          <t>GOTLANDS LÄN</t>
        </is>
      </c>
      <c r="E170" t="inlineStr">
        <is>
          <t>GOTLAND</t>
        </is>
      </c>
      <c r="G170" t="n">
        <v>7.9</v>
      </c>
      <c r="H170" t="n">
        <v>1</v>
      </c>
      <c r="I170" t="n">
        <v>0</v>
      </c>
      <c r="J170" t="n">
        <v>0</v>
      </c>
      <c r="K170" t="n">
        <v>0</v>
      </c>
      <c r="L170" t="n">
        <v>0</v>
      </c>
      <c r="M170" t="n">
        <v>0</v>
      </c>
      <c r="N170" t="n">
        <v>0</v>
      </c>
      <c r="O170" t="n">
        <v>0</v>
      </c>
      <c r="P170" t="n">
        <v>0</v>
      </c>
      <c r="Q170" t="n">
        <v>1</v>
      </c>
      <c r="R170" s="2" t="inlineStr">
        <is>
          <t>Lopplummer</t>
        </is>
      </c>
      <c r="S170">
        <f>HYPERLINK("https://klasma.github.io/Logging_0980/artfynd/A 23016-2019 artfynd.xlsx", "A 23016-2019")</f>
        <v/>
      </c>
      <c r="T170">
        <f>HYPERLINK("https://klasma.github.io/Logging_0980/kartor/A 23016-2019 karta.png", "A 23016-2019")</f>
        <v/>
      </c>
      <c r="V170">
        <f>HYPERLINK("https://klasma.github.io/Logging_0980/klagomål/A 23016-2019 FSC-klagomål.docx", "A 23016-2019")</f>
        <v/>
      </c>
      <c r="W170">
        <f>HYPERLINK("https://klasma.github.io/Logging_0980/klagomålsmail/A 23016-2019 FSC-klagomål mail.docx", "A 23016-2019")</f>
        <v/>
      </c>
      <c r="X170">
        <f>HYPERLINK("https://klasma.github.io/Logging_0980/tillsyn/A 23016-2019 tillsynsbegäran.docx", "A 23016-2019")</f>
        <v/>
      </c>
      <c r="Y170">
        <f>HYPERLINK("https://klasma.github.io/Logging_0980/tillsynsmail/A 23016-2019 tillsynsbegäran mail.docx", "A 23016-2019")</f>
        <v/>
      </c>
    </row>
    <row r="171" ht="15" customHeight="1">
      <c r="A171" t="inlineStr">
        <is>
          <t>A 32963-2019</t>
        </is>
      </c>
      <c r="B171" s="1" t="n">
        <v>43648</v>
      </c>
      <c r="C171" s="1" t="n">
        <v>45584</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Mindre blåvinge</t>
        </is>
      </c>
      <c r="S171">
        <f>HYPERLINK("https://klasma.github.io/Logging_0980/artfynd/A 32963-2019 artfynd.xlsx", "A 32963-2019")</f>
        <v/>
      </c>
      <c r="T171">
        <f>HYPERLINK("https://klasma.github.io/Logging_0980/kartor/A 32963-2019 karta.png", "A 32963-2019")</f>
        <v/>
      </c>
      <c r="V171">
        <f>HYPERLINK("https://klasma.github.io/Logging_0980/klagomål/A 32963-2019 FSC-klagomål.docx", "A 32963-2019")</f>
        <v/>
      </c>
      <c r="W171">
        <f>HYPERLINK("https://klasma.github.io/Logging_0980/klagomålsmail/A 32963-2019 FSC-klagomål mail.docx", "A 32963-2019")</f>
        <v/>
      </c>
      <c r="X171">
        <f>HYPERLINK("https://klasma.github.io/Logging_0980/tillsyn/A 32963-2019 tillsynsbegäran.docx", "A 32963-2019")</f>
        <v/>
      </c>
      <c r="Y171">
        <f>HYPERLINK("https://klasma.github.io/Logging_0980/tillsynsmail/A 32963-2019 tillsynsbegäran mail.docx", "A 32963-2019")</f>
        <v/>
      </c>
    </row>
    <row r="172" ht="15" customHeight="1">
      <c r="A172" t="inlineStr">
        <is>
          <t>A 35282-2019</t>
        </is>
      </c>
      <c r="B172" s="1" t="n">
        <v>43656</v>
      </c>
      <c r="C172" s="1" t="n">
        <v>45584</v>
      </c>
      <c r="D172" t="inlineStr">
        <is>
          <t>GOTLANDS LÄN</t>
        </is>
      </c>
      <c r="E172" t="inlineStr">
        <is>
          <t>GOTLAND</t>
        </is>
      </c>
      <c r="G172" t="n">
        <v>5.6</v>
      </c>
      <c r="H172" t="n">
        <v>1</v>
      </c>
      <c r="I172" t="n">
        <v>0</v>
      </c>
      <c r="J172" t="n">
        <v>1</v>
      </c>
      <c r="K172" t="n">
        <v>0</v>
      </c>
      <c r="L172" t="n">
        <v>0</v>
      </c>
      <c r="M172" t="n">
        <v>0</v>
      </c>
      <c r="N172" t="n">
        <v>0</v>
      </c>
      <c r="O172" t="n">
        <v>1</v>
      </c>
      <c r="P172" t="n">
        <v>0</v>
      </c>
      <c r="Q172" t="n">
        <v>1</v>
      </c>
      <c r="R172" s="2" t="inlineStr">
        <is>
          <t>Spillkråka</t>
        </is>
      </c>
      <c r="S172">
        <f>HYPERLINK("https://klasma.github.io/Logging_0980/artfynd/A 35282-2019 artfynd.xlsx", "A 35282-2019")</f>
        <v/>
      </c>
      <c r="T172">
        <f>HYPERLINK("https://klasma.github.io/Logging_0980/kartor/A 35282-2019 karta.png", "A 35282-2019")</f>
        <v/>
      </c>
      <c r="V172">
        <f>HYPERLINK("https://klasma.github.io/Logging_0980/klagomål/A 35282-2019 FSC-klagomål.docx", "A 35282-2019")</f>
        <v/>
      </c>
      <c r="W172">
        <f>HYPERLINK("https://klasma.github.io/Logging_0980/klagomålsmail/A 35282-2019 FSC-klagomål mail.docx", "A 35282-2019")</f>
        <v/>
      </c>
      <c r="X172">
        <f>HYPERLINK("https://klasma.github.io/Logging_0980/tillsyn/A 35282-2019 tillsynsbegäran.docx", "A 35282-2019")</f>
        <v/>
      </c>
      <c r="Y172">
        <f>HYPERLINK("https://klasma.github.io/Logging_0980/tillsynsmail/A 35282-2019 tillsynsbegäran mail.docx", "A 35282-2019")</f>
        <v/>
      </c>
      <c r="Z172">
        <f>HYPERLINK("https://klasma.github.io/Logging_0980/fåglar/A 35282-2019 prioriterade fågelarter.docx", "A 35282-2019")</f>
        <v/>
      </c>
    </row>
    <row r="173" ht="15" customHeight="1">
      <c r="A173" t="inlineStr">
        <is>
          <t>A 48584-2019</t>
        </is>
      </c>
      <c r="B173" s="1" t="n">
        <v>43727</v>
      </c>
      <c r="C173" s="1" t="n">
        <v>45584</v>
      </c>
      <c r="D173" t="inlineStr">
        <is>
          <t>GOTLANDS LÄN</t>
        </is>
      </c>
      <c r="E173" t="inlineStr">
        <is>
          <t>GOTLAND</t>
        </is>
      </c>
      <c r="G173" t="n">
        <v>4.4</v>
      </c>
      <c r="H173" t="n">
        <v>0</v>
      </c>
      <c r="I173" t="n">
        <v>1</v>
      </c>
      <c r="J173" t="n">
        <v>0</v>
      </c>
      <c r="K173" t="n">
        <v>0</v>
      </c>
      <c r="L173" t="n">
        <v>0</v>
      </c>
      <c r="M173" t="n">
        <v>0</v>
      </c>
      <c r="N173" t="n">
        <v>0</v>
      </c>
      <c r="O173" t="n">
        <v>0</v>
      </c>
      <c r="P173" t="n">
        <v>0</v>
      </c>
      <c r="Q173" t="n">
        <v>1</v>
      </c>
      <c r="R173" s="2" t="inlineStr">
        <is>
          <t>Scharlakansskål</t>
        </is>
      </c>
      <c r="S173">
        <f>HYPERLINK("https://klasma.github.io/Logging_0980/artfynd/A 48584-2019 artfynd.xlsx", "A 48584-2019")</f>
        <v/>
      </c>
      <c r="T173">
        <f>HYPERLINK("https://klasma.github.io/Logging_0980/kartor/A 48584-2019 karta.png", "A 48584-2019")</f>
        <v/>
      </c>
      <c r="V173">
        <f>HYPERLINK("https://klasma.github.io/Logging_0980/klagomål/A 48584-2019 FSC-klagomål.docx", "A 48584-2019")</f>
        <v/>
      </c>
      <c r="W173">
        <f>HYPERLINK("https://klasma.github.io/Logging_0980/klagomålsmail/A 48584-2019 FSC-klagomål mail.docx", "A 48584-2019")</f>
        <v/>
      </c>
      <c r="X173">
        <f>HYPERLINK("https://klasma.github.io/Logging_0980/tillsyn/A 48584-2019 tillsynsbegäran.docx", "A 48584-2019")</f>
        <v/>
      </c>
      <c r="Y173">
        <f>HYPERLINK("https://klasma.github.io/Logging_0980/tillsynsmail/A 48584-2019 tillsynsbegäran mail.docx", "A 48584-2019")</f>
        <v/>
      </c>
    </row>
    <row r="174" ht="15" customHeight="1">
      <c r="A174" t="inlineStr">
        <is>
          <t>A 68988-2019</t>
        </is>
      </c>
      <c r="B174" s="1" t="n">
        <v>43826</v>
      </c>
      <c r="C174" s="1" t="n">
        <v>45584</v>
      </c>
      <c r="D174" t="inlineStr">
        <is>
          <t>GOTLANDS LÄN</t>
        </is>
      </c>
      <c r="E174" t="inlineStr">
        <is>
          <t>GOTLAND</t>
        </is>
      </c>
      <c r="F174" t="inlineStr">
        <is>
          <t>Kyrkan</t>
        </is>
      </c>
      <c r="G174" t="n">
        <v>4.6</v>
      </c>
      <c r="H174" t="n">
        <v>0</v>
      </c>
      <c r="I174" t="n">
        <v>1</v>
      </c>
      <c r="J174" t="n">
        <v>0</v>
      </c>
      <c r="K174" t="n">
        <v>0</v>
      </c>
      <c r="L174" t="n">
        <v>0</v>
      </c>
      <c r="M174" t="n">
        <v>0</v>
      </c>
      <c r="N174" t="n">
        <v>0</v>
      </c>
      <c r="O174" t="n">
        <v>0</v>
      </c>
      <c r="P174" t="n">
        <v>0</v>
      </c>
      <c r="Q174" t="n">
        <v>1</v>
      </c>
      <c r="R174" s="2" t="inlineStr">
        <is>
          <t>Kattfotslav</t>
        </is>
      </c>
      <c r="S174">
        <f>HYPERLINK("https://klasma.github.io/Logging_0980/artfynd/A 68988-2019 artfynd.xlsx", "A 68988-2019")</f>
        <v/>
      </c>
      <c r="T174">
        <f>HYPERLINK("https://klasma.github.io/Logging_0980/kartor/A 68988-2019 karta.png", "A 68988-2019")</f>
        <v/>
      </c>
      <c r="V174">
        <f>HYPERLINK("https://klasma.github.io/Logging_0980/klagomål/A 68988-2019 FSC-klagomål.docx", "A 68988-2019")</f>
        <v/>
      </c>
      <c r="W174">
        <f>HYPERLINK("https://klasma.github.io/Logging_0980/klagomålsmail/A 68988-2019 FSC-klagomål mail.docx", "A 68988-2019")</f>
        <v/>
      </c>
      <c r="X174">
        <f>HYPERLINK("https://klasma.github.io/Logging_0980/tillsyn/A 68988-2019 tillsynsbegäran.docx", "A 68988-2019")</f>
        <v/>
      </c>
      <c r="Y174">
        <f>HYPERLINK("https://klasma.github.io/Logging_0980/tillsynsmail/A 68988-2019 tillsynsbegäran mail.docx", "A 68988-2019")</f>
        <v/>
      </c>
    </row>
    <row r="175" ht="15" customHeight="1">
      <c r="A175" t="inlineStr">
        <is>
          <t>A 14010-2020</t>
        </is>
      </c>
      <c r="B175" s="1" t="n">
        <v>43899</v>
      </c>
      <c r="C175" s="1" t="n">
        <v>45584</v>
      </c>
      <c r="D175" t="inlineStr">
        <is>
          <t>GOTLANDS LÄN</t>
        </is>
      </c>
      <c r="E175" t="inlineStr">
        <is>
          <t>GOTLAND</t>
        </is>
      </c>
      <c r="G175" t="n">
        <v>0.6</v>
      </c>
      <c r="H175" t="n">
        <v>1</v>
      </c>
      <c r="I175" t="n">
        <v>0</v>
      </c>
      <c r="J175" t="n">
        <v>1</v>
      </c>
      <c r="K175" t="n">
        <v>0</v>
      </c>
      <c r="L175" t="n">
        <v>0</v>
      </c>
      <c r="M175" t="n">
        <v>0</v>
      </c>
      <c r="N175" t="n">
        <v>0</v>
      </c>
      <c r="O175" t="n">
        <v>1</v>
      </c>
      <c r="P175" t="n">
        <v>0</v>
      </c>
      <c r="Q175" t="n">
        <v>1</v>
      </c>
      <c r="R175" s="2" t="inlineStr">
        <is>
          <t>Gulsparv</t>
        </is>
      </c>
      <c r="S175">
        <f>HYPERLINK("https://klasma.github.io/Logging_0980/artfynd/A 14010-2020 artfynd.xlsx", "A 14010-2020")</f>
        <v/>
      </c>
      <c r="T175">
        <f>HYPERLINK("https://klasma.github.io/Logging_0980/kartor/A 14010-2020 karta.png", "A 14010-2020")</f>
        <v/>
      </c>
      <c r="V175">
        <f>HYPERLINK("https://klasma.github.io/Logging_0980/klagomål/A 14010-2020 FSC-klagomål.docx", "A 14010-2020")</f>
        <v/>
      </c>
      <c r="W175">
        <f>HYPERLINK("https://klasma.github.io/Logging_0980/klagomålsmail/A 14010-2020 FSC-klagomål mail.docx", "A 14010-2020")</f>
        <v/>
      </c>
      <c r="X175">
        <f>HYPERLINK("https://klasma.github.io/Logging_0980/tillsyn/A 14010-2020 tillsynsbegäran.docx", "A 14010-2020")</f>
        <v/>
      </c>
      <c r="Y175">
        <f>HYPERLINK("https://klasma.github.io/Logging_0980/tillsynsmail/A 14010-2020 tillsynsbegäran mail.docx", "A 14010-2020")</f>
        <v/>
      </c>
      <c r="Z175">
        <f>HYPERLINK("https://klasma.github.io/Logging_0980/fåglar/A 14010-2020 prioriterade fågelarter.docx", "A 14010-2020")</f>
        <v/>
      </c>
    </row>
    <row r="176" ht="15" customHeight="1">
      <c r="A176" t="inlineStr">
        <is>
          <t>A 16786-2020</t>
        </is>
      </c>
      <c r="B176" s="1" t="n">
        <v>43913</v>
      </c>
      <c r="C176" s="1" t="n">
        <v>45584</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Skarp dropptaggsvamp</t>
        </is>
      </c>
      <c r="S176">
        <f>HYPERLINK("https://klasma.github.io/Logging_0980/artfynd/A 16786-2020 artfynd.xlsx", "A 16786-2020")</f>
        <v/>
      </c>
      <c r="T176">
        <f>HYPERLINK("https://klasma.github.io/Logging_0980/kartor/A 16786-2020 karta.png", "A 16786-2020")</f>
        <v/>
      </c>
      <c r="V176">
        <f>HYPERLINK("https://klasma.github.io/Logging_0980/klagomål/A 16786-2020 FSC-klagomål.docx", "A 16786-2020")</f>
        <v/>
      </c>
      <c r="W176">
        <f>HYPERLINK("https://klasma.github.io/Logging_0980/klagomålsmail/A 16786-2020 FSC-klagomål mail.docx", "A 16786-2020")</f>
        <v/>
      </c>
      <c r="X176">
        <f>HYPERLINK("https://klasma.github.io/Logging_0980/tillsyn/A 16786-2020 tillsynsbegäran.docx", "A 16786-2020")</f>
        <v/>
      </c>
      <c r="Y176">
        <f>HYPERLINK("https://klasma.github.io/Logging_0980/tillsynsmail/A 16786-2020 tillsynsbegäran mail.docx", "A 16786-2020")</f>
        <v/>
      </c>
    </row>
    <row r="177" ht="15" customHeight="1">
      <c r="A177" t="inlineStr">
        <is>
          <t>A 21753-2020</t>
        </is>
      </c>
      <c r="B177" s="1" t="n">
        <v>43957</v>
      </c>
      <c r="C177" s="1" t="n">
        <v>45584</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45584</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45584</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45584</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45584</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45584</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45584</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45584</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45584</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45584</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45584</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45584</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45584</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45584</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45584</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45584</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45584</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45584</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45584</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45584</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45584</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45584</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45584</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45584</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45584</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45584</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45584</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45584</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45584</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45584</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45584</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45584</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45584</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45584</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45584</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45584</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45584</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45584</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45584</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45584</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45584</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45584</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45584</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45584</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45584</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45584</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45584</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45584</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45584</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45584</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45584</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45584</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45584</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45584</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45584</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45584</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45584</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45584</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45584</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45584</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45584</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45584</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45584</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45584</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45584</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45584</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45584</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45584</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45584</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45584</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45584</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45584</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45584</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45584</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44468-2024</t>
        </is>
      </c>
      <c r="B251" s="1" t="n">
        <v>45574</v>
      </c>
      <c r="C251" s="1" t="n">
        <v>45584</v>
      </c>
      <c r="D251" t="inlineStr">
        <is>
          <t>GOTLANDS LÄN</t>
        </is>
      </c>
      <c r="E251" t="inlineStr">
        <is>
          <t>GOTLAND</t>
        </is>
      </c>
      <c r="G251" t="n">
        <v>7</v>
      </c>
      <c r="H251" t="n">
        <v>0</v>
      </c>
      <c r="I251" t="n">
        <v>0</v>
      </c>
      <c r="J251" t="n">
        <v>0</v>
      </c>
      <c r="K251" t="n">
        <v>0</v>
      </c>
      <c r="L251" t="n">
        <v>0</v>
      </c>
      <c r="M251" t="n">
        <v>1</v>
      </c>
      <c r="N251" t="n">
        <v>0</v>
      </c>
      <c r="O251" t="n">
        <v>1</v>
      </c>
      <c r="P251" t="n">
        <v>1</v>
      </c>
      <c r="Q251" t="n">
        <v>1</v>
      </c>
      <c r="R251" s="2" t="inlineStr">
        <is>
          <t>Skogsalm</t>
        </is>
      </c>
      <c r="S251">
        <f>HYPERLINK("https://klasma.github.io/Logging_0980/artfynd/A 44468-2024 artfynd.xlsx", "A 44468-2024")</f>
        <v/>
      </c>
      <c r="T251">
        <f>HYPERLINK("https://klasma.github.io/Logging_0980/kartor/A 44468-2024 karta.png", "A 44468-2024")</f>
        <v/>
      </c>
      <c r="V251">
        <f>HYPERLINK("https://klasma.github.io/Logging_0980/klagomål/A 44468-2024 FSC-klagomål.docx", "A 44468-2024")</f>
        <v/>
      </c>
      <c r="W251">
        <f>HYPERLINK("https://klasma.github.io/Logging_0980/klagomålsmail/A 44468-2024 FSC-klagomål mail.docx", "A 44468-2024")</f>
        <v/>
      </c>
      <c r="X251">
        <f>HYPERLINK("https://klasma.github.io/Logging_0980/tillsyn/A 44468-2024 tillsynsbegäran.docx", "A 44468-2024")</f>
        <v/>
      </c>
      <c r="Y251">
        <f>HYPERLINK("https://klasma.github.io/Logging_0980/tillsynsmail/A 44468-2024 tillsynsbegäran mail.docx", "A 44468-2024")</f>
        <v/>
      </c>
    </row>
    <row r="252" ht="15" customHeight="1">
      <c r="A252" t="inlineStr">
        <is>
          <t>A 19159-2019</t>
        </is>
      </c>
      <c r="B252" s="1" t="n">
        <v>43564</v>
      </c>
      <c r="C252" s="1" t="n">
        <v>45584</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21380-2019</t>
        </is>
      </c>
      <c r="B253" s="1" t="n">
        <v>43579</v>
      </c>
      <c r="C253" s="1" t="n">
        <v>45584</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21894-2019</t>
        </is>
      </c>
      <c r="B254" s="1" t="n">
        <v>43584</v>
      </c>
      <c r="C254" s="1" t="n">
        <v>45584</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21925-2019</t>
        </is>
      </c>
      <c r="B255" s="1" t="n">
        <v>43584</v>
      </c>
      <c r="C255" s="1" t="n">
        <v>45584</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22457-2019</t>
        </is>
      </c>
      <c r="B256" s="1" t="n">
        <v>43587</v>
      </c>
      <c r="C256" s="1" t="n">
        <v>45584</v>
      </c>
      <c r="D256" t="inlineStr">
        <is>
          <t>GOTLANDS LÄN</t>
        </is>
      </c>
      <c r="E256" t="inlineStr">
        <is>
          <t>GOTLAND</t>
        </is>
      </c>
      <c r="G256" t="n">
        <v>0.3</v>
      </c>
      <c r="H256" t="n">
        <v>0</v>
      </c>
      <c r="I256" t="n">
        <v>0</v>
      </c>
      <c r="J256" t="n">
        <v>0</v>
      </c>
      <c r="K256" t="n">
        <v>0</v>
      </c>
      <c r="L256" t="n">
        <v>0</v>
      </c>
      <c r="M256" t="n">
        <v>0</v>
      </c>
      <c r="N256" t="n">
        <v>0</v>
      </c>
      <c r="O256" t="n">
        <v>0</v>
      </c>
      <c r="P256" t="n">
        <v>0</v>
      </c>
      <c r="Q256" t="n">
        <v>0</v>
      </c>
      <c r="R256" s="2" t="inlineStr"/>
    </row>
    <row r="257" ht="15" customHeight="1">
      <c r="A257" t="inlineStr">
        <is>
          <t>A 23044-2019</t>
        </is>
      </c>
      <c r="B257" s="1" t="n">
        <v>43591</v>
      </c>
      <c r="C257" s="1" t="n">
        <v>45584</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26595-2019</t>
        </is>
      </c>
      <c r="B258" s="1" t="n">
        <v>43612</v>
      </c>
      <c r="C258" s="1" t="n">
        <v>45584</v>
      </c>
      <c r="D258" t="inlineStr">
        <is>
          <t>GOTLANDS LÄN</t>
        </is>
      </c>
      <c r="E258" t="inlineStr">
        <is>
          <t>GOTLAND</t>
        </is>
      </c>
      <c r="G258" t="n">
        <v>0.2</v>
      </c>
      <c r="H258" t="n">
        <v>0</v>
      </c>
      <c r="I258" t="n">
        <v>0</v>
      </c>
      <c r="J258" t="n">
        <v>0</v>
      </c>
      <c r="K258" t="n">
        <v>0</v>
      </c>
      <c r="L258" t="n">
        <v>0</v>
      </c>
      <c r="M258" t="n">
        <v>0</v>
      </c>
      <c r="N258" t="n">
        <v>0</v>
      </c>
      <c r="O258" t="n">
        <v>0</v>
      </c>
      <c r="P258" t="n">
        <v>0</v>
      </c>
      <c r="Q258" t="n">
        <v>0</v>
      </c>
      <c r="R258" s="2" t="inlineStr"/>
    </row>
    <row r="259" ht="15" customHeight="1">
      <c r="A259" t="inlineStr">
        <is>
          <t>A 27795-2019</t>
        </is>
      </c>
      <c r="B259" s="1" t="n">
        <v>43612</v>
      </c>
      <c r="C259" s="1" t="n">
        <v>45584</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28977-2019</t>
        </is>
      </c>
      <c r="B260" s="1" t="n">
        <v>43628</v>
      </c>
      <c r="C260" s="1" t="n">
        <v>45584</v>
      </c>
      <c r="D260" t="inlineStr">
        <is>
          <t>GOTLANDS LÄN</t>
        </is>
      </c>
      <c r="E260" t="inlineStr">
        <is>
          <t>GOTLAND</t>
        </is>
      </c>
      <c r="G260" t="n">
        <v>4.6</v>
      </c>
      <c r="H260" t="n">
        <v>0</v>
      </c>
      <c r="I260" t="n">
        <v>0</v>
      </c>
      <c r="J260" t="n">
        <v>0</v>
      </c>
      <c r="K260" t="n">
        <v>0</v>
      </c>
      <c r="L260" t="n">
        <v>0</v>
      </c>
      <c r="M260" t="n">
        <v>0</v>
      </c>
      <c r="N260" t="n">
        <v>0</v>
      </c>
      <c r="O260" t="n">
        <v>0</v>
      </c>
      <c r="P260" t="n">
        <v>0</v>
      </c>
      <c r="Q260" t="n">
        <v>0</v>
      </c>
      <c r="R260" s="2" t="inlineStr"/>
    </row>
    <row r="261" ht="15" customHeight="1">
      <c r="A261" t="inlineStr">
        <is>
          <t>A 29470-2019</t>
        </is>
      </c>
      <c r="B261" s="1" t="n">
        <v>43629</v>
      </c>
      <c r="C261" s="1" t="n">
        <v>45584</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29469-2019</t>
        </is>
      </c>
      <c r="B262" s="1" t="n">
        <v>43629</v>
      </c>
      <c r="C262" s="1" t="n">
        <v>45584</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30033-2019</t>
        </is>
      </c>
      <c r="B263" s="1" t="n">
        <v>43630</v>
      </c>
      <c r="C263" s="1" t="n">
        <v>45584</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31396-2019</t>
        </is>
      </c>
      <c r="B264" s="1" t="n">
        <v>43636</v>
      </c>
      <c r="C264" s="1" t="n">
        <v>45584</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32061-2019</t>
        </is>
      </c>
      <c r="B265" s="1" t="n">
        <v>43643</v>
      </c>
      <c r="C265" s="1" t="n">
        <v>45584</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32949-2019</t>
        </is>
      </c>
      <c r="B266" s="1" t="n">
        <v>43648</v>
      </c>
      <c r="C266" s="1" t="n">
        <v>45584</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32964-2019</t>
        </is>
      </c>
      <c r="B267" s="1" t="n">
        <v>43648</v>
      </c>
      <c r="C267" s="1" t="n">
        <v>45584</v>
      </c>
      <c r="D267" t="inlineStr">
        <is>
          <t>GOTLANDS LÄN</t>
        </is>
      </c>
      <c r="E267" t="inlineStr">
        <is>
          <t>GOTLAND</t>
        </is>
      </c>
      <c r="G267" t="n">
        <v>8.9</v>
      </c>
      <c r="H267" t="n">
        <v>0</v>
      </c>
      <c r="I267" t="n">
        <v>0</v>
      </c>
      <c r="J267" t="n">
        <v>0</v>
      </c>
      <c r="K267" t="n">
        <v>0</v>
      </c>
      <c r="L267" t="n">
        <v>0</v>
      </c>
      <c r="M267" t="n">
        <v>0</v>
      </c>
      <c r="N267" t="n">
        <v>0</v>
      </c>
      <c r="O267" t="n">
        <v>0</v>
      </c>
      <c r="P267" t="n">
        <v>0</v>
      </c>
      <c r="Q267" t="n">
        <v>0</v>
      </c>
      <c r="R267" s="2" t="inlineStr"/>
    </row>
    <row r="268" ht="15" customHeight="1">
      <c r="A268" t="inlineStr">
        <is>
          <t>A 32970-2019</t>
        </is>
      </c>
      <c r="B268" s="1" t="n">
        <v>43648</v>
      </c>
      <c r="C268" s="1" t="n">
        <v>45584</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33673-2019</t>
        </is>
      </c>
      <c r="B269" s="1" t="n">
        <v>43651</v>
      </c>
      <c r="C269" s="1" t="n">
        <v>45584</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33668-2019</t>
        </is>
      </c>
      <c r="B270" s="1" t="n">
        <v>43651</v>
      </c>
      <c r="C270" s="1" t="n">
        <v>45584</v>
      </c>
      <c r="D270" t="inlineStr">
        <is>
          <t>GOTLANDS LÄN</t>
        </is>
      </c>
      <c r="E270" t="inlineStr">
        <is>
          <t>GOTLAND</t>
        </is>
      </c>
      <c r="G270" t="n">
        <v>9.4</v>
      </c>
      <c r="H270" t="n">
        <v>0</v>
      </c>
      <c r="I270" t="n">
        <v>0</v>
      </c>
      <c r="J270" t="n">
        <v>0</v>
      </c>
      <c r="K270" t="n">
        <v>0</v>
      </c>
      <c r="L270" t="n">
        <v>0</v>
      </c>
      <c r="M270" t="n">
        <v>0</v>
      </c>
      <c r="N270" t="n">
        <v>0</v>
      </c>
      <c r="O270" t="n">
        <v>0</v>
      </c>
      <c r="P270" t="n">
        <v>0</v>
      </c>
      <c r="Q270" t="n">
        <v>0</v>
      </c>
      <c r="R270" s="2" t="inlineStr"/>
    </row>
    <row r="271" ht="15" customHeight="1">
      <c r="A271" t="inlineStr">
        <is>
          <t>A 33674-2019</t>
        </is>
      </c>
      <c r="B271" s="1" t="n">
        <v>43651</v>
      </c>
      <c r="C271" s="1" t="n">
        <v>45584</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33646-2019</t>
        </is>
      </c>
      <c r="B272" s="1" t="n">
        <v>43651</v>
      </c>
      <c r="C272" s="1" t="n">
        <v>45584</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34790-2019</t>
        </is>
      </c>
      <c r="B273" s="1" t="n">
        <v>43658</v>
      </c>
      <c r="C273" s="1" t="n">
        <v>45584</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36344-2019</t>
        </is>
      </c>
      <c r="B274" s="1" t="n">
        <v>43661</v>
      </c>
      <c r="C274" s="1" t="n">
        <v>45584</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36072-2019</t>
        </is>
      </c>
      <c r="B275" s="1" t="n">
        <v>43668</v>
      </c>
      <c r="C275" s="1" t="n">
        <v>45584</v>
      </c>
      <c r="D275" t="inlineStr">
        <is>
          <t>GOTLANDS LÄN</t>
        </is>
      </c>
      <c r="E275" t="inlineStr">
        <is>
          <t>GOTLAND</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37028-2019</t>
        </is>
      </c>
      <c r="B276" s="1" t="n">
        <v>43675</v>
      </c>
      <c r="C276" s="1" t="n">
        <v>45584</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40205-2019</t>
        </is>
      </c>
      <c r="B277" s="1" t="n">
        <v>43693</v>
      </c>
      <c r="C277" s="1" t="n">
        <v>45584</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46423-2019</t>
        </is>
      </c>
      <c r="B278" s="1" t="n">
        <v>43719</v>
      </c>
      <c r="C278" s="1" t="n">
        <v>45584</v>
      </c>
      <c r="D278" t="inlineStr">
        <is>
          <t>GOTLANDS LÄN</t>
        </is>
      </c>
      <c r="E278" t="inlineStr">
        <is>
          <t>GOTLAND</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47141-2019</t>
        </is>
      </c>
      <c r="B279" s="1" t="n">
        <v>43721</v>
      </c>
      <c r="C279" s="1" t="n">
        <v>45584</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48459-2019</t>
        </is>
      </c>
      <c r="B280" s="1" t="n">
        <v>43727</v>
      </c>
      <c r="C280" s="1" t="n">
        <v>45584</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49769-2019</t>
        </is>
      </c>
      <c r="B281" s="1" t="n">
        <v>43733</v>
      </c>
      <c r="C281" s="1" t="n">
        <v>45584</v>
      </c>
      <c r="D281" t="inlineStr">
        <is>
          <t>GOTLANDS LÄN</t>
        </is>
      </c>
      <c r="E281" t="inlineStr">
        <is>
          <t>GOTLAND</t>
        </is>
      </c>
      <c r="G281" t="n">
        <v>22.3</v>
      </c>
      <c r="H281" t="n">
        <v>0</v>
      </c>
      <c r="I281" t="n">
        <v>0</v>
      </c>
      <c r="J281" t="n">
        <v>0</v>
      </c>
      <c r="K281" t="n">
        <v>0</v>
      </c>
      <c r="L281" t="n">
        <v>0</v>
      </c>
      <c r="M281" t="n">
        <v>0</v>
      </c>
      <c r="N281" t="n">
        <v>0</v>
      </c>
      <c r="O281" t="n">
        <v>0</v>
      </c>
      <c r="P281" t="n">
        <v>0</v>
      </c>
      <c r="Q281" t="n">
        <v>0</v>
      </c>
      <c r="R281" s="2" t="inlineStr"/>
    </row>
    <row r="282" ht="15" customHeight="1">
      <c r="A282" t="inlineStr">
        <is>
          <t>A 50463-2019</t>
        </is>
      </c>
      <c r="B282" s="1" t="n">
        <v>43735</v>
      </c>
      <c r="C282" s="1" t="n">
        <v>45584</v>
      </c>
      <c r="D282" t="inlineStr">
        <is>
          <t>GOTLANDS LÄN</t>
        </is>
      </c>
      <c r="E282" t="inlineStr">
        <is>
          <t>GOTLAND</t>
        </is>
      </c>
      <c r="F282" t="inlineStr">
        <is>
          <t>Kyrkan</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50632-2019</t>
        </is>
      </c>
      <c r="B283" s="1" t="n">
        <v>43737</v>
      </c>
      <c r="C283" s="1" t="n">
        <v>45584</v>
      </c>
      <c r="D283" t="inlineStr">
        <is>
          <t>GOTLANDS LÄN</t>
        </is>
      </c>
      <c r="E283" t="inlineStr">
        <is>
          <t>GOTLAND</t>
        </is>
      </c>
      <c r="G283" t="n">
        <v>7.7</v>
      </c>
      <c r="H283" t="n">
        <v>0</v>
      </c>
      <c r="I283" t="n">
        <v>0</v>
      </c>
      <c r="J283" t="n">
        <v>0</v>
      </c>
      <c r="K283" t="n">
        <v>0</v>
      </c>
      <c r="L283" t="n">
        <v>0</v>
      </c>
      <c r="M283" t="n">
        <v>0</v>
      </c>
      <c r="N283" t="n">
        <v>0</v>
      </c>
      <c r="O283" t="n">
        <v>0</v>
      </c>
      <c r="P283" t="n">
        <v>0</v>
      </c>
      <c r="Q283" t="n">
        <v>0</v>
      </c>
      <c r="R283" s="2" t="inlineStr"/>
    </row>
    <row r="284" ht="15" customHeight="1">
      <c r="A284" t="inlineStr">
        <is>
          <t>A 51577-2019</t>
        </is>
      </c>
      <c r="B284" s="1" t="n">
        <v>43740</v>
      </c>
      <c r="C284" s="1" t="n">
        <v>45584</v>
      </c>
      <c r="D284" t="inlineStr">
        <is>
          <t>GOTLANDS LÄN</t>
        </is>
      </c>
      <c r="E284" t="inlineStr">
        <is>
          <t>GOTLAND</t>
        </is>
      </c>
      <c r="G284" t="n">
        <v>6.5</v>
      </c>
      <c r="H284" t="n">
        <v>0</v>
      </c>
      <c r="I284" t="n">
        <v>0</v>
      </c>
      <c r="J284" t="n">
        <v>0</v>
      </c>
      <c r="K284" t="n">
        <v>0</v>
      </c>
      <c r="L284" t="n">
        <v>0</v>
      </c>
      <c r="M284" t="n">
        <v>0</v>
      </c>
      <c r="N284" t="n">
        <v>0</v>
      </c>
      <c r="O284" t="n">
        <v>0</v>
      </c>
      <c r="P284" t="n">
        <v>0</v>
      </c>
      <c r="Q284" t="n">
        <v>0</v>
      </c>
      <c r="R284" s="2" t="inlineStr"/>
    </row>
    <row r="285" ht="15" customHeight="1">
      <c r="A285" t="inlineStr">
        <is>
          <t>A 53783-2019</t>
        </is>
      </c>
      <c r="B285" s="1" t="n">
        <v>43750</v>
      </c>
      <c r="C285" s="1" t="n">
        <v>45584</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56238-2019</t>
        </is>
      </c>
      <c r="B286" s="1" t="n">
        <v>43762</v>
      </c>
      <c r="C286" s="1" t="n">
        <v>45584</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56845-2019</t>
        </is>
      </c>
      <c r="B287" s="1" t="n">
        <v>43765</v>
      </c>
      <c r="C287" s="1" t="n">
        <v>45584</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60700-2019</t>
        </is>
      </c>
      <c r="B288" s="1" t="n">
        <v>43781</v>
      </c>
      <c r="C288" s="1" t="n">
        <v>45584</v>
      </c>
      <c r="D288" t="inlineStr">
        <is>
          <t>GOTLANDS LÄN</t>
        </is>
      </c>
      <c r="E288" t="inlineStr">
        <is>
          <t>GOTLAND</t>
        </is>
      </c>
      <c r="G288" t="n">
        <v>4.3</v>
      </c>
      <c r="H288" t="n">
        <v>0</v>
      </c>
      <c r="I288" t="n">
        <v>0</v>
      </c>
      <c r="J288" t="n">
        <v>0</v>
      </c>
      <c r="K288" t="n">
        <v>0</v>
      </c>
      <c r="L288" t="n">
        <v>0</v>
      </c>
      <c r="M288" t="n">
        <v>0</v>
      </c>
      <c r="N288" t="n">
        <v>0</v>
      </c>
      <c r="O288" t="n">
        <v>0</v>
      </c>
      <c r="P288" t="n">
        <v>0</v>
      </c>
      <c r="Q288" t="n">
        <v>0</v>
      </c>
      <c r="R288" s="2" t="inlineStr"/>
    </row>
    <row r="289" ht="15" customHeight="1">
      <c r="A289" t="inlineStr">
        <is>
          <t>A 62212-2019</t>
        </is>
      </c>
      <c r="B289" s="1" t="n">
        <v>43788</v>
      </c>
      <c r="C289" s="1" t="n">
        <v>45584</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62209-2019</t>
        </is>
      </c>
      <c r="B290" s="1" t="n">
        <v>43788</v>
      </c>
      <c r="C290" s="1" t="n">
        <v>45584</v>
      </c>
      <c r="D290" t="inlineStr">
        <is>
          <t>GOTLANDS LÄN</t>
        </is>
      </c>
      <c r="E290" t="inlineStr">
        <is>
          <t>GOTLAND</t>
        </is>
      </c>
      <c r="G290" t="n">
        <v>4.8</v>
      </c>
      <c r="H290" t="n">
        <v>0</v>
      </c>
      <c r="I290" t="n">
        <v>0</v>
      </c>
      <c r="J290" t="n">
        <v>0</v>
      </c>
      <c r="K290" t="n">
        <v>0</v>
      </c>
      <c r="L290" t="n">
        <v>0</v>
      </c>
      <c r="M290" t="n">
        <v>0</v>
      </c>
      <c r="N290" t="n">
        <v>0</v>
      </c>
      <c r="O290" t="n">
        <v>0</v>
      </c>
      <c r="P290" t="n">
        <v>0</v>
      </c>
      <c r="Q290" t="n">
        <v>0</v>
      </c>
      <c r="R290" s="2" t="inlineStr"/>
    </row>
    <row r="291" ht="15" customHeight="1">
      <c r="A291" t="inlineStr">
        <is>
          <t>A 62218-2019</t>
        </is>
      </c>
      <c r="B291" s="1" t="n">
        <v>43788</v>
      </c>
      <c r="C291" s="1" t="n">
        <v>45584</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63366-2019</t>
        </is>
      </c>
      <c r="B292" s="1" t="n">
        <v>43794</v>
      </c>
      <c r="C292" s="1" t="n">
        <v>45584</v>
      </c>
      <c r="D292" t="inlineStr">
        <is>
          <t>GOTLANDS LÄN</t>
        </is>
      </c>
      <c r="E292" t="inlineStr">
        <is>
          <t>GOTLAND</t>
        </is>
      </c>
      <c r="G292" t="n">
        <v>16.4</v>
      </c>
      <c r="H292" t="n">
        <v>0</v>
      </c>
      <c r="I292" t="n">
        <v>0</v>
      </c>
      <c r="J292" t="n">
        <v>0</v>
      </c>
      <c r="K292" t="n">
        <v>0</v>
      </c>
      <c r="L292" t="n">
        <v>0</v>
      </c>
      <c r="M292" t="n">
        <v>0</v>
      </c>
      <c r="N292" t="n">
        <v>0</v>
      </c>
      <c r="O292" t="n">
        <v>0</v>
      </c>
      <c r="P292" t="n">
        <v>0</v>
      </c>
      <c r="Q292" t="n">
        <v>0</v>
      </c>
      <c r="R292" s="2" t="inlineStr"/>
    </row>
    <row r="293" ht="15" customHeight="1">
      <c r="A293" t="inlineStr">
        <is>
          <t>A 63747-2019</t>
        </is>
      </c>
      <c r="B293" s="1" t="n">
        <v>43795</v>
      </c>
      <c r="C293" s="1" t="n">
        <v>45584</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63751-2019</t>
        </is>
      </c>
      <c r="B294" s="1" t="n">
        <v>43795</v>
      </c>
      <c r="C294" s="1" t="n">
        <v>45584</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66960-2019</t>
        </is>
      </c>
      <c r="B295" s="1" t="n">
        <v>43810</v>
      </c>
      <c r="C295" s="1" t="n">
        <v>45584</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67079-2019</t>
        </is>
      </c>
      <c r="B296" s="1" t="n">
        <v>43811</v>
      </c>
      <c r="C296" s="1" t="n">
        <v>45584</v>
      </c>
      <c r="D296" t="inlineStr">
        <is>
          <t>GOTLANDS LÄN</t>
        </is>
      </c>
      <c r="E296" t="inlineStr">
        <is>
          <t>GOTLAND</t>
        </is>
      </c>
      <c r="G296" t="n">
        <v>18.7</v>
      </c>
      <c r="H296" t="n">
        <v>0</v>
      </c>
      <c r="I296" t="n">
        <v>0</v>
      </c>
      <c r="J296" t="n">
        <v>0</v>
      </c>
      <c r="K296" t="n">
        <v>0</v>
      </c>
      <c r="L296" t="n">
        <v>0</v>
      </c>
      <c r="M296" t="n">
        <v>0</v>
      </c>
      <c r="N296" t="n">
        <v>0</v>
      </c>
      <c r="O296" t="n">
        <v>0</v>
      </c>
      <c r="P296" t="n">
        <v>0</v>
      </c>
      <c r="Q296" t="n">
        <v>0</v>
      </c>
      <c r="R296" s="2" t="inlineStr"/>
    </row>
    <row r="297" ht="15" customHeight="1">
      <c r="A297" t="inlineStr">
        <is>
          <t>A 67737-2019</t>
        </is>
      </c>
      <c r="B297" s="1" t="n">
        <v>43815</v>
      </c>
      <c r="C297" s="1" t="n">
        <v>45584</v>
      </c>
      <c r="D297" t="inlineStr">
        <is>
          <t>GOTLANDS LÄN</t>
        </is>
      </c>
      <c r="E297" t="inlineStr">
        <is>
          <t>GOTLAND</t>
        </is>
      </c>
      <c r="G297" t="n">
        <v>22.1</v>
      </c>
      <c r="H297" t="n">
        <v>0</v>
      </c>
      <c r="I297" t="n">
        <v>0</v>
      </c>
      <c r="J297" t="n">
        <v>0</v>
      </c>
      <c r="K297" t="n">
        <v>0</v>
      </c>
      <c r="L297" t="n">
        <v>0</v>
      </c>
      <c r="M297" t="n">
        <v>0</v>
      </c>
      <c r="N297" t="n">
        <v>0</v>
      </c>
      <c r="O297" t="n">
        <v>0</v>
      </c>
      <c r="P297" t="n">
        <v>0</v>
      </c>
      <c r="Q297" t="n">
        <v>0</v>
      </c>
      <c r="R297" s="2" t="inlineStr"/>
    </row>
    <row r="298" ht="15" customHeight="1">
      <c r="A298" t="inlineStr">
        <is>
          <t>A 67791-2019</t>
        </is>
      </c>
      <c r="B298" s="1" t="n">
        <v>43815</v>
      </c>
      <c r="C298" s="1" t="n">
        <v>45584</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67743-2019</t>
        </is>
      </c>
      <c r="B299" s="1" t="n">
        <v>43815</v>
      </c>
      <c r="C299" s="1" t="n">
        <v>45584</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972-2020</t>
        </is>
      </c>
      <c r="B300" s="1" t="n">
        <v>43819</v>
      </c>
      <c r="C300" s="1" t="n">
        <v>45584</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68750-2019</t>
        </is>
      </c>
      <c r="B301" s="1" t="n">
        <v>43819</v>
      </c>
      <c r="C301" s="1" t="n">
        <v>45584</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164-2020</t>
        </is>
      </c>
      <c r="B302" s="1" t="n">
        <v>43833</v>
      </c>
      <c r="C302" s="1" t="n">
        <v>45584</v>
      </c>
      <c r="D302" t="inlineStr">
        <is>
          <t>GOTLANDS LÄN</t>
        </is>
      </c>
      <c r="E302" t="inlineStr">
        <is>
          <t>GOTLAND</t>
        </is>
      </c>
      <c r="F302" t="inlineStr">
        <is>
          <t>Kyrkan</t>
        </is>
      </c>
      <c r="G302" t="n">
        <v>6.2</v>
      </c>
      <c r="H302" t="n">
        <v>0</v>
      </c>
      <c r="I302" t="n">
        <v>0</v>
      </c>
      <c r="J302" t="n">
        <v>0</v>
      </c>
      <c r="K302" t="n">
        <v>0</v>
      </c>
      <c r="L302" t="n">
        <v>0</v>
      </c>
      <c r="M302" t="n">
        <v>0</v>
      </c>
      <c r="N302" t="n">
        <v>0</v>
      </c>
      <c r="O302" t="n">
        <v>0</v>
      </c>
      <c r="P302" t="n">
        <v>0</v>
      </c>
      <c r="Q302" t="n">
        <v>0</v>
      </c>
      <c r="R302" s="2" t="inlineStr"/>
    </row>
    <row r="303" ht="15" customHeight="1">
      <c r="A303" t="inlineStr">
        <is>
          <t>A 768-2020</t>
        </is>
      </c>
      <c r="B303" s="1" t="n">
        <v>43838</v>
      </c>
      <c r="C303" s="1" t="n">
        <v>45584</v>
      </c>
      <c r="D303" t="inlineStr">
        <is>
          <t>GOTLANDS LÄN</t>
        </is>
      </c>
      <c r="E303" t="inlineStr">
        <is>
          <t>GOTLAND</t>
        </is>
      </c>
      <c r="G303" t="n">
        <v>4.3</v>
      </c>
      <c r="H303" t="n">
        <v>0</v>
      </c>
      <c r="I303" t="n">
        <v>0</v>
      </c>
      <c r="J303" t="n">
        <v>0</v>
      </c>
      <c r="K303" t="n">
        <v>0</v>
      </c>
      <c r="L303" t="n">
        <v>0</v>
      </c>
      <c r="M303" t="n">
        <v>0</v>
      </c>
      <c r="N303" t="n">
        <v>0</v>
      </c>
      <c r="O303" t="n">
        <v>0</v>
      </c>
      <c r="P303" t="n">
        <v>0</v>
      </c>
      <c r="Q303" t="n">
        <v>0</v>
      </c>
      <c r="R303" s="2" t="inlineStr"/>
    </row>
    <row r="304" ht="15" customHeight="1">
      <c r="A304" t="inlineStr">
        <is>
          <t>A 1384-2020</t>
        </is>
      </c>
      <c r="B304" s="1" t="n">
        <v>43843</v>
      </c>
      <c r="C304" s="1" t="n">
        <v>45584</v>
      </c>
      <c r="D304" t="inlineStr">
        <is>
          <t>GOTLANDS LÄN</t>
        </is>
      </c>
      <c r="E304" t="inlineStr">
        <is>
          <t>GOTLAND</t>
        </is>
      </c>
      <c r="G304" t="n">
        <v>6</v>
      </c>
      <c r="H304" t="n">
        <v>0</v>
      </c>
      <c r="I304" t="n">
        <v>0</v>
      </c>
      <c r="J304" t="n">
        <v>0</v>
      </c>
      <c r="K304" t="n">
        <v>0</v>
      </c>
      <c r="L304" t="n">
        <v>0</v>
      </c>
      <c r="M304" t="n">
        <v>0</v>
      </c>
      <c r="N304" t="n">
        <v>0</v>
      </c>
      <c r="O304" t="n">
        <v>0</v>
      </c>
      <c r="P304" t="n">
        <v>0</v>
      </c>
      <c r="Q304" t="n">
        <v>0</v>
      </c>
      <c r="R304" s="2" t="inlineStr"/>
    </row>
    <row r="305" ht="15" customHeight="1">
      <c r="A305" t="inlineStr">
        <is>
          <t>A 1541-2020</t>
        </is>
      </c>
      <c r="B305" s="1" t="n">
        <v>43843</v>
      </c>
      <c r="C305" s="1" t="n">
        <v>45584</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2675-2020</t>
        </is>
      </c>
      <c r="B306" s="1" t="n">
        <v>43849</v>
      </c>
      <c r="C306" s="1" t="n">
        <v>45584</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4409-2020</t>
        </is>
      </c>
      <c r="B307" s="1" t="n">
        <v>43850</v>
      </c>
      <c r="C307" s="1" t="n">
        <v>45584</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5724-2020</t>
        </is>
      </c>
      <c r="B308" s="1" t="n">
        <v>43862</v>
      </c>
      <c r="C308" s="1" t="n">
        <v>45584</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5731-2020</t>
        </is>
      </c>
      <c r="B309" s="1" t="n">
        <v>43862</v>
      </c>
      <c r="C309" s="1" t="n">
        <v>45584</v>
      </c>
      <c r="D309" t="inlineStr">
        <is>
          <t>GOTLANDS LÄN</t>
        </is>
      </c>
      <c r="E309" t="inlineStr">
        <is>
          <t>GOTLAND</t>
        </is>
      </c>
      <c r="G309" t="n">
        <v>2.2</v>
      </c>
      <c r="H309" t="n">
        <v>0</v>
      </c>
      <c r="I309" t="n">
        <v>0</v>
      </c>
      <c r="J309" t="n">
        <v>0</v>
      </c>
      <c r="K309" t="n">
        <v>0</v>
      </c>
      <c r="L309" t="n">
        <v>0</v>
      </c>
      <c r="M309" t="n">
        <v>0</v>
      </c>
      <c r="N309" t="n">
        <v>0</v>
      </c>
      <c r="O309" t="n">
        <v>0</v>
      </c>
      <c r="P309" t="n">
        <v>0</v>
      </c>
      <c r="Q309" t="n">
        <v>0</v>
      </c>
      <c r="R309" s="2" t="inlineStr"/>
    </row>
    <row r="310" ht="15" customHeight="1">
      <c r="A310" t="inlineStr">
        <is>
          <t>A 5723-2020</t>
        </is>
      </c>
      <c r="B310" s="1" t="n">
        <v>43862</v>
      </c>
      <c r="C310" s="1" t="n">
        <v>45584</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5727-2020</t>
        </is>
      </c>
      <c r="B311" s="1" t="n">
        <v>43862</v>
      </c>
      <c r="C311" s="1" t="n">
        <v>45584</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6226-2020</t>
        </is>
      </c>
      <c r="B312" s="1" t="n">
        <v>43865</v>
      </c>
      <c r="C312" s="1" t="n">
        <v>45584</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6611-2020</t>
        </is>
      </c>
      <c r="B313" s="1" t="n">
        <v>43867</v>
      </c>
      <c r="C313" s="1" t="n">
        <v>45584</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8217-2020</t>
        </is>
      </c>
      <c r="B314" s="1" t="n">
        <v>43874</v>
      </c>
      <c r="C314" s="1" t="n">
        <v>45584</v>
      </c>
      <c r="D314" t="inlineStr">
        <is>
          <t>GOTLANDS LÄN</t>
        </is>
      </c>
      <c r="E314" t="inlineStr">
        <is>
          <t>GOTLAND</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8872-2020</t>
        </is>
      </c>
      <c r="B315" s="1" t="n">
        <v>43878</v>
      </c>
      <c r="C315" s="1" t="n">
        <v>45584</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9502-2020</t>
        </is>
      </c>
      <c r="B316" s="1" t="n">
        <v>43880</v>
      </c>
      <c r="C316" s="1" t="n">
        <v>45584</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10932-2020</t>
        </is>
      </c>
      <c r="B317" s="1" t="n">
        <v>43889</v>
      </c>
      <c r="C317" s="1" t="n">
        <v>45584</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10931-2020</t>
        </is>
      </c>
      <c r="B318" s="1" t="n">
        <v>43889</v>
      </c>
      <c r="C318" s="1" t="n">
        <v>45584</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12309-2020</t>
        </is>
      </c>
      <c r="B319" s="1" t="n">
        <v>43895</v>
      </c>
      <c r="C319" s="1" t="n">
        <v>45584</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13940-2020</t>
        </is>
      </c>
      <c r="B320" s="1" t="n">
        <v>43903</v>
      </c>
      <c r="C320" s="1" t="n">
        <v>45584</v>
      </c>
      <c r="D320" t="inlineStr">
        <is>
          <t>GOTLANDS LÄN</t>
        </is>
      </c>
      <c r="E320" t="inlineStr">
        <is>
          <t>GOTLAND</t>
        </is>
      </c>
      <c r="G320" t="n">
        <v>0.8</v>
      </c>
      <c r="H320" t="n">
        <v>0</v>
      </c>
      <c r="I320" t="n">
        <v>0</v>
      </c>
      <c r="J320" t="n">
        <v>0</v>
      </c>
      <c r="K320" t="n">
        <v>0</v>
      </c>
      <c r="L320" t="n">
        <v>0</v>
      </c>
      <c r="M320" t="n">
        <v>0</v>
      </c>
      <c r="N320" t="n">
        <v>0</v>
      </c>
      <c r="O320" t="n">
        <v>0</v>
      </c>
      <c r="P320" t="n">
        <v>0</v>
      </c>
      <c r="Q320" t="n">
        <v>0</v>
      </c>
      <c r="R320" s="2" t="inlineStr"/>
    </row>
    <row r="321" ht="15" customHeight="1">
      <c r="A321" t="inlineStr">
        <is>
          <t>A 13930-2020</t>
        </is>
      </c>
      <c r="B321" s="1" t="n">
        <v>43906</v>
      </c>
      <c r="C321" s="1" t="n">
        <v>45584</v>
      </c>
      <c r="D321" t="inlineStr">
        <is>
          <t>GOTLANDS LÄN</t>
        </is>
      </c>
      <c r="E321" t="inlineStr">
        <is>
          <t>GOTLAND</t>
        </is>
      </c>
      <c r="G321" t="n">
        <v>4</v>
      </c>
      <c r="H321" t="n">
        <v>0</v>
      </c>
      <c r="I321" t="n">
        <v>0</v>
      </c>
      <c r="J321" t="n">
        <v>0</v>
      </c>
      <c r="K321" t="n">
        <v>0</v>
      </c>
      <c r="L321" t="n">
        <v>0</v>
      </c>
      <c r="M321" t="n">
        <v>0</v>
      </c>
      <c r="N321" t="n">
        <v>0</v>
      </c>
      <c r="O321" t="n">
        <v>0</v>
      </c>
      <c r="P321" t="n">
        <v>0</v>
      </c>
      <c r="Q321" t="n">
        <v>0</v>
      </c>
      <c r="R321" s="2" t="inlineStr"/>
    </row>
    <row r="322" ht="15" customHeight="1">
      <c r="A322" t="inlineStr">
        <is>
          <t>A 13995-2020</t>
        </is>
      </c>
      <c r="B322" s="1" t="n">
        <v>43906</v>
      </c>
      <c r="C322" s="1" t="n">
        <v>45584</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13987-2020</t>
        </is>
      </c>
      <c r="B323" s="1" t="n">
        <v>43906</v>
      </c>
      <c r="C323" s="1" t="n">
        <v>45584</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14073-2020</t>
        </is>
      </c>
      <c r="B324" s="1" t="n">
        <v>43907</v>
      </c>
      <c r="C324" s="1" t="n">
        <v>45584</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14074-2020</t>
        </is>
      </c>
      <c r="B325" s="1" t="n">
        <v>43907</v>
      </c>
      <c r="C325" s="1" t="n">
        <v>45584</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16452-2020</t>
        </is>
      </c>
      <c r="B326" s="1" t="n">
        <v>43909</v>
      </c>
      <c r="C326" s="1" t="n">
        <v>45584</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14995-2020</t>
        </is>
      </c>
      <c r="B327" s="1" t="n">
        <v>43910</v>
      </c>
      <c r="C327" s="1" t="n">
        <v>45584</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15202-2020</t>
        </is>
      </c>
      <c r="B328" s="1" t="n">
        <v>43913</v>
      </c>
      <c r="C328" s="1" t="n">
        <v>45584</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15197-2020</t>
        </is>
      </c>
      <c r="B329" s="1" t="n">
        <v>43913</v>
      </c>
      <c r="C329" s="1" t="n">
        <v>45584</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15888-2020</t>
        </is>
      </c>
      <c r="B330" s="1" t="n">
        <v>43915</v>
      </c>
      <c r="C330" s="1" t="n">
        <v>45584</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16133-2020</t>
        </is>
      </c>
      <c r="B331" s="1" t="n">
        <v>43916</v>
      </c>
      <c r="C331" s="1" t="n">
        <v>45584</v>
      </c>
      <c r="D331" t="inlineStr">
        <is>
          <t>GOTLANDS LÄN</t>
        </is>
      </c>
      <c r="E331" t="inlineStr">
        <is>
          <t>GOTLAND</t>
        </is>
      </c>
      <c r="G331" t="n">
        <v>6.7</v>
      </c>
      <c r="H331" t="n">
        <v>0</v>
      </c>
      <c r="I331" t="n">
        <v>0</v>
      </c>
      <c r="J331" t="n">
        <v>0</v>
      </c>
      <c r="K331" t="n">
        <v>0</v>
      </c>
      <c r="L331" t="n">
        <v>0</v>
      </c>
      <c r="M331" t="n">
        <v>0</v>
      </c>
      <c r="N331" t="n">
        <v>0</v>
      </c>
      <c r="O331" t="n">
        <v>0</v>
      </c>
      <c r="P331" t="n">
        <v>0</v>
      </c>
      <c r="Q331" t="n">
        <v>0</v>
      </c>
      <c r="R331" s="2" t="inlineStr"/>
    </row>
    <row r="332" ht="15" customHeight="1">
      <c r="A332" t="inlineStr">
        <is>
          <t>A 17403-2020</t>
        </is>
      </c>
      <c r="B332" s="1" t="n">
        <v>43917</v>
      </c>
      <c r="C332" s="1" t="n">
        <v>45584</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17869-2020</t>
        </is>
      </c>
      <c r="B333" s="1" t="n">
        <v>43924</v>
      </c>
      <c r="C333" s="1" t="n">
        <v>45584</v>
      </c>
      <c r="D333" t="inlineStr">
        <is>
          <t>GOTLANDS LÄN</t>
        </is>
      </c>
      <c r="E333" t="inlineStr">
        <is>
          <t>GOTLAND</t>
        </is>
      </c>
      <c r="G333" t="n">
        <v>2.7</v>
      </c>
      <c r="H333" t="n">
        <v>0</v>
      </c>
      <c r="I333" t="n">
        <v>0</v>
      </c>
      <c r="J333" t="n">
        <v>0</v>
      </c>
      <c r="K333" t="n">
        <v>0</v>
      </c>
      <c r="L333" t="n">
        <v>0</v>
      </c>
      <c r="M333" t="n">
        <v>0</v>
      </c>
      <c r="N333" t="n">
        <v>0</v>
      </c>
      <c r="O333" t="n">
        <v>0</v>
      </c>
      <c r="P333" t="n">
        <v>0</v>
      </c>
      <c r="Q333" t="n">
        <v>0</v>
      </c>
      <c r="R333" s="2" t="inlineStr"/>
    </row>
    <row r="334" ht="15" customHeight="1">
      <c r="A334" t="inlineStr">
        <is>
          <t>A 19900-2020</t>
        </is>
      </c>
      <c r="B334" s="1" t="n">
        <v>43942</v>
      </c>
      <c r="C334" s="1" t="n">
        <v>45584</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21568-2020</t>
        </is>
      </c>
      <c r="B335" s="1" t="n">
        <v>43956</v>
      </c>
      <c r="C335" s="1" t="n">
        <v>45584</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22093-2020</t>
        </is>
      </c>
      <c r="B336" s="1" t="n">
        <v>43959</v>
      </c>
      <c r="C336" s="1" t="n">
        <v>45584</v>
      </c>
      <c r="D336" t="inlineStr">
        <is>
          <t>GOTLANDS LÄN</t>
        </is>
      </c>
      <c r="E336" t="inlineStr">
        <is>
          <t>GOTLAND</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22329-2020</t>
        </is>
      </c>
      <c r="B337" s="1" t="n">
        <v>43962</v>
      </c>
      <c r="C337" s="1" t="n">
        <v>45584</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22333-2020</t>
        </is>
      </c>
      <c r="B338" s="1" t="n">
        <v>43962</v>
      </c>
      <c r="C338" s="1" t="n">
        <v>45584</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23498-2020</t>
        </is>
      </c>
      <c r="B339" s="1" t="n">
        <v>43969</v>
      </c>
      <c r="C339" s="1" t="n">
        <v>45584</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23728-2020</t>
        </is>
      </c>
      <c r="B340" s="1" t="n">
        <v>43970</v>
      </c>
      <c r="C340" s="1" t="n">
        <v>45584</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24537-2020</t>
        </is>
      </c>
      <c r="B341" s="1" t="n">
        <v>43977</v>
      </c>
      <c r="C341" s="1" t="n">
        <v>45584</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25039-2020</t>
        </is>
      </c>
      <c r="B342" s="1" t="n">
        <v>43979</v>
      </c>
      <c r="C342" s="1" t="n">
        <v>45584</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26117-2020</t>
        </is>
      </c>
      <c r="B343" s="1" t="n">
        <v>43985</v>
      </c>
      <c r="C343" s="1" t="n">
        <v>45584</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27322-2020</t>
        </is>
      </c>
      <c r="B344" s="1" t="n">
        <v>43992</v>
      </c>
      <c r="C344" s="1" t="n">
        <v>45584</v>
      </c>
      <c r="D344" t="inlineStr">
        <is>
          <t>GOTLANDS LÄN</t>
        </is>
      </c>
      <c r="E344" t="inlineStr">
        <is>
          <t>GOTLAND</t>
        </is>
      </c>
      <c r="F344" t="inlineStr">
        <is>
          <t>Övriga statliga verk och myndigheter</t>
        </is>
      </c>
      <c r="G344" t="n">
        <v>7.4</v>
      </c>
      <c r="H344" t="n">
        <v>0</v>
      </c>
      <c r="I344" t="n">
        <v>0</v>
      </c>
      <c r="J344" t="n">
        <v>0</v>
      </c>
      <c r="K344" t="n">
        <v>0</v>
      </c>
      <c r="L344" t="n">
        <v>0</v>
      </c>
      <c r="M344" t="n">
        <v>0</v>
      </c>
      <c r="N344" t="n">
        <v>0</v>
      </c>
      <c r="O344" t="n">
        <v>0</v>
      </c>
      <c r="P344" t="n">
        <v>0</v>
      </c>
      <c r="Q344" t="n">
        <v>0</v>
      </c>
      <c r="R344" s="2" t="inlineStr"/>
    </row>
    <row r="345" ht="15" customHeight="1">
      <c r="A345" t="inlineStr">
        <is>
          <t>A 27334-2020</t>
        </is>
      </c>
      <c r="B345" s="1" t="n">
        <v>43992</v>
      </c>
      <c r="C345" s="1" t="n">
        <v>45584</v>
      </c>
      <c r="D345" t="inlineStr">
        <is>
          <t>GOTLANDS LÄN</t>
        </is>
      </c>
      <c r="E345" t="inlineStr">
        <is>
          <t>GOTLAND</t>
        </is>
      </c>
      <c r="F345" t="inlineStr">
        <is>
          <t>Övriga statliga verk och myndigheter</t>
        </is>
      </c>
      <c r="G345" t="n">
        <v>5.4</v>
      </c>
      <c r="H345" t="n">
        <v>0</v>
      </c>
      <c r="I345" t="n">
        <v>0</v>
      </c>
      <c r="J345" t="n">
        <v>0</v>
      </c>
      <c r="K345" t="n">
        <v>0</v>
      </c>
      <c r="L345" t="n">
        <v>0</v>
      </c>
      <c r="M345" t="n">
        <v>0</v>
      </c>
      <c r="N345" t="n">
        <v>0</v>
      </c>
      <c r="O345" t="n">
        <v>0</v>
      </c>
      <c r="P345" t="n">
        <v>0</v>
      </c>
      <c r="Q345" t="n">
        <v>0</v>
      </c>
      <c r="R345" s="2" t="inlineStr"/>
    </row>
    <row r="346" ht="15" customHeight="1">
      <c r="A346" t="inlineStr">
        <is>
          <t>A 27723-2020</t>
        </is>
      </c>
      <c r="B346" s="1" t="n">
        <v>43994</v>
      </c>
      <c r="C346" s="1" t="n">
        <v>45584</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27719-2020</t>
        </is>
      </c>
      <c r="B347" s="1" t="n">
        <v>43994</v>
      </c>
      <c r="C347" s="1" t="n">
        <v>45584</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27713-2020</t>
        </is>
      </c>
      <c r="B348" s="1" t="n">
        <v>43994</v>
      </c>
      <c r="C348" s="1" t="n">
        <v>45584</v>
      </c>
      <c r="D348" t="inlineStr">
        <is>
          <t>GOTLANDS LÄN</t>
        </is>
      </c>
      <c r="E348" t="inlineStr">
        <is>
          <t>GOTLAND</t>
        </is>
      </c>
      <c r="F348" t="inlineStr">
        <is>
          <t>Övriga statliga verk och myndigheter</t>
        </is>
      </c>
      <c r="G348" t="n">
        <v>0.8</v>
      </c>
      <c r="H348" t="n">
        <v>0</v>
      </c>
      <c r="I348" t="n">
        <v>0</v>
      </c>
      <c r="J348" t="n">
        <v>0</v>
      </c>
      <c r="K348" t="n">
        <v>0</v>
      </c>
      <c r="L348" t="n">
        <v>0</v>
      </c>
      <c r="M348" t="n">
        <v>0</v>
      </c>
      <c r="N348" t="n">
        <v>0</v>
      </c>
      <c r="O348" t="n">
        <v>0</v>
      </c>
      <c r="P348" t="n">
        <v>0</v>
      </c>
      <c r="Q348" t="n">
        <v>0</v>
      </c>
      <c r="R348" s="2" t="inlineStr"/>
    </row>
    <row r="349" ht="15" customHeight="1">
      <c r="A349" t="inlineStr">
        <is>
          <t>A 29529-2020</t>
        </is>
      </c>
      <c r="B349" s="1" t="n">
        <v>44005</v>
      </c>
      <c r="C349" s="1" t="n">
        <v>45584</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29915-2020</t>
        </is>
      </c>
      <c r="B350" s="1" t="n">
        <v>44006</v>
      </c>
      <c r="C350" s="1" t="n">
        <v>45584</v>
      </c>
      <c r="D350" t="inlineStr">
        <is>
          <t>GOTLANDS LÄN</t>
        </is>
      </c>
      <c r="E350" t="inlineStr">
        <is>
          <t>GOTLAND</t>
        </is>
      </c>
      <c r="F350" t="inlineStr">
        <is>
          <t>Kommuner</t>
        </is>
      </c>
      <c r="G350" t="n">
        <v>5.8</v>
      </c>
      <c r="H350" t="n">
        <v>0</v>
      </c>
      <c r="I350" t="n">
        <v>0</v>
      </c>
      <c r="J350" t="n">
        <v>0</v>
      </c>
      <c r="K350" t="n">
        <v>0</v>
      </c>
      <c r="L350" t="n">
        <v>0</v>
      </c>
      <c r="M350" t="n">
        <v>0</v>
      </c>
      <c r="N350" t="n">
        <v>0</v>
      </c>
      <c r="O350" t="n">
        <v>0</v>
      </c>
      <c r="P350" t="n">
        <v>0</v>
      </c>
      <c r="Q350" t="n">
        <v>0</v>
      </c>
      <c r="R350" s="2" t="inlineStr"/>
    </row>
    <row r="351" ht="15" customHeight="1">
      <c r="A351" t="inlineStr">
        <is>
          <t>A 30980-2020</t>
        </is>
      </c>
      <c r="B351" s="1" t="n">
        <v>44011</v>
      </c>
      <c r="C351" s="1" t="n">
        <v>45584</v>
      </c>
      <c r="D351" t="inlineStr">
        <is>
          <t>GOTLANDS LÄN</t>
        </is>
      </c>
      <c r="E351" t="inlineStr">
        <is>
          <t>GOTLAND</t>
        </is>
      </c>
      <c r="G351" t="n">
        <v>17.9</v>
      </c>
      <c r="H351" t="n">
        <v>0</v>
      </c>
      <c r="I351" t="n">
        <v>0</v>
      </c>
      <c r="J351" t="n">
        <v>0</v>
      </c>
      <c r="K351" t="n">
        <v>0</v>
      </c>
      <c r="L351" t="n">
        <v>0</v>
      </c>
      <c r="M351" t="n">
        <v>0</v>
      </c>
      <c r="N351" t="n">
        <v>0</v>
      </c>
      <c r="O351" t="n">
        <v>0</v>
      </c>
      <c r="P351" t="n">
        <v>0</v>
      </c>
      <c r="Q351" t="n">
        <v>0</v>
      </c>
      <c r="R351" s="2" t="inlineStr"/>
    </row>
    <row r="352" ht="15" customHeight="1">
      <c r="A352" t="inlineStr">
        <is>
          <t>A 32804-2020</t>
        </is>
      </c>
      <c r="B352" s="1" t="n">
        <v>44018</v>
      </c>
      <c r="C352" s="1" t="n">
        <v>45584</v>
      </c>
      <c r="D352" t="inlineStr">
        <is>
          <t>GOTLANDS LÄN</t>
        </is>
      </c>
      <c r="E352" t="inlineStr">
        <is>
          <t>GOTLAND</t>
        </is>
      </c>
      <c r="G352" t="n">
        <v>19.3</v>
      </c>
      <c r="H352" t="n">
        <v>0</v>
      </c>
      <c r="I352" t="n">
        <v>0</v>
      </c>
      <c r="J352" t="n">
        <v>0</v>
      </c>
      <c r="K352" t="n">
        <v>0</v>
      </c>
      <c r="L352" t="n">
        <v>0</v>
      </c>
      <c r="M352" t="n">
        <v>0</v>
      </c>
      <c r="N352" t="n">
        <v>0</v>
      </c>
      <c r="O352" t="n">
        <v>0</v>
      </c>
      <c r="P352" t="n">
        <v>0</v>
      </c>
      <c r="Q352" t="n">
        <v>0</v>
      </c>
      <c r="R352" s="2" t="inlineStr"/>
    </row>
    <row r="353" ht="15" customHeight="1">
      <c r="A353" t="inlineStr">
        <is>
          <t>A 32974-2020</t>
        </is>
      </c>
      <c r="B353" s="1" t="n">
        <v>44020</v>
      </c>
      <c r="C353" s="1" t="n">
        <v>45584</v>
      </c>
      <c r="D353" t="inlineStr">
        <is>
          <t>GOTLANDS LÄN</t>
        </is>
      </c>
      <c r="E353" t="inlineStr">
        <is>
          <t>GOTLAND</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35074-2020</t>
        </is>
      </c>
      <c r="B354" s="1" t="n">
        <v>44039</v>
      </c>
      <c r="C354" s="1" t="n">
        <v>45584</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36073-2020</t>
        </is>
      </c>
      <c r="B355" s="1" t="n">
        <v>44048</v>
      </c>
      <c r="C355" s="1" t="n">
        <v>45584</v>
      </c>
      <c r="D355" t="inlineStr">
        <is>
          <t>GOTLANDS LÄN</t>
        </is>
      </c>
      <c r="E355" t="inlineStr">
        <is>
          <t>GOTLAND</t>
        </is>
      </c>
      <c r="G355" t="n">
        <v>10.1</v>
      </c>
      <c r="H355" t="n">
        <v>0</v>
      </c>
      <c r="I355" t="n">
        <v>0</v>
      </c>
      <c r="J355" t="n">
        <v>0</v>
      </c>
      <c r="K355" t="n">
        <v>0</v>
      </c>
      <c r="L355" t="n">
        <v>0</v>
      </c>
      <c r="M355" t="n">
        <v>0</v>
      </c>
      <c r="N355" t="n">
        <v>0</v>
      </c>
      <c r="O355" t="n">
        <v>0</v>
      </c>
      <c r="P355" t="n">
        <v>0</v>
      </c>
      <c r="Q355" t="n">
        <v>0</v>
      </c>
      <c r="R355" s="2" t="inlineStr"/>
    </row>
    <row r="356" ht="15" customHeight="1">
      <c r="A356" t="inlineStr">
        <is>
          <t>A 36076-2020</t>
        </is>
      </c>
      <c r="B356" s="1" t="n">
        <v>44048</v>
      </c>
      <c r="C356" s="1" t="n">
        <v>45584</v>
      </c>
      <c r="D356" t="inlineStr">
        <is>
          <t>GOTLANDS LÄN</t>
        </is>
      </c>
      <c r="E356" t="inlineStr">
        <is>
          <t>GOTLAND</t>
        </is>
      </c>
      <c r="G356" t="n">
        <v>0.8</v>
      </c>
      <c r="H356" t="n">
        <v>0</v>
      </c>
      <c r="I356" t="n">
        <v>0</v>
      </c>
      <c r="J356" t="n">
        <v>0</v>
      </c>
      <c r="K356" t="n">
        <v>0</v>
      </c>
      <c r="L356" t="n">
        <v>0</v>
      </c>
      <c r="M356" t="n">
        <v>0</v>
      </c>
      <c r="N356" t="n">
        <v>0</v>
      </c>
      <c r="O356" t="n">
        <v>0</v>
      </c>
      <c r="P356" t="n">
        <v>0</v>
      </c>
      <c r="Q356" t="n">
        <v>0</v>
      </c>
      <c r="R356" s="2" t="inlineStr"/>
    </row>
    <row r="357" ht="15" customHeight="1">
      <c r="A357" t="inlineStr">
        <is>
          <t>A 36284-2020</t>
        </is>
      </c>
      <c r="B357" s="1" t="n">
        <v>44049</v>
      </c>
      <c r="C357" s="1" t="n">
        <v>45584</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37204-2020</t>
        </is>
      </c>
      <c r="B358" s="1" t="n">
        <v>44054</v>
      </c>
      <c r="C358" s="1" t="n">
        <v>45584</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38709-2020</t>
        </is>
      </c>
      <c r="B359" s="1" t="n">
        <v>44061</v>
      </c>
      <c r="C359" s="1" t="n">
        <v>45584</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39477-2020</t>
        </is>
      </c>
      <c r="B360" s="1" t="n">
        <v>44064</v>
      </c>
      <c r="C360" s="1" t="n">
        <v>45584</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41109-2020</t>
        </is>
      </c>
      <c r="B361" s="1" t="n">
        <v>44069</v>
      </c>
      <c r="C361" s="1" t="n">
        <v>45584</v>
      </c>
      <c r="D361" t="inlineStr">
        <is>
          <t>GOTLANDS LÄN</t>
        </is>
      </c>
      <c r="E361" t="inlineStr">
        <is>
          <t>GOTLAND</t>
        </is>
      </c>
      <c r="G361" t="n">
        <v>2.5</v>
      </c>
      <c r="H361" t="n">
        <v>0</v>
      </c>
      <c r="I361" t="n">
        <v>0</v>
      </c>
      <c r="J361" t="n">
        <v>0</v>
      </c>
      <c r="K361" t="n">
        <v>0</v>
      </c>
      <c r="L361" t="n">
        <v>0</v>
      </c>
      <c r="M361" t="n">
        <v>0</v>
      </c>
      <c r="N361" t="n">
        <v>0</v>
      </c>
      <c r="O361" t="n">
        <v>0</v>
      </c>
      <c r="P361" t="n">
        <v>0</v>
      </c>
      <c r="Q361" t="n">
        <v>0</v>
      </c>
      <c r="R361" s="2" t="inlineStr"/>
    </row>
    <row r="362" ht="15" customHeight="1">
      <c r="A362" t="inlineStr">
        <is>
          <t>A 41576-2020</t>
        </is>
      </c>
      <c r="B362" s="1" t="n">
        <v>44074</v>
      </c>
      <c r="C362" s="1" t="n">
        <v>45584</v>
      </c>
      <c r="D362" t="inlineStr">
        <is>
          <t>GOTLANDS LÄN</t>
        </is>
      </c>
      <c r="E362" t="inlineStr">
        <is>
          <t>GOTLAND</t>
        </is>
      </c>
      <c r="G362" t="n">
        <v>8.4</v>
      </c>
      <c r="H362" t="n">
        <v>0</v>
      </c>
      <c r="I362" t="n">
        <v>0</v>
      </c>
      <c r="J362" t="n">
        <v>0</v>
      </c>
      <c r="K362" t="n">
        <v>0</v>
      </c>
      <c r="L362" t="n">
        <v>0</v>
      </c>
      <c r="M362" t="n">
        <v>0</v>
      </c>
      <c r="N362" t="n">
        <v>0</v>
      </c>
      <c r="O362" t="n">
        <v>0</v>
      </c>
      <c r="P362" t="n">
        <v>0</v>
      </c>
      <c r="Q362" t="n">
        <v>0</v>
      </c>
      <c r="R362" s="2" t="inlineStr"/>
    </row>
    <row r="363" ht="15" customHeight="1">
      <c r="A363" t="inlineStr">
        <is>
          <t>A 45921-2020</t>
        </is>
      </c>
      <c r="B363" s="1" t="n">
        <v>44088</v>
      </c>
      <c r="C363" s="1" t="n">
        <v>45584</v>
      </c>
      <c r="D363" t="inlineStr">
        <is>
          <t>GOTLANDS LÄN</t>
        </is>
      </c>
      <c r="E363" t="inlineStr">
        <is>
          <t>GOTLAND</t>
        </is>
      </c>
      <c r="G363" t="n">
        <v>6.5</v>
      </c>
      <c r="H363" t="n">
        <v>0</v>
      </c>
      <c r="I363" t="n">
        <v>0</v>
      </c>
      <c r="J363" t="n">
        <v>0</v>
      </c>
      <c r="K363" t="n">
        <v>0</v>
      </c>
      <c r="L363" t="n">
        <v>0</v>
      </c>
      <c r="M363" t="n">
        <v>0</v>
      </c>
      <c r="N363" t="n">
        <v>0</v>
      </c>
      <c r="O363" t="n">
        <v>0</v>
      </c>
      <c r="P363" t="n">
        <v>0</v>
      </c>
      <c r="Q363" t="n">
        <v>0</v>
      </c>
      <c r="R363" s="2" t="inlineStr"/>
    </row>
    <row r="364" ht="15" customHeight="1">
      <c r="A364" t="inlineStr">
        <is>
          <t>A 46019-2020</t>
        </is>
      </c>
      <c r="B364" s="1" t="n">
        <v>44091</v>
      </c>
      <c r="C364" s="1" t="n">
        <v>45584</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46778-2020</t>
        </is>
      </c>
      <c r="B365" s="1" t="n">
        <v>44096</v>
      </c>
      <c r="C365" s="1" t="n">
        <v>45584</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53641-2020</t>
        </is>
      </c>
      <c r="B366" s="1" t="n">
        <v>44124</v>
      </c>
      <c r="C366" s="1" t="n">
        <v>45584</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53665-2020</t>
        </is>
      </c>
      <c r="B367" s="1" t="n">
        <v>44124</v>
      </c>
      <c r="C367" s="1" t="n">
        <v>45584</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59052-2020</t>
        </is>
      </c>
      <c r="B368" s="1" t="n">
        <v>44147</v>
      </c>
      <c r="C368" s="1" t="n">
        <v>45584</v>
      </c>
      <c r="D368" t="inlineStr">
        <is>
          <t>GOTLANDS LÄN</t>
        </is>
      </c>
      <c r="E368" t="inlineStr">
        <is>
          <t>GOTLAND</t>
        </is>
      </c>
      <c r="G368" t="n">
        <v>3.4</v>
      </c>
      <c r="H368" t="n">
        <v>0</v>
      </c>
      <c r="I368" t="n">
        <v>0</v>
      </c>
      <c r="J368" t="n">
        <v>0</v>
      </c>
      <c r="K368" t="n">
        <v>0</v>
      </c>
      <c r="L368" t="n">
        <v>0</v>
      </c>
      <c r="M368" t="n">
        <v>0</v>
      </c>
      <c r="N368" t="n">
        <v>0</v>
      </c>
      <c r="O368" t="n">
        <v>0</v>
      </c>
      <c r="P368" t="n">
        <v>0</v>
      </c>
      <c r="Q368" t="n">
        <v>0</v>
      </c>
      <c r="R368" s="2" t="inlineStr"/>
    </row>
    <row r="369" ht="15" customHeight="1">
      <c r="A369" t="inlineStr">
        <is>
          <t>A 59630-2020</t>
        </is>
      </c>
      <c r="B369" s="1" t="n">
        <v>44150</v>
      </c>
      <c r="C369" s="1" t="n">
        <v>45584</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60356-2020</t>
        </is>
      </c>
      <c r="B370" s="1" t="n">
        <v>44152</v>
      </c>
      <c r="C370" s="1" t="n">
        <v>45584</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62120-2020</t>
        </is>
      </c>
      <c r="B371" s="1" t="n">
        <v>44158</v>
      </c>
      <c r="C371" s="1" t="n">
        <v>45584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64380-2020</t>
        </is>
      </c>
      <c r="B372" s="1" t="n">
        <v>44168</v>
      </c>
      <c r="C372" s="1" t="n">
        <v>45584</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65126-2020</t>
        </is>
      </c>
      <c r="B373" s="1" t="n">
        <v>44168</v>
      </c>
      <c r="C373" s="1" t="n">
        <v>45584</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65537-2020</t>
        </is>
      </c>
      <c r="B374" s="1" t="n">
        <v>44173</v>
      </c>
      <c r="C374" s="1" t="n">
        <v>45584</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69643-2020</t>
        </is>
      </c>
      <c r="B375" s="1" t="n">
        <v>44195</v>
      </c>
      <c r="C375" s="1" t="n">
        <v>45584</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14-2021</t>
        </is>
      </c>
      <c r="B376" s="1" t="n">
        <v>44197</v>
      </c>
      <c r="C376" s="1" t="n">
        <v>45584</v>
      </c>
      <c r="D376" t="inlineStr">
        <is>
          <t>GOTLANDS LÄN</t>
        </is>
      </c>
      <c r="E376" t="inlineStr">
        <is>
          <t>GOTLAND</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1229-2021</t>
        </is>
      </c>
      <c r="B377" s="1" t="n">
        <v>44208</v>
      </c>
      <c r="C377" s="1" t="n">
        <v>45584</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2292-2021</t>
        </is>
      </c>
      <c r="B378" s="1" t="n">
        <v>44212</v>
      </c>
      <c r="C378" s="1" t="n">
        <v>45584</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2608-2021</t>
        </is>
      </c>
      <c r="B379" s="1" t="n">
        <v>44214</v>
      </c>
      <c r="C379" s="1" t="n">
        <v>45584</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3319-2021</t>
        </is>
      </c>
      <c r="B380" s="1" t="n">
        <v>44216</v>
      </c>
      <c r="C380" s="1" t="n">
        <v>45584</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3172-2021</t>
        </is>
      </c>
      <c r="B381" s="1" t="n">
        <v>44217</v>
      </c>
      <c r="C381" s="1" t="n">
        <v>45584</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3271-2021</t>
        </is>
      </c>
      <c r="B382" s="1" t="n">
        <v>44217</v>
      </c>
      <c r="C382" s="1" t="n">
        <v>45584</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8329-2021</t>
        </is>
      </c>
      <c r="B383" s="1" t="n">
        <v>44244</v>
      </c>
      <c r="C383" s="1" t="n">
        <v>45584</v>
      </c>
      <c r="D383" t="inlineStr">
        <is>
          <t>GOTLANDS LÄN</t>
        </is>
      </c>
      <c r="E383" t="inlineStr">
        <is>
          <t>GOTLAND</t>
        </is>
      </c>
      <c r="F383" t="inlineStr">
        <is>
          <t>Kyrkan</t>
        </is>
      </c>
      <c r="G383" t="n">
        <v>4.5</v>
      </c>
      <c r="H383" t="n">
        <v>0</v>
      </c>
      <c r="I383" t="n">
        <v>0</v>
      </c>
      <c r="J383" t="n">
        <v>0</v>
      </c>
      <c r="K383" t="n">
        <v>0</v>
      </c>
      <c r="L383" t="n">
        <v>0</v>
      </c>
      <c r="M383" t="n">
        <v>0</v>
      </c>
      <c r="N383" t="n">
        <v>0</v>
      </c>
      <c r="O383" t="n">
        <v>0</v>
      </c>
      <c r="P383" t="n">
        <v>0</v>
      </c>
      <c r="Q383" t="n">
        <v>0</v>
      </c>
      <c r="R383" s="2" t="inlineStr"/>
    </row>
    <row r="384" ht="15" customHeight="1">
      <c r="A384" t="inlineStr">
        <is>
          <t>A 8700-2021</t>
        </is>
      </c>
      <c r="B384" s="1" t="n">
        <v>44246</v>
      </c>
      <c r="C384" s="1" t="n">
        <v>45584</v>
      </c>
      <c r="D384" t="inlineStr">
        <is>
          <t>GOTLANDS LÄN</t>
        </is>
      </c>
      <c r="E384" t="inlineStr">
        <is>
          <t>GOTLAND</t>
        </is>
      </c>
      <c r="G384" t="n">
        <v>0.1</v>
      </c>
      <c r="H384" t="n">
        <v>0</v>
      </c>
      <c r="I384" t="n">
        <v>0</v>
      </c>
      <c r="J384" t="n">
        <v>0</v>
      </c>
      <c r="K384" t="n">
        <v>0</v>
      </c>
      <c r="L384" t="n">
        <v>0</v>
      </c>
      <c r="M384" t="n">
        <v>0</v>
      </c>
      <c r="N384" t="n">
        <v>0</v>
      </c>
      <c r="O384" t="n">
        <v>0</v>
      </c>
      <c r="P384" t="n">
        <v>0</v>
      </c>
      <c r="Q384" t="n">
        <v>0</v>
      </c>
      <c r="R384" s="2" t="inlineStr"/>
    </row>
    <row r="385" ht="15" customHeight="1">
      <c r="A385" t="inlineStr">
        <is>
          <t>A 11400-2021</t>
        </is>
      </c>
      <c r="B385" s="1" t="n">
        <v>44263</v>
      </c>
      <c r="C385" s="1" t="n">
        <v>45584</v>
      </c>
      <c r="D385" t="inlineStr">
        <is>
          <t>GOTLANDS LÄN</t>
        </is>
      </c>
      <c r="E385" t="inlineStr">
        <is>
          <t>GOTLAND</t>
        </is>
      </c>
      <c r="G385" t="n">
        <v>5.6</v>
      </c>
      <c r="H385" t="n">
        <v>0</v>
      </c>
      <c r="I385" t="n">
        <v>0</v>
      </c>
      <c r="J385" t="n">
        <v>0</v>
      </c>
      <c r="K385" t="n">
        <v>0</v>
      </c>
      <c r="L385" t="n">
        <v>0</v>
      </c>
      <c r="M385" t="n">
        <v>0</v>
      </c>
      <c r="N385" t="n">
        <v>0</v>
      </c>
      <c r="O385" t="n">
        <v>0</v>
      </c>
      <c r="P385" t="n">
        <v>0</v>
      </c>
      <c r="Q385" t="n">
        <v>0</v>
      </c>
      <c r="R385" s="2" t="inlineStr"/>
    </row>
    <row r="386" ht="15" customHeight="1">
      <c r="A386" t="inlineStr">
        <is>
          <t>A 11402-2021</t>
        </is>
      </c>
      <c r="B386" s="1" t="n">
        <v>44263</v>
      </c>
      <c r="C386" s="1" t="n">
        <v>45584</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12318-2021</t>
        </is>
      </c>
      <c r="B387" s="1" t="n">
        <v>44266</v>
      </c>
      <c r="C387" s="1" t="n">
        <v>45584</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13274-2021</t>
        </is>
      </c>
      <c r="B388" s="1" t="n">
        <v>44272</v>
      </c>
      <c r="C388" s="1" t="n">
        <v>45584</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14536-2021</t>
        </is>
      </c>
      <c r="B389" s="1" t="n">
        <v>44279</v>
      </c>
      <c r="C389" s="1" t="n">
        <v>45584</v>
      </c>
      <c r="D389" t="inlineStr">
        <is>
          <t>GOTLANDS LÄN</t>
        </is>
      </c>
      <c r="E389" t="inlineStr">
        <is>
          <t>GOTLAND</t>
        </is>
      </c>
      <c r="G389" t="n">
        <v>8.5</v>
      </c>
      <c r="H389" t="n">
        <v>0</v>
      </c>
      <c r="I389" t="n">
        <v>0</v>
      </c>
      <c r="J389" t="n">
        <v>0</v>
      </c>
      <c r="K389" t="n">
        <v>0</v>
      </c>
      <c r="L389" t="n">
        <v>0</v>
      </c>
      <c r="M389" t="n">
        <v>0</v>
      </c>
      <c r="N389" t="n">
        <v>0</v>
      </c>
      <c r="O389" t="n">
        <v>0</v>
      </c>
      <c r="P389" t="n">
        <v>0</v>
      </c>
      <c r="Q389" t="n">
        <v>0</v>
      </c>
      <c r="R389" s="2" t="inlineStr"/>
    </row>
    <row r="390" ht="15" customHeight="1">
      <c r="A390" t="inlineStr">
        <is>
          <t>A 14804-2021</t>
        </is>
      </c>
      <c r="B390" s="1" t="n">
        <v>44280</v>
      </c>
      <c r="C390" s="1" t="n">
        <v>45584</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15127-2021</t>
        </is>
      </c>
      <c r="B391" s="1" t="n">
        <v>44283</v>
      </c>
      <c r="C391" s="1" t="n">
        <v>45584</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16435-2021</t>
        </is>
      </c>
      <c r="B392" s="1" t="n">
        <v>44293</v>
      </c>
      <c r="C392" s="1" t="n">
        <v>45584</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17254-2021</t>
        </is>
      </c>
      <c r="B393" s="1" t="n">
        <v>44298</v>
      </c>
      <c r="C393" s="1" t="n">
        <v>45584</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17227-2021</t>
        </is>
      </c>
      <c r="B394" s="1" t="n">
        <v>44298</v>
      </c>
      <c r="C394" s="1" t="n">
        <v>45584</v>
      </c>
      <c r="D394" t="inlineStr">
        <is>
          <t>GOTLANDS LÄN</t>
        </is>
      </c>
      <c r="E394" t="inlineStr">
        <is>
          <t>GOTLAND</t>
        </is>
      </c>
      <c r="G394" t="n">
        <v>6.2</v>
      </c>
      <c r="H394" t="n">
        <v>0</v>
      </c>
      <c r="I394" t="n">
        <v>0</v>
      </c>
      <c r="J394" t="n">
        <v>0</v>
      </c>
      <c r="K394" t="n">
        <v>0</v>
      </c>
      <c r="L394" t="n">
        <v>0</v>
      </c>
      <c r="M394" t="n">
        <v>0</v>
      </c>
      <c r="N394" t="n">
        <v>0</v>
      </c>
      <c r="O394" t="n">
        <v>0</v>
      </c>
      <c r="P394" t="n">
        <v>0</v>
      </c>
      <c r="Q394" t="n">
        <v>0</v>
      </c>
      <c r="R394" s="2" t="inlineStr"/>
    </row>
    <row r="395" ht="15" customHeight="1">
      <c r="A395" t="inlineStr">
        <is>
          <t>A 17199-2021</t>
        </is>
      </c>
      <c r="B395" s="1" t="n">
        <v>44298</v>
      </c>
      <c r="C395" s="1" t="n">
        <v>45584</v>
      </c>
      <c r="D395" t="inlineStr">
        <is>
          <t>GOTLANDS LÄN</t>
        </is>
      </c>
      <c r="E395" t="inlineStr">
        <is>
          <t>GOTLAND</t>
        </is>
      </c>
      <c r="G395" t="n">
        <v>9.6</v>
      </c>
      <c r="H395" t="n">
        <v>0</v>
      </c>
      <c r="I395" t="n">
        <v>0</v>
      </c>
      <c r="J395" t="n">
        <v>0</v>
      </c>
      <c r="K395" t="n">
        <v>0</v>
      </c>
      <c r="L395" t="n">
        <v>0</v>
      </c>
      <c r="M395" t="n">
        <v>0</v>
      </c>
      <c r="N395" t="n">
        <v>0</v>
      </c>
      <c r="O395" t="n">
        <v>0</v>
      </c>
      <c r="P395" t="n">
        <v>0</v>
      </c>
      <c r="Q395" t="n">
        <v>0</v>
      </c>
      <c r="R395" s="2" t="inlineStr"/>
    </row>
    <row r="396" ht="15" customHeight="1">
      <c r="A396" t="inlineStr">
        <is>
          <t>A 17585-2021</t>
        </is>
      </c>
      <c r="B396" s="1" t="n">
        <v>44299</v>
      </c>
      <c r="C396" s="1" t="n">
        <v>45584</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17920-2021</t>
        </is>
      </c>
      <c r="B397" s="1" t="n">
        <v>44301</v>
      </c>
      <c r="C397" s="1" t="n">
        <v>45584</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18038-2021</t>
        </is>
      </c>
      <c r="B398" s="1" t="n">
        <v>44302</v>
      </c>
      <c r="C398" s="1" t="n">
        <v>45584</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19447-2021</t>
        </is>
      </c>
      <c r="B399" s="1" t="n">
        <v>44310</v>
      </c>
      <c r="C399" s="1" t="n">
        <v>45584</v>
      </c>
      <c r="D399" t="inlineStr">
        <is>
          <t>GOTLANDS LÄN</t>
        </is>
      </c>
      <c r="E399" t="inlineStr">
        <is>
          <t>GOTLAND</t>
        </is>
      </c>
      <c r="G399" t="n">
        <v>0.4</v>
      </c>
      <c r="H399" t="n">
        <v>0</v>
      </c>
      <c r="I399" t="n">
        <v>0</v>
      </c>
      <c r="J399" t="n">
        <v>0</v>
      </c>
      <c r="K399" t="n">
        <v>0</v>
      </c>
      <c r="L399" t="n">
        <v>0</v>
      </c>
      <c r="M399" t="n">
        <v>0</v>
      </c>
      <c r="N399" t="n">
        <v>0</v>
      </c>
      <c r="O399" t="n">
        <v>0</v>
      </c>
      <c r="P399" t="n">
        <v>0</v>
      </c>
      <c r="Q399" t="n">
        <v>0</v>
      </c>
      <c r="R399" s="2" t="inlineStr"/>
    </row>
    <row r="400" ht="15" customHeight="1">
      <c r="A400" t="inlineStr">
        <is>
          <t>A 19448-2021</t>
        </is>
      </c>
      <c r="B400" s="1" t="n">
        <v>44310</v>
      </c>
      <c r="C400" s="1" t="n">
        <v>45584</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19892-2021</t>
        </is>
      </c>
      <c r="B401" s="1" t="n">
        <v>44312</v>
      </c>
      <c r="C401" s="1" t="n">
        <v>45584</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19901-2021</t>
        </is>
      </c>
      <c r="B402" s="1" t="n">
        <v>44312</v>
      </c>
      <c r="C402" s="1" t="n">
        <v>45584</v>
      </c>
      <c r="D402" t="inlineStr">
        <is>
          <t>GOTLANDS LÄN</t>
        </is>
      </c>
      <c r="E402" t="inlineStr">
        <is>
          <t>GOTLAND</t>
        </is>
      </c>
      <c r="G402" t="n">
        <v>4.5</v>
      </c>
      <c r="H402" t="n">
        <v>0</v>
      </c>
      <c r="I402" t="n">
        <v>0</v>
      </c>
      <c r="J402" t="n">
        <v>0</v>
      </c>
      <c r="K402" t="n">
        <v>0</v>
      </c>
      <c r="L402" t="n">
        <v>0</v>
      </c>
      <c r="M402" t="n">
        <v>0</v>
      </c>
      <c r="N402" t="n">
        <v>0</v>
      </c>
      <c r="O402" t="n">
        <v>0</v>
      </c>
      <c r="P402" t="n">
        <v>0</v>
      </c>
      <c r="Q402" t="n">
        <v>0</v>
      </c>
      <c r="R402" s="2" t="inlineStr"/>
    </row>
    <row r="403" ht="15" customHeight="1">
      <c r="A403" t="inlineStr">
        <is>
          <t>A 19939-2021</t>
        </is>
      </c>
      <c r="B403" s="1" t="n">
        <v>44313</v>
      </c>
      <c r="C403" s="1" t="n">
        <v>45584</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20111-2021</t>
        </is>
      </c>
      <c r="B404" s="1" t="n">
        <v>44314</v>
      </c>
      <c r="C404" s="1" t="n">
        <v>45584</v>
      </c>
      <c r="D404" t="inlineStr">
        <is>
          <t>GOTLANDS LÄN</t>
        </is>
      </c>
      <c r="E404" t="inlineStr">
        <is>
          <t>GOTLAND</t>
        </is>
      </c>
      <c r="G404" t="n">
        <v>4.4</v>
      </c>
      <c r="H404" t="n">
        <v>0</v>
      </c>
      <c r="I404" t="n">
        <v>0</v>
      </c>
      <c r="J404" t="n">
        <v>0</v>
      </c>
      <c r="K404" t="n">
        <v>0</v>
      </c>
      <c r="L404" t="n">
        <v>0</v>
      </c>
      <c r="M404" t="n">
        <v>0</v>
      </c>
      <c r="N404" t="n">
        <v>0</v>
      </c>
      <c r="O404" t="n">
        <v>0</v>
      </c>
      <c r="P404" t="n">
        <v>0</v>
      </c>
      <c r="Q404" t="n">
        <v>0</v>
      </c>
      <c r="R404" s="2" t="inlineStr"/>
    </row>
    <row r="405" ht="15" customHeight="1">
      <c r="A405" t="inlineStr">
        <is>
          <t>A 21507-2021</t>
        </is>
      </c>
      <c r="B405" s="1" t="n">
        <v>44321</v>
      </c>
      <c r="C405" s="1" t="n">
        <v>45584</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22155-2021</t>
        </is>
      </c>
      <c r="B406" s="1" t="n">
        <v>44325</v>
      </c>
      <c r="C406" s="1" t="n">
        <v>45584</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23910-2021</t>
        </is>
      </c>
      <c r="B407" s="1" t="n">
        <v>44335</v>
      </c>
      <c r="C407" s="1" t="n">
        <v>45584</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24001-2021</t>
        </is>
      </c>
      <c r="B408" s="1" t="n">
        <v>44335</v>
      </c>
      <c r="C408" s="1" t="n">
        <v>45584</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26810-2021</t>
        </is>
      </c>
      <c r="B409" s="1" t="n">
        <v>44349</v>
      </c>
      <c r="C409" s="1" t="n">
        <v>45584</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26857-2021</t>
        </is>
      </c>
      <c r="B410" s="1" t="n">
        <v>44349</v>
      </c>
      <c r="C410" s="1" t="n">
        <v>45584</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26867-2021</t>
        </is>
      </c>
      <c r="B411" s="1" t="n">
        <v>44349</v>
      </c>
      <c r="C411" s="1" t="n">
        <v>45584</v>
      </c>
      <c r="D411" t="inlineStr">
        <is>
          <t>GOTLANDS LÄN</t>
        </is>
      </c>
      <c r="E411" t="inlineStr">
        <is>
          <t>GOTLAND</t>
        </is>
      </c>
      <c r="G411" t="n">
        <v>5.7</v>
      </c>
      <c r="H411" t="n">
        <v>0</v>
      </c>
      <c r="I411" t="n">
        <v>0</v>
      </c>
      <c r="J411" t="n">
        <v>0</v>
      </c>
      <c r="K411" t="n">
        <v>0</v>
      </c>
      <c r="L411" t="n">
        <v>0</v>
      </c>
      <c r="M411" t="n">
        <v>0</v>
      </c>
      <c r="N411" t="n">
        <v>0</v>
      </c>
      <c r="O411" t="n">
        <v>0</v>
      </c>
      <c r="P411" t="n">
        <v>0</v>
      </c>
      <c r="Q411" t="n">
        <v>0</v>
      </c>
      <c r="R411" s="2" t="inlineStr"/>
    </row>
    <row r="412" ht="15" customHeight="1">
      <c r="A412" t="inlineStr">
        <is>
          <t>A 27930-2021</t>
        </is>
      </c>
      <c r="B412" s="1" t="n">
        <v>44354</v>
      </c>
      <c r="C412" s="1" t="n">
        <v>45584</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30055-2021</t>
        </is>
      </c>
      <c r="B413" s="1" t="n">
        <v>44363</v>
      </c>
      <c r="C413" s="1" t="n">
        <v>45584</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31264-2021</t>
        </is>
      </c>
      <c r="B414" s="1" t="n">
        <v>44368</v>
      </c>
      <c r="C414" s="1" t="n">
        <v>45584</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31981-2021</t>
        </is>
      </c>
      <c r="B415" s="1" t="n">
        <v>44370</v>
      </c>
      <c r="C415" s="1" t="n">
        <v>45584</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32647-2021</t>
        </is>
      </c>
      <c r="B416" s="1" t="n">
        <v>44375</v>
      </c>
      <c r="C416" s="1" t="n">
        <v>45584</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32691-2021</t>
        </is>
      </c>
      <c r="B417" s="1" t="n">
        <v>44375</v>
      </c>
      <c r="C417" s="1" t="n">
        <v>45584</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32958-2021</t>
        </is>
      </c>
      <c r="B418" s="1" t="n">
        <v>44376</v>
      </c>
      <c r="C418" s="1" t="n">
        <v>45584</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36313-2021</t>
        </is>
      </c>
      <c r="B419" s="1" t="n">
        <v>44390</v>
      </c>
      <c r="C419" s="1" t="n">
        <v>45584</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37037-2021</t>
        </is>
      </c>
      <c r="B420" s="1" t="n">
        <v>44393</v>
      </c>
      <c r="C420" s="1" t="n">
        <v>45584</v>
      </c>
      <c r="D420" t="inlineStr">
        <is>
          <t>GOTLANDS LÄN</t>
        </is>
      </c>
      <c r="E420" t="inlineStr">
        <is>
          <t>GOTLAND</t>
        </is>
      </c>
      <c r="G420" t="n">
        <v>10.2</v>
      </c>
      <c r="H420" t="n">
        <v>0</v>
      </c>
      <c r="I420" t="n">
        <v>0</v>
      </c>
      <c r="J420" t="n">
        <v>0</v>
      </c>
      <c r="K420" t="n">
        <v>0</v>
      </c>
      <c r="L420" t="n">
        <v>0</v>
      </c>
      <c r="M420" t="n">
        <v>0</v>
      </c>
      <c r="N420" t="n">
        <v>0</v>
      </c>
      <c r="O420" t="n">
        <v>0</v>
      </c>
      <c r="P420" t="n">
        <v>0</v>
      </c>
      <c r="Q420" t="n">
        <v>0</v>
      </c>
      <c r="R420" s="2" t="inlineStr"/>
    </row>
    <row r="421" ht="15" customHeight="1">
      <c r="A421" t="inlineStr">
        <is>
          <t>A 37222-2021</t>
        </is>
      </c>
      <c r="B421" s="1" t="n">
        <v>44396</v>
      </c>
      <c r="C421" s="1" t="n">
        <v>45584</v>
      </c>
      <c r="D421" t="inlineStr">
        <is>
          <t>GOTLANDS LÄN</t>
        </is>
      </c>
      <c r="E421" t="inlineStr">
        <is>
          <t>GOTLAND</t>
        </is>
      </c>
      <c r="G421" t="n">
        <v>3</v>
      </c>
      <c r="H421" t="n">
        <v>0</v>
      </c>
      <c r="I421" t="n">
        <v>0</v>
      </c>
      <c r="J421" t="n">
        <v>0</v>
      </c>
      <c r="K421" t="n">
        <v>0</v>
      </c>
      <c r="L421" t="n">
        <v>0</v>
      </c>
      <c r="M421" t="n">
        <v>0</v>
      </c>
      <c r="N421" t="n">
        <v>0</v>
      </c>
      <c r="O421" t="n">
        <v>0</v>
      </c>
      <c r="P421" t="n">
        <v>0</v>
      </c>
      <c r="Q421" t="n">
        <v>0</v>
      </c>
      <c r="R421" s="2" t="inlineStr"/>
    </row>
    <row r="422" ht="15" customHeight="1">
      <c r="A422" t="inlineStr">
        <is>
          <t>A 42688-2021</t>
        </is>
      </c>
      <c r="B422" s="1" t="n">
        <v>44428</v>
      </c>
      <c r="C422" s="1" t="n">
        <v>45584</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44304-2021</t>
        </is>
      </c>
      <c r="B423" s="1" t="n">
        <v>44434</v>
      </c>
      <c r="C423" s="1" t="n">
        <v>45584</v>
      </c>
      <c r="D423" t="inlineStr">
        <is>
          <t>GOTLANDS LÄN</t>
        </is>
      </c>
      <c r="E423" t="inlineStr">
        <is>
          <t>GOTLAND</t>
        </is>
      </c>
      <c r="G423" t="n">
        <v>5.8</v>
      </c>
      <c r="H423" t="n">
        <v>0</v>
      </c>
      <c r="I423" t="n">
        <v>0</v>
      </c>
      <c r="J423" t="n">
        <v>0</v>
      </c>
      <c r="K423" t="n">
        <v>0</v>
      </c>
      <c r="L423" t="n">
        <v>0</v>
      </c>
      <c r="M423" t="n">
        <v>0</v>
      </c>
      <c r="N423" t="n">
        <v>0</v>
      </c>
      <c r="O423" t="n">
        <v>0</v>
      </c>
      <c r="P423" t="n">
        <v>0</v>
      </c>
      <c r="Q423" t="n">
        <v>0</v>
      </c>
      <c r="R423" s="2" t="inlineStr"/>
    </row>
    <row r="424" ht="15" customHeight="1">
      <c r="A424" t="inlineStr">
        <is>
          <t>A 44649-2021</t>
        </is>
      </c>
      <c r="B424" s="1" t="n">
        <v>44437</v>
      </c>
      <c r="C424" s="1" t="n">
        <v>45584</v>
      </c>
      <c r="D424" t="inlineStr">
        <is>
          <t>GOTLANDS LÄN</t>
        </is>
      </c>
      <c r="E424" t="inlineStr">
        <is>
          <t>GOTLAND</t>
        </is>
      </c>
      <c r="G424" t="n">
        <v>8.1</v>
      </c>
      <c r="H424" t="n">
        <v>0</v>
      </c>
      <c r="I424" t="n">
        <v>0</v>
      </c>
      <c r="J424" t="n">
        <v>0</v>
      </c>
      <c r="K424" t="n">
        <v>0</v>
      </c>
      <c r="L424" t="n">
        <v>0</v>
      </c>
      <c r="M424" t="n">
        <v>0</v>
      </c>
      <c r="N424" t="n">
        <v>0</v>
      </c>
      <c r="O424" t="n">
        <v>0</v>
      </c>
      <c r="P424" t="n">
        <v>0</v>
      </c>
      <c r="Q424" t="n">
        <v>0</v>
      </c>
      <c r="R424" s="2" t="inlineStr"/>
    </row>
    <row r="425" ht="15" customHeight="1">
      <c r="A425" t="inlineStr">
        <is>
          <t>A 46362-2021</t>
        </is>
      </c>
      <c r="B425" s="1" t="n">
        <v>44442</v>
      </c>
      <c r="C425" s="1" t="n">
        <v>45584</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46389-2021</t>
        </is>
      </c>
      <c r="B426" s="1" t="n">
        <v>44443</v>
      </c>
      <c r="C426" s="1" t="n">
        <v>45584</v>
      </c>
      <c r="D426" t="inlineStr">
        <is>
          <t>GOTLANDS LÄN</t>
        </is>
      </c>
      <c r="E426" t="inlineStr">
        <is>
          <t>GOTLAND</t>
        </is>
      </c>
      <c r="F426" t="inlineStr">
        <is>
          <t>Kyrkan</t>
        </is>
      </c>
      <c r="G426" t="n">
        <v>2.1</v>
      </c>
      <c r="H426" t="n">
        <v>0</v>
      </c>
      <c r="I426" t="n">
        <v>0</v>
      </c>
      <c r="J426" t="n">
        <v>0</v>
      </c>
      <c r="K426" t="n">
        <v>0</v>
      </c>
      <c r="L426" t="n">
        <v>0</v>
      </c>
      <c r="M426" t="n">
        <v>0</v>
      </c>
      <c r="N426" t="n">
        <v>0</v>
      </c>
      <c r="O426" t="n">
        <v>0</v>
      </c>
      <c r="P426" t="n">
        <v>0</v>
      </c>
      <c r="Q426" t="n">
        <v>0</v>
      </c>
      <c r="R426" s="2" t="inlineStr"/>
    </row>
    <row r="427" ht="15" customHeight="1">
      <c r="A427" t="inlineStr">
        <is>
          <t>A 47369-2021</t>
        </is>
      </c>
      <c r="B427" s="1" t="n">
        <v>44447</v>
      </c>
      <c r="C427" s="1" t="n">
        <v>45584</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50892-2021</t>
        </is>
      </c>
      <c r="B428" s="1" t="n">
        <v>44459</v>
      </c>
      <c r="C428" s="1" t="n">
        <v>45584</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52892-2021</t>
        </is>
      </c>
      <c r="B429" s="1" t="n">
        <v>44467</v>
      </c>
      <c r="C429" s="1" t="n">
        <v>45584</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53479-2021</t>
        </is>
      </c>
      <c r="B430" s="1" t="n">
        <v>44468</v>
      </c>
      <c r="C430" s="1" t="n">
        <v>45584</v>
      </c>
      <c r="D430" t="inlineStr">
        <is>
          <t>GOTLANDS LÄN</t>
        </is>
      </c>
      <c r="E430" t="inlineStr">
        <is>
          <t>GOTLAND</t>
        </is>
      </c>
      <c r="G430" t="n">
        <v>8</v>
      </c>
      <c r="H430" t="n">
        <v>0</v>
      </c>
      <c r="I430" t="n">
        <v>0</v>
      </c>
      <c r="J430" t="n">
        <v>0</v>
      </c>
      <c r="K430" t="n">
        <v>0</v>
      </c>
      <c r="L430" t="n">
        <v>0</v>
      </c>
      <c r="M430" t="n">
        <v>0</v>
      </c>
      <c r="N430" t="n">
        <v>0</v>
      </c>
      <c r="O430" t="n">
        <v>0</v>
      </c>
      <c r="P430" t="n">
        <v>0</v>
      </c>
      <c r="Q430" t="n">
        <v>0</v>
      </c>
      <c r="R430" s="2" t="inlineStr"/>
    </row>
    <row r="431" ht="15" customHeight="1">
      <c r="A431" t="inlineStr">
        <is>
          <t>A 56951-2021</t>
        </is>
      </c>
      <c r="B431" s="1" t="n">
        <v>44482</v>
      </c>
      <c r="C431" s="1" t="n">
        <v>45584</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57219-2021</t>
        </is>
      </c>
      <c r="B432" s="1" t="n">
        <v>44483</v>
      </c>
      <c r="C432" s="1" t="n">
        <v>45584</v>
      </c>
      <c r="D432" t="inlineStr">
        <is>
          <t>GOTLANDS LÄN</t>
        </is>
      </c>
      <c r="E432" t="inlineStr">
        <is>
          <t>GOTLAND</t>
        </is>
      </c>
      <c r="F432" t="inlineStr">
        <is>
          <t>Kyrkan</t>
        </is>
      </c>
      <c r="G432" t="n">
        <v>4</v>
      </c>
      <c r="H432" t="n">
        <v>0</v>
      </c>
      <c r="I432" t="n">
        <v>0</v>
      </c>
      <c r="J432" t="n">
        <v>0</v>
      </c>
      <c r="K432" t="n">
        <v>0</v>
      </c>
      <c r="L432" t="n">
        <v>0</v>
      </c>
      <c r="M432" t="n">
        <v>0</v>
      </c>
      <c r="N432" t="n">
        <v>0</v>
      </c>
      <c r="O432" t="n">
        <v>0</v>
      </c>
      <c r="P432" t="n">
        <v>0</v>
      </c>
      <c r="Q432" t="n">
        <v>0</v>
      </c>
      <c r="R432" s="2" t="inlineStr"/>
    </row>
    <row r="433" ht="15" customHeight="1">
      <c r="A433" t="inlineStr">
        <is>
          <t>A 58224-2021</t>
        </is>
      </c>
      <c r="B433" s="1" t="n">
        <v>44487</v>
      </c>
      <c r="C433" s="1" t="n">
        <v>45584</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58600-2021</t>
        </is>
      </c>
      <c r="B434" s="1" t="n">
        <v>44488</v>
      </c>
      <c r="C434" s="1" t="n">
        <v>45584</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58815-2021</t>
        </is>
      </c>
      <c r="B435" s="1" t="n">
        <v>44489</v>
      </c>
      <c r="C435" s="1" t="n">
        <v>45584</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60607-2021</t>
        </is>
      </c>
      <c r="B436" s="1" t="n">
        <v>44496</v>
      </c>
      <c r="C436" s="1" t="n">
        <v>45584</v>
      </c>
      <c r="D436" t="inlineStr">
        <is>
          <t>GOTLANDS LÄN</t>
        </is>
      </c>
      <c r="E436" t="inlineStr">
        <is>
          <t>GOTLAND</t>
        </is>
      </c>
      <c r="G436" t="n">
        <v>0.6</v>
      </c>
      <c r="H436" t="n">
        <v>0</v>
      </c>
      <c r="I436" t="n">
        <v>0</v>
      </c>
      <c r="J436" t="n">
        <v>0</v>
      </c>
      <c r="K436" t="n">
        <v>0</v>
      </c>
      <c r="L436" t="n">
        <v>0</v>
      </c>
      <c r="M436" t="n">
        <v>0</v>
      </c>
      <c r="N436" t="n">
        <v>0</v>
      </c>
      <c r="O436" t="n">
        <v>0</v>
      </c>
      <c r="P436" t="n">
        <v>0</v>
      </c>
      <c r="Q436" t="n">
        <v>0</v>
      </c>
      <c r="R436" s="2" t="inlineStr"/>
    </row>
    <row r="437" ht="15" customHeight="1">
      <c r="A437" t="inlineStr">
        <is>
          <t>A 60675-2021</t>
        </is>
      </c>
      <c r="B437" s="1" t="n">
        <v>44496</v>
      </c>
      <c r="C437" s="1" t="n">
        <v>45584</v>
      </c>
      <c r="D437" t="inlineStr">
        <is>
          <t>GOTLANDS LÄN</t>
        </is>
      </c>
      <c r="E437" t="inlineStr">
        <is>
          <t>GOTLAND</t>
        </is>
      </c>
      <c r="G437" t="n">
        <v>4.6</v>
      </c>
      <c r="H437" t="n">
        <v>0</v>
      </c>
      <c r="I437" t="n">
        <v>0</v>
      </c>
      <c r="J437" t="n">
        <v>0</v>
      </c>
      <c r="K437" t="n">
        <v>0</v>
      </c>
      <c r="L437" t="n">
        <v>0</v>
      </c>
      <c r="M437" t="n">
        <v>0</v>
      </c>
      <c r="N437" t="n">
        <v>0</v>
      </c>
      <c r="O437" t="n">
        <v>0</v>
      </c>
      <c r="P437" t="n">
        <v>0</v>
      </c>
      <c r="Q437" t="n">
        <v>0</v>
      </c>
      <c r="R437" s="2" t="inlineStr"/>
    </row>
    <row r="438" ht="15" customHeight="1">
      <c r="A438" t="inlineStr">
        <is>
          <t>A 62915-2021</t>
        </is>
      </c>
      <c r="B438" s="1" t="n">
        <v>44504</v>
      </c>
      <c r="C438" s="1" t="n">
        <v>45584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63229-2021</t>
        </is>
      </c>
      <c r="B439" s="1" t="n">
        <v>44508</v>
      </c>
      <c r="C439" s="1" t="n">
        <v>45584</v>
      </c>
      <c r="D439" t="inlineStr">
        <is>
          <t>GOTLANDS LÄN</t>
        </is>
      </c>
      <c r="E439" t="inlineStr">
        <is>
          <t>GOTLAND</t>
        </is>
      </c>
      <c r="F439" t="inlineStr">
        <is>
          <t>Kyrkan</t>
        </is>
      </c>
      <c r="G439" t="n">
        <v>3.8</v>
      </c>
      <c r="H439" t="n">
        <v>0</v>
      </c>
      <c r="I439" t="n">
        <v>0</v>
      </c>
      <c r="J439" t="n">
        <v>0</v>
      </c>
      <c r="K439" t="n">
        <v>0</v>
      </c>
      <c r="L439" t="n">
        <v>0</v>
      </c>
      <c r="M439" t="n">
        <v>0</v>
      </c>
      <c r="N439" t="n">
        <v>0</v>
      </c>
      <c r="O439" t="n">
        <v>0</v>
      </c>
      <c r="P439" t="n">
        <v>0</v>
      </c>
      <c r="Q439" t="n">
        <v>0</v>
      </c>
      <c r="R439" s="2" t="inlineStr"/>
    </row>
    <row r="440" ht="15" customHeight="1">
      <c r="A440" t="inlineStr">
        <is>
          <t>A 64208-2021</t>
        </is>
      </c>
      <c r="B440" s="1" t="n">
        <v>44510</v>
      </c>
      <c r="C440" s="1" t="n">
        <v>45584</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65393-2021</t>
        </is>
      </c>
      <c r="B441" s="1" t="n">
        <v>44515</v>
      </c>
      <c r="C441" s="1" t="n">
        <v>45584</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65901-2021</t>
        </is>
      </c>
      <c r="B442" s="1" t="n">
        <v>44516</v>
      </c>
      <c r="C442" s="1" t="n">
        <v>45584</v>
      </c>
      <c r="D442" t="inlineStr">
        <is>
          <t>GOTLANDS LÄN</t>
        </is>
      </c>
      <c r="E442" t="inlineStr">
        <is>
          <t>GOTLAND</t>
        </is>
      </c>
      <c r="G442" t="n">
        <v>4.9</v>
      </c>
      <c r="H442" t="n">
        <v>0</v>
      </c>
      <c r="I442" t="n">
        <v>0</v>
      </c>
      <c r="J442" t="n">
        <v>0</v>
      </c>
      <c r="K442" t="n">
        <v>0</v>
      </c>
      <c r="L442" t="n">
        <v>0</v>
      </c>
      <c r="M442" t="n">
        <v>0</v>
      </c>
      <c r="N442" t="n">
        <v>0</v>
      </c>
      <c r="O442" t="n">
        <v>0</v>
      </c>
      <c r="P442" t="n">
        <v>0</v>
      </c>
      <c r="Q442" t="n">
        <v>0</v>
      </c>
      <c r="R442" s="2" t="inlineStr"/>
    </row>
    <row r="443" ht="15" customHeight="1">
      <c r="A443" t="inlineStr">
        <is>
          <t>A 69112-2021</t>
        </is>
      </c>
      <c r="B443" s="1" t="n">
        <v>44530</v>
      </c>
      <c r="C443" s="1" t="n">
        <v>45584</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70997-2021</t>
        </is>
      </c>
      <c r="B444" s="1" t="n">
        <v>44538</v>
      </c>
      <c r="C444" s="1" t="n">
        <v>45584</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71010-2021</t>
        </is>
      </c>
      <c r="B445" s="1" t="n">
        <v>44538</v>
      </c>
      <c r="C445" s="1" t="n">
        <v>45584</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71620-2021</t>
        </is>
      </c>
      <c r="B446" s="1" t="n">
        <v>44542</v>
      </c>
      <c r="C446" s="1" t="n">
        <v>45584</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72626-2021</t>
        </is>
      </c>
      <c r="B447" s="1" t="n">
        <v>44546</v>
      </c>
      <c r="C447" s="1" t="n">
        <v>45584</v>
      </c>
      <c r="D447" t="inlineStr">
        <is>
          <t>GOTLANDS LÄN</t>
        </is>
      </c>
      <c r="E447" t="inlineStr">
        <is>
          <t>GOTLAND</t>
        </is>
      </c>
      <c r="G447" t="n">
        <v>7.3</v>
      </c>
      <c r="H447" t="n">
        <v>0</v>
      </c>
      <c r="I447" t="n">
        <v>0</v>
      </c>
      <c r="J447" t="n">
        <v>0</v>
      </c>
      <c r="K447" t="n">
        <v>0</v>
      </c>
      <c r="L447" t="n">
        <v>0</v>
      </c>
      <c r="M447" t="n">
        <v>0</v>
      </c>
      <c r="N447" t="n">
        <v>0</v>
      </c>
      <c r="O447" t="n">
        <v>0</v>
      </c>
      <c r="P447" t="n">
        <v>0</v>
      </c>
      <c r="Q447" t="n">
        <v>0</v>
      </c>
      <c r="R447" s="2" t="inlineStr"/>
    </row>
    <row r="448" ht="15" customHeight="1">
      <c r="A448" t="inlineStr">
        <is>
          <t>A 411-2022</t>
        </is>
      </c>
      <c r="B448" s="1" t="n">
        <v>44565</v>
      </c>
      <c r="C448" s="1" t="n">
        <v>45584</v>
      </c>
      <c r="D448" t="inlineStr">
        <is>
          <t>GOTLANDS LÄN</t>
        </is>
      </c>
      <c r="E448" t="inlineStr">
        <is>
          <t>GOTLAND</t>
        </is>
      </c>
      <c r="G448" t="n">
        <v>3.9</v>
      </c>
      <c r="H448" t="n">
        <v>0</v>
      </c>
      <c r="I448" t="n">
        <v>0</v>
      </c>
      <c r="J448" t="n">
        <v>0</v>
      </c>
      <c r="K448" t="n">
        <v>0</v>
      </c>
      <c r="L448" t="n">
        <v>0</v>
      </c>
      <c r="M448" t="n">
        <v>0</v>
      </c>
      <c r="N448" t="n">
        <v>0</v>
      </c>
      <c r="O448" t="n">
        <v>0</v>
      </c>
      <c r="P448" t="n">
        <v>0</v>
      </c>
      <c r="Q448" t="n">
        <v>0</v>
      </c>
      <c r="R448" s="2" t="inlineStr"/>
    </row>
    <row r="449" ht="15" customHeight="1">
      <c r="A449" t="inlineStr">
        <is>
          <t>A 4262-2022</t>
        </is>
      </c>
      <c r="B449" s="1" t="n">
        <v>44588</v>
      </c>
      <c r="C449" s="1" t="n">
        <v>45584</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8055-2022</t>
        </is>
      </c>
      <c r="B450" s="1" t="n">
        <v>44609</v>
      </c>
      <c r="C450" s="1" t="n">
        <v>45584</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8036-2022</t>
        </is>
      </c>
      <c r="B451" s="1" t="n">
        <v>44609</v>
      </c>
      <c r="C451" s="1" t="n">
        <v>45584</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45584</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45584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11029-2022</t>
        </is>
      </c>
      <c r="B454" s="1" t="n">
        <v>44628</v>
      </c>
      <c r="C454" s="1" t="n">
        <v>45584</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13498-2022</t>
        </is>
      </c>
      <c r="B455" s="1" t="n">
        <v>44647</v>
      </c>
      <c r="C455" s="1" t="n">
        <v>45584</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13500-2022</t>
        </is>
      </c>
      <c r="B456" s="1" t="n">
        <v>44647</v>
      </c>
      <c r="C456" s="1" t="n">
        <v>45584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13643-2022</t>
        </is>
      </c>
      <c r="B457" s="1" t="n">
        <v>44648</v>
      </c>
      <c r="C457" s="1" t="n">
        <v>45584</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14413-2022</t>
        </is>
      </c>
      <c r="B458" s="1" t="n">
        <v>44652</v>
      </c>
      <c r="C458" s="1" t="n">
        <v>45584</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15713-2022</t>
        </is>
      </c>
      <c r="B459" s="1" t="n">
        <v>44663</v>
      </c>
      <c r="C459" s="1" t="n">
        <v>45584</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15710-2022</t>
        </is>
      </c>
      <c r="B460" s="1" t="n">
        <v>44663</v>
      </c>
      <c r="C460" s="1" t="n">
        <v>45584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16858-2022</t>
        </is>
      </c>
      <c r="B461" s="1" t="n">
        <v>44674</v>
      </c>
      <c r="C461" s="1" t="n">
        <v>45584</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17147-2022</t>
        </is>
      </c>
      <c r="B462" s="1" t="n">
        <v>44677</v>
      </c>
      <c r="C462" s="1" t="n">
        <v>45584</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17354-2022</t>
        </is>
      </c>
      <c r="B463" s="1" t="n">
        <v>44678</v>
      </c>
      <c r="C463" s="1" t="n">
        <v>45584</v>
      </c>
      <c r="D463" t="inlineStr">
        <is>
          <t>GOTLANDS LÄN</t>
        </is>
      </c>
      <c r="E463" t="inlineStr">
        <is>
          <t>GOTLAND</t>
        </is>
      </c>
      <c r="G463" t="n">
        <v>7.1</v>
      </c>
      <c r="H463" t="n">
        <v>0</v>
      </c>
      <c r="I463" t="n">
        <v>0</v>
      </c>
      <c r="J463" t="n">
        <v>0</v>
      </c>
      <c r="K463" t="n">
        <v>0</v>
      </c>
      <c r="L463" t="n">
        <v>0</v>
      </c>
      <c r="M463" t="n">
        <v>0</v>
      </c>
      <c r="N463" t="n">
        <v>0</v>
      </c>
      <c r="O463" t="n">
        <v>0</v>
      </c>
      <c r="P463" t="n">
        <v>0</v>
      </c>
      <c r="Q463" t="n">
        <v>0</v>
      </c>
      <c r="R463" s="2" t="inlineStr"/>
    </row>
    <row r="464" ht="15" customHeight="1">
      <c r="A464" t="inlineStr">
        <is>
          <t>A 17381-2022</t>
        </is>
      </c>
      <c r="B464" s="1" t="n">
        <v>44678</v>
      </c>
      <c r="C464" s="1" t="n">
        <v>45584</v>
      </c>
      <c r="D464" t="inlineStr">
        <is>
          <t>GOTLANDS LÄN</t>
        </is>
      </c>
      <c r="E464" t="inlineStr">
        <is>
          <t>GOTLAND</t>
        </is>
      </c>
      <c r="G464" t="n">
        <v>2.4</v>
      </c>
      <c r="H464" t="n">
        <v>0</v>
      </c>
      <c r="I464" t="n">
        <v>0</v>
      </c>
      <c r="J464" t="n">
        <v>0</v>
      </c>
      <c r="K464" t="n">
        <v>0</v>
      </c>
      <c r="L464" t="n">
        <v>0</v>
      </c>
      <c r="M464" t="n">
        <v>0</v>
      </c>
      <c r="N464" t="n">
        <v>0</v>
      </c>
      <c r="O464" t="n">
        <v>0</v>
      </c>
      <c r="P464" t="n">
        <v>0</v>
      </c>
      <c r="Q464" t="n">
        <v>0</v>
      </c>
      <c r="R464" s="2" t="inlineStr"/>
    </row>
    <row r="465" ht="15" customHeight="1">
      <c r="A465" t="inlineStr">
        <is>
          <t>A 17780-2022</t>
        </is>
      </c>
      <c r="B465" s="1" t="n">
        <v>44682</v>
      </c>
      <c r="C465" s="1" t="n">
        <v>45584</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v>
      </c>
      <c r="C466" s="1" t="n">
        <v>45584</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45584</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20990-2022</t>
        </is>
      </c>
      <c r="B468" s="1" t="n">
        <v>44703</v>
      </c>
      <c r="C468" s="1" t="n">
        <v>45584</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20993-2022</t>
        </is>
      </c>
      <c r="B469" s="1" t="n">
        <v>44703</v>
      </c>
      <c r="C469" s="1" t="n">
        <v>45584</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21247-2022</t>
        </is>
      </c>
      <c r="B470" s="1" t="n">
        <v>44705</v>
      </c>
      <c r="C470" s="1" t="n">
        <v>45584</v>
      </c>
      <c r="D470" t="inlineStr">
        <is>
          <t>GOTLANDS LÄN</t>
        </is>
      </c>
      <c r="E470" t="inlineStr">
        <is>
          <t>GOTLAND</t>
        </is>
      </c>
      <c r="G470" t="n">
        <v>16.2</v>
      </c>
      <c r="H470" t="n">
        <v>0</v>
      </c>
      <c r="I470" t="n">
        <v>0</v>
      </c>
      <c r="J470" t="n">
        <v>0</v>
      </c>
      <c r="K470" t="n">
        <v>0</v>
      </c>
      <c r="L470" t="n">
        <v>0</v>
      </c>
      <c r="M470" t="n">
        <v>0</v>
      </c>
      <c r="N470" t="n">
        <v>0</v>
      </c>
      <c r="O470" t="n">
        <v>0</v>
      </c>
      <c r="P470" t="n">
        <v>0</v>
      </c>
      <c r="Q470" t="n">
        <v>0</v>
      </c>
      <c r="R470" s="2" t="inlineStr"/>
    </row>
    <row r="471" ht="15" customHeight="1">
      <c r="A471" t="inlineStr">
        <is>
          <t>A 22287-2022</t>
        </is>
      </c>
      <c r="B471" s="1" t="n">
        <v>44712</v>
      </c>
      <c r="C471" s="1" t="n">
        <v>45584</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22498-2022</t>
        </is>
      </c>
      <c r="B472" s="1" t="n">
        <v>44713</v>
      </c>
      <c r="C472" s="1" t="n">
        <v>45584</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22495-2022</t>
        </is>
      </c>
      <c r="B473" s="1" t="n">
        <v>44713</v>
      </c>
      <c r="C473" s="1" t="n">
        <v>45584</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24123-2022</t>
        </is>
      </c>
      <c r="B474" s="1" t="n">
        <v>44725</v>
      </c>
      <c r="C474" s="1" t="n">
        <v>45584</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24235-2022</t>
        </is>
      </c>
      <c r="B475" s="1" t="n">
        <v>44725</v>
      </c>
      <c r="C475" s="1" t="n">
        <v>45584</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25866-2022</t>
        </is>
      </c>
      <c r="B476" s="1" t="n">
        <v>44733</v>
      </c>
      <c r="C476" s="1" t="n">
        <v>45584</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45584</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29809-2022</t>
        </is>
      </c>
      <c r="B478" s="1" t="n">
        <v>44755</v>
      </c>
      <c r="C478" s="1" t="n">
        <v>45584</v>
      </c>
      <c r="D478" t="inlineStr">
        <is>
          <t>GOTLANDS LÄN</t>
        </is>
      </c>
      <c r="E478" t="inlineStr">
        <is>
          <t>GOTLAND</t>
        </is>
      </c>
      <c r="G478" t="n">
        <v>11.5</v>
      </c>
      <c r="H478" t="n">
        <v>0</v>
      </c>
      <c r="I478" t="n">
        <v>0</v>
      </c>
      <c r="J478" t="n">
        <v>0</v>
      </c>
      <c r="K478" t="n">
        <v>0</v>
      </c>
      <c r="L478" t="n">
        <v>0</v>
      </c>
      <c r="M478" t="n">
        <v>0</v>
      </c>
      <c r="N478" t="n">
        <v>0</v>
      </c>
      <c r="O478" t="n">
        <v>0</v>
      </c>
      <c r="P478" t="n">
        <v>0</v>
      </c>
      <c r="Q478" t="n">
        <v>0</v>
      </c>
      <c r="R478" s="2" t="inlineStr"/>
    </row>
    <row r="479" ht="15" customHeight="1">
      <c r="A479" t="inlineStr">
        <is>
          <t>A 30282-2022</t>
        </is>
      </c>
      <c r="B479" s="1" t="n">
        <v>44760</v>
      </c>
      <c r="C479" s="1" t="n">
        <v>45584</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31239-2022</t>
        </is>
      </c>
      <c r="B480" s="1" t="n">
        <v>44771</v>
      </c>
      <c r="C480" s="1" t="n">
        <v>45584</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37569-2022</t>
        </is>
      </c>
      <c r="B481" s="1" t="n">
        <v>44809</v>
      </c>
      <c r="C481" s="1" t="n">
        <v>45584</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39302-2022</t>
        </is>
      </c>
      <c r="B482" s="1" t="n">
        <v>44817</v>
      </c>
      <c r="C482" s="1" t="n">
        <v>45584</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39496-2022</t>
        </is>
      </c>
      <c r="B483" s="1" t="n">
        <v>44818</v>
      </c>
      <c r="C483" s="1" t="n">
        <v>45584</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39479-2022</t>
        </is>
      </c>
      <c r="B484" s="1" t="n">
        <v>44818</v>
      </c>
      <c r="C484" s="1" t="n">
        <v>45584</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39764-2022</t>
        </is>
      </c>
      <c r="B485" s="1" t="n">
        <v>44819</v>
      </c>
      <c r="C485" s="1" t="n">
        <v>45584</v>
      </c>
      <c r="D485" t="inlineStr">
        <is>
          <t>GOTLANDS LÄN</t>
        </is>
      </c>
      <c r="E485" t="inlineStr">
        <is>
          <t>GOTLAND</t>
        </is>
      </c>
      <c r="F485" t="inlineStr">
        <is>
          <t>Kyrkan</t>
        </is>
      </c>
      <c r="G485" t="n">
        <v>3.7</v>
      </c>
      <c r="H485" t="n">
        <v>0</v>
      </c>
      <c r="I485" t="n">
        <v>0</v>
      </c>
      <c r="J485" t="n">
        <v>0</v>
      </c>
      <c r="K485" t="n">
        <v>0</v>
      </c>
      <c r="L485" t="n">
        <v>0</v>
      </c>
      <c r="M485" t="n">
        <v>0</v>
      </c>
      <c r="N485" t="n">
        <v>0</v>
      </c>
      <c r="O485" t="n">
        <v>0</v>
      </c>
      <c r="P485" t="n">
        <v>0</v>
      </c>
      <c r="Q485" t="n">
        <v>0</v>
      </c>
      <c r="R485" s="2" t="inlineStr"/>
    </row>
    <row r="486" ht="15" customHeight="1">
      <c r="A486" t="inlineStr">
        <is>
          <t>A 40294-2022</t>
        </is>
      </c>
      <c r="B486" s="1" t="n">
        <v>44821</v>
      </c>
      <c r="C486" s="1" t="n">
        <v>45584</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40478-2022</t>
        </is>
      </c>
      <c r="B487" s="1" t="n">
        <v>44823</v>
      </c>
      <c r="C487" s="1" t="n">
        <v>45584</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45584</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44102-2022</t>
        </is>
      </c>
      <c r="B489" s="1" t="n">
        <v>44839</v>
      </c>
      <c r="C489" s="1" t="n">
        <v>45584</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44108-2022</t>
        </is>
      </c>
      <c r="B490" s="1" t="n">
        <v>44839</v>
      </c>
      <c r="C490" s="1" t="n">
        <v>45584</v>
      </c>
      <c r="D490" t="inlineStr">
        <is>
          <t>GOTLANDS LÄN</t>
        </is>
      </c>
      <c r="E490" t="inlineStr">
        <is>
          <t>GOTLAND</t>
        </is>
      </c>
      <c r="G490" t="n">
        <v>12.9</v>
      </c>
      <c r="H490" t="n">
        <v>0</v>
      </c>
      <c r="I490" t="n">
        <v>0</v>
      </c>
      <c r="J490" t="n">
        <v>0</v>
      </c>
      <c r="K490" t="n">
        <v>0</v>
      </c>
      <c r="L490" t="n">
        <v>0</v>
      </c>
      <c r="M490" t="n">
        <v>0</v>
      </c>
      <c r="N490" t="n">
        <v>0</v>
      </c>
      <c r="O490" t="n">
        <v>0</v>
      </c>
      <c r="P490" t="n">
        <v>0</v>
      </c>
      <c r="Q490" t="n">
        <v>0</v>
      </c>
      <c r="R490" s="2" t="inlineStr"/>
    </row>
    <row r="491" ht="15" customHeight="1">
      <c r="A491" t="inlineStr">
        <is>
          <t>A 44207-2022</t>
        </is>
      </c>
      <c r="B491" s="1" t="n">
        <v>44839</v>
      </c>
      <c r="C491" s="1" t="n">
        <v>45584</v>
      </c>
      <c r="D491" t="inlineStr">
        <is>
          <t>GOTLANDS LÄN</t>
        </is>
      </c>
      <c r="E491" t="inlineStr">
        <is>
          <t>GOTLAND</t>
        </is>
      </c>
      <c r="G491" t="n">
        <v>3.8</v>
      </c>
      <c r="H491" t="n">
        <v>0</v>
      </c>
      <c r="I491" t="n">
        <v>0</v>
      </c>
      <c r="J491" t="n">
        <v>0</v>
      </c>
      <c r="K491" t="n">
        <v>0</v>
      </c>
      <c r="L491" t="n">
        <v>0</v>
      </c>
      <c r="M491" t="n">
        <v>0</v>
      </c>
      <c r="N491" t="n">
        <v>0</v>
      </c>
      <c r="O491" t="n">
        <v>0</v>
      </c>
      <c r="P491" t="n">
        <v>0</v>
      </c>
      <c r="Q491" t="n">
        <v>0</v>
      </c>
      <c r="R491" s="2" t="inlineStr"/>
    </row>
    <row r="492" ht="15" customHeight="1">
      <c r="A492" t="inlineStr">
        <is>
          <t>A 44204-2022</t>
        </is>
      </c>
      <c r="B492" s="1" t="n">
        <v>44839</v>
      </c>
      <c r="C492" s="1" t="n">
        <v>45584</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44228-2022</t>
        </is>
      </c>
      <c r="B493" s="1" t="n">
        <v>44839</v>
      </c>
      <c r="C493" s="1" t="n">
        <v>45584</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44878-2022</t>
        </is>
      </c>
      <c r="B494" s="1" t="n">
        <v>44839</v>
      </c>
      <c r="C494" s="1" t="n">
        <v>45584</v>
      </c>
      <c r="D494" t="inlineStr">
        <is>
          <t>GOTLANDS LÄN</t>
        </is>
      </c>
      <c r="E494" t="inlineStr">
        <is>
          <t>GOTLAND</t>
        </is>
      </c>
      <c r="G494" t="n">
        <v>4</v>
      </c>
      <c r="H494" t="n">
        <v>0</v>
      </c>
      <c r="I494" t="n">
        <v>0</v>
      </c>
      <c r="J494" t="n">
        <v>0</v>
      </c>
      <c r="K494" t="n">
        <v>0</v>
      </c>
      <c r="L494" t="n">
        <v>0</v>
      </c>
      <c r="M494" t="n">
        <v>0</v>
      </c>
      <c r="N494" t="n">
        <v>0</v>
      </c>
      <c r="O494" t="n">
        <v>0</v>
      </c>
      <c r="P494" t="n">
        <v>0</v>
      </c>
      <c r="Q494" t="n">
        <v>0</v>
      </c>
      <c r="R494" s="2" t="inlineStr"/>
    </row>
    <row r="495" ht="15" customHeight="1">
      <c r="A495" t="inlineStr">
        <is>
          <t>A 44919-2022</t>
        </is>
      </c>
      <c r="B495" s="1" t="n">
        <v>44841</v>
      </c>
      <c r="C495" s="1" t="n">
        <v>45584</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44942-2022</t>
        </is>
      </c>
      <c r="B496" s="1" t="n">
        <v>44841</v>
      </c>
      <c r="C496" s="1" t="n">
        <v>45584</v>
      </c>
      <c r="D496" t="inlineStr">
        <is>
          <t>GOTLANDS LÄN</t>
        </is>
      </c>
      <c r="E496" t="inlineStr">
        <is>
          <t>GOTLAND</t>
        </is>
      </c>
      <c r="G496" t="n">
        <v>2</v>
      </c>
      <c r="H496" t="n">
        <v>0</v>
      </c>
      <c r="I496" t="n">
        <v>0</v>
      </c>
      <c r="J496" t="n">
        <v>0</v>
      </c>
      <c r="K496" t="n">
        <v>0</v>
      </c>
      <c r="L496" t="n">
        <v>0</v>
      </c>
      <c r="M496" t="n">
        <v>0</v>
      </c>
      <c r="N496" t="n">
        <v>0</v>
      </c>
      <c r="O496" t="n">
        <v>0</v>
      </c>
      <c r="P496" t="n">
        <v>0</v>
      </c>
      <c r="Q496" t="n">
        <v>0</v>
      </c>
      <c r="R496" s="2" t="inlineStr"/>
    </row>
    <row r="497" ht="15" customHeight="1">
      <c r="A497" t="inlineStr">
        <is>
          <t>A 46189-2022</t>
        </is>
      </c>
      <c r="B497" s="1" t="n">
        <v>44847</v>
      </c>
      <c r="C497" s="1" t="n">
        <v>45584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47231-2022</t>
        </is>
      </c>
      <c r="B498" s="1" t="n">
        <v>44852</v>
      </c>
      <c r="C498" s="1" t="n">
        <v>45584</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48734-2022</t>
        </is>
      </c>
      <c r="B499" s="1" t="n">
        <v>44855</v>
      </c>
      <c r="C499" s="1" t="n">
        <v>45584</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49812-2022</t>
        </is>
      </c>
      <c r="B500" s="1" t="n">
        <v>44862</v>
      </c>
      <c r="C500" s="1" t="n">
        <v>45584</v>
      </c>
      <c r="D500" t="inlineStr">
        <is>
          <t>GOTLANDS LÄN</t>
        </is>
      </c>
      <c r="E500" t="inlineStr">
        <is>
          <t>GOTLAND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50810-2022</t>
        </is>
      </c>
      <c r="B501" s="1" t="n">
        <v>44867</v>
      </c>
      <c r="C501" s="1" t="n">
        <v>45584</v>
      </c>
      <c r="D501" t="inlineStr">
        <is>
          <t>GOTLANDS LÄN</t>
        </is>
      </c>
      <c r="E501" t="inlineStr">
        <is>
          <t>GOTLAND</t>
        </is>
      </c>
      <c r="G501" t="n">
        <v>3.1</v>
      </c>
      <c r="H501" t="n">
        <v>0</v>
      </c>
      <c r="I501" t="n">
        <v>0</v>
      </c>
      <c r="J501" t="n">
        <v>0</v>
      </c>
      <c r="K501" t="n">
        <v>0</v>
      </c>
      <c r="L501" t="n">
        <v>0</v>
      </c>
      <c r="M501" t="n">
        <v>0</v>
      </c>
      <c r="N501" t="n">
        <v>0</v>
      </c>
      <c r="O501" t="n">
        <v>0</v>
      </c>
      <c r="P501" t="n">
        <v>0</v>
      </c>
      <c r="Q501" t="n">
        <v>0</v>
      </c>
      <c r="R501" s="2" t="inlineStr"/>
    </row>
    <row r="502" ht="15" customHeight="1">
      <c r="A502" t="inlineStr">
        <is>
          <t>A 51591-2022</t>
        </is>
      </c>
      <c r="B502" s="1" t="n">
        <v>44871</v>
      </c>
      <c r="C502" s="1" t="n">
        <v>45584</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53725-2022</t>
        </is>
      </c>
      <c r="B503" s="1" t="n">
        <v>44875</v>
      </c>
      <c r="C503" s="1" t="n">
        <v>45584</v>
      </c>
      <c r="D503" t="inlineStr">
        <is>
          <t>GOTLANDS LÄN</t>
        </is>
      </c>
      <c r="E503" t="inlineStr">
        <is>
          <t>GOTLAND</t>
        </is>
      </c>
      <c r="F503" t="inlineStr">
        <is>
          <t>Övriga statliga verk och myndigheter</t>
        </is>
      </c>
      <c r="G503" t="n">
        <v>6.2</v>
      </c>
      <c r="H503" t="n">
        <v>0</v>
      </c>
      <c r="I503" t="n">
        <v>0</v>
      </c>
      <c r="J503" t="n">
        <v>0</v>
      </c>
      <c r="K503" t="n">
        <v>0</v>
      </c>
      <c r="L503" t="n">
        <v>0</v>
      </c>
      <c r="M503" t="n">
        <v>0</v>
      </c>
      <c r="N503" t="n">
        <v>0</v>
      </c>
      <c r="O503" t="n">
        <v>0</v>
      </c>
      <c r="P503" t="n">
        <v>0</v>
      </c>
      <c r="Q503" t="n">
        <v>0</v>
      </c>
      <c r="R503" s="2" t="inlineStr"/>
    </row>
    <row r="504" ht="15" customHeight="1">
      <c r="A504" t="inlineStr">
        <is>
          <t>A 53722-2022</t>
        </is>
      </c>
      <c r="B504" s="1" t="n">
        <v>44875</v>
      </c>
      <c r="C504" s="1" t="n">
        <v>45584</v>
      </c>
      <c r="D504" t="inlineStr">
        <is>
          <t>GOTLANDS LÄN</t>
        </is>
      </c>
      <c r="E504" t="inlineStr">
        <is>
          <t>GOTLAND</t>
        </is>
      </c>
      <c r="F504" t="inlineStr">
        <is>
          <t>Övriga statliga verk och myndigheter</t>
        </is>
      </c>
      <c r="G504" t="n">
        <v>8</v>
      </c>
      <c r="H504" t="n">
        <v>0</v>
      </c>
      <c r="I504" t="n">
        <v>0</v>
      </c>
      <c r="J504" t="n">
        <v>0</v>
      </c>
      <c r="K504" t="n">
        <v>0</v>
      </c>
      <c r="L504" t="n">
        <v>0</v>
      </c>
      <c r="M504" t="n">
        <v>0</v>
      </c>
      <c r="N504" t="n">
        <v>0</v>
      </c>
      <c r="O504" t="n">
        <v>0</v>
      </c>
      <c r="P504" t="n">
        <v>0</v>
      </c>
      <c r="Q504" t="n">
        <v>0</v>
      </c>
      <c r="R504" s="2" t="inlineStr"/>
    </row>
    <row r="505" ht="15" customHeight="1">
      <c r="A505" t="inlineStr">
        <is>
          <t>A 53727-2022</t>
        </is>
      </c>
      <c r="B505" s="1" t="n">
        <v>44875</v>
      </c>
      <c r="C505" s="1" t="n">
        <v>45584</v>
      </c>
      <c r="D505" t="inlineStr">
        <is>
          <t>GOTLANDS LÄN</t>
        </is>
      </c>
      <c r="E505" t="inlineStr">
        <is>
          <t>GOTLAND</t>
        </is>
      </c>
      <c r="F505" t="inlineStr">
        <is>
          <t>Övriga statliga verk och myndigheter</t>
        </is>
      </c>
      <c r="G505" t="n">
        <v>3.6</v>
      </c>
      <c r="H505" t="n">
        <v>0</v>
      </c>
      <c r="I505" t="n">
        <v>0</v>
      </c>
      <c r="J505" t="n">
        <v>0</v>
      </c>
      <c r="K505" t="n">
        <v>0</v>
      </c>
      <c r="L505" t="n">
        <v>0</v>
      </c>
      <c r="M505" t="n">
        <v>0</v>
      </c>
      <c r="N505" t="n">
        <v>0</v>
      </c>
      <c r="O505" t="n">
        <v>0</v>
      </c>
      <c r="P505" t="n">
        <v>0</v>
      </c>
      <c r="Q505" t="n">
        <v>0</v>
      </c>
      <c r="R505" s="2" t="inlineStr"/>
    </row>
    <row r="506" ht="15" customHeight="1">
      <c r="A506" t="inlineStr">
        <is>
          <t>A 53225-2022</t>
        </is>
      </c>
      <c r="B506" s="1" t="n">
        <v>44876</v>
      </c>
      <c r="C506" s="1" t="n">
        <v>45584</v>
      </c>
      <c r="D506" t="inlineStr">
        <is>
          <t>GOTLANDS LÄN</t>
        </is>
      </c>
      <c r="E506" t="inlineStr">
        <is>
          <t>GOTLAND</t>
        </is>
      </c>
      <c r="F506" t="inlineStr">
        <is>
          <t>Kyrkan</t>
        </is>
      </c>
      <c r="G506" t="n">
        <v>0.9</v>
      </c>
      <c r="H506" t="n">
        <v>0</v>
      </c>
      <c r="I506" t="n">
        <v>0</v>
      </c>
      <c r="J506" t="n">
        <v>0</v>
      </c>
      <c r="K506" t="n">
        <v>0</v>
      </c>
      <c r="L506" t="n">
        <v>0</v>
      </c>
      <c r="M506" t="n">
        <v>0</v>
      </c>
      <c r="N506" t="n">
        <v>0</v>
      </c>
      <c r="O506" t="n">
        <v>0</v>
      </c>
      <c r="P506" t="n">
        <v>0</v>
      </c>
      <c r="Q506" t="n">
        <v>0</v>
      </c>
      <c r="R506" s="2" t="inlineStr"/>
    </row>
    <row r="507" ht="15" customHeight="1">
      <c r="A507" t="inlineStr">
        <is>
          <t>A 54074-2022</t>
        </is>
      </c>
      <c r="B507" s="1" t="n">
        <v>44881</v>
      </c>
      <c r="C507" s="1" t="n">
        <v>45584</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v>
      </c>
      <c r="C508" s="1" t="n">
        <v>45584</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54268-2022</t>
        </is>
      </c>
      <c r="B509" s="1" t="n">
        <v>44882</v>
      </c>
      <c r="C509" s="1" t="n">
        <v>45584</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55866-2022</t>
        </is>
      </c>
      <c r="B510" s="1" t="n">
        <v>44888</v>
      </c>
      <c r="C510" s="1" t="n">
        <v>45584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56928-2022</t>
        </is>
      </c>
      <c r="B511" s="1" t="n">
        <v>44894</v>
      </c>
      <c r="C511" s="1" t="n">
        <v>45584</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58388-2022</t>
        </is>
      </c>
      <c r="B512" s="1" t="n">
        <v>44894</v>
      </c>
      <c r="C512" s="1" t="n">
        <v>45584</v>
      </c>
      <c r="D512" t="inlineStr">
        <is>
          <t>GOTLANDS LÄN</t>
        </is>
      </c>
      <c r="E512" t="inlineStr">
        <is>
          <t>GOTLAND</t>
        </is>
      </c>
      <c r="F512" t="inlineStr">
        <is>
          <t>Övriga statliga verk och myndigheter</t>
        </is>
      </c>
      <c r="G512" t="n">
        <v>3.1</v>
      </c>
      <c r="H512" t="n">
        <v>0</v>
      </c>
      <c r="I512" t="n">
        <v>0</v>
      </c>
      <c r="J512" t="n">
        <v>0</v>
      </c>
      <c r="K512" t="n">
        <v>0</v>
      </c>
      <c r="L512" t="n">
        <v>0</v>
      </c>
      <c r="M512" t="n">
        <v>0</v>
      </c>
      <c r="N512" t="n">
        <v>0</v>
      </c>
      <c r="O512" t="n">
        <v>0</v>
      </c>
      <c r="P512" t="n">
        <v>0</v>
      </c>
      <c r="Q512" t="n">
        <v>0</v>
      </c>
      <c r="R512" s="2" t="inlineStr"/>
    </row>
    <row r="513" ht="15" customHeight="1">
      <c r="A513" t="inlineStr">
        <is>
          <t>A 57534-2022</t>
        </is>
      </c>
      <c r="B513" s="1" t="n">
        <v>44896</v>
      </c>
      <c r="C513" s="1" t="n">
        <v>45584</v>
      </c>
      <c r="D513" t="inlineStr">
        <is>
          <t>GOTLANDS LÄN</t>
        </is>
      </c>
      <c r="E513" t="inlineStr">
        <is>
          <t>GOTLAND</t>
        </is>
      </c>
      <c r="G513" t="n">
        <v>0.6</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45584</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57685-2022</t>
        </is>
      </c>
      <c r="B515" s="1" t="n">
        <v>44897</v>
      </c>
      <c r="C515" s="1" t="n">
        <v>45584</v>
      </c>
      <c r="D515" t="inlineStr">
        <is>
          <t>GOTLANDS LÄN</t>
        </is>
      </c>
      <c r="E515" t="inlineStr">
        <is>
          <t>GOTLAND</t>
        </is>
      </c>
      <c r="G515" t="n">
        <v>3.7</v>
      </c>
      <c r="H515" t="n">
        <v>0</v>
      </c>
      <c r="I515" t="n">
        <v>0</v>
      </c>
      <c r="J515" t="n">
        <v>0</v>
      </c>
      <c r="K515" t="n">
        <v>0</v>
      </c>
      <c r="L515" t="n">
        <v>0</v>
      </c>
      <c r="M515" t="n">
        <v>0</v>
      </c>
      <c r="N515" t="n">
        <v>0</v>
      </c>
      <c r="O515" t="n">
        <v>0</v>
      </c>
      <c r="P515" t="n">
        <v>0</v>
      </c>
      <c r="Q515" t="n">
        <v>0</v>
      </c>
      <c r="R515" s="2" t="inlineStr"/>
    </row>
    <row r="516" ht="15" customHeight="1">
      <c r="A516" t="inlineStr">
        <is>
          <t>A 57947-2022</t>
        </is>
      </c>
      <c r="B516" s="1" t="n">
        <v>44900</v>
      </c>
      <c r="C516" s="1" t="n">
        <v>45584</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58479-2022</t>
        </is>
      </c>
      <c r="B517" s="1" t="n">
        <v>44902</v>
      </c>
      <c r="C517" s="1" t="n">
        <v>45584</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58476-2022</t>
        </is>
      </c>
      <c r="B518" s="1" t="n">
        <v>44902</v>
      </c>
      <c r="C518" s="1" t="n">
        <v>45584</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59874-2022</t>
        </is>
      </c>
      <c r="B519" s="1" t="n">
        <v>44908</v>
      </c>
      <c r="C519" s="1" t="n">
        <v>45584</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60086-2022</t>
        </is>
      </c>
      <c r="B520" s="1" t="n">
        <v>44909</v>
      </c>
      <c r="C520" s="1" t="n">
        <v>45584</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59986-2022</t>
        </is>
      </c>
      <c r="B521" s="1" t="n">
        <v>44909</v>
      </c>
      <c r="C521" s="1" t="n">
        <v>45584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60372-2022</t>
        </is>
      </c>
      <c r="B522" s="1" t="n">
        <v>44910</v>
      </c>
      <c r="C522" s="1" t="n">
        <v>45584</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61100-2022</t>
        </is>
      </c>
      <c r="B523" s="1" t="n">
        <v>44915</v>
      </c>
      <c r="C523" s="1" t="n">
        <v>45584</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61570-2022</t>
        </is>
      </c>
      <c r="B524" s="1" t="n">
        <v>44916</v>
      </c>
      <c r="C524" s="1" t="n">
        <v>45584</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61563-2022</t>
        </is>
      </c>
      <c r="B525" s="1" t="n">
        <v>44916</v>
      </c>
      <c r="C525" s="1" t="n">
        <v>45584</v>
      </c>
      <c r="D525" t="inlineStr">
        <is>
          <t>GOTLANDS LÄN</t>
        </is>
      </c>
      <c r="E525" t="inlineStr">
        <is>
          <t>GOTLAND</t>
        </is>
      </c>
      <c r="G525" t="n">
        <v>3.4</v>
      </c>
      <c r="H525" t="n">
        <v>0</v>
      </c>
      <c r="I525" t="n">
        <v>0</v>
      </c>
      <c r="J525" t="n">
        <v>0</v>
      </c>
      <c r="K525" t="n">
        <v>0</v>
      </c>
      <c r="L525" t="n">
        <v>0</v>
      </c>
      <c r="M525" t="n">
        <v>0</v>
      </c>
      <c r="N525" t="n">
        <v>0</v>
      </c>
      <c r="O525" t="n">
        <v>0</v>
      </c>
      <c r="P525" t="n">
        <v>0</v>
      </c>
      <c r="Q525" t="n">
        <v>0</v>
      </c>
      <c r="R525" s="2" t="inlineStr"/>
    </row>
    <row r="526" ht="15" customHeight="1">
      <c r="A526" t="inlineStr">
        <is>
          <t>A 62155-2022</t>
        </is>
      </c>
      <c r="B526" s="1" t="n">
        <v>44922</v>
      </c>
      <c r="C526" s="1" t="n">
        <v>45584</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62164-2022</t>
        </is>
      </c>
      <c r="B527" s="1" t="n">
        <v>44922</v>
      </c>
      <c r="C527" s="1" t="n">
        <v>45584</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62182-2022</t>
        </is>
      </c>
      <c r="B528" s="1" t="n">
        <v>44922</v>
      </c>
      <c r="C528" s="1" t="n">
        <v>45584</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62193-2022</t>
        </is>
      </c>
      <c r="B529" s="1" t="n">
        <v>44922</v>
      </c>
      <c r="C529" s="1" t="n">
        <v>45584</v>
      </c>
      <c r="D529" t="inlineStr">
        <is>
          <t>GOTLANDS LÄN</t>
        </is>
      </c>
      <c r="E529" t="inlineStr">
        <is>
          <t>GOTLAND</t>
        </is>
      </c>
      <c r="G529" t="n">
        <v>5.6</v>
      </c>
      <c r="H529" t="n">
        <v>0</v>
      </c>
      <c r="I529" t="n">
        <v>0</v>
      </c>
      <c r="J529" t="n">
        <v>0</v>
      </c>
      <c r="K529" t="n">
        <v>0</v>
      </c>
      <c r="L529" t="n">
        <v>0</v>
      </c>
      <c r="M529" t="n">
        <v>0</v>
      </c>
      <c r="N529" t="n">
        <v>0</v>
      </c>
      <c r="O529" t="n">
        <v>0</v>
      </c>
      <c r="P529" t="n">
        <v>0</v>
      </c>
      <c r="Q529" t="n">
        <v>0</v>
      </c>
      <c r="R529" s="2" t="inlineStr"/>
    </row>
    <row r="530" ht="15" customHeight="1">
      <c r="A530" t="inlineStr">
        <is>
          <t>A 62151-2022</t>
        </is>
      </c>
      <c r="B530" s="1" t="n">
        <v>44922</v>
      </c>
      <c r="C530" s="1" t="n">
        <v>45584</v>
      </c>
      <c r="D530" t="inlineStr">
        <is>
          <t>GOTLANDS LÄN</t>
        </is>
      </c>
      <c r="E530" t="inlineStr">
        <is>
          <t>GOTLAND</t>
        </is>
      </c>
      <c r="G530" t="n">
        <v>6.5</v>
      </c>
      <c r="H530" t="n">
        <v>0</v>
      </c>
      <c r="I530" t="n">
        <v>0</v>
      </c>
      <c r="J530" t="n">
        <v>0</v>
      </c>
      <c r="K530" t="n">
        <v>0</v>
      </c>
      <c r="L530" t="n">
        <v>0</v>
      </c>
      <c r="M530" t="n">
        <v>0</v>
      </c>
      <c r="N530" t="n">
        <v>0</v>
      </c>
      <c r="O530" t="n">
        <v>0</v>
      </c>
      <c r="P530" t="n">
        <v>0</v>
      </c>
      <c r="Q530" t="n">
        <v>0</v>
      </c>
      <c r="R530" s="2" t="inlineStr"/>
    </row>
    <row r="531" ht="15" customHeight="1">
      <c r="A531" t="inlineStr">
        <is>
          <t>A 62186-2022</t>
        </is>
      </c>
      <c r="B531" s="1" t="n">
        <v>44922</v>
      </c>
      <c r="C531" s="1" t="n">
        <v>45584</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62184-2022</t>
        </is>
      </c>
      <c r="B532" s="1" t="n">
        <v>44922</v>
      </c>
      <c r="C532" s="1" t="n">
        <v>45584</v>
      </c>
      <c r="D532" t="inlineStr">
        <is>
          <t>GOTLANDS LÄN</t>
        </is>
      </c>
      <c r="E532" t="inlineStr">
        <is>
          <t>GOTLAND</t>
        </is>
      </c>
      <c r="G532" t="n">
        <v>4.9</v>
      </c>
      <c r="H532" t="n">
        <v>0</v>
      </c>
      <c r="I532" t="n">
        <v>0</v>
      </c>
      <c r="J532" t="n">
        <v>0</v>
      </c>
      <c r="K532" t="n">
        <v>0</v>
      </c>
      <c r="L532" t="n">
        <v>0</v>
      </c>
      <c r="M532" t="n">
        <v>0</v>
      </c>
      <c r="N532" t="n">
        <v>0</v>
      </c>
      <c r="O532" t="n">
        <v>0</v>
      </c>
      <c r="P532" t="n">
        <v>0</v>
      </c>
      <c r="Q532" t="n">
        <v>0</v>
      </c>
      <c r="R532" s="2" t="inlineStr"/>
    </row>
    <row r="533" ht="15" customHeight="1">
      <c r="A533" t="inlineStr">
        <is>
          <t>A 163-2023</t>
        </is>
      </c>
      <c r="B533" s="1" t="n">
        <v>44928</v>
      </c>
      <c r="C533" s="1" t="n">
        <v>45584</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458-2023</t>
        </is>
      </c>
      <c r="B534" s="1" t="n">
        <v>44929</v>
      </c>
      <c r="C534" s="1" t="n">
        <v>45584</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457-2023</t>
        </is>
      </c>
      <c r="B535" s="1" t="n">
        <v>44929</v>
      </c>
      <c r="C535" s="1" t="n">
        <v>45584</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456-2023</t>
        </is>
      </c>
      <c r="B536" s="1" t="n">
        <v>44929</v>
      </c>
      <c r="C536" s="1" t="n">
        <v>45584</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459-2023</t>
        </is>
      </c>
      <c r="B537" s="1" t="n">
        <v>44929</v>
      </c>
      <c r="C537" s="1" t="n">
        <v>45584</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45584</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811-2023</t>
        </is>
      </c>
      <c r="B539" s="1" t="n">
        <v>44931</v>
      </c>
      <c r="C539" s="1" t="n">
        <v>45584</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999-2023</t>
        </is>
      </c>
      <c r="B540" s="1" t="n">
        <v>44935</v>
      </c>
      <c r="C540" s="1" t="n">
        <v>45584</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1284-2023</t>
        </is>
      </c>
      <c r="B541" s="1" t="n">
        <v>44936</v>
      </c>
      <c r="C541" s="1" t="n">
        <v>45584</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1273-2023</t>
        </is>
      </c>
      <c r="B542" s="1" t="n">
        <v>44936</v>
      </c>
      <c r="C542" s="1" t="n">
        <v>45584</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1291-2023</t>
        </is>
      </c>
      <c r="B543" s="1" t="n">
        <v>44936</v>
      </c>
      <c r="C543" s="1" t="n">
        <v>45584</v>
      </c>
      <c r="D543" t="inlineStr">
        <is>
          <t>GOTLANDS LÄN</t>
        </is>
      </c>
      <c r="E543" t="inlineStr">
        <is>
          <t>GOTLAND</t>
        </is>
      </c>
      <c r="G543" t="n">
        <v>7.4</v>
      </c>
      <c r="H543" t="n">
        <v>0</v>
      </c>
      <c r="I543" t="n">
        <v>0</v>
      </c>
      <c r="J543" t="n">
        <v>0</v>
      </c>
      <c r="K543" t="n">
        <v>0</v>
      </c>
      <c r="L543" t="n">
        <v>0</v>
      </c>
      <c r="M543" t="n">
        <v>0</v>
      </c>
      <c r="N543" t="n">
        <v>0</v>
      </c>
      <c r="O543" t="n">
        <v>0</v>
      </c>
      <c r="P543" t="n">
        <v>0</v>
      </c>
      <c r="Q543" t="n">
        <v>0</v>
      </c>
      <c r="R543" s="2" t="inlineStr"/>
    </row>
    <row r="544" ht="15" customHeight="1">
      <c r="A544" t="inlineStr">
        <is>
          <t>A 1394-2023</t>
        </is>
      </c>
      <c r="B544" s="1" t="n">
        <v>44936</v>
      </c>
      <c r="C544" s="1" t="n">
        <v>45584</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45584</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1681-2023</t>
        </is>
      </c>
      <c r="B546" s="1" t="n">
        <v>44938</v>
      </c>
      <c r="C546" s="1" t="n">
        <v>45584</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2674-2023</t>
        </is>
      </c>
      <c r="B547" s="1" t="n">
        <v>44944</v>
      </c>
      <c r="C547" s="1" t="n">
        <v>45584</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2676-2023</t>
        </is>
      </c>
      <c r="B548" s="1" t="n">
        <v>44944</v>
      </c>
      <c r="C548" s="1" t="n">
        <v>45584</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2714-2023</t>
        </is>
      </c>
      <c r="B549" s="1" t="n">
        <v>44944</v>
      </c>
      <c r="C549" s="1" t="n">
        <v>45584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2727-2023</t>
        </is>
      </c>
      <c r="B550" s="1" t="n">
        <v>44944</v>
      </c>
      <c r="C550" s="1" t="n">
        <v>45584</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2719-2023</t>
        </is>
      </c>
      <c r="B551" s="1" t="n">
        <v>44944</v>
      </c>
      <c r="C551" s="1" t="n">
        <v>45584</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2805-2023</t>
        </is>
      </c>
      <c r="B552" s="1" t="n">
        <v>44944</v>
      </c>
      <c r="C552" s="1" t="n">
        <v>45584</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2815-2023</t>
        </is>
      </c>
      <c r="B553" s="1" t="n">
        <v>44944</v>
      </c>
      <c r="C553" s="1" t="n">
        <v>45584</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3230-2023</t>
        </is>
      </c>
      <c r="B554" s="1" t="n">
        <v>44946</v>
      </c>
      <c r="C554" s="1" t="n">
        <v>45584</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4378-2023</t>
        </is>
      </c>
      <c r="B555" s="1" t="n">
        <v>44955</v>
      </c>
      <c r="C555" s="1" t="n">
        <v>45584</v>
      </c>
      <c r="D555" t="inlineStr">
        <is>
          <t>GOTLANDS LÄN</t>
        </is>
      </c>
      <c r="E555" t="inlineStr">
        <is>
          <t>GOTLAND</t>
        </is>
      </c>
      <c r="F555" t="inlineStr">
        <is>
          <t>Kyrkan</t>
        </is>
      </c>
      <c r="G555" t="n">
        <v>1.5</v>
      </c>
      <c r="H555" t="n">
        <v>0</v>
      </c>
      <c r="I555" t="n">
        <v>0</v>
      </c>
      <c r="J555" t="n">
        <v>0</v>
      </c>
      <c r="K555" t="n">
        <v>0</v>
      </c>
      <c r="L555" t="n">
        <v>0</v>
      </c>
      <c r="M555" t="n">
        <v>0</v>
      </c>
      <c r="N555" t="n">
        <v>0</v>
      </c>
      <c r="O555" t="n">
        <v>0</v>
      </c>
      <c r="P555" t="n">
        <v>0</v>
      </c>
      <c r="Q555" t="n">
        <v>0</v>
      </c>
      <c r="R555" s="2" t="inlineStr"/>
    </row>
    <row r="556" ht="15" customHeight="1">
      <c r="A556" t="inlineStr">
        <is>
          <t>A 4377-2023</t>
        </is>
      </c>
      <c r="B556" s="1" t="n">
        <v>44955</v>
      </c>
      <c r="C556" s="1" t="n">
        <v>45584</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4387-2023</t>
        </is>
      </c>
      <c r="B557" s="1" t="n">
        <v>44955</v>
      </c>
      <c r="C557" s="1" t="n">
        <v>45584</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4565-2023</t>
        </is>
      </c>
      <c r="B558" s="1" t="n">
        <v>44956</v>
      </c>
      <c r="C558" s="1" t="n">
        <v>45584</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5217-2023</t>
        </is>
      </c>
      <c r="B559" s="1" t="n">
        <v>44959</v>
      </c>
      <c r="C559" s="1" t="n">
        <v>45584</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5379-2023</t>
        </is>
      </c>
      <c r="B560" s="1" t="n">
        <v>44959</v>
      </c>
      <c r="C560" s="1" t="n">
        <v>45584</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5386-2023</t>
        </is>
      </c>
      <c r="B561" s="1" t="n">
        <v>44959</v>
      </c>
      <c r="C561" s="1" t="n">
        <v>45584</v>
      </c>
      <c r="D561" t="inlineStr">
        <is>
          <t>GOTLANDS LÄN</t>
        </is>
      </c>
      <c r="E561" t="inlineStr">
        <is>
          <t>GOTLAND</t>
        </is>
      </c>
      <c r="G561" t="n">
        <v>5.4</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v>
      </c>
      <c r="C562" s="1" t="n">
        <v>45584</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6721-2023</t>
        </is>
      </c>
      <c r="B563" s="1" t="n">
        <v>44966</v>
      </c>
      <c r="C563" s="1" t="n">
        <v>45584</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6717-2023</t>
        </is>
      </c>
      <c r="B564" s="1" t="n">
        <v>44966</v>
      </c>
      <c r="C564" s="1" t="n">
        <v>45584</v>
      </c>
      <c r="D564" t="inlineStr">
        <is>
          <t>GOTLANDS LÄN</t>
        </is>
      </c>
      <c r="E564" t="inlineStr">
        <is>
          <t>GOTLAND</t>
        </is>
      </c>
      <c r="F564" t="inlineStr">
        <is>
          <t>Naturvårdsverket</t>
        </is>
      </c>
      <c r="G564" t="n">
        <v>1.4</v>
      </c>
      <c r="H564" t="n">
        <v>0</v>
      </c>
      <c r="I564" t="n">
        <v>0</v>
      </c>
      <c r="J564" t="n">
        <v>0</v>
      </c>
      <c r="K564" t="n">
        <v>0</v>
      </c>
      <c r="L564" t="n">
        <v>0</v>
      </c>
      <c r="M564" t="n">
        <v>0</v>
      </c>
      <c r="N564" t="n">
        <v>0</v>
      </c>
      <c r="O564" t="n">
        <v>0</v>
      </c>
      <c r="P564" t="n">
        <v>0</v>
      </c>
      <c r="Q564" t="n">
        <v>0</v>
      </c>
      <c r="R564" s="2" t="inlineStr"/>
    </row>
    <row r="565" ht="15" customHeight="1">
      <c r="A565" t="inlineStr">
        <is>
          <t>A 7041-2023</t>
        </is>
      </c>
      <c r="B565" s="1" t="n">
        <v>44968</v>
      </c>
      <c r="C565" s="1" t="n">
        <v>45584</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7026-2023</t>
        </is>
      </c>
      <c r="B566" s="1" t="n">
        <v>44968</v>
      </c>
      <c r="C566" s="1" t="n">
        <v>45584</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7034-2023</t>
        </is>
      </c>
      <c r="B567" s="1" t="n">
        <v>44968</v>
      </c>
      <c r="C567" s="1" t="n">
        <v>45584</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7040-2023</t>
        </is>
      </c>
      <c r="B568" s="1" t="n">
        <v>44968</v>
      </c>
      <c r="C568" s="1" t="n">
        <v>45584</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7042-2023</t>
        </is>
      </c>
      <c r="B569" s="1" t="n">
        <v>44968</v>
      </c>
      <c r="C569" s="1" t="n">
        <v>45584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8260-2023</t>
        </is>
      </c>
      <c r="B570" s="1" t="n">
        <v>44974</v>
      </c>
      <c r="C570" s="1" t="n">
        <v>45584</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8962-2023</t>
        </is>
      </c>
      <c r="B571" s="1" t="n">
        <v>44979</v>
      </c>
      <c r="C571" s="1" t="n">
        <v>45584</v>
      </c>
      <c r="D571" t="inlineStr">
        <is>
          <t>GOTLANDS LÄN</t>
        </is>
      </c>
      <c r="E571" t="inlineStr">
        <is>
          <t>GOTLAND</t>
        </is>
      </c>
      <c r="G571" t="n">
        <v>5.5</v>
      </c>
      <c r="H571" t="n">
        <v>0</v>
      </c>
      <c r="I571" t="n">
        <v>0</v>
      </c>
      <c r="J571" t="n">
        <v>0</v>
      </c>
      <c r="K571" t="n">
        <v>0</v>
      </c>
      <c r="L571" t="n">
        <v>0</v>
      </c>
      <c r="M571" t="n">
        <v>0</v>
      </c>
      <c r="N571" t="n">
        <v>0</v>
      </c>
      <c r="O571" t="n">
        <v>0</v>
      </c>
      <c r="P571" t="n">
        <v>0</v>
      </c>
      <c r="Q571" t="n">
        <v>0</v>
      </c>
      <c r="R571" s="2" t="inlineStr"/>
    </row>
    <row r="572" ht="15" customHeight="1">
      <c r="A572" t="inlineStr">
        <is>
          <t>A 10492-2023</t>
        </is>
      </c>
      <c r="B572" s="1" t="n">
        <v>44987</v>
      </c>
      <c r="C572" s="1" t="n">
        <v>45584</v>
      </c>
      <c r="D572" t="inlineStr">
        <is>
          <t>GOTLANDS LÄN</t>
        </is>
      </c>
      <c r="E572" t="inlineStr">
        <is>
          <t>GOTLAND</t>
        </is>
      </c>
      <c r="G572" t="n">
        <v>1</v>
      </c>
      <c r="H572" t="n">
        <v>0</v>
      </c>
      <c r="I572" t="n">
        <v>0</v>
      </c>
      <c r="J572" t="n">
        <v>0</v>
      </c>
      <c r="K572" t="n">
        <v>0</v>
      </c>
      <c r="L572" t="n">
        <v>0</v>
      </c>
      <c r="M572" t="n">
        <v>0</v>
      </c>
      <c r="N572" t="n">
        <v>0</v>
      </c>
      <c r="O572" t="n">
        <v>0</v>
      </c>
      <c r="P572" t="n">
        <v>0</v>
      </c>
      <c r="Q572" t="n">
        <v>0</v>
      </c>
      <c r="R572" s="2" t="inlineStr"/>
    </row>
    <row r="573" ht="15" customHeight="1">
      <c r="A573" t="inlineStr">
        <is>
          <t>A 10655-2023</t>
        </is>
      </c>
      <c r="B573" s="1" t="n">
        <v>44988</v>
      </c>
      <c r="C573" s="1" t="n">
        <v>45584</v>
      </c>
      <c r="D573" t="inlineStr">
        <is>
          <t>GOTLANDS LÄN</t>
        </is>
      </c>
      <c r="E573" t="inlineStr">
        <is>
          <t>GOTLAND</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10657-2023</t>
        </is>
      </c>
      <c r="B574" s="1" t="n">
        <v>44988</v>
      </c>
      <c r="C574" s="1" t="n">
        <v>45584</v>
      </c>
      <c r="D574" t="inlineStr">
        <is>
          <t>GOTLANDS LÄN</t>
        </is>
      </c>
      <c r="E574" t="inlineStr">
        <is>
          <t>GOTLAND</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10653-2023</t>
        </is>
      </c>
      <c r="B575" s="1" t="n">
        <v>44988</v>
      </c>
      <c r="C575" s="1" t="n">
        <v>45584</v>
      </c>
      <c r="D575" t="inlineStr">
        <is>
          <t>GOTLANDS LÄN</t>
        </is>
      </c>
      <c r="E575" t="inlineStr">
        <is>
          <t>GOTLAND</t>
        </is>
      </c>
      <c r="F575" t="inlineStr">
        <is>
          <t>Kyrkan</t>
        </is>
      </c>
      <c r="G575" t="n">
        <v>3</v>
      </c>
      <c r="H575" t="n">
        <v>0</v>
      </c>
      <c r="I575" t="n">
        <v>0</v>
      </c>
      <c r="J575" t="n">
        <v>0</v>
      </c>
      <c r="K575" t="n">
        <v>0</v>
      </c>
      <c r="L575" t="n">
        <v>0</v>
      </c>
      <c r="M575" t="n">
        <v>0</v>
      </c>
      <c r="N575" t="n">
        <v>0</v>
      </c>
      <c r="O575" t="n">
        <v>0</v>
      </c>
      <c r="P575" t="n">
        <v>0</v>
      </c>
      <c r="Q575" t="n">
        <v>0</v>
      </c>
      <c r="R575" s="2" t="inlineStr"/>
    </row>
    <row r="576" ht="15" customHeight="1">
      <c r="A576" t="inlineStr">
        <is>
          <t>A 11115-2023</t>
        </is>
      </c>
      <c r="B576" s="1" t="n">
        <v>44992</v>
      </c>
      <c r="C576" s="1" t="n">
        <v>45584</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12161-2023</t>
        </is>
      </c>
      <c r="B577" s="1" t="n">
        <v>44998</v>
      </c>
      <c r="C577" s="1" t="n">
        <v>45584</v>
      </c>
      <c r="D577" t="inlineStr">
        <is>
          <t>GOTLANDS LÄN</t>
        </is>
      </c>
      <c r="E577" t="inlineStr">
        <is>
          <t>GOTLAND</t>
        </is>
      </c>
      <c r="G577" t="n">
        <v>1.8</v>
      </c>
      <c r="H577" t="n">
        <v>0</v>
      </c>
      <c r="I577" t="n">
        <v>0</v>
      </c>
      <c r="J577" t="n">
        <v>0</v>
      </c>
      <c r="K577" t="n">
        <v>0</v>
      </c>
      <c r="L577" t="n">
        <v>0</v>
      </c>
      <c r="M577" t="n">
        <v>0</v>
      </c>
      <c r="N577" t="n">
        <v>0</v>
      </c>
      <c r="O577" t="n">
        <v>0</v>
      </c>
      <c r="P577" t="n">
        <v>0</v>
      </c>
      <c r="Q577" t="n">
        <v>0</v>
      </c>
      <c r="R577" s="2" t="inlineStr"/>
    </row>
    <row r="578" ht="15" customHeight="1">
      <c r="A578" t="inlineStr">
        <is>
          <t>A 12155-2023</t>
        </is>
      </c>
      <c r="B578" s="1" t="n">
        <v>44998</v>
      </c>
      <c r="C578" s="1" t="n">
        <v>45584</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12596-2023</t>
        </is>
      </c>
      <c r="B579" s="1" t="n">
        <v>45000</v>
      </c>
      <c r="C579" s="1" t="n">
        <v>45584</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13627-2023</t>
        </is>
      </c>
      <c r="B580" s="1" t="n">
        <v>45006</v>
      </c>
      <c r="C580" s="1" t="n">
        <v>45584</v>
      </c>
      <c r="D580" t="inlineStr">
        <is>
          <t>GOTLANDS LÄN</t>
        </is>
      </c>
      <c r="E580" t="inlineStr">
        <is>
          <t>GOTLAND</t>
        </is>
      </c>
      <c r="G580" t="n">
        <v>10.7</v>
      </c>
      <c r="H580" t="n">
        <v>0</v>
      </c>
      <c r="I580" t="n">
        <v>0</v>
      </c>
      <c r="J580" t="n">
        <v>0</v>
      </c>
      <c r="K580" t="n">
        <v>0</v>
      </c>
      <c r="L580" t="n">
        <v>0</v>
      </c>
      <c r="M580" t="n">
        <v>0</v>
      </c>
      <c r="N580" t="n">
        <v>0</v>
      </c>
      <c r="O580" t="n">
        <v>0</v>
      </c>
      <c r="P580" t="n">
        <v>0</v>
      </c>
      <c r="Q580" t="n">
        <v>0</v>
      </c>
      <c r="R580" s="2" t="inlineStr"/>
    </row>
    <row r="581" ht="15" customHeight="1">
      <c r="A581" t="inlineStr">
        <is>
          <t>A 13910-2023</t>
        </is>
      </c>
      <c r="B581" s="1" t="n">
        <v>45008</v>
      </c>
      <c r="C581" s="1" t="n">
        <v>45584</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14635-2023</t>
        </is>
      </c>
      <c r="B582" s="1" t="n">
        <v>45013</v>
      </c>
      <c r="C582" s="1" t="n">
        <v>45584</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14704-2023</t>
        </is>
      </c>
      <c r="B583" s="1" t="n">
        <v>45014</v>
      </c>
      <c r="C583" s="1" t="n">
        <v>45584</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15182-2023</t>
        </is>
      </c>
      <c r="B584" s="1" t="n">
        <v>45016</v>
      </c>
      <c r="C584" s="1" t="n">
        <v>45584</v>
      </c>
      <c r="D584" t="inlineStr">
        <is>
          <t>GOTLANDS LÄN</t>
        </is>
      </c>
      <c r="E584" t="inlineStr">
        <is>
          <t>GOTLAND</t>
        </is>
      </c>
      <c r="G584" t="n">
        <v>3.9</v>
      </c>
      <c r="H584" t="n">
        <v>0</v>
      </c>
      <c r="I584" t="n">
        <v>0</v>
      </c>
      <c r="J584" t="n">
        <v>0</v>
      </c>
      <c r="K584" t="n">
        <v>0</v>
      </c>
      <c r="L584" t="n">
        <v>0</v>
      </c>
      <c r="M584" t="n">
        <v>0</v>
      </c>
      <c r="N584" t="n">
        <v>0</v>
      </c>
      <c r="O584" t="n">
        <v>0</v>
      </c>
      <c r="P584" t="n">
        <v>0</v>
      </c>
      <c r="Q584" t="n">
        <v>0</v>
      </c>
      <c r="R584" s="2" t="inlineStr"/>
    </row>
    <row r="585" ht="15" customHeight="1">
      <c r="A585" t="inlineStr">
        <is>
          <t>A 15216-2023</t>
        </is>
      </c>
      <c r="B585" s="1" t="n">
        <v>45019</v>
      </c>
      <c r="C585" s="1" t="n">
        <v>45584</v>
      </c>
      <c r="D585" t="inlineStr">
        <is>
          <t>GOTLANDS LÄN</t>
        </is>
      </c>
      <c r="E585" t="inlineStr">
        <is>
          <t>GOTLAND</t>
        </is>
      </c>
      <c r="G585" t="n">
        <v>5</v>
      </c>
      <c r="H585" t="n">
        <v>0</v>
      </c>
      <c r="I585" t="n">
        <v>0</v>
      </c>
      <c r="J585" t="n">
        <v>0</v>
      </c>
      <c r="K585" t="n">
        <v>0</v>
      </c>
      <c r="L585" t="n">
        <v>0</v>
      </c>
      <c r="M585" t="n">
        <v>0</v>
      </c>
      <c r="N585" t="n">
        <v>0</v>
      </c>
      <c r="O585" t="n">
        <v>0</v>
      </c>
      <c r="P585" t="n">
        <v>0</v>
      </c>
      <c r="Q585" t="n">
        <v>0</v>
      </c>
      <c r="R585" s="2" t="inlineStr"/>
    </row>
    <row r="586" ht="15" customHeight="1">
      <c r="A586" t="inlineStr">
        <is>
          <t>A 15617-2023</t>
        </is>
      </c>
      <c r="B586" s="1" t="n">
        <v>45020</v>
      </c>
      <c r="C586" s="1" t="n">
        <v>45584</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16501-2023</t>
        </is>
      </c>
      <c r="B587" s="1" t="n">
        <v>45029</v>
      </c>
      <c r="C587" s="1" t="n">
        <v>45584</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17080-2023</t>
        </is>
      </c>
      <c r="B588" s="1" t="n">
        <v>45033</v>
      </c>
      <c r="C588" s="1" t="n">
        <v>45584</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17901-2023</t>
        </is>
      </c>
      <c r="B589" s="1" t="n">
        <v>45039</v>
      </c>
      <c r="C589" s="1" t="n">
        <v>45584</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18889-2023</t>
        </is>
      </c>
      <c r="B590" s="1" t="n">
        <v>45044</v>
      </c>
      <c r="C590" s="1" t="n">
        <v>45584</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45584</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20855-2023</t>
        </is>
      </c>
      <c r="B592" s="1" t="n">
        <v>45058</v>
      </c>
      <c r="C592" s="1" t="n">
        <v>45584</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20856-2023</t>
        </is>
      </c>
      <c r="B593" s="1" t="n">
        <v>45058</v>
      </c>
      <c r="C593" s="1" t="n">
        <v>45584</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20857-2023</t>
        </is>
      </c>
      <c r="B594" s="1" t="n">
        <v>45058</v>
      </c>
      <c r="C594" s="1" t="n">
        <v>45584</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20854-2023</t>
        </is>
      </c>
      <c r="B595" s="1" t="n">
        <v>45058</v>
      </c>
      <c r="C595" s="1" t="n">
        <v>45584</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v>
      </c>
      <c r="C596" s="1" t="n">
        <v>45584</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22412-2023</t>
        </is>
      </c>
      <c r="B597" s="1" t="n">
        <v>45070</v>
      </c>
      <c r="C597" s="1" t="n">
        <v>45584</v>
      </c>
      <c r="D597" t="inlineStr">
        <is>
          <t>GOTLANDS LÄN</t>
        </is>
      </c>
      <c r="E597" t="inlineStr">
        <is>
          <t>GOTLAND</t>
        </is>
      </c>
      <c r="G597" t="n">
        <v>7.3</v>
      </c>
      <c r="H597" t="n">
        <v>0</v>
      </c>
      <c r="I597" t="n">
        <v>0</v>
      </c>
      <c r="J597" t="n">
        <v>0</v>
      </c>
      <c r="K597" t="n">
        <v>0</v>
      </c>
      <c r="L597" t="n">
        <v>0</v>
      </c>
      <c r="M597" t="n">
        <v>0</v>
      </c>
      <c r="N597" t="n">
        <v>0</v>
      </c>
      <c r="O597" t="n">
        <v>0</v>
      </c>
      <c r="P597" t="n">
        <v>0</v>
      </c>
      <c r="Q597" t="n">
        <v>0</v>
      </c>
      <c r="R597" s="2" t="inlineStr"/>
    </row>
    <row r="598" ht="15" customHeight="1">
      <c r="A598" t="inlineStr">
        <is>
          <t>A 22709-2023</t>
        </is>
      </c>
      <c r="B598" s="1" t="n">
        <v>45071</v>
      </c>
      <c r="C598" s="1" t="n">
        <v>45584</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22704-2023</t>
        </is>
      </c>
      <c r="B599" s="1" t="n">
        <v>45071</v>
      </c>
      <c r="C599" s="1" t="n">
        <v>45584</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22708-2023</t>
        </is>
      </c>
      <c r="B600" s="1" t="n">
        <v>45071</v>
      </c>
      <c r="C600" s="1" t="n">
        <v>45584</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22707-2023</t>
        </is>
      </c>
      <c r="B601" s="1" t="n">
        <v>45071</v>
      </c>
      <c r="C601" s="1" t="n">
        <v>45584</v>
      </c>
      <c r="D601" t="inlineStr">
        <is>
          <t>GOTLANDS LÄN</t>
        </is>
      </c>
      <c r="E601" t="inlineStr">
        <is>
          <t>GOTLAND</t>
        </is>
      </c>
      <c r="G601" t="n">
        <v>2.2</v>
      </c>
      <c r="H601" t="n">
        <v>0</v>
      </c>
      <c r="I601" t="n">
        <v>0</v>
      </c>
      <c r="J601" t="n">
        <v>0</v>
      </c>
      <c r="K601" t="n">
        <v>0</v>
      </c>
      <c r="L601" t="n">
        <v>0</v>
      </c>
      <c r="M601" t="n">
        <v>0</v>
      </c>
      <c r="N601" t="n">
        <v>0</v>
      </c>
      <c r="O601" t="n">
        <v>0</v>
      </c>
      <c r="P601" t="n">
        <v>0</v>
      </c>
      <c r="Q601" t="n">
        <v>0</v>
      </c>
      <c r="R601" s="2" t="inlineStr"/>
    </row>
    <row r="602" ht="15" customHeight="1">
      <c r="A602" t="inlineStr">
        <is>
          <t>A 22723-2023</t>
        </is>
      </c>
      <c r="B602" s="1" t="n">
        <v>45071</v>
      </c>
      <c r="C602" s="1" t="n">
        <v>45584</v>
      </c>
      <c r="D602" t="inlineStr">
        <is>
          <t>GOTLANDS LÄN</t>
        </is>
      </c>
      <c r="E602" t="inlineStr">
        <is>
          <t>GOTLAND</t>
        </is>
      </c>
      <c r="G602" t="n">
        <v>2.5</v>
      </c>
      <c r="H602" t="n">
        <v>0</v>
      </c>
      <c r="I602" t="n">
        <v>0</v>
      </c>
      <c r="J602" t="n">
        <v>0</v>
      </c>
      <c r="K602" t="n">
        <v>0</v>
      </c>
      <c r="L602" t="n">
        <v>0</v>
      </c>
      <c r="M602" t="n">
        <v>0</v>
      </c>
      <c r="N602" t="n">
        <v>0</v>
      </c>
      <c r="O602" t="n">
        <v>0</v>
      </c>
      <c r="P602" t="n">
        <v>0</v>
      </c>
      <c r="Q602" t="n">
        <v>0</v>
      </c>
      <c r="R602" s="2" t="inlineStr"/>
    </row>
    <row r="603" ht="15" customHeight="1">
      <c r="A603" t="inlineStr">
        <is>
          <t>A 22706-2023</t>
        </is>
      </c>
      <c r="B603" s="1" t="n">
        <v>45071</v>
      </c>
      <c r="C603" s="1" t="n">
        <v>45584</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22890-2023</t>
        </is>
      </c>
      <c r="B604" s="1" t="n">
        <v>45072</v>
      </c>
      <c r="C604" s="1" t="n">
        <v>45584</v>
      </c>
      <c r="D604" t="inlineStr">
        <is>
          <t>GOTLANDS LÄN</t>
        </is>
      </c>
      <c r="E604" t="inlineStr">
        <is>
          <t>GOTLAND</t>
        </is>
      </c>
      <c r="G604" t="n">
        <v>7.5</v>
      </c>
      <c r="H604" t="n">
        <v>0</v>
      </c>
      <c r="I604" t="n">
        <v>0</v>
      </c>
      <c r="J604" t="n">
        <v>0</v>
      </c>
      <c r="K604" t="n">
        <v>0</v>
      </c>
      <c r="L604" t="n">
        <v>0</v>
      </c>
      <c r="M604" t="n">
        <v>0</v>
      </c>
      <c r="N604" t="n">
        <v>0</v>
      </c>
      <c r="O604" t="n">
        <v>0</v>
      </c>
      <c r="P604" t="n">
        <v>0</v>
      </c>
      <c r="Q604" t="n">
        <v>0</v>
      </c>
      <c r="R604" s="2" t="inlineStr"/>
    </row>
    <row r="605" ht="15" customHeight="1">
      <c r="A605" t="inlineStr">
        <is>
          <t>A 22899-2023</t>
        </is>
      </c>
      <c r="B605" s="1" t="n">
        <v>45072</v>
      </c>
      <c r="C605" s="1" t="n">
        <v>45584</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22903-2023</t>
        </is>
      </c>
      <c r="B606" s="1" t="n">
        <v>45072</v>
      </c>
      <c r="C606" s="1" t="n">
        <v>45584</v>
      </c>
      <c r="D606" t="inlineStr">
        <is>
          <t>GOTLANDS LÄN</t>
        </is>
      </c>
      <c r="E606" t="inlineStr">
        <is>
          <t>GOTLAND</t>
        </is>
      </c>
      <c r="G606" t="n">
        <v>0.6</v>
      </c>
      <c r="H606" t="n">
        <v>0</v>
      </c>
      <c r="I606" t="n">
        <v>0</v>
      </c>
      <c r="J606" t="n">
        <v>0</v>
      </c>
      <c r="K606" t="n">
        <v>0</v>
      </c>
      <c r="L606" t="n">
        <v>0</v>
      </c>
      <c r="M606" t="n">
        <v>0</v>
      </c>
      <c r="N606" t="n">
        <v>0</v>
      </c>
      <c r="O606" t="n">
        <v>0</v>
      </c>
      <c r="P606" t="n">
        <v>0</v>
      </c>
      <c r="Q606" t="n">
        <v>0</v>
      </c>
      <c r="R606" s="2" t="inlineStr"/>
    </row>
    <row r="607" ht="15" customHeight="1">
      <c r="A607" t="inlineStr">
        <is>
          <t>A 22897-2023</t>
        </is>
      </c>
      <c r="B607" s="1" t="n">
        <v>45072</v>
      </c>
      <c r="C607" s="1" t="n">
        <v>45584</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23511-2023</t>
        </is>
      </c>
      <c r="B608" s="1" t="n">
        <v>45077</v>
      </c>
      <c r="C608" s="1" t="n">
        <v>45584</v>
      </c>
      <c r="D608" t="inlineStr">
        <is>
          <t>GOTLANDS LÄN</t>
        </is>
      </c>
      <c r="E608" t="inlineStr">
        <is>
          <t>GOTLAND</t>
        </is>
      </c>
      <c r="G608" t="n">
        <v>11.2</v>
      </c>
      <c r="H608" t="n">
        <v>0</v>
      </c>
      <c r="I608" t="n">
        <v>0</v>
      </c>
      <c r="J608" t="n">
        <v>0</v>
      </c>
      <c r="K608" t="n">
        <v>0</v>
      </c>
      <c r="L608" t="n">
        <v>0</v>
      </c>
      <c r="M608" t="n">
        <v>0</v>
      </c>
      <c r="N608" t="n">
        <v>0</v>
      </c>
      <c r="O608" t="n">
        <v>0</v>
      </c>
      <c r="P608" t="n">
        <v>0</v>
      </c>
      <c r="Q608" t="n">
        <v>0</v>
      </c>
      <c r="R608" s="2" t="inlineStr"/>
    </row>
    <row r="609" ht="15" customHeight="1">
      <c r="A609" t="inlineStr">
        <is>
          <t>A 23516-2023</t>
        </is>
      </c>
      <c r="B609" s="1" t="n">
        <v>45077</v>
      </c>
      <c r="C609" s="1" t="n">
        <v>45584</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ht="15" customHeight="1">
      <c r="A610" t="inlineStr">
        <is>
          <t>A 23858-2023</t>
        </is>
      </c>
      <c r="B610" s="1" t="n">
        <v>45078</v>
      </c>
      <c r="C610" s="1" t="n">
        <v>45584</v>
      </c>
      <c r="D610" t="inlineStr">
        <is>
          <t>GOTLANDS LÄN</t>
        </is>
      </c>
      <c r="E610" t="inlineStr">
        <is>
          <t>GOTLAND</t>
        </is>
      </c>
      <c r="F610" t="inlineStr">
        <is>
          <t>Naturvårdsverket</t>
        </is>
      </c>
      <c r="G610" t="n">
        <v>4.2</v>
      </c>
      <c r="H610" t="n">
        <v>0</v>
      </c>
      <c r="I610" t="n">
        <v>0</v>
      </c>
      <c r="J610" t="n">
        <v>0</v>
      </c>
      <c r="K610" t="n">
        <v>0</v>
      </c>
      <c r="L610" t="n">
        <v>0</v>
      </c>
      <c r="M610" t="n">
        <v>0</v>
      </c>
      <c r="N610" t="n">
        <v>0</v>
      </c>
      <c r="O610" t="n">
        <v>0</v>
      </c>
      <c r="P610" t="n">
        <v>0</v>
      </c>
      <c r="Q610" t="n">
        <v>0</v>
      </c>
      <c r="R610" s="2" t="inlineStr"/>
    </row>
    <row r="611" ht="15" customHeight="1">
      <c r="A611" t="inlineStr">
        <is>
          <t>A 23966-2023</t>
        </is>
      </c>
      <c r="B611" s="1" t="n">
        <v>45078</v>
      </c>
      <c r="C611" s="1" t="n">
        <v>45584</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23978-2023</t>
        </is>
      </c>
      <c r="B612" s="1" t="n">
        <v>45078</v>
      </c>
      <c r="C612" s="1" t="n">
        <v>45584</v>
      </c>
      <c r="D612" t="inlineStr">
        <is>
          <t>GOTLANDS LÄN</t>
        </is>
      </c>
      <c r="E612" t="inlineStr">
        <is>
          <t>GOTLAND</t>
        </is>
      </c>
      <c r="F612" t="inlineStr">
        <is>
          <t>Naturvårdsverket</t>
        </is>
      </c>
      <c r="G612" t="n">
        <v>1.7</v>
      </c>
      <c r="H612" t="n">
        <v>0</v>
      </c>
      <c r="I612" t="n">
        <v>0</v>
      </c>
      <c r="J612" t="n">
        <v>0</v>
      </c>
      <c r="K612" t="n">
        <v>0</v>
      </c>
      <c r="L612" t="n">
        <v>0</v>
      </c>
      <c r="M612" t="n">
        <v>0</v>
      </c>
      <c r="N612" t="n">
        <v>0</v>
      </c>
      <c r="O612" t="n">
        <v>0</v>
      </c>
      <c r="P612" t="n">
        <v>0</v>
      </c>
      <c r="Q612" t="n">
        <v>0</v>
      </c>
      <c r="R612" s="2" t="inlineStr"/>
    </row>
    <row r="613" ht="15" customHeight="1">
      <c r="A613" t="inlineStr">
        <is>
          <t>A 24192-2023</t>
        </is>
      </c>
      <c r="B613" s="1" t="n">
        <v>45079</v>
      </c>
      <c r="C613" s="1" t="n">
        <v>45584</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24719-2023</t>
        </is>
      </c>
      <c r="B614" s="1" t="n">
        <v>45084</v>
      </c>
      <c r="C614" s="1" t="n">
        <v>45584</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24966-2023</t>
        </is>
      </c>
      <c r="B615" s="1" t="n">
        <v>45085</v>
      </c>
      <c r="C615" s="1" t="n">
        <v>45584</v>
      </c>
      <c r="D615" t="inlineStr">
        <is>
          <t>GOTLANDS LÄN</t>
        </is>
      </c>
      <c r="E615" t="inlineStr">
        <is>
          <t>GOTLAND</t>
        </is>
      </c>
      <c r="G615" t="n">
        <v>7</v>
      </c>
      <c r="H615" t="n">
        <v>0</v>
      </c>
      <c r="I615" t="n">
        <v>0</v>
      </c>
      <c r="J615" t="n">
        <v>0</v>
      </c>
      <c r="K615" t="n">
        <v>0</v>
      </c>
      <c r="L615" t="n">
        <v>0</v>
      </c>
      <c r="M615" t="n">
        <v>0</v>
      </c>
      <c r="N615" t="n">
        <v>0</v>
      </c>
      <c r="O615" t="n">
        <v>0</v>
      </c>
      <c r="P615" t="n">
        <v>0</v>
      </c>
      <c r="Q615" t="n">
        <v>0</v>
      </c>
      <c r="R615" s="2" t="inlineStr"/>
    </row>
    <row r="616" ht="15" customHeight="1">
      <c r="A616" t="inlineStr">
        <is>
          <t>A 25129-2023</t>
        </is>
      </c>
      <c r="B616" s="1" t="n">
        <v>45086</v>
      </c>
      <c r="C616" s="1" t="n">
        <v>45584</v>
      </c>
      <c r="D616" t="inlineStr">
        <is>
          <t>GOTLANDS LÄN</t>
        </is>
      </c>
      <c r="E616" t="inlineStr">
        <is>
          <t>GOTLAND</t>
        </is>
      </c>
      <c r="G616" t="n">
        <v>1.5</v>
      </c>
      <c r="H616" t="n">
        <v>0</v>
      </c>
      <c r="I616" t="n">
        <v>0</v>
      </c>
      <c r="J616" t="n">
        <v>0</v>
      </c>
      <c r="K616" t="n">
        <v>0</v>
      </c>
      <c r="L616" t="n">
        <v>0</v>
      </c>
      <c r="M616" t="n">
        <v>0</v>
      </c>
      <c r="N616" t="n">
        <v>0</v>
      </c>
      <c r="O616" t="n">
        <v>0</v>
      </c>
      <c r="P616" t="n">
        <v>0</v>
      </c>
      <c r="Q616" t="n">
        <v>0</v>
      </c>
      <c r="R616" s="2" t="inlineStr"/>
    </row>
    <row r="617" ht="15" customHeight="1">
      <c r="A617" t="inlineStr">
        <is>
          <t>A 27593-2023</t>
        </is>
      </c>
      <c r="B617" s="1" t="n">
        <v>45097</v>
      </c>
      <c r="C617" s="1" t="n">
        <v>45584</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27597-2023</t>
        </is>
      </c>
      <c r="B618" s="1" t="n">
        <v>45097</v>
      </c>
      <c r="C618" s="1" t="n">
        <v>45584</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27602-2023</t>
        </is>
      </c>
      <c r="B619" s="1" t="n">
        <v>45097</v>
      </c>
      <c r="C619" s="1" t="n">
        <v>45584</v>
      </c>
      <c r="D619" t="inlineStr">
        <is>
          <t>GOTLANDS LÄN</t>
        </is>
      </c>
      <c r="E619" t="inlineStr">
        <is>
          <t>GOTLAND</t>
        </is>
      </c>
      <c r="G619" t="n">
        <v>2.7</v>
      </c>
      <c r="H619" t="n">
        <v>0</v>
      </c>
      <c r="I619" t="n">
        <v>0</v>
      </c>
      <c r="J619" t="n">
        <v>0</v>
      </c>
      <c r="K619" t="n">
        <v>0</v>
      </c>
      <c r="L619" t="n">
        <v>0</v>
      </c>
      <c r="M619" t="n">
        <v>0</v>
      </c>
      <c r="N619" t="n">
        <v>0</v>
      </c>
      <c r="O619" t="n">
        <v>0</v>
      </c>
      <c r="P619" t="n">
        <v>0</v>
      </c>
      <c r="Q619" t="n">
        <v>0</v>
      </c>
      <c r="R619" s="2" t="inlineStr"/>
    </row>
    <row r="620" ht="15" customHeight="1">
      <c r="A620" t="inlineStr">
        <is>
          <t>A 27596-2023</t>
        </is>
      </c>
      <c r="B620" s="1" t="n">
        <v>45097</v>
      </c>
      <c r="C620" s="1" t="n">
        <v>45584</v>
      </c>
      <c r="D620" t="inlineStr">
        <is>
          <t>GOTLANDS LÄN</t>
        </is>
      </c>
      <c r="E620" t="inlineStr">
        <is>
          <t>GOTLAND</t>
        </is>
      </c>
      <c r="G620" t="n">
        <v>3.6</v>
      </c>
      <c r="H620" t="n">
        <v>0</v>
      </c>
      <c r="I620" t="n">
        <v>0</v>
      </c>
      <c r="J620" t="n">
        <v>0</v>
      </c>
      <c r="K620" t="n">
        <v>0</v>
      </c>
      <c r="L620" t="n">
        <v>0</v>
      </c>
      <c r="M620" t="n">
        <v>0</v>
      </c>
      <c r="N620" t="n">
        <v>0</v>
      </c>
      <c r="O620" t="n">
        <v>0</v>
      </c>
      <c r="P620" t="n">
        <v>0</v>
      </c>
      <c r="Q620" t="n">
        <v>0</v>
      </c>
      <c r="R620" s="2" t="inlineStr"/>
    </row>
    <row r="621" ht="15" customHeight="1">
      <c r="A621" t="inlineStr">
        <is>
          <t>A 28228-2023</t>
        </is>
      </c>
      <c r="B621" s="1" t="n">
        <v>45099</v>
      </c>
      <c r="C621" s="1" t="n">
        <v>45584</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28425-2023</t>
        </is>
      </c>
      <c r="B622" s="1" t="n">
        <v>45102</v>
      </c>
      <c r="C622" s="1" t="n">
        <v>45584</v>
      </c>
      <c r="D622" t="inlineStr">
        <is>
          <t>GOTLANDS LÄN</t>
        </is>
      </c>
      <c r="E622" t="inlineStr">
        <is>
          <t>GOTLAND</t>
        </is>
      </c>
      <c r="G622" t="n">
        <v>0.5</v>
      </c>
      <c r="H622" t="n">
        <v>0</v>
      </c>
      <c r="I622" t="n">
        <v>0</v>
      </c>
      <c r="J622" t="n">
        <v>0</v>
      </c>
      <c r="K622" t="n">
        <v>0</v>
      </c>
      <c r="L622" t="n">
        <v>0</v>
      </c>
      <c r="M622" t="n">
        <v>0</v>
      </c>
      <c r="N622" t="n">
        <v>0</v>
      </c>
      <c r="O622" t="n">
        <v>0</v>
      </c>
      <c r="P622" t="n">
        <v>0</v>
      </c>
      <c r="Q622" t="n">
        <v>0</v>
      </c>
      <c r="R622" s="2" t="inlineStr"/>
    </row>
    <row r="623" ht="15" customHeight="1">
      <c r="A623" t="inlineStr">
        <is>
          <t>A 28486-2023</t>
        </is>
      </c>
      <c r="B623" s="1" t="n">
        <v>45103</v>
      </c>
      <c r="C623" s="1" t="n">
        <v>45584</v>
      </c>
      <c r="D623" t="inlineStr">
        <is>
          <t>GOTLANDS LÄN</t>
        </is>
      </c>
      <c r="E623" t="inlineStr">
        <is>
          <t>GOTLAND</t>
        </is>
      </c>
      <c r="G623" t="n">
        <v>7.7</v>
      </c>
      <c r="H623" t="n">
        <v>0</v>
      </c>
      <c r="I623" t="n">
        <v>0</v>
      </c>
      <c r="J623" t="n">
        <v>0</v>
      </c>
      <c r="K623" t="n">
        <v>0</v>
      </c>
      <c r="L623" t="n">
        <v>0</v>
      </c>
      <c r="M623" t="n">
        <v>0</v>
      </c>
      <c r="N623" t="n">
        <v>0</v>
      </c>
      <c r="O623" t="n">
        <v>0</v>
      </c>
      <c r="P623" t="n">
        <v>0</v>
      </c>
      <c r="Q623" t="n">
        <v>0</v>
      </c>
      <c r="R623" s="2" t="inlineStr"/>
    </row>
    <row r="624" ht="15" customHeight="1">
      <c r="A624" t="inlineStr">
        <is>
          <t>A 28485-2023</t>
        </is>
      </c>
      <c r="B624" s="1" t="n">
        <v>45103</v>
      </c>
      <c r="C624" s="1" t="n">
        <v>45584</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row r="625" ht="15" customHeight="1">
      <c r="A625" t="inlineStr">
        <is>
          <t>A 28480-2023</t>
        </is>
      </c>
      <c r="B625" s="1" t="n">
        <v>45103</v>
      </c>
      <c r="C625" s="1" t="n">
        <v>45584</v>
      </c>
      <c r="D625" t="inlineStr">
        <is>
          <t>GOTLANDS LÄN</t>
        </is>
      </c>
      <c r="E625" t="inlineStr">
        <is>
          <t>GOTLAND</t>
        </is>
      </c>
      <c r="G625" t="n">
        <v>5.7</v>
      </c>
      <c r="H625" t="n">
        <v>0</v>
      </c>
      <c r="I625" t="n">
        <v>0</v>
      </c>
      <c r="J625" t="n">
        <v>0</v>
      </c>
      <c r="K625" t="n">
        <v>0</v>
      </c>
      <c r="L625" t="n">
        <v>0</v>
      </c>
      <c r="M625" t="n">
        <v>0</v>
      </c>
      <c r="N625" t="n">
        <v>0</v>
      </c>
      <c r="O625" t="n">
        <v>0</v>
      </c>
      <c r="P625" t="n">
        <v>0</v>
      </c>
      <c r="Q625" t="n">
        <v>0</v>
      </c>
      <c r="R625" s="2" t="inlineStr"/>
    </row>
    <row r="626" ht="15" customHeight="1">
      <c r="A626" t="inlineStr">
        <is>
          <t>A 28506-2023</t>
        </is>
      </c>
      <c r="B626" s="1" t="n">
        <v>45103</v>
      </c>
      <c r="C626" s="1" t="n">
        <v>45584</v>
      </c>
      <c r="D626" t="inlineStr">
        <is>
          <t>GOTLANDS LÄN</t>
        </is>
      </c>
      <c r="E626" t="inlineStr">
        <is>
          <t>GOTLAND</t>
        </is>
      </c>
      <c r="G626" t="n">
        <v>3.2</v>
      </c>
      <c r="H626" t="n">
        <v>0</v>
      </c>
      <c r="I626" t="n">
        <v>0</v>
      </c>
      <c r="J626" t="n">
        <v>0</v>
      </c>
      <c r="K626" t="n">
        <v>0</v>
      </c>
      <c r="L626" t="n">
        <v>0</v>
      </c>
      <c r="M626" t="n">
        <v>0</v>
      </c>
      <c r="N626" t="n">
        <v>0</v>
      </c>
      <c r="O626" t="n">
        <v>0</v>
      </c>
      <c r="P626" t="n">
        <v>0</v>
      </c>
      <c r="Q626" t="n">
        <v>0</v>
      </c>
      <c r="R626" s="2" t="inlineStr"/>
    </row>
    <row r="627" ht="15" customHeight="1">
      <c r="A627" t="inlineStr">
        <is>
          <t>A 28560-2023</t>
        </is>
      </c>
      <c r="B627" s="1" t="n">
        <v>45103</v>
      </c>
      <c r="C627" s="1" t="n">
        <v>45584</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29126-2023</t>
        </is>
      </c>
      <c r="B628" s="1" t="n">
        <v>45105</v>
      </c>
      <c r="C628" s="1" t="n">
        <v>45584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29499-2023</t>
        </is>
      </c>
      <c r="B629" s="1" t="n">
        <v>45106</v>
      </c>
      <c r="C629" s="1" t="n">
        <v>45584</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30164-2023</t>
        </is>
      </c>
      <c r="B630" s="1" t="n">
        <v>45110</v>
      </c>
      <c r="C630" s="1" t="n">
        <v>45584</v>
      </c>
      <c r="D630" t="inlineStr">
        <is>
          <t>GOTLANDS LÄN</t>
        </is>
      </c>
      <c r="E630" t="inlineStr">
        <is>
          <t>GOTLAND</t>
        </is>
      </c>
      <c r="G630" t="n">
        <v>5.5</v>
      </c>
      <c r="H630" t="n">
        <v>0</v>
      </c>
      <c r="I630" t="n">
        <v>0</v>
      </c>
      <c r="J630" t="n">
        <v>0</v>
      </c>
      <c r="K630" t="n">
        <v>0</v>
      </c>
      <c r="L630" t="n">
        <v>0</v>
      </c>
      <c r="M630" t="n">
        <v>0</v>
      </c>
      <c r="N630" t="n">
        <v>0</v>
      </c>
      <c r="O630" t="n">
        <v>0</v>
      </c>
      <c r="P630" t="n">
        <v>0</v>
      </c>
      <c r="Q630" t="n">
        <v>0</v>
      </c>
      <c r="R630" s="2" t="inlineStr"/>
    </row>
    <row r="631" ht="15" customHeight="1">
      <c r="A631" t="inlineStr">
        <is>
          <t>A 30815-2023</t>
        </is>
      </c>
      <c r="B631" s="1" t="n">
        <v>45112</v>
      </c>
      <c r="C631" s="1" t="n">
        <v>45584</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32737-2023</t>
        </is>
      </c>
      <c r="B632" s="1" t="n">
        <v>45122</v>
      </c>
      <c r="C632" s="1" t="n">
        <v>45584</v>
      </c>
      <c r="D632" t="inlineStr">
        <is>
          <t>GOTLANDS LÄN</t>
        </is>
      </c>
      <c r="E632" t="inlineStr">
        <is>
          <t>GOTLAND</t>
        </is>
      </c>
      <c r="F632" t="inlineStr">
        <is>
          <t>Kyrkan</t>
        </is>
      </c>
      <c r="G632" t="n">
        <v>15.4</v>
      </c>
      <c r="H632" t="n">
        <v>0</v>
      </c>
      <c r="I632" t="n">
        <v>0</v>
      </c>
      <c r="J632" t="n">
        <v>0</v>
      </c>
      <c r="K632" t="n">
        <v>0</v>
      </c>
      <c r="L632" t="n">
        <v>0</v>
      </c>
      <c r="M632" t="n">
        <v>0</v>
      </c>
      <c r="N632" t="n">
        <v>0</v>
      </c>
      <c r="O632" t="n">
        <v>0</v>
      </c>
      <c r="P632" t="n">
        <v>0</v>
      </c>
      <c r="Q632" t="n">
        <v>0</v>
      </c>
      <c r="R632" s="2" t="inlineStr"/>
    </row>
    <row r="633" ht="15" customHeight="1">
      <c r="A633" t="inlineStr">
        <is>
          <t>A 32783-2023</t>
        </is>
      </c>
      <c r="B633" s="1" t="n">
        <v>45124</v>
      </c>
      <c r="C633" s="1" t="n">
        <v>45584</v>
      </c>
      <c r="D633" t="inlineStr">
        <is>
          <t>GOTLANDS LÄN</t>
        </is>
      </c>
      <c r="E633" t="inlineStr">
        <is>
          <t>GOTLAND</t>
        </is>
      </c>
      <c r="G633" t="n">
        <v>17.8</v>
      </c>
      <c r="H633" t="n">
        <v>0</v>
      </c>
      <c r="I633" t="n">
        <v>0</v>
      </c>
      <c r="J633" t="n">
        <v>0</v>
      </c>
      <c r="K633" t="n">
        <v>0</v>
      </c>
      <c r="L633" t="n">
        <v>0</v>
      </c>
      <c r="M633" t="n">
        <v>0</v>
      </c>
      <c r="N633" t="n">
        <v>0</v>
      </c>
      <c r="O633" t="n">
        <v>0</v>
      </c>
      <c r="P633" t="n">
        <v>0</v>
      </c>
      <c r="Q633" t="n">
        <v>0</v>
      </c>
      <c r="R633" s="2" t="inlineStr"/>
    </row>
    <row r="634" ht="15" customHeight="1">
      <c r="A634" t="inlineStr">
        <is>
          <t>A 34081-2023</t>
        </is>
      </c>
      <c r="B634" s="1" t="n">
        <v>45125</v>
      </c>
      <c r="C634" s="1" t="n">
        <v>45584</v>
      </c>
      <c r="D634" t="inlineStr">
        <is>
          <t>GOTLANDS LÄN</t>
        </is>
      </c>
      <c r="E634" t="inlineStr">
        <is>
          <t>GOTLAND</t>
        </is>
      </c>
      <c r="G634" t="n">
        <v>6</v>
      </c>
      <c r="H634" t="n">
        <v>0</v>
      </c>
      <c r="I634" t="n">
        <v>0</v>
      </c>
      <c r="J634" t="n">
        <v>0</v>
      </c>
      <c r="K634" t="n">
        <v>0</v>
      </c>
      <c r="L634" t="n">
        <v>0</v>
      </c>
      <c r="M634" t="n">
        <v>0</v>
      </c>
      <c r="N634" t="n">
        <v>0</v>
      </c>
      <c r="O634" t="n">
        <v>0</v>
      </c>
      <c r="P634" t="n">
        <v>0</v>
      </c>
      <c r="Q634" t="n">
        <v>0</v>
      </c>
      <c r="R634" s="2" t="inlineStr"/>
    </row>
    <row r="635" ht="15" customHeight="1">
      <c r="A635" t="inlineStr">
        <is>
          <t>A 34407-2023</t>
        </is>
      </c>
      <c r="B635" s="1" t="n">
        <v>45132</v>
      </c>
      <c r="C635" s="1" t="n">
        <v>45584</v>
      </c>
      <c r="D635" t="inlineStr">
        <is>
          <t>GOTLANDS LÄN</t>
        </is>
      </c>
      <c r="E635" t="inlineStr">
        <is>
          <t>GOTLAND</t>
        </is>
      </c>
      <c r="G635" t="n">
        <v>4.4</v>
      </c>
      <c r="H635" t="n">
        <v>0</v>
      </c>
      <c r="I635" t="n">
        <v>0</v>
      </c>
      <c r="J635" t="n">
        <v>0</v>
      </c>
      <c r="K635" t="n">
        <v>0</v>
      </c>
      <c r="L635" t="n">
        <v>0</v>
      </c>
      <c r="M635" t="n">
        <v>0</v>
      </c>
      <c r="N635" t="n">
        <v>0</v>
      </c>
      <c r="O635" t="n">
        <v>0</v>
      </c>
      <c r="P635" t="n">
        <v>0</v>
      </c>
      <c r="Q635" t="n">
        <v>0</v>
      </c>
      <c r="R635" s="2" t="inlineStr"/>
    </row>
    <row r="636" ht="15" customHeight="1">
      <c r="A636" t="inlineStr">
        <is>
          <t>A 35478-2023</t>
        </is>
      </c>
      <c r="B636" s="1" t="n">
        <v>45146</v>
      </c>
      <c r="C636" s="1" t="n">
        <v>45584</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35512-2023</t>
        </is>
      </c>
      <c r="B637" s="1" t="n">
        <v>45147</v>
      </c>
      <c r="C637" s="1" t="n">
        <v>45584</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35595-2023</t>
        </is>
      </c>
      <c r="B638" s="1" t="n">
        <v>45147</v>
      </c>
      <c r="C638" s="1" t="n">
        <v>45584</v>
      </c>
      <c r="D638" t="inlineStr">
        <is>
          <t>GOTLANDS LÄN</t>
        </is>
      </c>
      <c r="E638" t="inlineStr">
        <is>
          <t>GOTLAND</t>
        </is>
      </c>
      <c r="G638" t="n">
        <v>4.2</v>
      </c>
      <c r="H638" t="n">
        <v>0</v>
      </c>
      <c r="I638" t="n">
        <v>0</v>
      </c>
      <c r="J638" t="n">
        <v>0</v>
      </c>
      <c r="K638" t="n">
        <v>0</v>
      </c>
      <c r="L638" t="n">
        <v>0</v>
      </c>
      <c r="M638" t="n">
        <v>0</v>
      </c>
      <c r="N638" t="n">
        <v>0</v>
      </c>
      <c r="O638" t="n">
        <v>0</v>
      </c>
      <c r="P638" t="n">
        <v>0</v>
      </c>
      <c r="Q638" t="n">
        <v>0</v>
      </c>
      <c r="R638" s="2" t="inlineStr"/>
    </row>
    <row r="639" ht="15" customHeight="1">
      <c r="A639" t="inlineStr">
        <is>
          <t>A 35592-2023</t>
        </is>
      </c>
      <c r="B639" s="1" t="n">
        <v>45147</v>
      </c>
      <c r="C639" s="1" t="n">
        <v>45584</v>
      </c>
      <c r="D639" t="inlineStr">
        <is>
          <t>GOTLANDS LÄN</t>
        </is>
      </c>
      <c r="E639" t="inlineStr">
        <is>
          <t>GOTLAND</t>
        </is>
      </c>
      <c r="G639" t="n">
        <v>5.1</v>
      </c>
      <c r="H639" t="n">
        <v>0</v>
      </c>
      <c r="I639" t="n">
        <v>0</v>
      </c>
      <c r="J639" t="n">
        <v>0</v>
      </c>
      <c r="K639" t="n">
        <v>0</v>
      </c>
      <c r="L639" t="n">
        <v>0</v>
      </c>
      <c r="M639" t="n">
        <v>0</v>
      </c>
      <c r="N639" t="n">
        <v>0</v>
      </c>
      <c r="O639" t="n">
        <v>0</v>
      </c>
      <c r="P639" t="n">
        <v>0</v>
      </c>
      <c r="Q639" t="n">
        <v>0</v>
      </c>
      <c r="R639" s="2" t="inlineStr"/>
    </row>
    <row r="640" ht="15" customHeight="1">
      <c r="A640" t="inlineStr">
        <is>
          <t>A 37591-2023</t>
        </is>
      </c>
      <c r="B640" s="1" t="n">
        <v>45159</v>
      </c>
      <c r="C640" s="1" t="n">
        <v>45584</v>
      </c>
      <c r="D640" t="inlineStr">
        <is>
          <t>GOTLANDS LÄN</t>
        </is>
      </c>
      <c r="E640" t="inlineStr">
        <is>
          <t>GOTLAND</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38234-2023</t>
        </is>
      </c>
      <c r="B641" s="1" t="n">
        <v>45161</v>
      </c>
      <c r="C641" s="1" t="n">
        <v>45584</v>
      </c>
      <c r="D641" t="inlineStr">
        <is>
          <t>GOTLANDS LÄN</t>
        </is>
      </c>
      <c r="E641" t="inlineStr">
        <is>
          <t>GOTLAND</t>
        </is>
      </c>
      <c r="G641" t="n">
        <v>1.3</v>
      </c>
      <c r="H641" t="n">
        <v>0</v>
      </c>
      <c r="I641" t="n">
        <v>0</v>
      </c>
      <c r="J641" t="n">
        <v>0</v>
      </c>
      <c r="K641" t="n">
        <v>0</v>
      </c>
      <c r="L641" t="n">
        <v>0</v>
      </c>
      <c r="M641" t="n">
        <v>0</v>
      </c>
      <c r="N641" t="n">
        <v>0</v>
      </c>
      <c r="O641" t="n">
        <v>0</v>
      </c>
      <c r="P641" t="n">
        <v>0</v>
      </c>
      <c r="Q641" t="n">
        <v>0</v>
      </c>
      <c r="R641" s="2" t="inlineStr"/>
    </row>
    <row r="642" ht="15" customHeight="1">
      <c r="A642" t="inlineStr">
        <is>
          <t>A 38237-2023</t>
        </is>
      </c>
      <c r="B642" s="1" t="n">
        <v>45161</v>
      </c>
      <c r="C642" s="1" t="n">
        <v>45584</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38165-2023</t>
        </is>
      </c>
      <c r="B643" s="1" t="n">
        <v>45161</v>
      </c>
      <c r="C643" s="1" t="n">
        <v>45584</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ht="15" customHeight="1">
      <c r="A644" t="inlineStr">
        <is>
          <t>A 38787-2023</t>
        </is>
      </c>
      <c r="B644" s="1" t="n">
        <v>45163</v>
      </c>
      <c r="C644" s="1" t="n">
        <v>45584</v>
      </c>
      <c r="D644" t="inlineStr">
        <is>
          <t>GOTLANDS LÄN</t>
        </is>
      </c>
      <c r="E644" t="inlineStr">
        <is>
          <t>GOTLAND</t>
        </is>
      </c>
      <c r="G644" t="n">
        <v>0.4</v>
      </c>
      <c r="H644" t="n">
        <v>0</v>
      </c>
      <c r="I644" t="n">
        <v>0</v>
      </c>
      <c r="J644" t="n">
        <v>0</v>
      </c>
      <c r="K644" t="n">
        <v>0</v>
      </c>
      <c r="L644" t="n">
        <v>0</v>
      </c>
      <c r="M644" t="n">
        <v>0</v>
      </c>
      <c r="N644" t="n">
        <v>0</v>
      </c>
      <c r="O644" t="n">
        <v>0</v>
      </c>
      <c r="P644" t="n">
        <v>0</v>
      </c>
      <c r="Q644" t="n">
        <v>0</v>
      </c>
      <c r="R644" s="2" t="inlineStr"/>
    </row>
    <row r="645" ht="15" customHeight="1">
      <c r="A645" t="inlineStr">
        <is>
          <t>A 39436-2023</t>
        </is>
      </c>
      <c r="B645" s="1" t="n">
        <v>45166</v>
      </c>
      <c r="C645" s="1" t="n">
        <v>45584</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39371-2023</t>
        </is>
      </c>
      <c r="B646" s="1" t="n">
        <v>45166</v>
      </c>
      <c r="C646" s="1" t="n">
        <v>45584</v>
      </c>
      <c r="D646" t="inlineStr">
        <is>
          <t>GOTLANDS LÄN</t>
        </is>
      </c>
      <c r="E646" t="inlineStr">
        <is>
          <t>GOTLAND</t>
        </is>
      </c>
      <c r="G646" t="n">
        <v>8.4</v>
      </c>
      <c r="H646" t="n">
        <v>0</v>
      </c>
      <c r="I646" t="n">
        <v>0</v>
      </c>
      <c r="J646" t="n">
        <v>0</v>
      </c>
      <c r="K646" t="n">
        <v>0</v>
      </c>
      <c r="L646" t="n">
        <v>0</v>
      </c>
      <c r="M646" t="n">
        <v>0</v>
      </c>
      <c r="N646" t="n">
        <v>0</v>
      </c>
      <c r="O646" t="n">
        <v>0</v>
      </c>
      <c r="P646" t="n">
        <v>0</v>
      </c>
      <c r="Q646" t="n">
        <v>0</v>
      </c>
      <c r="R646" s="2" t="inlineStr"/>
    </row>
    <row r="647" ht="15" customHeight="1">
      <c r="A647" t="inlineStr">
        <is>
          <t>A 39711-2023</t>
        </is>
      </c>
      <c r="B647" s="1" t="n">
        <v>45166</v>
      </c>
      <c r="C647" s="1" t="n">
        <v>45584</v>
      </c>
      <c r="D647" t="inlineStr">
        <is>
          <t>GOTLANDS LÄN</t>
        </is>
      </c>
      <c r="E647" t="inlineStr">
        <is>
          <t>GOTLAND</t>
        </is>
      </c>
      <c r="G647" t="n">
        <v>5.5</v>
      </c>
      <c r="H647" t="n">
        <v>0</v>
      </c>
      <c r="I647" t="n">
        <v>0</v>
      </c>
      <c r="J647" t="n">
        <v>0</v>
      </c>
      <c r="K647" t="n">
        <v>0</v>
      </c>
      <c r="L647" t="n">
        <v>0</v>
      </c>
      <c r="M647" t="n">
        <v>0</v>
      </c>
      <c r="N647" t="n">
        <v>0</v>
      </c>
      <c r="O647" t="n">
        <v>0</v>
      </c>
      <c r="P647" t="n">
        <v>0</v>
      </c>
      <c r="Q647" t="n">
        <v>0</v>
      </c>
      <c r="R647" s="2" t="inlineStr"/>
    </row>
    <row r="648" ht="15" customHeight="1">
      <c r="A648" t="inlineStr">
        <is>
          <t>A 41038-2023</t>
        </is>
      </c>
      <c r="B648" s="1" t="n">
        <v>45173</v>
      </c>
      <c r="C648" s="1" t="n">
        <v>45584</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41378-2023</t>
        </is>
      </c>
      <c r="B649" s="1" t="n">
        <v>45174</v>
      </c>
      <c r="C649" s="1" t="n">
        <v>45584</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41336-2023</t>
        </is>
      </c>
      <c r="B650" s="1" t="n">
        <v>45174</v>
      </c>
      <c r="C650" s="1" t="n">
        <v>45584</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41697-2023</t>
        </is>
      </c>
      <c r="B651" s="1" t="n">
        <v>45176</v>
      </c>
      <c r="C651" s="1" t="n">
        <v>45584</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41893-2023</t>
        </is>
      </c>
      <c r="B652" s="1" t="n">
        <v>45176</v>
      </c>
      <c r="C652" s="1" t="n">
        <v>45584</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42007-2023</t>
        </is>
      </c>
      <c r="B653" s="1" t="n">
        <v>45177</v>
      </c>
      <c r="C653" s="1" t="n">
        <v>45584</v>
      </c>
      <c r="D653" t="inlineStr">
        <is>
          <t>GOTLANDS LÄN</t>
        </is>
      </c>
      <c r="E653" t="inlineStr">
        <is>
          <t>GOTLAND</t>
        </is>
      </c>
      <c r="G653" t="n">
        <v>0.8</v>
      </c>
      <c r="H653" t="n">
        <v>0</v>
      </c>
      <c r="I653" t="n">
        <v>0</v>
      </c>
      <c r="J653" t="n">
        <v>0</v>
      </c>
      <c r="K653" t="n">
        <v>0</v>
      </c>
      <c r="L653" t="n">
        <v>0</v>
      </c>
      <c r="M653" t="n">
        <v>0</v>
      </c>
      <c r="N653" t="n">
        <v>0</v>
      </c>
      <c r="O653" t="n">
        <v>0</v>
      </c>
      <c r="P653" t="n">
        <v>0</v>
      </c>
      <c r="Q653" t="n">
        <v>0</v>
      </c>
      <c r="R653" s="2" t="inlineStr"/>
    </row>
    <row r="654" ht="15" customHeight="1">
      <c r="A654" t="inlineStr">
        <is>
          <t>A 42097-2023</t>
        </is>
      </c>
      <c r="B654" s="1" t="n">
        <v>45177</v>
      </c>
      <c r="C654" s="1" t="n">
        <v>45584</v>
      </c>
      <c r="D654" t="inlineStr">
        <is>
          <t>GOTLANDS LÄN</t>
        </is>
      </c>
      <c r="E654" t="inlineStr">
        <is>
          <t>GOTLAND</t>
        </is>
      </c>
      <c r="G654" t="n">
        <v>3.9</v>
      </c>
      <c r="H654" t="n">
        <v>0</v>
      </c>
      <c r="I654" t="n">
        <v>0</v>
      </c>
      <c r="J654" t="n">
        <v>0</v>
      </c>
      <c r="K654" t="n">
        <v>0</v>
      </c>
      <c r="L654" t="n">
        <v>0</v>
      </c>
      <c r="M654" t="n">
        <v>0</v>
      </c>
      <c r="N654" t="n">
        <v>0</v>
      </c>
      <c r="O654" t="n">
        <v>0</v>
      </c>
      <c r="P654" t="n">
        <v>0</v>
      </c>
      <c r="Q654" t="n">
        <v>0</v>
      </c>
      <c r="R654" s="2" t="inlineStr"/>
    </row>
    <row r="655" ht="15" customHeight="1">
      <c r="A655" t="inlineStr">
        <is>
          <t>A 42201-2023</t>
        </is>
      </c>
      <c r="B655" s="1" t="n">
        <v>45179</v>
      </c>
      <c r="C655" s="1" t="n">
        <v>45584</v>
      </c>
      <c r="D655" t="inlineStr">
        <is>
          <t>GOTLANDS LÄN</t>
        </is>
      </c>
      <c r="E655" t="inlineStr">
        <is>
          <t>GOTLAND</t>
        </is>
      </c>
      <c r="G655" t="n">
        <v>11.9</v>
      </c>
      <c r="H655" t="n">
        <v>0</v>
      </c>
      <c r="I655" t="n">
        <v>0</v>
      </c>
      <c r="J655" t="n">
        <v>0</v>
      </c>
      <c r="K655" t="n">
        <v>0</v>
      </c>
      <c r="L655" t="n">
        <v>0</v>
      </c>
      <c r="M655" t="n">
        <v>0</v>
      </c>
      <c r="N655" t="n">
        <v>0</v>
      </c>
      <c r="O655" t="n">
        <v>0</v>
      </c>
      <c r="P655" t="n">
        <v>0</v>
      </c>
      <c r="Q655" t="n">
        <v>0</v>
      </c>
      <c r="R655" s="2" t="inlineStr"/>
    </row>
    <row r="656" ht="15" customHeight="1">
      <c r="A656" t="inlineStr">
        <is>
          <t>A 42338-2023</t>
        </is>
      </c>
      <c r="B656" s="1" t="n">
        <v>45180</v>
      </c>
      <c r="C656" s="1" t="n">
        <v>45584</v>
      </c>
      <c r="D656" t="inlineStr">
        <is>
          <t>GOTLANDS LÄN</t>
        </is>
      </c>
      <c r="E656" t="inlineStr">
        <is>
          <t>GOTLAND</t>
        </is>
      </c>
      <c r="G656" t="n">
        <v>0.7</v>
      </c>
      <c r="H656" t="n">
        <v>0</v>
      </c>
      <c r="I656" t="n">
        <v>0</v>
      </c>
      <c r="J656" t="n">
        <v>0</v>
      </c>
      <c r="K656" t="n">
        <v>0</v>
      </c>
      <c r="L656" t="n">
        <v>0</v>
      </c>
      <c r="M656" t="n">
        <v>0</v>
      </c>
      <c r="N656" t="n">
        <v>0</v>
      </c>
      <c r="O656" t="n">
        <v>0</v>
      </c>
      <c r="P656" t="n">
        <v>0</v>
      </c>
      <c r="Q656" t="n">
        <v>0</v>
      </c>
      <c r="R656" s="2" t="inlineStr"/>
    </row>
    <row r="657" ht="15" customHeight="1">
      <c r="A657" t="inlineStr">
        <is>
          <t>A 42465-2023</t>
        </is>
      </c>
      <c r="B657" s="1" t="n">
        <v>45180</v>
      </c>
      <c r="C657" s="1" t="n">
        <v>45584</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43223-2023</t>
        </is>
      </c>
      <c r="B658" s="1" t="n">
        <v>45183</v>
      </c>
      <c r="C658" s="1" t="n">
        <v>45584</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43200-2023</t>
        </is>
      </c>
      <c r="B659" s="1" t="n">
        <v>45183</v>
      </c>
      <c r="C659" s="1" t="n">
        <v>45584</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43226-2023</t>
        </is>
      </c>
      <c r="B660" s="1" t="n">
        <v>45183</v>
      </c>
      <c r="C660" s="1" t="n">
        <v>45584</v>
      </c>
      <c r="D660" t="inlineStr">
        <is>
          <t>GOTLANDS LÄN</t>
        </is>
      </c>
      <c r="E660" t="inlineStr">
        <is>
          <t>GOTLAND</t>
        </is>
      </c>
      <c r="G660" t="n">
        <v>1.5</v>
      </c>
      <c r="H660" t="n">
        <v>0</v>
      </c>
      <c r="I660" t="n">
        <v>0</v>
      </c>
      <c r="J660" t="n">
        <v>0</v>
      </c>
      <c r="K660" t="n">
        <v>0</v>
      </c>
      <c r="L660" t="n">
        <v>0</v>
      </c>
      <c r="M660" t="n">
        <v>0</v>
      </c>
      <c r="N660" t="n">
        <v>0</v>
      </c>
      <c r="O660" t="n">
        <v>0</v>
      </c>
      <c r="P660" t="n">
        <v>0</v>
      </c>
      <c r="Q660" t="n">
        <v>0</v>
      </c>
      <c r="R660" s="2" t="inlineStr"/>
    </row>
    <row r="661" ht="15" customHeight="1">
      <c r="A661" t="inlineStr">
        <is>
          <t>A 43231-2023</t>
        </is>
      </c>
      <c r="B661" s="1" t="n">
        <v>45183</v>
      </c>
      <c r="C661" s="1" t="n">
        <v>45584</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43220-2023</t>
        </is>
      </c>
      <c r="B662" s="1" t="n">
        <v>45183</v>
      </c>
      <c r="C662" s="1" t="n">
        <v>45584</v>
      </c>
      <c r="D662" t="inlineStr">
        <is>
          <t>GOTLANDS LÄN</t>
        </is>
      </c>
      <c r="E662" t="inlineStr">
        <is>
          <t>GOTLAND</t>
        </is>
      </c>
      <c r="G662" t="n">
        <v>3.3</v>
      </c>
      <c r="H662" t="n">
        <v>0</v>
      </c>
      <c r="I662" t="n">
        <v>0</v>
      </c>
      <c r="J662" t="n">
        <v>0</v>
      </c>
      <c r="K662" t="n">
        <v>0</v>
      </c>
      <c r="L662" t="n">
        <v>0</v>
      </c>
      <c r="M662" t="n">
        <v>0</v>
      </c>
      <c r="N662" t="n">
        <v>0</v>
      </c>
      <c r="O662" t="n">
        <v>0</v>
      </c>
      <c r="P662" t="n">
        <v>0</v>
      </c>
      <c r="Q662" t="n">
        <v>0</v>
      </c>
      <c r="R662" s="2" t="inlineStr"/>
    </row>
    <row r="663" ht="15" customHeight="1">
      <c r="A663" t="inlineStr">
        <is>
          <t>A 43224-2023</t>
        </is>
      </c>
      <c r="B663" s="1" t="n">
        <v>45183</v>
      </c>
      <c r="C663" s="1" t="n">
        <v>45584</v>
      </c>
      <c r="D663" t="inlineStr">
        <is>
          <t>GOTLANDS LÄN</t>
        </is>
      </c>
      <c r="E663" t="inlineStr">
        <is>
          <t>GOTLAND</t>
        </is>
      </c>
      <c r="G663" t="n">
        <v>1.1</v>
      </c>
      <c r="H663" t="n">
        <v>0</v>
      </c>
      <c r="I663" t="n">
        <v>0</v>
      </c>
      <c r="J663" t="n">
        <v>0</v>
      </c>
      <c r="K663" t="n">
        <v>0</v>
      </c>
      <c r="L663" t="n">
        <v>0</v>
      </c>
      <c r="M663" t="n">
        <v>0</v>
      </c>
      <c r="N663" t="n">
        <v>0</v>
      </c>
      <c r="O663" t="n">
        <v>0</v>
      </c>
      <c r="P663" t="n">
        <v>0</v>
      </c>
      <c r="Q663" t="n">
        <v>0</v>
      </c>
      <c r="R663" s="2" t="inlineStr"/>
    </row>
    <row r="664" ht="15" customHeight="1">
      <c r="A664" t="inlineStr">
        <is>
          <t>A 43229-2023</t>
        </is>
      </c>
      <c r="B664" s="1" t="n">
        <v>45183</v>
      </c>
      <c r="C664" s="1" t="n">
        <v>45584</v>
      </c>
      <c r="D664" t="inlineStr">
        <is>
          <t>GOTLANDS LÄN</t>
        </is>
      </c>
      <c r="E664" t="inlineStr">
        <is>
          <t>GOTLAND</t>
        </is>
      </c>
      <c r="G664" t="n">
        <v>7.1</v>
      </c>
      <c r="H664" t="n">
        <v>0</v>
      </c>
      <c r="I664" t="n">
        <v>0</v>
      </c>
      <c r="J664" t="n">
        <v>0</v>
      </c>
      <c r="K664" t="n">
        <v>0</v>
      </c>
      <c r="L664" t="n">
        <v>0</v>
      </c>
      <c r="M664" t="n">
        <v>0</v>
      </c>
      <c r="N664" t="n">
        <v>0</v>
      </c>
      <c r="O664" t="n">
        <v>0</v>
      </c>
      <c r="P664" t="n">
        <v>0</v>
      </c>
      <c r="Q664" t="n">
        <v>0</v>
      </c>
      <c r="R664" s="2" t="inlineStr"/>
    </row>
    <row r="665" ht="15" customHeight="1">
      <c r="A665" t="inlineStr">
        <is>
          <t>A 43901-2023</t>
        </is>
      </c>
      <c r="B665" s="1" t="n">
        <v>45187</v>
      </c>
      <c r="C665" s="1" t="n">
        <v>45584</v>
      </c>
      <c r="D665" t="inlineStr">
        <is>
          <t>GOTLANDS LÄN</t>
        </is>
      </c>
      <c r="E665" t="inlineStr">
        <is>
          <t>GOTLAND</t>
        </is>
      </c>
      <c r="G665" t="n">
        <v>5.4</v>
      </c>
      <c r="H665" t="n">
        <v>0</v>
      </c>
      <c r="I665" t="n">
        <v>0</v>
      </c>
      <c r="J665" t="n">
        <v>0</v>
      </c>
      <c r="K665" t="n">
        <v>0</v>
      </c>
      <c r="L665" t="n">
        <v>0</v>
      </c>
      <c r="M665" t="n">
        <v>0</v>
      </c>
      <c r="N665" t="n">
        <v>0</v>
      </c>
      <c r="O665" t="n">
        <v>0</v>
      </c>
      <c r="P665" t="n">
        <v>0</v>
      </c>
      <c r="Q665" t="n">
        <v>0</v>
      </c>
      <c r="R665" s="2" t="inlineStr"/>
    </row>
    <row r="666" ht="15" customHeight="1">
      <c r="A666" t="inlineStr">
        <is>
          <t>A 44189-2023</t>
        </is>
      </c>
      <c r="B666" s="1" t="n">
        <v>45188</v>
      </c>
      <c r="C666" s="1" t="n">
        <v>45584</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44888-2023</t>
        </is>
      </c>
      <c r="B667" s="1" t="n">
        <v>45190</v>
      </c>
      <c r="C667" s="1" t="n">
        <v>45584</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44941-2023</t>
        </is>
      </c>
      <c r="B668" s="1" t="n">
        <v>45190</v>
      </c>
      <c r="C668" s="1" t="n">
        <v>45584</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44953-2023</t>
        </is>
      </c>
      <c r="B669" s="1" t="n">
        <v>45190</v>
      </c>
      <c r="C669" s="1" t="n">
        <v>45584</v>
      </c>
      <c r="D669" t="inlineStr">
        <is>
          <t>GOTLANDS LÄN</t>
        </is>
      </c>
      <c r="E669" t="inlineStr">
        <is>
          <t>GOTLAND</t>
        </is>
      </c>
      <c r="G669" t="n">
        <v>3.7</v>
      </c>
      <c r="H669" t="n">
        <v>0</v>
      </c>
      <c r="I669" t="n">
        <v>0</v>
      </c>
      <c r="J669" t="n">
        <v>0</v>
      </c>
      <c r="K669" t="n">
        <v>0</v>
      </c>
      <c r="L669" t="n">
        <v>0</v>
      </c>
      <c r="M669" t="n">
        <v>0</v>
      </c>
      <c r="N669" t="n">
        <v>0</v>
      </c>
      <c r="O669" t="n">
        <v>0</v>
      </c>
      <c r="P669" t="n">
        <v>0</v>
      </c>
      <c r="Q669" t="n">
        <v>0</v>
      </c>
      <c r="R669" s="2" t="inlineStr"/>
    </row>
    <row r="670" ht="15" customHeight="1">
      <c r="A670" t="inlineStr">
        <is>
          <t>A 44918-2023</t>
        </is>
      </c>
      <c r="B670" s="1" t="n">
        <v>45190</v>
      </c>
      <c r="C670" s="1" t="n">
        <v>45584</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44949-2023</t>
        </is>
      </c>
      <c r="B671" s="1" t="n">
        <v>45190</v>
      </c>
      <c r="C671" s="1" t="n">
        <v>45584</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45168-2023</t>
        </is>
      </c>
      <c r="B672" s="1" t="n">
        <v>45191</v>
      </c>
      <c r="C672" s="1" t="n">
        <v>45584</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45600-2023</t>
        </is>
      </c>
      <c r="B673" s="1" t="n">
        <v>45194</v>
      </c>
      <c r="C673" s="1" t="n">
        <v>45584</v>
      </c>
      <c r="D673" t="inlineStr">
        <is>
          <t>GOTLANDS LÄN</t>
        </is>
      </c>
      <c r="E673" t="inlineStr">
        <is>
          <t>GOTLAND</t>
        </is>
      </c>
      <c r="G673" t="n">
        <v>6.1</v>
      </c>
      <c r="H673" t="n">
        <v>0</v>
      </c>
      <c r="I673" t="n">
        <v>0</v>
      </c>
      <c r="J673" t="n">
        <v>0</v>
      </c>
      <c r="K673" t="n">
        <v>0</v>
      </c>
      <c r="L673" t="n">
        <v>0</v>
      </c>
      <c r="M673" t="n">
        <v>0</v>
      </c>
      <c r="N673" t="n">
        <v>0</v>
      </c>
      <c r="O673" t="n">
        <v>0</v>
      </c>
      <c r="P673" t="n">
        <v>0</v>
      </c>
      <c r="Q673" t="n">
        <v>0</v>
      </c>
      <c r="R673" s="2" t="inlineStr"/>
    </row>
    <row r="674" ht="15" customHeight="1">
      <c r="A674" t="inlineStr">
        <is>
          <t>A 45692-2023</t>
        </is>
      </c>
      <c r="B674" s="1" t="n">
        <v>45195</v>
      </c>
      <c r="C674" s="1" t="n">
        <v>45584</v>
      </c>
      <c r="D674" t="inlineStr">
        <is>
          <t>GOTLANDS LÄN</t>
        </is>
      </c>
      <c r="E674" t="inlineStr">
        <is>
          <t>GOTLAND</t>
        </is>
      </c>
      <c r="G674" t="n">
        <v>5.3</v>
      </c>
      <c r="H674" t="n">
        <v>0</v>
      </c>
      <c r="I674" t="n">
        <v>0</v>
      </c>
      <c r="J674" t="n">
        <v>0</v>
      </c>
      <c r="K674" t="n">
        <v>0</v>
      </c>
      <c r="L674" t="n">
        <v>0</v>
      </c>
      <c r="M674" t="n">
        <v>0</v>
      </c>
      <c r="N674" t="n">
        <v>0</v>
      </c>
      <c r="O674" t="n">
        <v>0</v>
      </c>
      <c r="P674" t="n">
        <v>0</v>
      </c>
      <c r="Q674" t="n">
        <v>0</v>
      </c>
      <c r="R674" s="2" t="inlineStr"/>
    </row>
    <row r="675" ht="15" customHeight="1">
      <c r="A675" t="inlineStr">
        <is>
          <t>A 46402-2023</t>
        </is>
      </c>
      <c r="B675" s="1" t="n">
        <v>45197</v>
      </c>
      <c r="C675" s="1" t="n">
        <v>45584</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46396-2023</t>
        </is>
      </c>
      <c r="B676" s="1" t="n">
        <v>45197</v>
      </c>
      <c r="C676" s="1" t="n">
        <v>45584</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46400-2023</t>
        </is>
      </c>
      <c r="B677" s="1" t="n">
        <v>45197</v>
      </c>
      <c r="C677" s="1" t="n">
        <v>45584</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47322-2023</t>
        </is>
      </c>
      <c r="B678" s="1" t="n">
        <v>45202</v>
      </c>
      <c r="C678" s="1" t="n">
        <v>45584</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47762-2023</t>
        </is>
      </c>
      <c r="B679" s="1" t="n">
        <v>45203</v>
      </c>
      <c r="C679" s="1" t="n">
        <v>45584</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49411-2023</t>
        </is>
      </c>
      <c r="B680" s="1" t="n">
        <v>45205</v>
      </c>
      <c r="C680" s="1" t="n">
        <v>45584</v>
      </c>
      <c r="D680" t="inlineStr">
        <is>
          <t>GOTLANDS LÄN</t>
        </is>
      </c>
      <c r="E680" t="inlineStr">
        <is>
          <t>GOTLAND</t>
        </is>
      </c>
      <c r="G680" t="n">
        <v>2</v>
      </c>
      <c r="H680" t="n">
        <v>0</v>
      </c>
      <c r="I680" t="n">
        <v>0</v>
      </c>
      <c r="J680" t="n">
        <v>0</v>
      </c>
      <c r="K680" t="n">
        <v>0</v>
      </c>
      <c r="L680" t="n">
        <v>0</v>
      </c>
      <c r="M680" t="n">
        <v>0</v>
      </c>
      <c r="N680" t="n">
        <v>0</v>
      </c>
      <c r="O680" t="n">
        <v>0</v>
      </c>
      <c r="P680" t="n">
        <v>0</v>
      </c>
      <c r="Q680" t="n">
        <v>0</v>
      </c>
      <c r="R680" s="2" t="inlineStr"/>
    </row>
    <row r="681" ht="15" customHeight="1">
      <c r="A681" t="inlineStr">
        <is>
          <t>A 48503-2023</t>
        </is>
      </c>
      <c r="B681" s="1" t="n">
        <v>45207</v>
      </c>
      <c r="C681" s="1" t="n">
        <v>45584</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48504-2023</t>
        </is>
      </c>
      <c r="B682" s="1" t="n">
        <v>45207</v>
      </c>
      <c r="C682" s="1" t="n">
        <v>45584</v>
      </c>
      <c r="D682" t="inlineStr">
        <is>
          <t>GOTLANDS LÄN</t>
        </is>
      </c>
      <c r="E682" t="inlineStr">
        <is>
          <t>GOTLAND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48745-2023</t>
        </is>
      </c>
      <c r="B683" s="1" t="n">
        <v>45208</v>
      </c>
      <c r="C683" s="1" t="n">
        <v>45584</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49693-2023</t>
        </is>
      </c>
      <c r="B684" s="1" t="n">
        <v>45212</v>
      </c>
      <c r="C684" s="1" t="n">
        <v>45584</v>
      </c>
      <c r="D684" t="inlineStr">
        <is>
          <t>GOTLANDS LÄN</t>
        </is>
      </c>
      <c r="E684" t="inlineStr">
        <is>
          <t>GOTLAND</t>
        </is>
      </c>
      <c r="G684" t="n">
        <v>2.4</v>
      </c>
      <c r="H684" t="n">
        <v>0</v>
      </c>
      <c r="I684" t="n">
        <v>0</v>
      </c>
      <c r="J684" t="n">
        <v>0</v>
      </c>
      <c r="K684" t="n">
        <v>0</v>
      </c>
      <c r="L684" t="n">
        <v>0</v>
      </c>
      <c r="M684" t="n">
        <v>0</v>
      </c>
      <c r="N684" t="n">
        <v>0</v>
      </c>
      <c r="O684" t="n">
        <v>0</v>
      </c>
      <c r="P684" t="n">
        <v>0</v>
      </c>
      <c r="Q684" t="n">
        <v>0</v>
      </c>
      <c r="R684" s="2" t="inlineStr"/>
    </row>
    <row r="685" ht="15" customHeight="1">
      <c r="A685" t="inlineStr">
        <is>
          <t>A 49697-2023</t>
        </is>
      </c>
      <c r="B685" s="1" t="n">
        <v>45212</v>
      </c>
      <c r="C685" s="1" t="n">
        <v>45584</v>
      </c>
      <c r="D685" t="inlineStr">
        <is>
          <t>GOTLANDS LÄN</t>
        </is>
      </c>
      <c r="E685" t="inlineStr">
        <is>
          <t>GOTLAND</t>
        </is>
      </c>
      <c r="G685" t="n">
        <v>4.4</v>
      </c>
      <c r="H685" t="n">
        <v>0</v>
      </c>
      <c r="I685" t="n">
        <v>0</v>
      </c>
      <c r="J685" t="n">
        <v>0</v>
      </c>
      <c r="K685" t="n">
        <v>0</v>
      </c>
      <c r="L685" t="n">
        <v>0</v>
      </c>
      <c r="M685" t="n">
        <v>0</v>
      </c>
      <c r="N685" t="n">
        <v>0</v>
      </c>
      <c r="O685" t="n">
        <v>0</v>
      </c>
      <c r="P685" t="n">
        <v>0</v>
      </c>
      <c r="Q685" t="n">
        <v>0</v>
      </c>
      <c r="R685" s="2" t="inlineStr"/>
    </row>
    <row r="686" ht="15" customHeight="1">
      <c r="A686" t="inlineStr">
        <is>
          <t>A 49846-2023</t>
        </is>
      </c>
      <c r="B686" s="1" t="n">
        <v>45212</v>
      </c>
      <c r="C686" s="1" t="n">
        <v>45584</v>
      </c>
      <c r="D686" t="inlineStr">
        <is>
          <t>GOTLANDS LÄN</t>
        </is>
      </c>
      <c r="E686" t="inlineStr">
        <is>
          <t>GOTLAND</t>
        </is>
      </c>
      <c r="G686" t="n">
        <v>16.9</v>
      </c>
      <c r="H686" t="n">
        <v>0</v>
      </c>
      <c r="I686" t="n">
        <v>0</v>
      </c>
      <c r="J686" t="n">
        <v>0</v>
      </c>
      <c r="K686" t="n">
        <v>0</v>
      </c>
      <c r="L686" t="n">
        <v>0</v>
      </c>
      <c r="M686" t="n">
        <v>0</v>
      </c>
      <c r="N686" t="n">
        <v>0</v>
      </c>
      <c r="O686" t="n">
        <v>0</v>
      </c>
      <c r="P686" t="n">
        <v>0</v>
      </c>
      <c r="Q686" t="n">
        <v>0</v>
      </c>
      <c r="R686" s="2" t="inlineStr"/>
    </row>
    <row r="687" ht="15" customHeight="1">
      <c r="A687" t="inlineStr">
        <is>
          <t>A 49884-2023</t>
        </is>
      </c>
      <c r="B687" s="1" t="n">
        <v>45213</v>
      </c>
      <c r="C687" s="1" t="n">
        <v>45584</v>
      </c>
      <c r="D687" t="inlineStr">
        <is>
          <t>GOTLANDS LÄN</t>
        </is>
      </c>
      <c r="E687" t="inlineStr">
        <is>
          <t>GOTLAND</t>
        </is>
      </c>
      <c r="G687" t="n">
        <v>8.9</v>
      </c>
      <c r="H687" t="n">
        <v>0</v>
      </c>
      <c r="I687" t="n">
        <v>0</v>
      </c>
      <c r="J687" t="n">
        <v>0</v>
      </c>
      <c r="K687" t="n">
        <v>0</v>
      </c>
      <c r="L687" t="n">
        <v>0</v>
      </c>
      <c r="M687" t="n">
        <v>0</v>
      </c>
      <c r="N687" t="n">
        <v>0</v>
      </c>
      <c r="O687" t="n">
        <v>0</v>
      </c>
      <c r="P687" t="n">
        <v>0</v>
      </c>
      <c r="Q687" t="n">
        <v>0</v>
      </c>
      <c r="R687" s="2" t="inlineStr"/>
    </row>
    <row r="688" ht="15" customHeight="1">
      <c r="A688" t="inlineStr">
        <is>
          <t>A 49962-2023</t>
        </is>
      </c>
      <c r="B688" s="1" t="n">
        <v>45215</v>
      </c>
      <c r="C688" s="1" t="n">
        <v>45584</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49966-2023</t>
        </is>
      </c>
      <c r="B689" s="1" t="n">
        <v>45215</v>
      </c>
      <c r="C689" s="1" t="n">
        <v>45584</v>
      </c>
      <c r="D689" t="inlineStr">
        <is>
          <t>GOTLANDS LÄN</t>
        </is>
      </c>
      <c r="E689" t="inlineStr">
        <is>
          <t>GOTLAND</t>
        </is>
      </c>
      <c r="G689" t="n">
        <v>5</v>
      </c>
      <c r="H689" t="n">
        <v>0</v>
      </c>
      <c r="I689" t="n">
        <v>0</v>
      </c>
      <c r="J689" t="n">
        <v>0</v>
      </c>
      <c r="K689" t="n">
        <v>0</v>
      </c>
      <c r="L689" t="n">
        <v>0</v>
      </c>
      <c r="M689" t="n">
        <v>0</v>
      </c>
      <c r="N689" t="n">
        <v>0</v>
      </c>
      <c r="O689" t="n">
        <v>0</v>
      </c>
      <c r="P689" t="n">
        <v>0</v>
      </c>
      <c r="Q689" t="n">
        <v>0</v>
      </c>
      <c r="R689" s="2" t="inlineStr"/>
    </row>
    <row r="690" ht="15" customHeight="1">
      <c r="A690" t="inlineStr">
        <is>
          <t>A 49964-2023</t>
        </is>
      </c>
      <c r="B690" s="1" t="n">
        <v>45215</v>
      </c>
      <c r="C690" s="1" t="n">
        <v>45584</v>
      </c>
      <c r="D690" t="inlineStr">
        <is>
          <t>GOTLANDS LÄN</t>
        </is>
      </c>
      <c r="E690" t="inlineStr">
        <is>
          <t>GOTLAND</t>
        </is>
      </c>
      <c r="G690" t="n">
        <v>3.1</v>
      </c>
      <c r="H690" t="n">
        <v>0</v>
      </c>
      <c r="I690" t="n">
        <v>0</v>
      </c>
      <c r="J690" t="n">
        <v>0</v>
      </c>
      <c r="K690" t="n">
        <v>0</v>
      </c>
      <c r="L690" t="n">
        <v>0</v>
      </c>
      <c r="M690" t="n">
        <v>0</v>
      </c>
      <c r="N690" t="n">
        <v>0</v>
      </c>
      <c r="O690" t="n">
        <v>0</v>
      </c>
      <c r="P690" t="n">
        <v>0</v>
      </c>
      <c r="Q690" t="n">
        <v>0</v>
      </c>
      <c r="R690" s="2" t="inlineStr"/>
    </row>
    <row r="691" ht="15" customHeight="1">
      <c r="A691" t="inlineStr">
        <is>
          <t>A 49968-2023</t>
        </is>
      </c>
      <c r="B691" s="1" t="n">
        <v>45215</v>
      </c>
      <c r="C691" s="1" t="n">
        <v>45584</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50566-2023</t>
        </is>
      </c>
      <c r="B692" s="1" t="n">
        <v>45217</v>
      </c>
      <c r="C692" s="1" t="n">
        <v>45584</v>
      </c>
      <c r="D692" t="inlineStr">
        <is>
          <t>GOTLANDS LÄN</t>
        </is>
      </c>
      <c r="E692" t="inlineStr">
        <is>
          <t>GOTLAND</t>
        </is>
      </c>
      <c r="G692" t="n">
        <v>5.8</v>
      </c>
      <c r="H692" t="n">
        <v>0</v>
      </c>
      <c r="I692" t="n">
        <v>0</v>
      </c>
      <c r="J692" t="n">
        <v>0</v>
      </c>
      <c r="K692" t="n">
        <v>0</v>
      </c>
      <c r="L692" t="n">
        <v>0</v>
      </c>
      <c r="M692" t="n">
        <v>0</v>
      </c>
      <c r="N692" t="n">
        <v>0</v>
      </c>
      <c r="O692" t="n">
        <v>0</v>
      </c>
      <c r="P692" t="n">
        <v>0</v>
      </c>
      <c r="Q692" t="n">
        <v>0</v>
      </c>
      <c r="R692" s="2" t="inlineStr"/>
    </row>
    <row r="693" ht="15" customHeight="1">
      <c r="A693" t="inlineStr">
        <is>
          <t>A 51035-2023</t>
        </is>
      </c>
      <c r="B693" s="1" t="n">
        <v>45218</v>
      </c>
      <c r="C693" s="1" t="n">
        <v>45584</v>
      </c>
      <c r="D693" t="inlineStr">
        <is>
          <t>GOTLANDS LÄN</t>
        </is>
      </c>
      <c r="E693" t="inlineStr">
        <is>
          <t>GOTLAND</t>
        </is>
      </c>
      <c r="G693" t="n">
        <v>1.3</v>
      </c>
      <c r="H693" t="n">
        <v>0</v>
      </c>
      <c r="I693" t="n">
        <v>0</v>
      </c>
      <c r="J693" t="n">
        <v>0</v>
      </c>
      <c r="K693" t="n">
        <v>0</v>
      </c>
      <c r="L693" t="n">
        <v>0</v>
      </c>
      <c r="M693" t="n">
        <v>0</v>
      </c>
      <c r="N693" t="n">
        <v>0</v>
      </c>
      <c r="O693" t="n">
        <v>0</v>
      </c>
      <c r="P693" t="n">
        <v>0</v>
      </c>
      <c r="Q693" t="n">
        <v>0</v>
      </c>
      <c r="R693" s="2" t="inlineStr"/>
    </row>
    <row r="694" ht="15" customHeight="1">
      <c r="A694" t="inlineStr">
        <is>
          <t>A 51782-2023</t>
        </is>
      </c>
      <c r="B694" s="1" t="n">
        <v>45222</v>
      </c>
      <c r="C694" s="1" t="n">
        <v>45584</v>
      </c>
      <c r="D694" t="inlineStr">
        <is>
          <t>GOTLANDS LÄN</t>
        </is>
      </c>
      <c r="E694" t="inlineStr">
        <is>
          <t>GOTLAND</t>
        </is>
      </c>
      <c r="G694" t="n">
        <v>1.2</v>
      </c>
      <c r="H694" t="n">
        <v>0</v>
      </c>
      <c r="I694" t="n">
        <v>0</v>
      </c>
      <c r="J694" t="n">
        <v>0</v>
      </c>
      <c r="K694" t="n">
        <v>0</v>
      </c>
      <c r="L694" t="n">
        <v>0</v>
      </c>
      <c r="M694" t="n">
        <v>0</v>
      </c>
      <c r="N694" t="n">
        <v>0</v>
      </c>
      <c r="O694" t="n">
        <v>0</v>
      </c>
      <c r="P694" t="n">
        <v>0</v>
      </c>
      <c r="Q694" t="n">
        <v>0</v>
      </c>
      <c r="R694" s="2" t="inlineStr"/>
    </row>
    <row r="695" ht="15" customHeight="1">
      <c r="A695" t="inlineStr">
        <is>
          <t>A 52684-2023</t>
        </is>
      </c>
      <c r="B695" s="1" t="n">
        <v>45225</v>
      </c>
      <c r="C695" s="1" t="n">
        <v>45584</v>
      </c>
      <c r="D695" t="inlineStr">
        <is>
          <t>GOTLANDS LÄN</t>
        </is>
      </c>
      <c r="E695" t="inlineStr">
        <is>
          <t>GOTLAND</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53913-2023</t>
        </is>
      </c>
      <c r="B696" s="1" t="n">
        <v>45231</v>
      </c>
      <c r="C696" s="1" t="n">
        <v>45584</v>
      </c>
      <c r="D696" t="inlineStr">
        <is>
          <t>GOTLANDS LÄN</t>
        </is>
      </c>
      <c r="E696" t="inlineStr">
        <is>
          <t>GOTLAND</t>
        </is>
      </c>
      <c r="G696" t="n">
        <v>6.2</v>
      </c>
      <c r="H696" t="n">
        <v>0</v>
      </c>
      <c r="I696" t="n">
        <v>0</v>
      </c>
      <c r="J696" t="n">
        <v>0</v>
      </c>
      <c r="K696" t="n">
        <v>0</v>
      </c>
      <c r="L696" t="n">
        <v>0</v>
      </c>
      <c r="M696" t="n">
        <v>0</v>
      </c>
      <c r="N696" t="n">
        <v>0</v>
      </c>
      <c r="O696" t="n">
        <v>0</v>
      </c>
      <c r="P696" t="n">
        <v>0</v>
      </c>
      <c r="Q696" t="n">
        <v>0</v>
      </c>
      <c r="R696" s="2" t="inlineStr"/>
    </row>
    <row r="697" ht="15" customHeight="1">
      <c r="A697" t="inlineStr">
        <is>
          <t>A 56115-2023</t>
        </is>
      </c>
      <c r="B697" s="1" t="n">
        <v>45236</v>
      </c>
      <c r="C697" s="1" t="n">
        <v>45584</v>
      </c>
      <c r="D697" t="inlineStr">
        <is>
          <t>GOTLANDS LÄN</t>
        </is>
      </c>
      <c r="E697" t="inlineStr">
        <is>
          <t>GOTLAND</t>
        </is>
      </c>
      <c r="G697" t="n">
        <v>2</v>
      </c>
      <c r="H697" t="n">
        <v>0</v>
      </c>
      <c r="I697" t="n">
        <v>0</v>
      </c>
      <c r="J697" t="n">
        <v>0</v>
      </c>
      <c r="K697" t="n">
        <v>0</v>
      </c>
      <c r="L697" t="n">
        <v>0</v>
      </c>
      <c r="M697" t="n">
        <v>0</v>
      </c>
      <c r="N697" t="n">
        <v>0</v>
      </c>
      <c r="O697" t="n">
        <v>0</v>
      </c>
      <c r="P697" t="n">
        <v>0</v>
      </c>
      <c r="Q697" t="n">
        <v>0</v>
      </c>
      <c r="R697" s="2" t="inlineStr"/>
    </row>
    <row r="698" ht="15" customHeight="1">
      <c r="A698" t="inlineStr">
        <is>
          <t>A 57356-2023</t>
        </is>
      </c>
      <c r="B698" s="1" t="n">
        <v>45240</v>
      </c>
      <c r="C698" s="1" t="n">
        <v>45584</v>
      </c>
      <c r="D698" t="inlineStr">
        <is>
          <t>GOTLANDS LÄN</t>
        </is>
      </c>
      <c r="E698" t="inlineStr">
        <is>
          <t>GOTLAND</t>
        </is>
      </c>
      <c r="G698" t="n">
        <v>6.4</v>
      </c>
      <c r="H698" t="n">
        <v>0</v>
      </c>
      <c r="I698" t="n">
        <v>0</v>
      </c>
      <c r="J698" t="n">
        <v>0</v>
      </c>
      <c r="K698" t="n">
        <v>0</v>
      </c>
      <c r="L698" t="n">
        <v>0</v>
      </c>
      <c r="M698" t="n">
        <v>0</v>
      </c>
      <c r="N698" t="n">
        <v>0</v>
      </c>
      <c r="O698" t="n">
        <v>0</v>
      </c>
      <c r="P698" t="n">
        <v>0</v>
      </c>
      <c r="Q698" t="n">
        <v>0</v>
      </c>
      <c r="R698" s="2" t="inlineStr"/>
    </row>
    <row r="699" ht="15" customHeight="1">
      <c r="A699" t="inlineStr">
        <is>
          <t>A 56303-2023</t>
        </is>
      </c>
      <c r="B699" s="1" t="n">
        <v>45242</v>
      </c>
      <c r="C699" s="1" t="n">
        <v>45584</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56568-2023</t>
        </is>
      </c>
      <c r="B700" s="1" t="n">
        <v>45243</v>
      </c>
      <c r="C700" s="1" t="n">
        <v>45584</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56877-2023</t>
        </is>
      </c>
      <c r="B701" s="1" t="n">
        <v>45244</v>
      </c>
      <c r="C701" s="1" t="n">
        <v>45584</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57573-2023</t>
        </is>
      </c>
      <c r="B702" s="1" t="n">
        <v>45246</v>
      </c>
      <c r="C702" s="1" t="n">
        <v>45584</v>
      </c>
      <c r="D702" t="inlineStr">
        <is>
          <t>GOTLANDS LÄN</t>
        </is>
      </c>
      <c r="E702" t="inlineStr">
        <is>
          <t>GOTLAND</t>
        </is>
      </c>
      <c r="G702" t="n">
        <v>1.7</v>
      </c>
      <c r="H702" t="n">
        <v>0</v>
      </c>
      <c r="I702" t="n">
        <v>0</v>
      </c>
      <c r="J702" t="n">
        <v>0</v>
      </c>
      <c r="K702" t="n">
        <v>0</v>
      </c>
      <c r="L702" t="n">
        <v>0</v>
      </c>
      <c r="M702" t="n">
        <v>0</v>
      </c>
      <c r="N702" t="n">
        <v>0</v>
      </c>
      <c r="O702" t="n">
        <v>0</v>
      </c>
      <c r="P702" t="n">
        <v>0</v>
      </c>
      <c r="Q702" t="n">
        <v>0</v>
      </c>
      <c r="R702" s="2" t="inlineStr"/>
    </row>
    <row r="703" ht="15" customHeight="1">
      <c r="A703" t="inlineStr">
        <is>
          <t>A 57652-2023</t>
        </is>
      </c>
      <c r="B703" s="1" t="n">
        <v>45246</v>
      </c>
      <c r="C703" s="1" t="n">
        <v>45584</v>
      </c>
      <c r="D703" t="inlineStr">
        <is>
          <t>GOTLANDS LÄN</t>
        </is>
      </c>
      <c r="E703" t="inlineStr">
        <is>
          <t>GOTLAND</t>
        </is>
      </c>
      <c r="G703" t="n">
        <v>7.2</v>
      </c>
      <c r="H703" t="n">
        <v>0</v>
      </c>
      <c r="I703" t="n">
        <v>0</v>
      </c>
      <c r="J703" t="n">
        <v>0</v>
      </c>
      <c r="K703" t="n">
        <v>0</v>
      </c>
      <c r="L703" t="n">
        <v>0</v>
      </c>
      <c r="M703" t="n">
        <v>0</v>
      </c>
      <c r="N703" t="n">
        <v>0</v>
      </c>
      <c r="O703" t="n">
        <v>0</v>
      </c>
      <c r="P703" t="n">
        <v>0</v>
      </c>
      <c r="Q703" t="n">
        <v>0</v>
      </c>
      <c r="R703" s="2" t="inlineStr"/>
    </row>
    <row r="704" ht="15" customHeight="1">
      <c r="A704" t="inlineStr">
        <is>
          <t>A 57765-2023</t>
        </is>
      </c>
      <c r="B704" s="1" t="n">
        <v>45246</v>
      </c>
      <c r="C704" s="1" t="n">
        <v>45584</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58132-2023</t>
        </is>
      </c>
      <c r="B705" s="1" t="n">
        <v>45250</v>
      </c>
      <c r="C705" s="1" t="n">
        <v>45584</v>
      </c>
      <c r="D705" t="inlineStr">
        <is>
          <t>GOTLANDS LÄN</t>
        </is>
      </c>
      <c r="E705" t="inlineStr">
        <is>
          <t>GOTLAND</t>
        </is>
      </c>
      <c r="G705" t="n">
        <v>3.1</v>
      </c>
      <c r="H705" t="n">
        <v>0</v>
      </c>
      <c r="I705" t="n">
        <v>0</v>
      </c>
      <c r="J705" t="n">
        <v>0</v>
      </c>
      <c r="K705" t="n">
        <v>0</v>
      </c>
      <c r="L705" t="n">
        <v>0</v>
      </c>
      <c r="M705" t="n">
        <v>0</v>
      </c>
      <c r="N705" t="n">
        <v>0</v>
      </c>
      <c r="O705" t="n">
        <v>0</v>
      </c>
      <c r="P705" t="n">
        <v>0</v>
      </c>
      <c r="Q705" t="n">
        <v>0</v>
      </c>
      <c r="R705" s="2" t="inlineStr"/>
    </row>
    <row r="706" ht="15" customHeight="1">
      <c r="A706" t="inlineStr">
        <is>
          <t>A 59559-2023</t>
        </is>
      </c>
      <c r="B706" s="1" t="n">
        <v>45254</v>
      </c>
      <c r="C706" s="1" t="n">
        <v>45584</v>
      </c>
      <c r="D706" t="inlineStr">
        <is>
          <t>GOTLANDS LÄN</t>
        </is>
      </c>
      <c r="E706" t="inlineStr">
        <is>
          <t>GOTLAND</t>
        </is>
      </c>
      <c r="G706" t="n">
        <v>1</v>
      </c>
      <c r="H706" t="n">
        <v>0</v>
      </c>
      <c r="I706" t="n">
        <v>0</v>
      </c>
      <c r="J706" t="n">
        <v>0</v>
      </c>
      <c r="K706" t="n">
        <v>0</v>
      </c>
      <c r="L706" t="n">
        <v>0</v>
      </c>
      <c r="M706" t="n">
        <v>0</v>
      </c>
      <c r="N706" t="n">
        <v>0</v>
      </c>
      <c r="O706" t="n">
        <v>0</v>
      </c>
      <c r="P706" t="n">
        <v>0</v>
      </c>
      <c r="Q706" t="n">
        <v>0</v>
      </c>
      <c r="R706" s="2" t="inlineStr"/>
    </row>
    <row r="707" ht="15" customHeight="1">
      <c r="A707" t="inlineStr">
        <is>
          <t>A 59554-2023</t>
        </is>
      </c>
      <c r="B707" s="1" t="n">
        <v>45254</v>
      </c>
      <c r="C707" s="1" t="n">
        <v>45584</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60269-2023</t>
        </is>
      </c>
      <c r="B708" s="1" t="n">
        <v>45258</v>
      </c>
      <c r="C708" s="1" t="n">
        <v>45584</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60273-2023</t>
        </is>
      </c>
      <c r="B709" s="1" t="n">
        <v>45258</v>
      </c>
      <c r="C709" s="1" t="n">
        <v>45584</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60709-2023</t>
        </is>
      </c>
      <c r="B710" s="1" t="n">
        <v>45260</v>
      </c>
      <c r="C710" s="1" t="n">
        <v>45584</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61175-2023</t>
        </is>
      </c>
      <c r="B711" s="1" t="n">
        <v>45263</v>
      </c>
      <c r="C711" s="1" t="n">
        <v>45584</v>
      </c>
      <c r="D711" t="inlineStr">
        <is>
          <t>GOTLANDS LÄN</t>
        </is>
      </c>
      <c r="E711" t="inlineStr">
        <is>
          <t>GOTLAND</t>
        </is>
      </c>
      <c r="G711" t="n">
        <v>0.9</v>
      </c>
      <c r="H711" t="n">
        <v>0</v>
      </c>
      <c r="I711" t="n">
        <v>0</v>
      </c>
      <c r="J711" t="n">
        <v>0</v>
      </c>
      <c r="K711" t="n">
        <v>0</v>
      </c>
      <c r="L711" t="n">
        <v>0</v>
      </c>
      <c r="M711" t="n">
        <v>0</v>
      </c>
      <c r="N711" t="n">
        <v>0</v>
      </c>
      <c r="O711" t="n">
        <v>0</v>
      </c>
      <c r="P711" t="n">
        <v>0</v>
      </c>
      <c r="Q711" t="n">
        <v>0</v>
      </c>
      <c r="R711" s="2" t="inlineStr"/>
    </row>
    <row r="712" ht="15" customHeight="1">
      <c r="A712" t="inlineStr">
        <is>
          <t>A 61386-2023</t>
        </is>
      </c>
      <c r="B712" s="1" t="n">
        <v>45264</v>
      </c>
      <c r="C712" s="1" t="n">
        <v>45584</v>
      </c>
      <c r="D712" t="inlineStr">
        <is>
          <t>GOTLANDS LÄN</t>
        </is>
      </c>
      <c r="E712" t="inlineStr">
        <is>
          <t>GOTLAND</t>
        </is>
      </c>
      <c r="G712" t="n">
        <v>0.7</v>
      </c>
      <c r="H712" t="n">
        <v>0</v>
      </c>
      <c r="I712" t="n">
        <v>0</v>
      </c>
      <c r="J712" t="n">
        <v>0</v>
      </c>
      <c r="K712" t="n">
        <v>0</v>
      </c>
      <c r="L712" t="n">
        <v>0</v>
      </c>
      <c r="M712" t="n">
        <v>0</v>
      </c>
      <c r="N712" t="n">
        <v>0</v>
      </c>
      <c r="O712" t="n">
        <v>0</v>
      </c>
      <c r="P712" t="n">
        <v>0</v>
      </c>
      <c r="Q712" t="n">
        <v>0</v>
      </c>
      <c r="R712" s="2" t="inlineStr"/>
    </row>
    <row r="713" ht="15" customHeight="1">
      <c r="A713" t="inlineStr">
        <is>
          <t>A 61694-2023</t>
        </is>
      </c>
      <c r="B713" s="1" t="n">
        <v>45264</v>
      </c>
      <c r="C713" s="1" t="n">
        <v>45584</v>
      </c>
      <c r="D713" t="inlineStr">
        <is>
          <t>GOTLANDS LÄN</t>
        </is>
      </c>
      <c r="E713" t="inlineStr">
        <is>
          <t>GOTLAND</t>
        </is>
      </c>
      <c r="G713" t="n">
        <v>4.6</v>
      </c>
      <c r="H713" t="n">
        <v>0</v>
      </c>
      <c r="I713" t="n">
        <v>0</v>
      </c>
      <c r="J713" t="n">
        <v>0</v>
      </c>
      <c r="K713" t="n">
        <v>0</v>
      </c>
      <c r="L713" t="n">
        <v>0</v>
      </c>
      <c r="M713" t="n">
        <v>0</v>
      </c>
      <c r="N713" t="n">
        <v>0</v>
      </c>
      <c r="O713" t="n">
        <v>0</v>
      </c>
      <c r="P713" t="n">
        <v>0</v>
      </c>
      <c r="Q713" t="n">
        <v>0</v>
      </c>
      <c r="R713" s="2" t="inlineStr"/>
    </row>
    <row r="714" ht="15" customHeight="1">
      <c r="A714" t="inlineStr">
        <is>
          <t>A 61596-2023</t>
        </is>
      </c>
      <c r="B714" s="1" t="n">
        <v>45265</v>
      </c>
      <c r="C714" s="1" t="n">
        <v>45584</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61634-2023</t>
        </is>
      </c>
      <c r="B715" s="1" t="n">
        <v>45265</v>
      </c>
      <c r="C715" s="1" t="n">
        <v>45584</v>
      </c>
      <c r="D715" t="inlineStr">
        <is>
          <t>GOTLANDS LÄN</t>
        </is>
      </c>
      <c r="E715" t="inlineStr">
        <is>
          <t>GOTLAND</t>
        </is>
      </c>
      <c r="G715" t="n">
        <v>7.4</v>
      </c>
      <c r="H715" t="n">
        <v>0</v>
      </c>
      <c r="I715" t="n">
        <v>0</v>
      </c>
      <c r="J715" t="n">
        <v>0</v>
      </c>
      <c r="K715" t="n">
        <v>0</v>
      </c>
      <c r="L715" t="n">
        <v>0</v>
      </c>
      <c r="M715" t="n">
        <v>0</v>
      </c>
      <c r="N715" t="n">
        <v>0</v>
      </c>
      <c r="O715" t="n">
        <v>0</v>
      </c>
      <c r="P715" t="n">
        <v>0</v>
      </c>
      <c r="Q715" t="n">
        <v>0</v>
      </c>
      <c r="R715" s="2" t="inlineStr"/>
    </row>
    <row r="716" ht="15" customHeight="1">
      <c r="A716" t="inlineStr">
        <is>
          <t>A 63246-2023</t>
        </is>
      </c>
      <c r="B716" s="1" t="n">
        <v>45273</v>
      </c>
      <c r="C716" s="1" t="n">
        <v>45584</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63303-2023</t>
        </is>
      </c>
      <c r="B717" s="1" t="n">
        <v>45274</v>
      </c>
      <c r="C717" s="1" t="n">
        <v>45584</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63516-2023</t>
        </is>
      </c>
      <c r="B718" s="1" t="n">
        <v>45274</v>
      </c>
      <c r="C718" s="1" t="n">
        <v>45584</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63773-2023</t>
        </is>
      </c>
      <c r="B719" s="1" t="n">
        <v>45278</v>
      </c>
      <c r="C719" s="1" t="n">
        <v>45584</v>
      </c>
      <c r="D719" t="inlineStr">
        <is>
          <t>GOTLANDS LÄN</t>
        </is>
      </c>
      <c r="E719" t="inlineStr">
        <is>
          <t>GOTLAND</t>
        </is>
      </c>
      <c r="G719" t="n">
        <v>8.5</v>
      </c>
      <c r="H719" t="n">
        <v>0</v>
      </c>
      <c r="I719" t="n">
        <v>0</v>
      </c>
      <c r="J719" t="n">
        <v>0</v>
      </c>
      <c r="K719" t="n">
        <v>0</v>
      </c>
      <c r="L719" t="n">
        <v>0</v>
      </c>
      <c r="M719" t="n">
        <v>0</v>
      </c>
      <c r="N719" t="n">
        <v>0</v>
      </c>
      <c r="O719" t="n">
        <v>0</v>
      </c>
      <c r="P719" t="n">
        <v>0</v>
      </c>
      <c r="Q719" t="n">
        <v>0</v>
      </c>
      <c r="R719" s="2" t="inlineStr"/>
    </row>
    <row r="720" ht="15" customHeight="1">
      <c r="A720" t="inlineStr">
        <is>
          <t>A 63763-2023</t>
        </is>
      </c>
      <c r="B720" s="1" t="n">
        <v>45278</v>
      </c>
      <c r="C720" s="1" t="n">
        <v>45584</v>
      </c>
      <c r="D720" t="inlineStr">
        <is>
          <t>GOTLANDS LÄN</t>
        </is>
      </c>
      <c r="E720" t="inlineStr">
        <is>
          <t>GOTLAND</t>
        </is>
      </c>
      <c r="G720" t="n">
        <v>0.5</v>
      </c>
      <c r="H720" t="n">
        <v>0</v>
      </c>
      <c r="I720" t="n">
        <v>0</v>
      </c>
      <c r="J720" t="n">
        <v>0</v>
      </c>
      <c r="K720" t="n">
        <v>0</v>
      </c>
      <c r="L720" t="n">
        <v>0</v>
      </c>
      <c r="M720" t="n">
        <v>0</v>
      </c>
      <c r="N720" t="n">
        <v>0</v>
      </c>
      <c r="O720" t="n">
        <v>0</v>
      </c>
      <c r="P720" t="n">
        <v>0</v>
      </c>
      <c r="Q720" t="n">
        <v>0</v>
      </c>
      <c r="R720" s="2" t="inlineStr"/>
    </row>
    <row r="721" ht="15" customHeight="1">
      <c r="A721" t="inlineStr">
        <is>
          <t>A 63996-2023</t>
        </is>
      </c>
      <c r="B721" s="1" t="n">
        <v>45278</v>
      </c>
      <c r="C721" s="1" t="n">
        <v>45584</v>
      </c>
      <c r="D721" t="inlineStr">
        <is>
          <t>GOTLANDS LÄN</t>
        </is>
      </c>
      <c r="E721" t="inlineStr">
        <is>
          <t>GOTLAND</t>
        </is>
      </c>
      <c r="G721" t="n">
        <v>3.8</v>
      </c>
      <c r="H721" t="n">
        <v>0</v>
      </c>
      <c r="I721" t="n">
        <v>0</v>
      </c>
      <c r="J721" t="n">
        <v>0</v>
      </c>
      <c r="K721" t="n">
        <v>0</v>
      </c>
      <c r="L721" t="n">
        <v>0</v>
      </c>
      <c r="M721" t="n">
        <v>0</v>
      </c>
      <c r="N721" t="n">
        <v>0</v>
      </c>
      <c r="O721" t="n">
        <v>0</v>
      </c>
      <c r="P721" t="n">
        <v>0</v>
      </c>
      <c r="Q721" t="n">
        <v>0</v>
      </c>
      <c r="R721" s="2" t="inlineStr"/>
    </row>
    <row r="722" ht="15" customHeight="1">
      <c r="A722" t="inlineStr">
        <is>
          <t>A 64555-2023</t>
        </is>
      </c>
      <c r="B722" s="1" t="n">
        <v>45281</v>
      </c>
      <c r="C722" s="1" t="n">
        <v>45584</v>
      </c>
      <c r="D722" t="inlineStr">
        <is>
          <t>GOTLANDS LÄN</t>
        </is>
      </c>
      <c r="E722" t="inlineStr">
        <is>
          <t>GOTLAND</t>
        </is>
      </c>
      <c r="G722" t="n">
        <v>3.5</v>
      </c>
      <c r="H722" t="n">
        <v>0</v>
      </c>
      <c r="I722" t="n">
        <v>0</v>
      </c>
      <c r="J722" t="n">
        <v>0</v>
      </c>
      <c r="K722" t="n">
        <v>0</v>
      </c>
      <c r="L722" t="n">
        <v>0</v>
      </c>
      <c r="M722" t="n">
        <v>0</v>
      </c>
      <c r="N722" t="n">
        <v>0</v>
      </c>
      <c r="O722" t="n">
        <v>0</v>
      </c>
      <c r="P722" t="n">
        <v>0</v>
      </c>
      <c r="Q722" t="n">
        <v>0</v>
      </c>
      <c r="R722" s="2" t="inlineStr"/>
    </row>
    <row r="723" ht="15" customHeight="1">
      <c r="A723" t="inlineStr">
        <is>
          <t>A 64660-2023</t>
        </is>
      </c>
      <c r="B723" s="1" t="n">
        <v>45281</v>
      </c>
      <c r="C723" s="1" t="n">
        <v>45584</v>
      </c>
      <c r="D723" t="inlineStr">
        <is>
          <t>GOTLANDS LÄN</t>
        </is>
      </c>
      <c r="E723" t="inlineStr">
        <is>
          <t>GOTLAND</t>
        </is>
      </c>
      <c r="G723" t="n">
        <v>6.3</v>
      </c>
      <c r="H723" t="n">
        <v>0</v>
      </c>
      <c r="I723" t="n">
        <v>0</v>
      </c>
      <c r="J723" t="n">
        <v>0</v>
      </c>
      <c r="K723" t="n">
        <v>0</v>
      </c>
      <c r="L723" t="n">
        <v>0</v>
      </c>
      <c r="M723" t="n">
        <v>0</v>
      </c>
      <c r="N723" t="n">
        <v>0</v>
      </c>
      <c r="O723" t="n">
        <v>0</v>
      </c>
      <c r="P723" t="n">
        <v>0</v>
      </c>
      <c r="Q723" t="n">
        <v>0</v>
      </c>
      <c r="R723" s="2" t="inlineStr"/>
    </row>
    <row r="724" ht="15" customHeight="1">
      <c r="A724" t="inlineStr">
        <is>
          <t>A 64831-2023</t>
        </is>
      </c>
      <c r="B724" s="1" t="n">
        <v>45282</v>
      </c>
      <c r="C724" s="1" t="n">
        <v>45584</v>
      </c>
      <c r="D724" t="inlineStr">
        <is>
          <t>GOTLANDS LÄN</t>
        </is>
      </c>
      <c r="E724" t="inlineStr">
        <is>
          <t>GOTLAND</t>
        </is>
      </c>
      <c r="G724" t="n">
        <v>1.9</v>
      </c>
      <c r="H724" t="n">
        <v>0</v>
      </c>
      <c r="I724" t="n">
        <v>0</v>
      </c>
      <c r="J724" t="n">
        <v>0</v>
      </c>
      <c r="K724" t="n">
        <v>0</v>
      </c>
      <c r="L724" t="n">
        <v>0</v>
      </c>
      <c r="M724" t="n">
        <v>0</v>
      </c>
      <c r="N724" t="n">
        <v>0</v>
      </c>
      <c r="O724" t="n">
        <v>0</v>
      </c>
      <c r="P724" t="n">
        <v>0</v>
      </c>
      <c r="Q724" t="n">
        <v>0</v>
      </c>
      <c r="R724" s="2" t="inlineStr"/>
    </row>
    <row r="725" ht="15" customHeight="1">
      <c r="A725" t="inlineStr">
        <is>
          <t>A 64838-2023</t>
        </is>
      </c>
      <c r="B725" s="1" t="n">
        <v>45282</v>
      </c>
      <c r="C725" s="1" t="n">
        <v>45584</v>
      </c>
      <c r="D725" t="inlineStr">
        <is>
          <t>GOTLANDS LÄN</t>
        </is>
      </c>
      <c r="E725" t="inlineStr">
        <is>
          <t>GOTLAND</t>
        </is>
      </c>
      <c r="G725" t="n">
        <v>7.5</v>
      </c>
      <c r="H725" t="n">
        <v>0</v>
      </c>
      <c r="I725" t="n">
        <v>0</v>
      </c>
      <c r="J725" t="n">
        <v>0</v>
      </c>
      <c r="K725" t="n">
        <v>0</v>
      </c>
      <c r="L725" t="n">
        <v>0</v>
      </c>
      <c r="M725" t="n">
        <v>0</v>
      </c>
      <c r="N725" t="n">
        <v>0</v>
      </c>
      <c r="O725" t="n">
        <v>0</v>
      </c>
      <c r="P725" t="n">
        <v>0</v>
      </c>
      <c r="Q725" t="n">
        <v>0</v>
      </c>
      <c r="R725" s="2" t="inlineStr"/>
    </row>
    <row r="726" ht="15" customHeight="1">
      <c r="A726" t="inlineStr">
        <is>
          <t>A 64969-2023</t>
        </is>
      </c>
      <c r="B726" s="1" t="n">
        <v>45284</v>
      </c>
      <c r="C726" s="1" t="n">
        <v>45584</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65088-2023</t>
        </is>
      </c>
      <c r="B727" s="1" t="n">
        <v>45287</v>
      </c>
      <c r="C727" s="1" t="n">
        <v>45584</v>
      </c>
      <c r="D727" t="inlineStr">
        <is>
          <t>GOTLANDS LÄN</t>
        </is>
      </c>
      <c r="E727" t="inlineStr">
        <is>
          <t>GOTLAND</t>
        </is>
      </c>
      <c r="G727" t="n">
        <v>2.5</v>
      </c>
      <c r="H727" t="n">
        <v>0</v>
      </c>
      <c r="I727" t="n">
        <v>0</v>
      </c>
      <c r="J727" t="n">
        <v>0</v>
      </c>
      <c r="K727" t="n">
        <v>0</v>
      </c>
      <c r="L727" t="n">
        <v>0</v>
      </c>
      <c r="M727" t="n">
        <v>0</v>
      </c>
      <c r="N727" t="n">
        <v>0</v>
      </c>
      <c r="O727" t="n">
        <v>0</v>
      </c>
      <c r="P727" t="n">
        <v>0</v>
      </c>
      <c r="Q727" t="n">
        <v>0</v>
      </c>
      <c r="R727" s="2" t="inlineStr"/>
    </row>
    <row r="728" ht="15" customHeight="1">
      <c r="A728" t="inlineStr">
        <is>
          <t>A 65097-2023</t>
        </is>
      </c>
      <c r="B728" s="1" t="n">
        <v>45287</v>
      </c>
      <c r="C728" s="1" t="n">
        <v>45584</v>
      </c>
      <c r="D728" t="inlineStr">
        <is>
          <t>GOTLANDS LÄN</t>
        </is>
      </c>
      <c r="E728" t="inlineStr">
        <is>
          <t>GOTLAND</t>
        </is>
      </c>
      <c r="G728" t="n">
        <v>15.4</v>
      </c>
      <c r="H728" t="n">
        <v>0</v>
      </c>
      <c r="I728" t="n">
        <v>0</v>
      </c>
      <c r="J728" t="n">
        <v>0</v>
      </c>
      <c r="K728" t="n">
        <v>0</v>
      </c>
      <c r="L728" t="n">
        <v>0</v>
      </c>
      <c r="M728" t="n">
        <v>0</v>
      </c>
      <c r="N728" t="n">
        <v>0</v>
      </c>
      <c r="O728" t="n">
        <v>0</v>
      </c>
      <c r="P728" t="n">
        <v>0</v>
      </c>
      <c r="Q728" t="n">
        <v>0</v>
      </c>
      <c r="R728" s="2" t="inlineStr"/>
    </row>
    <row r="729" ht="15" customHeight="1">
      <c r="A729" t="inlineStr">
        <is>
          <t>A 65249-2023</t>
        </is>
      </c>
      <c r="B729" s="1" t="n">
        <v>45290</v>
      </c>
      <c r="C729" s="1" t="n">
        <v>45584</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98-2024</t>
        </is>
      </c>
      <c r="B730" s="1" t="n">
        <v>45293</v>
      </c>
      <c r="C730" s="1" t="n">
        <v>45584</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450-2024</t>
        </is>
      </c>
      <c r="B731" s="1" t="n">
        <v>45296</v>
      </c>
      <c r="C731" s="1" t="n">
        <v>45584</v>
      </c>
      <c r="D731" t="inlineStr">
        <is>
          <t>GOTLANDS LÄN</t>
        </is>
      </c>
      <c r="E731" t="inlineStr">
        <is>
          <t>GOTLAND</t>
        </is>
      </c>
      <c r="G731" t="n">
        <v>10.1</v>
      </c>
      <c r="H731" t="n">
        <v>0</v>
      </c>
      <c r="I731" t="n">
        <v>0</v>
      </c>
      <c r="J731" t="n">
        <v>0</v>
      </c>
      <c r="K731" t="n">
        <v>0</v>
      </c>
      <c r="L731" t="n">
        <v>0</v>
      </c>
      <c r="M731" t="n">
        <v>0</v>
      </c>
      <c r="N731" t="n">
        <v>0</v>
      </c>
      <c r="O731" t="n">
        <v>0</v>
      </c>
      <c r="P731" t="n">
        <v>0</v>
      </c>
      <c r="Q731" t="n">
        <v>0</v>
      </c>
      <c r="R731" s="2" t="inlineStr"/>
    </row>
    <row r="732" ht="15" customHeight="1">
      <c r="A732" t="inlineStr">
        <is>
          <t>A 533-2024</t>
        </is>
      </c>
      <c r="B732" s="1" t="n">
        <v>45299</v>
      </c>
      <c r="C732" s="1" t="n">
        <v>45584</v>
      </c>
      <c r="D732" t="inlineStr">
        <is>
          <t>GOTLANDS LÄN</t>
        </is>
      </c>
      <c r="E732" t="inlineStr">
        <is>
          <t>GOTLAND</t>
        </is>
      </c>
      <c r="G732" t="n">
        <v>7.1</v>
      </c>
      <c r="H732" t="n">
        <v>0</v>
      </c>
      <c r="I732" t="n">
        <v>0</v>
      </c>
      <c r="J732" t="n">
        <v>0</v>
      </c>
      <c r="K732" t="n">
        <v>0</v>
      </c>
      <c r="L732" t="n">
        <v>0</v>
      </c>
      <c r="M732" t="n">
        <v>0</v>
      </c>
      <c r="N732" t="n">
        <v>0</v>
      </c>
      <c r="O732" t="n">
        <v>0</v>
      </c>
      <c r="P732" t="n">
        <v>0</v>
      </c>
      <c r="Q732" t="n">
        <v>0</v>
      </c>
      <c r="R732" s="2" t="inlineStr"/>
    </row>
    <row r="733" ht="15" customHeight="1">
      <c r="A733" t="inlineStr">
        <is>
          <t>A 796-2024</t>
        </is>
      </c>
      <c r="B733" s="1" t="n">
        <v>45300</v>
      </c>
      <c r="C733" s="1" t="n">
        <v>45584</v>
      </c>
      <c r="D733" t="inlineStr">
        <is>
          <t>GOTLANDS LÄN</t>
        </is>
      </c>
      <c r="E733" t="inlineStr">
        <is>
          <t>GOTLAND</t>
        </is>
      </c>
      <c r="G733" t="n">
        <v>0.8</v>
      </c>
      <c r="H733" t="n">
        <v>0</v>
      </c>
      <c r="I733" t="n">
        <v>0</v>
      </c>
      <c r="J733" t="n">
        <v>0</v>
      </c>
      <c r="K733" t="n">
        <v>0</v>
      </c>
      <c r="L733" t="n">
        <v>0</v>
      </c>
      <c r="M733" t="n">
        <v>0</v>
      </c>
      <c r="N733" t="n">
        <v>0</v>
      </c>
      <c r="O733" t="n">
        <v>0</v>
      </c>
      <c r="P733" t="n">
        <v>0</v>
      </c>
      <c r="Q733" t="n">
        <v>0</v>
      </c>
      <c r="R733" s="2" t="inlineStr"/>
    </row>
    <row r="734" ht="15" customHeight="1">
      <c r="A734" t="inlineStr">
        <is>
          <t>A 873-2024</t>
        </is>
      </c>
      <c r="B734" s="1" t="n">
        <v>45301</v>
      </c>
      <c r="C734" s="1" t="n">
        <v>45584</v>
      </c>
      <c r="D734" t="inlineStr">
        <is>
          <t>GOTLANDS LÄN</t>
        </is>
      </c>
      <c r="E734" t="inlineStr">
        <is>
          <t>GOTLAND</t>
        </is>
      </c>
      <c r="G734" t="n">
        <v>2.7</v>
      </c>
      <c r="H734" t="n">
        <v>0</v>
      </c>
      <c r="I734" t="n">
        <v>0</v>
      </c>
      <c r="J734" t="n">
        <v>0</v>
      </c>
      <c r="K734" t="n">
        <v>0</v>
      </c>
      <c r="L734" t="n">
        <v>0</v>
      </c>
      <c r="M734" t="n">
        <v>0</v>
      </c>
      <c r="N734" t="n">
        <v>0</v>
      </c>
      <c r="O734" t="n">
        <v>0</v>
      </c>
      <c r="P734" t="n">
        <v>0</v>
      </c>
      <c r="Q734" t="n">
        <v>0</v>
      </c>
      <c r="R734" s="2" t="inlineStr"/>
    </row>
    <row r="735" ht="15" customHeight="1">
      <c r="A735" t="inlineStr">
        <is>
          <t>A 876-2024</t>
        </is>
      </c>
      <c r="B735" s="1" t="n">
        <v>45301</v>
      </c>
      <c r="C735" s="1" t="n">
        <v>45584</v>
      </c>
      <c r="D735" t="inlineStr">
        <is>
          <t>GOTLANDS LÄN</t>
        </is>
      </c>
      <c r="E735" t="inlineStr">
        <is>
          <t>GOTLAND</t>
        </is>
      </c>
      <c r="G735" t="n">
        <v>5.3</v>
      </c>
      <c r="H735" t="n">
        <v>0</v>
      </c>
      <c r="I735" t="n">
        <v>0</v>
      </c>
      <c r="J735" t="n">
        <v>0</v>
      </c>
      <c r="K735" t="n">
        <v>0</v>
      </c>
      <c r="L735" t="n">
        <v>0</v>
      </c>
      <c r="M735" t="n">
        <v>0</v>
      </c>
      <c r="N735" t="n">
        <v>0</v>
      </c>
      <c r="O735" t="n">
        <v>0</v>
      </c>
      <c r="P735" t="n">
        <v>0</v>
      </c>
      <c r="Q735" t="n">
        <v>0</v>
      </c>
      <c r="R735" s="2" t="inlineStr"/>
    </row>
    <row r="736" ht="15" customHeight="1">
      <c r="A736" t="inlineStr">
        <is>
          <t>A 999-2024</t>
        </is>
      </c>
      <c r="B736" s="1" t="n">
        <v>45301</v>
      </c>
      <c r="C736" s="1" t="n">
        <v>45584</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1010-2024</t>
        </is>
      </c>
      <c r="B737" s="1" t="n">
        <v>45301</v>
      </c>
      <c r="C737" s="1" t="n">
        <v>45584</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1000-2024</t>
        </is>
      </c>
      <c r="B738" s="1" t="n">
        <v>45301</v>
      </c>
      <c r="C738" s="1" t="n">
        <v>45584</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1008-2024</t>
        </is>
      </c>
      <c r="B739" s="1" t="n">
        <v>45301</v>
      </c>
      <c r="C739" s="1" t="n">
        <v>45584</v>
      </c>
      <c r="D739" t="inlineStr">
        <is>
          <t>GOTLANDS LÄN</t>
        </is>
      </c>
      <c r="E739" t="inlineStr">
        <is>
          <t>GOTLAND</t>
        </is>
      </c>
      <c r="G739" t="n">
        <v>2.3</v>
      </c>
      <c r="H739" t="n">
        <v>0</v>
      </c>
      <c r="I739" t="n">
        <v>0</v>
      </c>
      <c r="J739" t="n">
        <v>0</v>
      </c>
      <c r="K739" t="n">
        <v>0</v>
      </c>
      <c r="L739" t="n">
        <v>0</v>
      </c>
      <c r="M739" t="n">
        <v>0</v>
      </c>
      <c r="N739" t="n">
        <v>0</v>
      </c>
      <c r="O739" t="n">
        <v>0</v>
      </c>
      <c r="P739" t="n">
        <v>0</v>
      </c>
      <c r="Q739" t="n">
        <v>0</v>
      </c>
      <c r="R739" s="2" t="inlineStr"/>
    </row>
    <row r="740" ht="15" customHeight="1">
      <c r="A740" t="inlineStr">
        <is>
          <t>A 1066-2024</t>
        </is>
      </c>
      <c r="B740" s="1" t="n">
        <v>45302</v>
      </c>
      <c r="C740" s="1" t="n">
        <v>45584</v>
      </c>
      <c r="D740" t="inlineStr">
        <is>
          <t>GOTLANDS LÄN</t>
        </is>
      </c>
      <c r="E740" t="inlineStr">
        <is>
          <t>GOTLAND</t>
        </is>
      </c>
      <c r="G740" t="n">
        <v>1.4</v>
      </c>
      <c r="H740" t="n">
        <v>0</v>
      </c>
      <c r="I740" t="n">
        <v>0</v>
      </c>
      <c r="J740" t="n">
        <v>0</v>
      </c>
      <c r="K740" t="n">
        <v>0</v>
      </c>
      <c r="L740" t="n">
        <v>0</v>
      </c>
      <c r="M740" t="n">
        <v>0</v>
      </c>
      <c r="N740" t="n">
        <v>0</v>
      </c>
      <c r="O740" t="n">
        <v>0</v>
      </c>
      <c r="P740" t="n">
        <v>0</v>
      </c>
      <c r="Q740" t="n">
        <v>0</v>
      </c>
      <c r="R740" s="2" t="inlineStr"/>
    </row>
    <row r="741" ht="15" customHeight="1">
      <c r="A741" t="inlineStr">
        <is>
          <t>A 1321-2024</t>
        </is>
      </c>
      <c r="B741" s="1" t="n">
        <v>45303</v>
      </c>
      <c r="C741" s="1" t="n">
        <v>45584</v>
      </c>
      <c r="D741" t="inlineStr">
        <is>
          <t>GOTLANDS LÄN</t>
        </is>
      </c>
      <c r="E741" t="inlineStr">
        <is>
          <t>GOTLAND</t>
        </is>
      </c>
      <c r="G741" t="n">
        <v>5.5</v>
      </c>
      <c r="H741" t="n">
        <v>0</v>
      </c>
      <c r="I741" t="n">
        <v>0</v>
      </c>
      <c r="J741" t="n">
        <v>0</v>
      </c>
      <c r="K741" t="n">
        <v>0</v>
      </c>
      <c r="L741" t="n">
        <v>0</v>
      </c>
      <c r="M741" t="n">
        <v>0</v>
      </c>
      <c r="N741" t="n">
        <v>0</v>
      </c>
      <c r="O741" t="n">
        <v>0</v>
      </c>
      <c r="P741" t="n">
        <v>0</v>
      </c>
      <c r="Q741" t="n">
        <v>0</v>
      </c>
      <c r="R741" s="2" t="inlineStr"/>
    </row>
    <row r="742" ht="15" customHeight="1">
      <c r="A742" t="inlineStr">
        <is>
          <t>A 1477-2024</t>
        </is>
      </c>
      <c r="B742" s="1" t="n">
        <v>45305</v>
      </c>
      <c r="C742" s="1" t="n">
        <v>45584</v>
      </c>
      <c r="D742" t="inlineStr">
        <is>
          <t>GOTLANDS LÄN</t>
        </is>
      </c>
      <c r="E742" t="inlineStr">
        <is>
          <t>GOTLAND</t>
        </is>
      </c>
      <c r="G742" t="n">
        <v>6.9</v>
      </c>
      <c r="H742" t="n">
        <v>0</v>
      </c>
      <c r="I742" t="n">
        <v>0</v>
      </c>
      <c r="J742" t="n">
        <v>0</v>
      </c>
      <c r="K742" t="n">
        <v>0</v>
      </c>
      <c r="L742" t="n">
        <v>0</v>
      </c>
      <c r="M742" t="n">
        <v>0</v>
      </c>
      <c r="N742" t="n">
        <v>0</v>
      </c>
      <c r="O742" t="n">
        <v>0</v>
      </c>
      <c r="P742" t="n">
        <v>0</v>
      </c>
      <c r="Q742" t="n">
        <v>0</v>
      </c>
      <c r="R742" s="2" t="inlineStr"/>
    </row>
    <row r="743" ht="15" customHeight="1">
      <c r="A743" t="inlineStr">
        <is>
          <t>A 2010-2024</t>
        </is>
      </c>
      <c r="B743" s="1" t="n">
        <v>45308</v>
      </c>
      <c r="C743" s="1" t="n">
        <v>45584</v>
      </c>
      <c r="D743" t="inlineStr">
        <is>
          <t>GOTLANDS LÄN</t>
        </is>
      </c>
      <c r="E743" t="inlineStr">
        <is>
          <t>GOTLAND</t>
        </is>
      </c>
      <c r="G743" t="n">
        <v>5.1</v>
      </c>
      <c r="H743" t="n">
        <v>0</v>
      </c>
      <c r="I743" t="n">
        <v>0</v>
      </c>
      <c r="J743" t="n">
        <v>0</v>
      </c>
      <c r="K743" t="n">
        <v>0</v>
      </c>
      <c r="L743" t="n">
        <v>0</v>
      </c>
      <c r="M743" t="n">
        <v>0</v>
      </c>
      <c r="N743" t="n">
        <v>0</v>
      </c>
      <c r="O743" t="n">
        <v>0</v>
      </c>
      <c r="P743" t="n">
        <v>0</v>
      </c>
      <c r="Q743" t="n">
        <v>0</v>
      </c>
      <c r="R743" s="2" t="inlineStr"/>
    </row>
    <row r="744" ht="15" customHeight="1">
      <c r="A744" t="inlineStr">
        <is>
          <t>A 2774-2024</t>
        </is>
      </c>
      <c r="B744" s="1" t="n">
        <v>45314</v>
      </c>
      <c r="C744" s="1" t="n">
        <v>45584</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2821-2024</t>
        </is>
      </c>
      <c r="B745" s="1" t="n">
        <v>45314</v>
      </c>
      <c r="C745" s="1" t="n">
        <v>45584</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2825-2024</t>
        </is>
      </c>
      <c r="B746" s="1" t="n">
        <v>45314</v>
      </c>
      <c r="C746" s="1" t="n">
        <v>45584</v>
      </c>
      <c r="D746" t="inlineStr">
        <is>
          <t>GOTLANDS LÄN</t>
        </is>
      </c>
      <c r="E746" t="inlineStr">
        <is>
          <t>GOTLAND</t>
        </is>
      </c>
      <c r="G746" t="n">
        <v>4.8</v>
      </c>
      <c r="H746" t="n">
        <v>0</v>
      </c>
      <c r="I746" t="n">
        <v>0</v>
      </c>
      <c r="J746" t="n">
        <v>0</v>
      </c>
      <c r="K746" t="n">
        <v>0</v>
      </c>
      <c r="L746" t="n">
        <v>0</v>
      </c>
      <c r="M746" t="n">
        <v>0</v>
      </c>
      <c r="N746" t="n">
        <v>0</v>
      </c>
      <c r="O746" t="n">
        <v>0</v>
      </c>
      <c r="P746" t="n">
        <v>0</v>
      </c>
      <c r="Q746" t="n">
        <v>0</v>
      </c>
      <c r="R746" s="2" t="inlineStr"/>
    </row>
    <row r="747" ht="15" customHeight="1">
      <c r="A747" t="inlineStr">
        <is>
          <t>A 2819-2024</t>
        </is>
      </c>
      <c r="B747" s="1" t="n">
        <v>45314</v>
      </c>
      <c r="C747" s="1" t="n">
        <v>45584</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3004-2024</t>
        </is>
      </c>
      <c r="B748" s="1" t="n">
        <v>45315</v>
      </c>
      <c r="C748" s="1" t="n">
        <v>45584</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3689-2024</t>
        </is>
      </c>
      <c r="B749" s="1" t="n">
        <v>45321</v>
      </c>
      <c r="C749" s="1" t="n">
        <v>45584</v>
      </c>
      <c r="D749" t="inlineStr">
        <is>
          <t>GOTLANDS LÄN</t>
        </is>
      </c>
      <c r="E749" t="inlineStr">
        <is>
          <t>GOTLAND</t>
        </is>
      </c>
      <c r="G749" t="n">
        <v>4.5</v>
      </c>
      <c r="H749" t="n">
        <v>0</v>
      </c>
      <c r="I749" t="n">
        <v>0</v>
      </c>
      <c r="J749" t="n">
        <v>0</v>
      </c>
      <c r="K749" t="n">
        <v>0</v>
      </c>
      <c r="L749" t="n">
        <v>0</v>
      </c>
      <c r="M749" t="n">
        <v>0</v>
      </c>
      <c r="N749" t="n">
        <v>0</v>
      </c>
      <c r="O749" t="n">
        <v>0</v>
      </c>
      <c r="P749" t="n">
        <v>0</v>
      </c>
      <c r="Q749" t="n">
        <v>0</v>
      </c>
      <c r="R749" s="2" t="inlineStr"/>
    </row>
    <row r="750" ht="15" customHeight="1">
      <c r="A750" t="inlineStr">
        <is>
          <t>A 3707-2024</t>
        </is>
      </c>
      <c r="B750" s="1" t="n">
        <v>45321</v>
      </c>
      <c r="C750" s="1" t="n">
        <v>45584</v>
      </c>
      <c r="D750" t="inlineStr">
        <is>
          <t>GOTLANDS LÄN</t>
        </is>
      </c>
      <c r="E750" t="inlineStr">
        <is>
          <t>GOTLAND</t>
        </is>
      </c>
      <c r="G750" t="n">
        <v>12.2</v>
      </c>
      <c r="H750" t="n">
        <v>0</v>
      </c>
      <c r="I750" t="n">
        <v>0</v>
      </c>
      <c r="J750" t="n">
        <v>0</v>
      </c>
      <c r="K750" t="n">
        <v>0</v>
      </c>
      <c r="L750" t="n">
        <v>0</v>
      </c>
      <c r="M750" t="n">
        <v>0</v>
      </c>
      <c r="N750" t="n">
        <v>0</v>
      </c>
      <c r="O750" t="n">
        <v>0</v>
      </c>
      <c r="P750" t="n">
        <v>0</v>
      </c>
      <c r="Q750" t="n">
        <v>0</v>
      </c>
      <c r="R750" s="2" t="inlineStr"/>
    </row>
    <row r="751" ht="15" customHeight="1">
      <c r="A751" t="inlineStr">
        <is>
          <t>A 3964-2024</t>
        </is>
      </c>
      <c r="B751" s="1" t="n">
        <v>45322</v>
      </c>
      <c r="C751" s="1" t="n">
        <v>45584</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4259-2024</t>
        </is>
      </c>
      <c r="B752" s="1" t="n">
        <v>45324</v>
      </c>
      <c r="C752" s="1" t="n">
        <v>45584</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4421-2024</t>
        </is>
      </c>
      <c r="B753" s="1" t="n">
        <v>45327</v>
      </c>
      <c r="C753" s="1" t="n">
        <v>45584</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4483-2024</t>
        </is>
      </c>
      <c r="B754" s="1" t="n">
        <v>45327</v>
      </c>
      <c r="C754" s="1" t="n">
        <v>45584</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4689-2024</t>
        </is>
      </c>
      <c r="B755" s="1" t="n">
        <v>45328</v>
      </c>
      <c r="C755" s="1" t="n">
        <v>45584</v>
      </c>
      <c r="D755" t="inlineStr">
        <is>
          <t>GOTLANDS LÄN</t>
        </is>
      </c>
      <c r="E755" t="inlineStr">
        <is>
          <t>GOTLAND</t>
        </is>
      </c>
      <c r="G755" t="n">
        <v>1.3</v>
      </c>
      <c r="H755" t="n">
        <v>0</v>
      </c>
      <c r="I755" t="n">
        <v>0</v>
      </c>
      <c r="J755" t="n">
        <v>0</v>
      </c>
      <c r="K755" t="n">
        <v>0</v>
      </c>
      <c r="L755" t="n">
        <v>0</v>
      </c>
      <c r="M755" t="n">
        <v>0</v>
      </c>
      <c r="N755" t="n">
        <v>0</v>
      </c>
      <c r="O755" t="n">
        <v>0</v>
      </c>
      <c r="P755" t="n">
        <v>0</v>
      </c>
      <c r="Q755" t="n">
        <v>0</v>
      </c>
      <c r="R755" s="2" t="inlineStr"/>
    </row>
    <row r="756" ht="15" customHeight="1">
      <c r="A756" t="inlineStr">
        <is>
          <t>A 4868-2024</t>
        </is>
      </c>
      <c r="B756" s="1" t="n">
        <v>45329</v>
      </c>
      <c r="C756" s="1" t="n">
        <v>45584</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5413-2024</t>
        </is>
      </c>
      <c r="B757" s="1" t="n">
        <v>45331</v>
      </c>
      <c r="C757" s="1" t="n">
        <v>45584</v>
      </c>
      <c r="D757" t="inlineStr">
        <is>
          <t>GOTLANDS LÄN</t>
        </is>
      </c>
      <c r="E757" t="inlineStr">
        <is>
          <t>GOTLAND</t>
        </is>
      </c>
      <c r="G757" t="n">
        <v>2</v>
      </c>
      <c r="H757" t="n">
        <v>0</v>
      </c>
      <c r="I757" t="n">
        <v>0</v>
      </c>
      <c r="J757" t="n">
        <v>0</v>
      </c>
      <c r="K757" t="n">
        <v>0</v>
      </c>
      <c r="L757" t="n">
        <v>0</v>
      </c>
      <c r="M757" t="n">
        <v>0</v>
      </c>
      <c r="N757" t="n">
        <v>0</v>
      </c>
      <c r="O757" t="n">
        <v>0</v>
      </c>
      <c r="P757" t="n">
        <v>0</v>
      </c>
      <c r="Q757" t="n">
        <v>0</v>
      </c>
      <c r="R757" s="2" t="inlineStr"/>
    </row>
    <row r="758" ht="15" customHeight="1">
      <c r="A758" t="inlineStr">
        <is>
          <t>A 5751-2024</t>
        </is>
      </c>
      <c r="B758" s="1" t="n">
        <v>45335</v>
      </c>
      <c r="C758" s="1" t="n">
        <v>45584</v>
      </c>
      <c r="D758" t="inlineStr">
        <is>
          <t>GOTLANDS LÄN</t>
        </is>
      </c>
      <c r="E758" t="inlineStr">
        <is>
          <t>GOTLAND</t>
        </is>
      </c>
      <c r="G758" t="n">
        <v>4.2</v>
      </c>
      <c r="H758" t="n">
        <v>0</v>
      </c>
      <c r="I758" t="n">
        <v>0</v>
      </c>
      <c r="J758" t="n">
        <v>0</v>
      </c>
      <c r="K758" t="n">
        <v>0</v>
      </c>
      <c r="L758" t="n">
        <v>0</v>
      </c>
      <c r="M758" t="n">
        <v>0</v>
      </c>
      <c r="N758" t="n">
        <v>0</v>
      </c>
      <c r="O758" t="n">
        <v>0</v>
      </c>
      <c r="P758" t="n">
        <v>0</v>
      </c>
      <c r="Q758" t="n">
        <v>0</v>
      </c>
      <c r="R758" s="2" t="inlineStr"/>
    </row>
    <row r="759" ht="15" customHeight="1">
      <c r="A759" t="inlineStr">
        <is>
          <t>A 5905-2024</t>
        </is>
      </c>
      <c r="B759" s="1" t="n">
        <v>45335</v>
      </c>
      <c r="C759" s="1" t="n">
        <v>45584</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5943-2024</t>
        </is>
      </c>
      <c r="B760" s="1" t="n">
        <v>45336</v>
      </c>
      <c r="C760" s="1" t="n">
        <v>45584</v>
      </c>
      <c r="D760" t="inlineStr">
        <is>
          <t>GOTLANDS LÄN</t>
        </is>
      </c>
      <c r="E760" t="inlineStr">
        <is>
          <t>GOTLAND</t>
        </is>
      </c>
      <c r="G760" t="n">
        <v>4.3</v>
      </c>
      <c r="H760" t="n">
        <v>0</v>
      </c>
      <c r="I760" t="n">
        <v>0</v>
      </c>
      <c r="J760" t="n">
        <v>0</v>
      </c>
      <c r="K760" t="n">
        <v>0</v>
      </c>
      <c r="L760" t="n">
        <v>0</v>
      </c>
      <c r="M760" t="n">
        <v>0</v>
      </c>
      <c r="N760" t="n">
        <v>0</v>
      </c>
      <c r="O760" t="n">
        <v>0</v>
      </c>
      <c r="P760" t="n">
        <v>0</v>
      </c>
      <c r="Q760" t="n">
        <v>0</v>
      </c>
      <c r="R760" s="2" t="inlineStr"/>
    </row>
    <row r="761" ht="15" customHeight="1">
      <c r="A761" t="inlineStr">
        <is>
          <t>A 6099-2024</t>
        </is>
      </c>
      <c r="B761" s="1" t="n">
        <v>45337</v>
      </c>
      <c r="C761" s="1" t="n">
        <v>45584</v>
      </c>
      <c r="D761" t="inlineStr">
        <is>
          <t>GOTLANDS LÄN</t>
        </is>
      </c>
      <c r="E761" t="inlineStr">
        <is>
          <t>GOTLAND</t>
        </is>
      </c>
      <c r="G761" t="n">
        <v>12.6</v>
      </c>
      <c r="H761" t="n">
        <v>0</v>
      </c>
      <c r="I761" t="n">
        <v>0</v>
      </c>
      <c r="J761" t="n">
        <v>0</v>
      </c>
      <c r="K761" t="n">
        <v>0</v>
      </c>
      <c r="L761" t="n">
        <v>0</v>
      </c>
      <c r="M761" t="n">
        <v>0</v>
      </c>
      <c r="N761" t="n">
        <v>0</v>
      </c>
      <c r="O761" t="n">
        <v>0</v>
      </c>
      <c r="P761" t="n">
        <v>0</v>
      </c>
      <c r="Q761" t="n">
        <v>0</v>
      </c>
      <c r="R761" s="2" t="inlineStr"/>
    </row>
    <row r="762" ht="15" customHeight="1">
      <c r="A762" t="inlineStr">
        <is>
          <t>A 6141-2024</t>
        </is>
      </c>
      <c r="B762" s="1" t="n">
        <v>45337</v>
      </c>
      <c r="C762" s="1" t="n">
        <v>45584</v>
      </c>
      <c r="D762" t="inlineStr">
        <is>
          <t>GOTLANDS LÄN</t>
        </is>
      </c>
      <c r="E762" t="inlineStr">
        <is>
          <t>GOTLAND</t>
        </is>
      </c>
      <c r="G762" t="n">
        <v>6.1</v>
      </c>
      <c r="H762" t="n">
        <v>0</v>
      </c>
      <c r="I762" t="n">
        <v>0</v>
      </c>
      <c r="J762" t="n">
        <v>0</v>
      </c>
      <c r="K762" t="n">
        <v>0</v>
      </c>
      <c r="L762" t="n">
        <v>0</v>
      </c>
      <c r="M762" t="n">
        <v>0</v>
      </c>
      <c r="N762" t="n">
        <v>0</v>
      </c>
      <c r="O762" t="n">
        <v>0</v>
      </c>
      <c r="P762" t="n">
        <v>0</v>
      </c>
      <c r="Q762" t="n">
        <v>0</v>
      </c>
      <c r="R762" s="2" t="inlineStr"/>
    </row>
    <row r="763" ht="15" customHeight="1">
      <c r="A763" t="inlineStr">
        <is>
          <t>A 6153-2024</t>
        </is>
      </c>
      <c r="B763" s="1" t="n">
        <v>45337</v>
      </c>
      <c r="C763" s="1" t="n">
        <v>45584</v>
      </c>
      <c r="D763" t="inlineStr">
        <is>
          <t>GOTLANDS LÄN</t>
        </is>
      </c>
      <c r="E763" t="inlineStr">
        <is>
          <t>GOTLAND</t>
        </is>
      </c>
      <c r="G763" t="n">
        <v>14.2</v>
      </c>
      <c r="H763" t="n">
        <v>0</v>
      </c>
      <c r="I763" t="n">
        <v>0</v>
      </c>
      <c r="J763" t="n">
        <v>0</v>
      </c>
      <c r="K763" t="n">
        <v>0</v>
      </c>
      <c r="L763" t="n">
        <v>0</v>
      </c>
      <c r="M763" t="n">
        <v>0</v>
      </c>
      <c r="N763" t="n">
        <v>0</v>
      </c>
      <c r="O763" t="n">
        <v>0</v>
      </c>
      <c r="P763" t="n">
        <v>0</v>
      </c>
      <c r="Q763" t="n">
        <v>0</v>
      </c>
      <c r="R763" s="2" t="inlineStr"/>
    </row>
    <row r="764" ht="15" customHeight="1">
      <c r="A764" t="inlineStr">
        <is>
          <t>A 6138-2024</t>
        </is>
      </c>
      <c r="B764" s="1" t="n">
        <v>45337</v>
      </c>
      <c r="C764" s="1" t="n">
        <v>45584</v>
      </c>
      <c r="D764" t="inlineStr">
        <is>
          <t>GOTLANDS LÄN</t>
        </is>
      </c>
      <c r="E764" t="inlineStr">
        <is>
          <t>GOTLAND</t>
        </is>
      </c>
      <c r="G764" t="n">
        <v>24.8</v>
      </c>
      <c r="H764" t="n">
        <v>0</v>
      </c>
      <c r="I764" t="n">
        <v>0</v>
      </c>
      <c r="J764" t="n">
        <v>0</v>
      </c>
      <c r="K764" t="n">
        <v>0</v>
      </c>
      <c r="L764" t="n">
        <v>0</v>
      </c>
      <c r="M764" t="n">
        <v>0</v>
      </c>
      <c r="N764" t="n">
        <v>0</v>
      </c>
      <c r="O764" t="n">
        <v>0</v>
      </c>
      <c r="P764" t="n">
        <v>0</v>
      </c>
      <c r="Q764" t="n">
        <v>0</v>
      </c>
      <c r="R764" s="2" t="inlineStr"/>
    </row>
    <row r="765" ht="15" customHeight="1">
      <c r="A765" t="inlineStr">
        <is>
          <t>A 7497-2024</t>
        </is>
      </c>
      <c r="B765" s="1" t="n">
        <v>45347</v>
      </c>
      <c r="C765" s="1" t="n">
        <v>45584</v>
      </c>
      <c r="D765" t="inlineStr">
        <is>
          <t>GOTLANDS LÄN</t>
        </is>
      </c>
      <c r="E765" t="inlineStr">
        <is>
          <t>GOTLAND</t>
        </is>
      </c>
      <c r="G765" t="n">
        <v>18.5</v>
      </c>
      <c r="H765" t="n">
        <v>0</v>
      </c>
      <c r="I765" t="n">
        <v>0</v>
      </c>
      <c r="J765" t="n">
        <v>0</v>
      </c>
      <c r="K765" t="n">
        <v>0</v>
      </c>
      <c r="L765" t="n">
        <v>0</v>
      </c>
      <c r="M765" t="n">
        <v>0</v>
      </c>
      <c r="N765" t="n">
        <v>0</v>
      </c>
      <c r="O765" t="n">
        <v>0</v>
      </c>
      <c r="P765" t="n">
        <v>0</v>
      </c>
      <c r="Q765" t="n">
        <v>0</v>
      </c>
      <c r="R765" s="2" t="inlineStr"/>
    </row>
    <row r="766" ht="15" customHeight="1">
      <c r="A766" t="inlineStr">
        <is>
          <t>A 7837-2024</t>
        </is>
      </c>
      <c r="B766" s="1" t="n">
        <v>45349</v>
      </c>
      <c r="C766" s="1" t="n">
        <v>45584</v>
      </c>
      <c r="D766" t="inlineStr">
        <is>
          <t>GOTLANDS LÄN</t>
        </is>
      </c>
      <c r="E766" t="inlineStr">
        <is>
          <t>GOTLAND</t>
        </is>
      </c>
      <c r="G766" t="n">
        <v>5</v>
      </c>
      <c r="H766" t="n">
        <v>0</v>
      </c>
      <c r="I766" t="n">
        <v>0</v>
      </c>
      <c r="J766" t="n">
        <v>0</v>
      </c>
      <c r="K766" t="n">
        <v>0</v>
      </c>
      <c r="L766" t="n">
        <v>0</v>
      </c>
      <c r="M766" t="n">
        <v>0</v>
      </c>
      <c r="N766" t="n">
        <v>0</v>
      </c>
      <c r="O766" t="n">
        <v>0</v>
      </c>
      <c r="P766" t="n">
        <v>0</v>
      </c>
      <c r="Q766" t="n">
        <v>0</v>
      </c>
      <c r="R766" s="2" t="inlineStr"/>
    </row>
    <row r="767" ht="15" customHeight="1">
      <c r="A767" t="inlineStr">
        <is>
          <t>A 7835-2024</t>
        </is>
      </c>
      <c r="B767" s="1" t="n">
        <v>45349</v>
      </c>
      <c r="C767" s="1" t="n">
        <v>45584</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8460-2024</t>
        </is>
      </c>
      <c r="B768" s="1" t="n">
        <v>45355</v>
      </c>
      <c r="C768" s="1" t="n">
        <v>45584</v>
      </c>
      <c r="D768" t="inlineStr">
        <is>
          <t>GOTLANDS LÄN</t>
        </is>
      </c>
      <c r="E768" t="inlineStr">
        <is>
          <t>GOTLAND</t>
        </is>
      </c>
      <c r="G768" t="n">
        <v>2.6</v>
      </c>
      <c r="H768" t="n">
        <v>0</v>
      </c>
      <c r="I768" t="n">
        <v>0</v>
      </c>
      <c r="J768" t="n">
        <v>0</v>
      </c>
      <c r="K768" t="n">
        <v>0</v>
      </c>
      <c r="L768" t="n">
        <v>0</v>
      </c>
      <c r="M768" t="n">
        <v>0</v>
      </c>
      <c r="N768" t="n">
        <v>0</v>
      </c>
      <c r="O768" t="n">
        <v>0</v>
      </c>
      <c r="P768" t="n">
        <v>0</v>
      </c>
      <c r="Q768" t="n">
        <v>0</v>
      </c>
      <c r="R768" s="2" t="inlineStr"/>
    </row>
    <row r="769" ht="15" customHeight="1">
      <c r="A769" t="inlineStr">
        <is>
          <t>A 9947-2024</t>
        </is>
      </c>
      <c r="B769" s="1" t="n">
        <v>45363</v>
      </c>
      <c r="C769" s="1" t="n">
        <v>45584</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10051-2024</t>
        </is>
      </c>
      <c r="B770" s="1" t="n">
        <v>45364</v>
      </c>
      <c r="C770" s="1" t="n">
        <v>45584</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10503-2024</t>
        </is>
      </c>
      <c r="B771" s="1" t="n">
        <v>45366</v>
      </c>
      <c r="C771" s="1" t="n">
        <v>45584</v>
      </c>
      <c r="D771" t="inlineStr">
        <is>
          <t>GOTLANDS LÄN</t>
        </is>
      </c>
      <c r="E771" t="inlineStr">
        <is>
          <t>GOTLAND</t>
        </is>
      </c>
      <c r="G771" t="n">
        <v>2.5</v>
      </c>
      <c r="H771" t="n">
        <v>0</v>
      </c>
      <c r="I771" t="n">
        <v>0</v>
      </c>
      <c r="J771" t="n">
        <v>0</v>
      </c>
      <c r="K771" t="n">
        <v>0</v>
      </c>
      <c r="L771" t="n">
        <v>0</v>
      </c>
      <c r="M771" t="n">
        <v>0</v>
      </c>
      <c r="N771" t="n">
        <v>0</v>
      </c>
      <c r="O771" t="n">
        <v>0</v>
      </c>
      <c r="P771" t="n">
        <v>0</v>
      </c>
      <c r="Q771" t="n">
        <v>0</v>
      </c>
      <c r="R771" s="2" t="inlineStr"/>
    </row>
    <row r="772" ht="15" customHeight="1">
      <c r="A772" t="inlineStr">
        <is>
          <t>A 10656-2024</t>
        </is>
      </c>
      <c r="B772" s="1" t="n">
        <v>45368</v>
      </c>
      <c r="C772" s="1" t="n">
        <v>45584</v>
      </c>
      <c r="D772" t="inlineStr">
        <is>
          <t>GOTLANDS LÄN</t>
        </is>
      </c>
      <c r="E772" t="inlineStr">
        <is>
          <t>GOTLAND</t>
        </is>
      </c>
      <c r="G772" t="n">
        <v>1.5</v>
      </c>
      <c r="H772" t="n">
        <v>0</v>
      </c>
      <c r="I772" t="n">
        <v>0</v>
      </c>
      <c r="J772" t="n">
        <v>0</v>
      </c>
      <c r="K772" t="n">
        <v>0</v>
      </c>
      <c r="L772" t="n">
        <v>0</v>
      </c>
      <c r="M772" t="n">
        <v>0</v>
      </c>
      <c r="N772" t="n">
        <v>0</v>
      </c>
      <c r="O772" t="n">
        <v>0</v>
      </c>
      <c r="P772" t="n">
        <v>0</v>
      </c>
      <c r="Q772" t="n">
        <v>0</v>
      </c>
      <c r="R772" s="2" t="inlineStr"/>
    </row>
    <row r="773" ht="15" customHeight="1">
      <c r="A773" t="inlineStr">
        <is>
          <t>A 11013-2024</t>
        </is>
      </c>
      <c r="B773" s="1" t="n">
        <v>45370</v>
      </c>
      <c r="C773" s="1" t="n">
        <v>45584</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11254-2024</t>
        </is>
      </c>
      <c r="B774" s="1" t="n">
        <v>45371</v>
      </c>
      <c r="C774" s="1" t="n">
        <v>45584</v>
      </c>
      <c r="D774" t="inlineStr">
        <is>
          <t>GOTLANDS LÄN</t>
        </is>
      </c>
      <c r="E774" t="inlineStr">
        <is>
          <t>GOTLAND</t>
        </is>
      </c>
      <c r="G774" t="n">
        <v>5.6</v>
      </c>
      <c r="H774" t="n">
        <v>0</v>
      </c>
      <c r="I774" t="n">
        <v>0</v>
      </c>
      <c r="J774" t="n">
        <v>0</v>
      </c>
      <c r="K774" t="n">
        <v>0</v>
      </c>
      <c r="L774" t="n">
        <v>0</v>
      </c>
      <c r="M774" t="n">
        <v>0</v>
      </c>
      <c r="N774" t="n">
        <v>0</v>
      </c>
      <c r="O774" t="n">
        <v>0</v>
      </c>
      <c r="P774" t="n">
        <v>0</v>
      </c>
      <c r="Q774" t="n">
        <v>0</v>
      </c>
      <c r="R774" s="2" t="inlineStr"/>
    </row>
    <row r="775" ht="15" customHeight="1">
      <c r="A775" t="inlineStr">
        <is>
          <t>A 11634-2024</t>
        </is>
      </c>
      <c r="B775" s="1" t="n">
        <v>45373</v>
      </c>
      <c r="C775" s="1" t="n">
        <v>45584</v>
      </c>
      <c r="D775" t="inlineStr">
        <is>
          <t>GOTLANDS LÄN</t>
        </is>
      </c>
      <c r="E775" t="inlineStr">
        <is>
          <t>GOTLAND</t>
        </is>
      </c>
      <c r="G775" t="n">
        <v>3</v>
      </c>
      <c r="H775" t="n">
        <v>0</v>
      </c>
      <c r="I775" t="n">
        <v>0</v>
      </c>
      <c r="J775" t="n">
        <v>0</v>
      </c>
      <c r="K775" t="n">
        <v>0</v>
      </c>
      <c r="L775" t="n">
        <v>0</v>
      </c>
      <c r="M775" t="n">
        <v>0</v>
      </c>
      <c r="N775" t="n">
        <v>0</v>
      </c>
      <c r="O775" t="n">
        <v>0</v>
      </c>
      <c r="P775" t="n">
        <v>0</v>
      </c>
      <c r="Q775" t="n">
        <v>0</v>
      </c>
      <c r="R775" s="2" t="inlineStr"/>
    </row>
    <row r="776" ht="15" customHeight="1">
      <c r="A776" t="inlineStr">
        <is>
          <t>A 11722-2024</t>
        </is>
      </c>
      <c r="B776" s="1" t="n">
        <v>45373</v>
      </c>
      <c r="C776" s="1" t="n">
        <v>45584</v>
      </c>
      <c r="D776" t="inlineStr">
        <is>
          <t>GOTLANDS LÄN</t>
        </is>
      </c>
      <c r="E776" t="inlineStr">
        <is>
          <t>GOTLAND</t>
        </is>
      </c>
      <c r="G776" t="n">
        <v>0.9</v>
      </c>
      <c r="H776" t="n">
        <v>0</v>
      </c>
      <c r="I776" t="n">
        <v>0</v>
      </c>
      <c r="J776" t="n">
        <v>0</v>
      </c>
      <c r="K776" t="n">
        <v>0</v>
      </c>
      <c r="L776" t="n">
        <v>0</v>
      </c>
      <c r="M776" t="n">
        <v>0</v>
      </c>
      <c r="N776" t="n">
        <v>0</v>
      </c>
      <c r="O776" t="n">
        <v>0</v>
      </c>
      <c r="P776" t="n">
        <v>0</v>
      </c>
      <c r="Q776" t="n">
        <v>0</v>
      </c>
      <c r="R776" s="2" t="inlineStr"/>
    </row>
    <row r="777" ht="15" customHeight="1">
      <c r="A777" t="inlineStr">
        <is>
          <t>A 11590-2024</t>
        </is>
      </c>
      <c r="B777" s="1" t="n">
        <v>45373</v>
      </c>
      <c r="C777" s="1" t="n">
        <v>45584</v>
      </c>
      <c r="D777" t="inlineStr">
        <is>
          <t>GOTLANDS LÄN</t>
        </is>
      </c>
      <c r="E777" t="inlineStr">
        <is>
          <t>GOTLAND</t>
        </is>
      </c>
      <c r="G777" t="n">
        <v>2.9</v>
      </c>
      <c r="H777" t="n">
        <v>0</v>
      </c>
      <c r="I777" t="n">
        <v>0</v>
      </c>
      <c r="J777" t="n">
        <v>0</v>
      </c>
      <c r="K777" t="n">
        <v>0</v>
      </c>
      <c r="L777" t="n">
        <v>0</v>
      </c>
      <c r="M777" t="n">
        <v>0</v>
      </c>
      <c r="N777" t="n">
        <v>0</v>
      </c>
      <c r="O777" t="n">
        <v>0</v>
      </c>
      <c r="P777" t="n">
        <v>0</v>
      </c>
      <c r="Q777" t="n">
        <v>0</v>
      </c>
      <c r="R777" s="2" t="inlineStr"/>
    </row>
    <row r="778" ht="15" customHeight="1">
      <c r="A778" t="inlineStr">
        <is>
          <t>A 11598-2024</t>
        </is>
      </c>
      <c r="B778" s="1" t="n">
        <v>45373</v>
      </c>
      <c r="C778" s="1" t="n">
        <v>45584</v>
      </c>
      <c r="D778" t="inlineStr">
        <is>
          <t>GOTLANDS LÄN</t>
        </is>
      </c>
      <c r="E778" t="inlineStr">
        <is>
          <t>GOTLAND</t>
        </is>
      </c>
      <c r="G778" t="n">
        <v>0.3</v>
      </c>
      <c r="H778" t="n">
        <v>0</v>
      </c>
      <c r="I778" t="n">
        <v>0</v>
      </c>
      <c r="J778" t="n">
        <v>0</v>
      </c>
      <c r="K778" t="n">
        <v>0</v>
      </c>
      <c r="L778" t="n">
        <v>0</v>
      </c>
      <c r="M778" t="n">
        <v>0</v>
      </c>
      <c r="N778" t="n">
        <v>0</v>
      </c>
      <c r="O778" t="n">
        <v>0</v>
      </c>
      <c r="P778" t="n">
        <v>0</v>
      </c>
      <c r="Q778" t="n">
        <v>0</v>
      </c>
      <c r="R778" s="2" t="inlineStr"/>
    </row>
    <row r="779" ht="15" customHeight="1">
      <c r="A779" t="inlineStr">
        <is>
          <t>A 11863-2024</t>
        </is>
      </c>
      <c r="B779" s="1" t="n">
        <v>45376</v>
      </c>
      <c r="C779" s="1" t="n">
        <v>45584</v>
      </c>
      <c r="D779" t="inlineStr">
        <is>
          <t>GOTLANDS LÄN</t>
        </is>
      </c>
      <c r="E779" t="inlineStr">
        <is>
          <t>GOTLAND</t>
        </is>
      </c>
      <c r="G779" t="n">
        <v>3.2</v>
      </c>
      <c r="H779" t="n">
        <v>0</v>
      </c>
      <c r="I779" t="n">
        <v>0</v>
      </c>
      <c r="J779" t="n">
        <v>0</v>
      </c>
      <c r="K779" t="n">
        <v>0</v>
      </c>
      <c r="L779" t="n">
        <v>0</v>
      </c>
      <c r="M779" t="n">
        <v>0</v>
      </c>
      <c r="N779" t="n">
        <v>0</v>
      </c>
      <c r="O779" t="n">
        <v>0</v>
      </c>
      <c r="P779" t="n">
        <v>0</v>
      </c>
      <c r="Q779" t="n">
        <v>0</v>
      </c>
      <c r="R779" s="2" t="inlineStr"/>
    </row>
    <row r="780" ht="15" customHeight="1">
      <c r="A780" t="inlineStr">
        <is>
          <t>A 11868-2024</t>
        </is>
      </c>
      <c r="B780" s="1" t="n">
        <v>45376</v>
      </c>
      <c r="C780" s="1" t="n">
        <v>45584</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11874-2024</t>
        </is>
      </c>
      <c r="B781" s="1" t="n">
        <v>45376</v>
      </c>
      <c r="C781" s="1" t="n">
        <v>45584</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12208-2024</t>
        </is>
      </c>
      <c r="B782" s="1" t="n">
        <v>45378</v>
      </c>
      <c r="C782" s="1" t="n">
        <v>45584</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12210-2024</t>
        </is>
      </c>
      <c r="B783" s="1" t="n">
        <v>45378</v>
      </c>
      <c r="C783" s="1" t="n">
        <v>45584</v>
      </c>
      <c r="D783" t="inlineStr">
        <is>
          <t>GOTLANDS LÄN</t>
        </is>
      </c>
      <c r="E783" t="inlineStr">
        <is>
          <t>GOTLAND</t>
        </is>
      </c>
      <c r="G783" t="n">
        <v>4.1</v>
      </c>
      <c r="H783" t="n">
        <v>0</v>
      </c>
      <c r="I783" t="n">
        <v>0</v>
      </c>
      <c r="J783" t="n">
        <v>0</v>
      </c>
      <c r="K783" t="n">
        <v>0</v>
      </c>
      <c r="L783" t="n">
        <v>0</v>
      </c>
      <c r="M783" t="n">
        <v>0</v>
      </c>
      <c r="N783" t="n">
        <v>0</v>
      </c>
      <c r="O783" t="n">
        <v>0</v>
      </c>
      <c r="P783" t="n">
        <v>0</v>
      </c>
      <c r="Q783" t="n">
        <v>0</v>
      </c>
      <c r="R783" s="2" t="inlineStr"/>
    </row>
    <row r="784" ht="15" customHeight="1">
      <c r="A784" t="inlineStr">
        <is>
          <t>A 12207-2024</t>
        </is>
      </c>
      <c r="B784" s="1" t="n">
        <v>45378</v>
      </c>
      <c r="C784" s="1" t="n">
        <v>45584</v>
      </c>
      <c r="D784" t="inlineStr">
        <is>
          <t>GOTLANDS LÄN</t>
        </is>
      </c>
      <c r="E784" t="inlineStr">
        <is>
          <t>GOTLAND</t>
        </is>
      </c>
      <c r="G784" t="n">
        <v>3.9</v>
      </c>
      <c r="H784" t="n">
        <v>0</v>
      </c>
      <c r="I784" t="n">
        <v>0</v>
      </c>
      <c r="J784" t="n">
        <v>0</v>
      </c>
      <c r="K784" t="n">
        <v>0</v>
      </c>
      <c r="L784" t="n">
        <v>0</v>
      </c>
      <c r="M784" t="n">
        <v>0</v>
      </c>
      <c r="N784" t="n">
        <v>0</v>
      </c>
      <c r="O784" t="n">
        <v>0</v>
      </c>
      <c r="P784" t="n">
        <v>0</v>
      </c>
      <c r="Q784" t="n">
        <v>0</v>
      </c>
      <c r="R784" s="2" t="inlineStr"/>
    </row>
    <row r="785" ht="15" customHeight="1">
      <c r="A785" t="inlineStr">
        <is>
          <t>A 12209-2024</t>
        </is>
      </c>
      <c r="B785" s="1" t="n">
        <v>45378</v>
      </c>
      <c r="C785" s="1" t="n">
        <v>45584</v>
      </c>
      <c r="D785" t="inlineStr">
        <is>
          <t>GOTLANDS LÄN</t>
        </is>
      </c>
      <c r="E785" t="inlineStr">
        <is>
          <t>GOTLAND</t>
        </is>
      </c>
      <c r="G785" t="n">
        <v>5.3</v>
      </c>
      <c r="H785" t="n">
        <v>0</v>
      </c>
      <c r="I785" t="n">
        <v>0</v>
      </c>
      <c r="J785" t="n">
        <v>0</v>
      </c>
      <c r="K785" t="n">
        <v>0</v>
      </c>
      <c r="L785" t="n">
        <v>0</v>
      </c>
      <c r="M785" t="n">
        <v>0</v>
      </c>
      <c r="N785" t="n">
        <v>0</v>
      </c>
      <c r="O785" t="n">
        <v>0</v>
      </c>
      <c r="P785" t="n">
        <v>0</v>
      </c>
      <c r="Q785" t="n">
        <v>0</v>
      </c>
      <c r="R785" s="2" t="inlineStr"/>
    </row>
    <row r="786" ht="15" customHeight="1">
      <c r="A786" t="inlineStr">
        <is>
          <t>A 12312-2024</t>
        </is>
      </c>
      <c r="B786" s="1" t="n">
        <v>45378</v>
      </c>
      <c r="C786" s="1" t="n">
        <v>45584</v>
      </c>
      <c r="D786" t="inlineStr">
        <is>
          <t>GOTLANDS LÄN</t>
        </is>
      </c>
      <c r="E786" t="inlineStr">
        <is>
          <t>GOTLAND</t>
        </is>
      </c>
      <c r="G786" t="n">
        <v>1.8</v>
      </c>
      <c r="H786" t="n">
        <v>0</v>
      </c>
      <c r="I786" t="n">
        <v>0</v>
      </c>
      <c r="J786" t="n">
        <v>0</v>
      </c>
      <c r="K786" t="n">
        <v>0</v>
      </c>
      <c r="L786" t="n">
        <v>0</v>
      </c>
      <c r="M786" t="n">
        <v>0</v>
      </c>
      <c r="N786" t="n">
        <v>0</v>
      </c>
      <c r="O786" t="n">
        <v>0</v>
      </c>
      <c r="P786" t="n">
        <v>0</v>
      </c>
      <c r="Q786" t="n">
        <v>0</v>
      </c>
      <c r="R786" s="2" t="inlineStr"/>
    </row>
    <row r="787" ht="15" customHeight="1">
      <c r="A787" t="inlineStr">
        <is>
          <t>A 12389-2024</t>
        </is>
      </c>
      <c r="B787" s="1" t="n">
        <v>45379</v>
      </c>
      <c r="C787" s="1" t="n">
        <v>45584</v>
      </c>
      <c r="D787" t="inlineStr">
        <is>
          <t>GOTLANDS LÄN</t>
        </is>
      </c>
      <c r="E787" t="inlineStr">
        <is>
          <t>GOTLAND</t>
        </is>
      </c>
      <c r="G787" t="n">
        <v>6.4</v>
      </c>
      <c r="H787" t="n">
        <v>0</v>
      </c>
      <c r="I787" t="n">
        <v>0</v>
      </c>
      <c r="J787" t="n">
        <v>0</v>
      </c>
      <c r="K787" t="n">
        <v>0</v>
      </c>
      <c r="L787" t="n">
        <v>0</v>
      </c>
      <c r="M787" t="n">
        <v>0</v>
      </c>
      <c r="N787" t="n">
        <v>0</v>
      </c>
      <c r="O787" t="n">
        <v>0</v>
      </c>
      <c r="P787" t="n">
        <v>0</v>
      </c>
      <c r="Q787" t="n">
        <v>0</v>
      </c>
      <c r="R787" s="2" t="inlineStr"/>
    </row>
    <row r="788" ht="15" customHeight="1">
      <c r="A788" t="inlineStr">
        <is>
          <t>A 12390-2024</t>
        </is>
      </c>
      <c r="B788" s="1" t="n">
        <v>45379</v>
      </c>
      <c r="C788" s="1" t="n">
        <v>45584</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13531-2024</t>
        </is>
      </c>
      <c r="B789" s="1" t="n">
        <v>45387</v>
      </c>
      <c r="C789" s="1" t="n">
        <v>45584</v>
      </c>
      <c r="D789" t="inlineStr">
        <is>
          <t>GOTLANDS LÄN</t>
        </is>
      </c>
      <c r="E789" t="inlineStr">
        <is>
          <t>GOTLAND</t>
        </is>
      </c>
      <c r="G789" t="n">
        <v>17.7</v>
      </c>
      <c r="H789" t="n">
        <v>0</v>
      </c>
      <c r="I789" t="n">
        <v>0</v>
      </c>
      <c r="J789" t="n">
        <v>0</v>
      </c>
      <c r="K789" t="n">
        <v>0</v>
      </c>
      <c r="L789" t="n">
        <v>0</v>
      </c>
      <c r="M789" t="n">
        <v>0</v>
      </c>
      <c r="N789" t="n">
        <v>0</v>
      </c>
      <c r="O789" t="n">
        <v>0</v>
      </c>
      <c r="P789" t="n">
        <v>0</v>
      </c>
      <c r="Q789" t="n">
        <v>0</v>
      </c>
      <c r="R789" s="2" t="inlineStr"/>
    </row>
    <row r="790" ht="15" customHeight="1">
      <c r="A790" t="inlineStr">
        <is>
          <t>A 13655-2024</t>
        </is>
      </c>
      <c r="B790" s="1" t="n">
        <v>45390</v>
      </c>
      <c r="C790" s="1" t="n">
        <v>45584</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14139-2024</t>
        </is>
      </c>
      <c r="B791" s="1" t="n">
        <v>45392</v>
      </c>
      <c r="C791" s="1" t="n">
        <v>45584</v>
      </c>
      <c r="D791" t="inlineStr">
        <is>
          <t>GOTLANDS LÄN</t>
        </is>
      </c>
      <c r="E791" t="inlineStr">
        <is>
          <t>GOTLAND</t>
        </is>
      </c>
      <c r="G791" t="n">
        <v>3.1</v>
      </c>
      <c r="H791" t="n">
        <v>0</v>
      </c>
      <c r="I791" t="n">
        <v>0</v>
      </c>
      <c r="J791" t="n">
        <v>0</v>
      </c>
      <c r="K791" t="n">
        <v>0</v>
      </c>
      <c r="L791" t="n">
        <v>0</v>
      </c>
      <c r="M791" t="n">
        <v>0</v>
      </c>
      <c r="N791" t="n">
        <v>0</v>
      </c>
      <c r="O791" t="n">
        <v>0</v>
      </c>
      <c r="P791" t="n">
        <v>0</v>
      </c>
      <c r="Q791" t="n">
        <v>0</v>
      </c>
      <c r="R791" s="2" t="inlineStr"/>
    </row>
    <row r="792" ht="15" customHeight="1">
      <c r="A792" t="inlineStr">
        <is>
          <t>A 14141-2024</t>
        </is>
      </c>
      <c r="B792" s="1" t="n">
        <v>45392</v>
      </c>
      <c r="C792" s="1" t="n">
        <v>45584</v>
      </c>
      <c r="D792" t="inlineStr">
        <is>
          <t>GOTLANDS LÄN</t>
        </is>
      </c>
      <c r="E792" t="inlineStr">
        <is>
          <t>GOTLAND</t>
        </is>
      </c>
      <c r="G792" t="n">
        <v>5.3</v>
      </c>
      <c r="H792" t="n">
        <v>0</v>
      </c>
      <c r="I792" t="n">
        <v>0</v>
      </c>
      <c r="J792" t="n">
        <v>0</v>
      </c>
      <c r="K792" t="n">
        <v>0</v>
      </c>
      <c r="L792" t="n">
        <v>0</v>
      </c>
      <c r="M792" t="n">
        <v>0</v>
      </c>
      <c r="N792" t="n">
        <v>0</v>
      </c>
      <c r="O792" t="n">
        <v>0</v>
      </c>
      <c r="P792" t="n">
        <v>0</v>
      </c>
      <c r="Q792" t="n">
        <v>0</v>
      </c>
      <c r="R792" s="2" t="inlineStr"/>
    </row>
    <row r="793" ht="15" customHeight="1">
      <c r="A793" t="inlineStr">
        <is>
          <t>A 14427-2024</t>
        </is>
      </c>
      <c r="B793" s="1" t="n">
        <v>45394</v>
      </c>
      <c r="C793" s="1" t="n">
        <v>45584</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14593-2024</t>
        </is>
      </c>
      <c r="B794" s="1" t="n">
        <v>45395</v>
      </c>
      <c r="C794" s="1" t="n">
        <v>45584</v>
      </c>
      <c r="D794" t="inlineStr">
        <is>
          <t>GOTLANDS LÄN</t>
        </is>
      </c>
      <c r="E794" t="inlineStr">
        <is>
          <t>GOTLAND</t>
        </is>
      </c>
      <c r="G794" t="n">
        <v>5.4</v>
      </c>
      <c r="H794" t="n">
        <v>0</v>
      </c>
      <c r="I794" t="n">
        <v>0</v>
      </c>
      <c r="J794" t="n">
        <v>0</v>
      </c>
      <c r="K794" t="n">
        <v>0</v>
      </c>
      <c r="L794" t="n">
        <v>0</v>
      </c>
      <c r="M794" t="n">
        <v>0</v>
      </c>
      <c r="N794" t="n">
        <v>0</v>
      </c>
      <c r="O794" t="n">
        <v>0</v>
      </c>
      <c r="P794" t="n">
        <v>0</v>
      </c>
      <c r="Q794" t="n">
        <v>0</v>
      </c>
      <c r="R794" s="2" t="inlineStr"/>
    </row>
    <row r="795" ht="15" customHeight="1">
      <c r="A795" t="inlineStr">
        <is>
          <t>A 14797-2024</t>
        </is>
      </c>
      <c r="B795" s="1" t="n">
        <v>45397</v>
      </c>
      <c r="C795" s="1" t="n">
        <v>45584</v>
      </c>
      <c r="D795" t="inlineStr">
        <is>
          <t>GOTLANDS LÄN</t>
        </is>
      </c>
      <c r="E795" t="inlineStr">
        <is>
          <t>GOTLAND</t>
        </is>
      </c>
      <c r="G795" t="n">
        <v>8.1</v>
      </c>
      <c r="H795" t="n">
        <v>0</v>
      </c>
      <c r="I795" t="n">
        <v>0</v>
      </c>
      <c r="J795" t="n">
        <v>0</v>
      </c>
      <c r="K795" t="n">
        <v>0</v>
      </c>
      <c r="L795" t="n">
        <v>0</v>
      </c>
      <c r="M795" t="n">
        <v>0</v>
      </c>
      <c r="N795" t="n">
        <v>0</v>
      </c>
      <c r="O795" t="n">
        <v>0</v>
      </c>
      <c r="P795" t="n">
        <v>0</v>
      </c>
      <c r="Q795" t="n">
        <v>0</v>
      </c>
      <c r="R795" s="2" t="inlineStr"/>
    </row>
    <row r="796" ht="15" customHeight="1">
      <c r="A796" t="inlineStr">
        <is>
          <t>A 15595-2024</t>
        </is>
      </c>
      <c r="B796" s="1" t="n">
        <v>45401</v>
      </c>
      <c r="C796" s="1" t="n">
        <v>45584</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15434-2024</t>
        </is>
      </c>
      <c r="B797" s="1" t="n">
        <v>45401</v>
      </c>
      <c r="C797" s="1" t="n">
        <v>45584</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15885-2024</t>
        </is>
      </c>
      <c r="B798" s="1" t="n">
        <v>45405</v>
      </c>
      <c r="C798" s="1" t="n">
        <v>45584</v>
      </c>
      <c r="D798" t="inlineStr">
        <is>
          <t>GOTLANDS LÄN</t>
        </is>
      </c>
      <c r="E798" t="inlineStr">
        <is>
          <t>GOTLAND</t>
        </is>
      </c>
      <c r="G798" t="n">
        <v>0.8</v>
      </c>
      <c r="H798" t="n">
        <v>0</v>
      </c>
      <c r="I798" t="n">
        <v>0</v>
      </c>
      <c r="J798" t="n">
        <v>0</v>
      </c>
      <c r="K798" t="n">
        <v>0</v>
      </c>
      <c r="L798" t="n">
        <v>0</v>
      </c>
      <c r="M798" t="n">
        <v>0</v>
      </c>
      <c r="N798" t="n">
        <v>0</v>
      </c>
      <c r="O798" t="n">
        <v>0</v>
      </c>
      <c r="P798" t="n">
        <v>0</v>
      </c>
      <c r="Q798" t="n">
        <v>0</v>
      </c>
      <c r="R798" s="2" t="inlineStr"/>
    </row>
    <row r="799" ht="15" customHeight="1">
      <c r="A799" t="inlineStr">
        <is>
          <t>A 16322-2024</t>
        </is>
      </c>
      <c r="B799" s="1" t="n">
        <v>45407</v>
      </c>
      <c r="C799" s="1" t="n">
        <v>45584</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16361-2024</t>
        </is>
      </c>
      <c r="B800" s="1" t="n">
        <v>45407</v>
      </c>
      <c r="C800" s="1" t="n">
        <v>45584</v>
      </c>
      <c r="D800" t="inlineStr">
        <is>
          <t>GOTLANDS LÄN</t>
        </is>
      </c>
      <c r="E800" t="inlineStr">
        <is>
          <t>GOTLAND</t>
        </is>
      </c>
      <c r="G800" t="n">
        <v>6</v>
      </c>
      <c r="H800" t="n">
        <v>0</v>
      </c>
      <c r="I800" t="n">
        <v>0</v>
      </c>
      <c r="J800" t="n">
        <v>0</v>
      </c>
      <c r="K800" t="n">
        <v>0</v>
      </c>
      <c r="L800" t="n">
        <v>0</v>
      </c>
      <c r="M800" t="n">
        <v>0</v>
      </c>
      <c r="N800" t="n">
        <v>0</v>
      </c>
      <c r="O800" t="n">
        <v>0</v>
      </c>
      <c r="P800" t="n">
        <v>0</v>
      </c>
      <c r="Q800" t="n">
        <v>0</v>
      </c>
      <c r="R800" s="2" t="inlineStr"/>
    </row>
    <row r="801" ht="15" customHeight="1">
      <c r="A801" t="inlineStr">
        <is>
          <t>A 16328-2024</t>
        </is>
      </c>
      <c r="B801" s="1" t="n">
        <v>45407</v>
      </c>
      <c r="C801" s="1" t="n">
        <v>45584</v>
      </c>
      <c r="D801" t="inlineStr">
        <is>
          <t>GOTLANDS LÄN</t>
        </is>
      </c>
      <c r="E801" t="inlineStr">
        <is>
          <t>GOTLAND</t>
        </is>
      </c>
      <c r="G801" t="n">
        <v>1.7</v>
      </c>
      <c r="H801" t="n">
        <v>0</v>
      </c>
      <c r="I801" t="n">
        <v>0</v>
      </c>
      <c r="J801" t="n">
        <v>0</v>
      </c>
      <c r="K801" t="n">
        <v>0</v>
      </c>
      <c r="L801" t="n">
        <v>0</v>
      </c>
      <c r="M801" t="n">
        <v>0</v>
      </c>
      <c r="N801" t="n">
        <v>0</v>
      </c>
      <c r="O801" t="n">
        <v>0</v>
      </c>
      <c r="P801" t="n">
        <v>0</v>
      </c>
      <c r="Q801" t="n">
        <v>0</v>
      </c>
      <c r="R801" s="2" t="inlineStr"/>
    </row>
    <row r="802" ht="15" customHeight="1">
      <c r="A802" t="inlineStr">
        <is>
          <t>A 17087-2024</t>
        </is>
      </c>
      <c r="B802" s="1" t="n">
        <v>45412</v>
      </c>
      <c r="C802" s="1" t="n">
        <v>45584</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17089-2024</t>
        </is>
      </c>
      <c r="B803" s="1" t="n">
        <v>45412</v>
      </c>
      <c r="C803" s="1" t="n">
        <v>45584</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17085-2024</t>
        </is>
      </c>
      <c r="B804" s="1" t="n">
        <v>45412</v>
      </c>
      <c r="C804" s="1" t="n">
        <v>45584</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17532-2024</t>
        </is>
      </c>
      <c r="B805" s="1" t="n">
        <v>45415</v>
      </c>
      <c r="C805" s="1" t="n">
        <v>45584</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17541-2024</t>
        </is>
      </c>
      <c r="B806" s="1" t="n">
        <v>45415</v>
      </c>
      <c r="C806" s="1" t="n">
        <v>45584</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17616-2024</t>
        </is>
      </c>
      <c r="B807" s="1" t="n">
        <v>45416</v>
      </c>
      <c r="C807" s="1" t="n">
        <v>45584</v>
      </c>
      <c r="D807" t="inlineStr">
        <is>
          <t>GOTLANDS LÄN</t>
        </is>
      </c>
      <c r="E807" t="inlineStr">
        <is>
          <t>GOTLAND</t>
        </is>
      </c>
      <c r="G807" t="n">
        <v>2.7</v>
      </c>
      <c r="H807" t="n">
        <v>0</v>
      </c>
      <c r="I807" t="n">
        <v>0</v>
      </c>
      <c r="J807" t="n">
        <v>0</v>
      </c>
      <c r="K807" t="n">
        <v>0</v>
      </c>
      <c r="L807" t="n">
        <v>0</v>
      </c>
      <c r="M807" t="n">
        <v>0</v>
      </c>
      <c r="N807" t="n">
        <v>0</v>
      </c>
      <c r="O807" t="n">
        <v>0</v>
      </c>
      <c r="P807" t="n">
        <v>0</v>
      </c>
      <c r="Q807" t="n">
        <v>0</v>
      </c>
      <c r="R807" s="2" t="inlineStr"/>
    </row>
    <row r="808" ht="15" customHeight="1">
      <c r="A808" t="inlineStr">
        <is>
          <t>A 17617-2024</t>
        </is>
      </c>
      <c r="B808" s="1" t="n">
        <v>45416</v>
      </c>
      <c r="C808" s="1" t="n">
        <v>45584</v>
      </c>
      <c r="D808" t="inlineStr">
        <is>
          <t>GOTLANDS LÄN</t>
        </is>
      </c>
      <c r="E808" t="inlineStr">
        <is>
          <t>GOTLAND</t>
        </is>
      </c>
      <c r="G808" t="n">
        <v>1.6</v>
      </c>
      <c r="H808" t="n">
        <v>0</v>
      </c>
      <c r="I808" t="n">
        <v>0</v>
      </c>
      <c r="J808" t="n">
        <v>0</v>
      </c>
      <c r="K808" t="n">
        <v>0</v>
      </c>
      <c r="L808" t="n">
        <v>0</v>
      </c>
      <c r="M808" t="n">
        <v>0</v>
      </c>
      <c r="N808" t="n">
        <v>0</v>
      </c>
      <c r="O808" t="n">
        <v>0</v>
      </c>
      <c r="P808" t="n">
        <v>0</v>
      </c>
      <c r="Q808" t="n">
        <v>0</v>
      </c>
      <c r="R808" s="2" t="inlineStr"/>
    </row>
    <row r="809" ht="15" customHeight="1">
      <c r="A809" t="inlineStr">
        <is>
          <t>A 17688-2024</t>
        </is>
      </c>
      <c r="B809" s="1" t="n">
        <v>45418</v>
      </c>
      <c r="C809" s="1" t="n">
        <v>45584</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17691-2024</t>
        </is>
      </c>
      <c r="B810" s="1" t="n">
        <v>45418</v>
      </c>
      <c r="C810" s="1" t="n">
        <v>45584</v>
      </c>
      <c r="D810" t="inlineStr">
        <is>
          <t>GOTLANDS LÄN</t>
        </is>
      </c>
      <c r="E810" t="inlineStr">
        <is>
          <t>GOTLAND</t>
        </is>
      </c>
      <c r="G810" t="n">
        <v>1.3</v>
      </c>
      <c r="H810" t="n">
        <v>0</v>
      </c>
      <c r="I810" t="n">
        <v>0</v>
      </c>
      <c r="J810" t="n">
        <v>0</v>
      </c>
      <c r="K810" t="n">
        <v>0</v>
      </c>
      <c r="L810" t="n">
        <v>0</v>
      </c>
      <c r="M810" t="n">
        <v>0</v>
      </c>
      <c r="N810" t="n">
        <v>0</v>
      </c>
      <c r="O810" t="n">
        <v>0</v>
      </c>
      <c r="P810" t="n">
        <v>0</v>
      </c>
      <c r="Q810" t="n">
        <v>0</v>
      </c>
      <c r="R810" s="2" t="inlineStr"/>
    </row>
    <row r="811" ht="15" customHeight="1">
      <c r="A811" t="inlineStr">
        <is>
          <t>A 17743-2024</t>
        </is>
      </c>
      <c r="B811" s="1" t="n">
        <v>45418</v>
      </c>
      <c r="C811" s="1" t="n">
        <v>45584</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17786-2024</t>
        </is>
      </c>
      <c r="B812" s="1" t="n">
        <v>45418</v>
      </c>
      <c r="C812" s="1" t="n">
        <v>45584</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17682-2024</t>
        </is>
      </c>
      <c r="B813" s="1" t="n">
        <v>45418</v>
      </c>
      <c r="C813" s="1" t="n">
        <v>45584</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17686-2024</t>
        </is>
      </c>
      <c r="B814" s="1" t="n">
        <v>45418</v>
      </c>
      <c r="C814" s="1" t="n">
        <v>45584</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17724-2024</t>
        </is>
      </c>
      <c r="B815" s="1" t="n">
        <v>45418</v>
      </c>
      <c r="C815" s="1" t="n">
        <v>45584</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17742-2024</t>
        </is>
      </c>
      <c r="B816" s="1" t="n">
        <v>45418</v>
      </c>
      <c r="C816" s="1" t="n">
        <v>45584</v>
      </c>
      <c r="D816" t="inlineStr">
        <is>
          <t>GOTLANDS LÄN</t>
        </is>
      </c>
      <c r="E816" t="inlineStr">
        <is>
          <t>GOTLAND</t>
        </is>
      </c>
      <c r="G816" t="n">
        <v>1</v>
      </c>
      <c r="H816" t="n">
        <v>0</v>
      </c>
      <c r="I816" t="n">
        <v>0</v>
      </c>
      <c r="J816" t="n">
        <v>0</v>
      </c>
      <c r="K816" t="n">
        <v>0</v>
      </c>
      <c r="L816" t="n">
        <v>0</v>
      </c>
      <c r="M816" t="n">
        <v>0</v>
      </c>
      <c r="N816" t="n">
        <v>0</v>
      </c>
      <c r="O816" t="n">
        <v>0</v>
      </c>
      <c r="P816" t="n">
        <v>0</v>
      </c>
      <c r="Q816" t="n">
        <v>0</v>
      </c>
      <c r="R816" s="2" t="inlineStr"/>
    </row>
    <row r="817" ht="15" customHeight="1">
      <c r="A817" t="inlineStr">
        <is>
          <t>A 18056-2024</t>
        </is>
      </c>
      <c r="B817" s="1" t="n">
        <v>45420</v>
      </c>
      <c r="C817" s="1" t="n">
        <v>45584</v>
      </c>
      <c r="D817" t="inlineStr">
        <is>
          <t>GOTLANDS LÄN</t>
        </is>
      </c>
      <c r="E817" t="inlineStr">
        <is>
          <t>GOTLAND</t>
        </is>
      </c>
      <c r="G817" t="n">
        <v>1.4</v>
      </c>
      <c r="H817" t="n">
        <v>0</v>
      </c>
      <c r="I817" t="n">
        <v>0</v>
      </c>
      <c r="J817" t="n">
        <v>0</v>
      </c>
      <c r="K817" t="n">
        <v>0</v>
      </c>
      <c r="L817" t="n">
        <v>0</v>
      </c>
      <c r="M817" t="n">
        <v>0</v>
      </c>
      <c r="N817" t="n">
        <v>0</v>
      </c>
      <c r="O817" t="n">
        <v>0</v>
      </c>
      <c r="P817" t="n">
        <v>0</v>
      </c>
      <c r="Q817" t="n">
        <v>0</v>
      </c>
      <c r="R817" s="2" t="inlineStr"/>
    </row>
    <row r="818" ht="15" customHeight="1">
      <c r="A818" t="inlineStr">
        <is>
          <t>A 18380-2024</t>
        </is>
      </c>
      <c r="B818" s="1" t="n">
        <v>45424</v>
      </c>
      <c r="C818" s="1" t="n">
        <v>45584</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18896-2024</t>
        </is>
      </c>
      <c r="B819" s="1" t="n">
        <v>45427</v>
      </c>
      <c r="C819" s="1" t="n">
        <v>45584</v>
      </c>
      <c r="D819" t="inlineStr">
        <is>
          <t>GOTLANDS LÄN</t>
        </is>
      </c>
      <c r="E819" t="inlineStr">
        <is>
          <t>GOTLAND</t>
        </is>
      </c>
      <c r="G819" t="n">
        <v>5.1</v>
      </c>
      <c r="H819" t="n">
        <v>0</v>
      </c>
      <c r="I819" t="n">
        <v>0</v>
      </c>
      <c r="J819" t="n">
        <v>0</v>
      </c>
      <c r="K819" t="n">
        <v>0</v>
      </c>
      <c r="L819" t="n">
        <v>0</v>
      </c>
      <c r="M819" t="n">
        <v>0</v>
      </c>
      <c r="N819" t="n">
        <v>0</v>
      </c>
      <c r="O819" t="n">
        <v>0</v>
      </c>
      <c r="P819" t="n">
        <v>0</v>
      </c>
      <c r="Q819" t="n">
        <v>0</v>
      </c>
      <c r="R819" s="2" t="inlineStr"/>
    </row>
    <row r="820" ht="15" customHeight="1">
      <c r="A820" t="inlineStr">
        <is>
          <t>A 20290-2024</t>
        </is>
      </c>
      <c r="B820" s="1" t="n">
        <v>45435</v>
      </c>
      <c r="C820" s="1" t="n">
        <v>45584</v>
      </c>
      <c r="D820" t="inlineStr">
        <is>
          <t>GOTLANDS LÄN</t>
        </is>
      </c>
      <c r="E820" t="inlineStr">
        <is>
          <t>GOTLAND</t>
        </is>
      </c>
      <c r="G820" t="n">
        <v>10.9</v>
      </c>
      <c r="H820" t="n">
        <v>0</v>
      </c>
      <c r="I820" t="n">
        <v>0</v>
      </c>
      <c r="J820" t="n">
        <v>0</v>
      </c>
      <c r="K820" t="n">
        <v>0</v>
      </c>
      <c r="L820" t="n">
        <v>0</v>
      </c>
      <c r="M820" t="n">
        <v>0</v>
      </c>
      <c r="N820" t="n">
        <v>0</v>
      </c>
      <c r="O820" t="n">
        <v>0</v>
      </c>
      <c r="P820" t="n">
        <v>0</v>
      </c>
      <c r="Q820" t="n">
        <v>0</v>
      </c>
      <c r="R820" s="2" t="inlineStr"/>
    </row>
    <row r="821" ht="15" customHeight="1">
      <c r="A821" t="inlineStr">
        <is>
          <t>A 20292-2024</t>
        </is>
      </c>
      <c r="B821" s="1" t="n">
        <v>45435</v>
      </c>
      <c r="C821" s="1" t="n">
        <v>45584</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21164-2024</t>
        </is>
      </c>
      <c r="B822" s="1" t="n">
        <v>45440</v>
      </c>
      <c r="C822" s="1" t="n">
        <v>45584</v>
      </c>
      <c r="D822" t="inlineStr">
        <is>
          <t>GOTLANDS LÄN</t>
        </is>
      </c>
      <c r="E822" t="inlineStr">
        <is>
          <t>GOTLAND</t>
        </is>
      </c>
      <c r="G822" t="n">
        <v>6.3</v>
      </c>
      <c r="H822" t="n">
        <v>0</v>
      </c>
      <c r="I822" t="n">
        <v>0</v>
      </c>
      <c r="J822" t="n">
        <v>0</v>
      </c>
      <c r="K822" t="n">
        <v>0</v>
      </c>
      <c r="L822" t="n">
        <v>0</v>
      </c>
      <c r="M822" t="n">
        <v>0</v>
      </c>
      <c r="N822" t="n">
        <v>0</v>
      </c>
      <c r="O822" t="n">
        <v>0</v>
      </c>
      <c r="P822" t="n">
        <v>0</v>
      </c>
      <c r="Q822" t="n">
        <v>0</v>
      </c>
      <c r="R822" s="2" t="inlineStr"/>
    </row>
    <row r="823" ht="15" customHeight="1">
      <c r="A823" t="inlineStr">
        <is>
          <t>A 21154-2024</t>
        </is>
      </c>
      <c r="B823" s="1" t="n">
        <v>45440</v>
      </c>
      <c r="C823" s="1" t="n">
        <v>45584</v>
      </c>
      <c r="D823" t="inlineStr">
        <is>
          <t>GOTLANDS LÄN</t>
        </is>
      </c>
      <c r="E823" t="inlineStr">
        <is>
          <t>GOTLAND</t>
        </is>
      </c>
      <c r="G823" t="n">
        <v>2.4</v>
      </c>
      <c r="H823" t="n">
        <v>0</v>
      </c>
      <c r="I823" t="n">
        <v>0</v>
      </c>
      <c r="J823" t="n">
        <v>0</v>
      </c>
      <c r="K823" t="n">
        <v>0</v>
      </c>
      <c r="L823" t="n">
        <v>0</v>
      </c>
      <c r="M823" t="n">
        <v>0</v>
      </c>
      <c r="N823" t="n">
        <v>0</v>
      </c>
      <c r="O823" t="n">
        <v>0</v>
      </c>
      <c r="P823" t="n">
        <v>0</v>
      </c>
      <c r="Q823" t="n">
        <v>0</v>
      </c>
      <c r="R823" s="2" t="inlineStr"/>
    </row>
    <row r="824" ht="15" customHeight="1">
      <c r="A824" t="inlineStr">
        <is>
          <t>A 21420-2024</t>
        </is>
      </c>
      <c r="B824" s="1" t="n">
        <v>45441</v>
      </c>
      <c r="C824" s="1" t="n">
        <v>45584</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21493-2024</t>
        </is>
      </c>
      <c r="B825" s="1" t="n">
        <v>45441</v>
      </c>
      <c r="C825" s="1" t="n">
        <v>45584</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21500-2024</t>
        </is>
      </c>
      <c r="B826" s="1" t="n">
        <v>45441</v>
      </c>
      <c r="C826" s="1" t="n">
        <v>45584</v>
      </c>
      <c r="D826" t="inlineStr">
        <is>
          <t>GOTLANDS LÄN</t>
        </is>
      </c>
      <c r="E826" t="inlineStr">
        <is>
          <t>GOTLAND</t>
        </is>
      </c>
      <c r="G826" t="n">
        <v>0.9</v>
      </c>
      <c r="H826" t="n">
        <v>0</v>
      </c>
      <c r="I826" t="n">
        <v>0</v>
      </c>
      <c r="J826" t="n">
        <v>0</v>
      </c>
      <c r="K826" t="n">
        <v>0</v>
      </c>
      <c r="L826" t="n">
        <v>0</v>
      </c>
      <c r="M826" t="n">
        <v>0</v>
      </c>
      <c r="N826" t="n">
        <v>0</v>
      </c>
      <c r="O826" t="n">
        <v>0</v>
      </c>
      <c r="P826" t="n">
        <v>0</v>
      </c>
      <c r="Q826" t="n">
        <v>0</v>
      </c>
      <c r="R826" s="2" t="inlineStr"/>
    </row>
    <row r="827" ht="15" customHeight="1">
      <c r="A827" t="inlineStr">
        <is>
          <t>A 21817-2024</t>
        </is>
      </c>
      <c r="B827" s="1" t="n">
        <v>45442</v>
      </c>
      <c r="C827" s="1" t="n">
        <v>45584</v>
      </c>
      <c r="D827" t="inlineStr">
        <is>
          <t>GOTLANDS LÄN</t>
        </is>
      </c>
      <c r="E827" t="inlineStr">
        <is>
          <t>GOTLAND</t>
        </is>
      </c>
      <c r="G827" t="n">
        <v>3.7</v>
      </c>
      <c r="H827" t="n">
        <v>0</v>
      </c>
      <c r="I827" t="n">
        <v>0</v>
      </c>
      <c r="J827" t="n">
        <v>0</v>
      </c>
      <c r="K827" t="n">
        <v>0</v>
      </c>
      <c r="L827" t="n">
        <v>0</v>
      </c>
      <c r="M827" t="n">
        <v>0</v>
      </c>
      <c r="N827" t="n">
        <v>0</v>
      </c>
      <c r="O827" t="n">
        <v>0</v>
      </c>
      <c r="P827" t="n">
        <v>0</v>
      </c>
      <c r="Q827" t="n">
        <v>0</v>
      </c>
      <c r="R827" s="2" t="inlineStr"/>
    </row>
    <row r="828" ht="15" customHeight="1">
      <c r="A828" t="inlineStr">
        <is>
          <t>A 21792-2024</t>
        </is>
      </c>
      <c r="B828" s="1" t="n">
        <v>45442</v>
      </c>
      <c r="C828" s="1" t="n">
        <v>45584</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22031-2024</t>
        </is>
      </c>
      <c r="B829" s="1" t="n">
        <v>45443</v>
      </c>
      <c r="C829" s="1" t="n">
        <v>45584</v>
      </c>
      <c r="D829" t="inlineStr">
        <is>
          <t>GOTLANDS LÄN</t>
        </is>
      </c>
      <c r="E829" t="inlineStr">
        <is>
          <t>GOTLAND</t>
        </is>
      </c>
      <c r="G829" t="n">
        <v>2.3</v>
      </c>
      <c r="H829" t="n">
        <v>0</v>
      </c>
      <c r="I829" t="n">
        <v>0</v>
      </c>
      <c r="J829" t="n">
        <v>0</v>
      </c>
      <c r="K829" t="n">
        <v>0</v>
      </c>
      <c r="L829" t="n">
        <v>0</v>
      </c>
      <c r="M829" t="n">
        <v>0</v>
      </c>
      <c r="N829" t="n">
        <v>0</v>
      </c>
      <c r="O829" t="n">
        <v>0</v>
      </c>
      <c r="P829" t="n">
        <v>0</v>
      </c>
      <c r="Q829" t="n">
        <v>0</v>
      </c>
      <c r="R829" s="2" t="inlineStr"/>
    </row>
    <row r="830" ht="15" customHeight="1">
      <c r="A830" t="inlineStr">
        <is>
          <t>A 22860-2024</t>
        </is>
      </c>
      <c r="B830" s="1" t="n">
        <v>45448</v>
      </c>
      <c r="C830" s="1" t="n">
        <v>45584</v>
      </c>
      <c r="D830" t="inlineStr">
        <is>
          <t>GOTLANDS LÄN</t>
        </is>
      </c>
      <c r="E830" t="inlineStr">
        <is>
          <t>GOTLAND</t>
        </is>
      </c>
      <c r="G830" t="n">
        <v>2.4</v>
      </c>
      <c r="H830" t="n">
        <v>0</v>
      </c>
      <c r="I830" t="n">
        <v>0</v>
      </c>
      <c r="J830" t="n">
        <v>0</v>
      </c>
      <c r="K830" t="n">
        <v>0</v>
      </c>
      <c r="L830" t="n">
        <v>0</v>
      </c>
      <c r="M830" t="n">
        <v>0</v>
      </c>
      <c r="N830" t="n">
        <v>0</v>
      </c>
      <c r="O830" t="n">
        <v>0</v>
      </c>
      <c r="P830" t="n">
        <v>0</v>
      </c>
      <c r="Q830" t="n">
        <v>0</v>
      </c>
      <c r="R830" s="2" t="inlineStr"/>
    </row>
    <row r="831" ht="15" customHeight="1">
      <c r="A831" t="inlineStr">
        <is>
          <t>A 22851-2024</t>
        </is>
      </c>
      <c r="B831" s="1" t="n">
        <v>45448</v>
      </c>
      <c r="C831" s="1" t="n">
        <v>45584</v>
      </c>
      <c r="D831" t="inlineStr">
        <is>
          <t>GOTLANDS LÄN</t>
        </is>
      </c>
      <c r="E831" t="inlineStr">
        <is>
          <t>GOTLAND</t>
        </is>
      </c>
      <c r="G831" t="n">
        <v>5.2</v>
      </c>
      <c r="H831" t="n">
        <v>0</v>
      </c>
      <c r="I831" t="n">
        <v>0</v>
      </c>
      <c r="J831" t="n">
        <v>0</v>
      </c>
      <c r="K831" t="n">
        <v>0</v>
      </c>
      <c r="L831" t="n">
        <v>0</v>
      </c>
      <c r="M831" t="n">
        <v>0</v>
      </c>
      <c r="N831" t="n">
        <v>0</v>
      </c>
      <c r="O831" t="n">
        <v>0</v>
      </c>
      <c r="P831" t="n">
        <v>0</v>
      </c>
      <c r="Q831" t="n">
        <v>0</v>
      </c>
      <c r="R831" s="2" t="inlineStr"/>
    </row>
    <row r="832" ht="15" customHeight="1">
      <c r="A832" t="inlineStr">
        <is>
          <t>A 22883-2024</t>
        </is>
      </c>
      <c r="B832" s="1" t="n">
        <v>45448</v>
      </c>
      <c r="C832" s="1" t="n">
        <v>45584</v>
      </c>
      <c r="D832" t="inlineStr">
        <is>
          <t>GOTLANDS LÄN</t>
        </is>
      </c>
      <c r="E832" t="inlineStr">
        <is>
          <t>GOTLAND</t>
        </is>
      </c>
      <c r="G832" t="n">
        <v>0.5</v>
      </c>
      <c r="H832" t="n">
        <v>0</v>
      </c>
      <c r="I832" t="n">
        <v>0</v>
      </c>
      <c r="J832" t="n">
        <v>0</v>
      </c>
      <c r="K832" t="n">
        <v>0</v>
      </c>
      <c r="L832" t="n">
        <v>0</v>
      </c>
      <c r="M832" t="n">
        <v>0</v>
      </c>
      <c r="N832" t="n">
        <v>0</v>
      </c>
      <c r="O832" t="n">
        <v>0</v>
      </c>
      <c r="P832" t="n">
        <v>0</v>
      </c>
      <c r="Q832" t="n">
        <v>0</v>
      </c>
      <c r="R832" s="2" t="inlineStr"/>
    </row>
    <row r="833" ht="15" customHeight="1">
      <c r="A833" t="inlineStr">
        <is>
          <t>A 23518-2024</t>
        </is>
      </c>
      <c r="B833" s="1" t="n">
        <v>45453</v>
      </c>
      <c r="C833" s="1" t="n">
        <v>45584</v>
      </c>
      <c r="D833" t="inlineStr">
        <is>
          <t>GOTLANDS LÄN</t>
        </is>
      </c>
      <c r="E833" t="inlineStr">
        <is>
          <t>GOTLAND</t>
        </is>
      </c>
      <c r="G833" t="n">
        <v>1.9</v>
      </c>
      <c r="H833" t="n">
        <v>0</v>
      </c>
      <c r="I833" t="n">
        <v>0</v>
      </c>
      <c r="J833" t="n">
        <v>0</v>
      </c>
      <c r="K833" t="n">
        <v>0</v>
      </c>
      <c r="L833" t="n">
        <v>0</v>
      </c>
      <c r="M833" t="n">
        <v>0</v>
      </c>
      <c r="N833" t="n">
        <v>0</v>
      </c>
      <c r="O833" t="n">
        <v>0</v>
      </c>
      <c r="P833" t="n">
        <v>0</v>
      </c>
      <c r="Q833" t="n">
        <v>0</v>
      </c>
      <c r="R833" s="2" t="inlineStr"/>
    </row>
    <row r="834" ht="15" customHeight="1">
      <c r="A834" t="inlineStr">
        <is>
          <t>A 23658-2024</t>
        </is>
      </c>
      <c r="B834" s="1" t="n">
        <v>45454</v>
      </c>
      <c r="C834" s="1" t="n">
        <v>45584</v>
      </c>
      <c r="D834" t="inlineStr">
        <is>
          <t>GOTLANDS LÄN</t>
        </is>
      </c>
      <c r="E834" t="inlineStr">
        <is>
          <t>GOTLAND</t>
        </is>
      </c>
      <c r="G834" t="n">
        <v>4.8</v>
      </c>
      <c r="H834" t="n">
        <v>0</v>
      </c>
      <c r="I834" t="n">
        <v>0</v>
      </c>
      <c r="J834" t="n">
        <v>0</v>
      </c>
      <c r="K834" t="n">
        <v>0</v>
      </c>
      <c r="L834" t="n">
        <v>0</v>
      </c>
      <c r="M834" t="n">
        <v>0</v>
      </c>
      <c r="N834" t="n">
        <v>0</v>
      </c>
      <c r="O834" t="n">
        <v>0</v>
      </c>
      <c r="P834" t="n">
        <v>0</v>
      </c>
      <c r="Q834" t="n">
        <v>0</v>
      </c>
      <c r="R834" s="2" t="inlineStr"/>
    </row>
    <row r="835" ht="15" customHeight="1">
      <c r="A835" t="inlineStr">
        <is>
          <t>A 23617-2024</t>
        </is>
      </c>
      <c r="B835" s="1" t="n">
        <v>45454</v>
      </c>
      <c r="C835" s="1" t="n">
        <v>45584</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24358-2024</t>
        </is>
      </c>
      <c r="B836" s="1" t="n">
        <v>45457</v>
      </c>
      <c r="C836" s="1" t="n">
        <v>45584</v>
      </c>
      <c r="D836" t="inlineStr">
        <is>
          <t>GOTLANDS LÄN</t>
        </is>
      </c>
      <c r="E836" t="inlineStr">
        <is>
          <t>GOTLAND</t>
        </is>
      </c>
      <c r="G836" t="n">
        <v>1.1</v>
      </c>
      <c r="H836" t="n">
        <v>0</v>
      </c>
      <c r="I836" t="n">
        <v>0</v>
      </c>
      <c r="J836" t="n">
        <v>0</v>
      </c>
      <c r="K836" t="n">
        <v>0</v>
      </c>
      <c r="L836" t="n">
        <v>0</v>
      </c>
      <c r="M836" t="n">
        <v>0</v>
      </c>
      <c r="N836" t="n">
        <v>0</v>
      </c>
      <c r="O836" t="n">
        <v>0</v>
      </c>
      <c r="P836" t="n">
        <v>0</v>
      </c>
      <c r="Q836" t="n">
        <v>0</v>
      </c>
      <c r="R836" s="2" t="inlineStr"/>
    </row>
    <row r="837" ht="15" customHeight="1">
      <c r="A837" t="inlineStr">
        <is>
          <t>A 24746-2024</t>
        </is>
      </c>
      <c r="B837" s="1" t="n">
        <v>45460</v>
      </c>
      <c r="C837" s="1" t="n">
        <v>45584</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24825-2024</t>
        </is>
      </c>
      <c r="B838" s="1" t="n">
        <v>45461</v>
      </c>
      <c r="C838" s="1" t="n">
        <v>45584</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25463-2024</t>
        </is>
      </c>
      <c r="B839" s="1" t="n">
        <v>45463</v>
      </c>
      <c r="C839" s="1" t="n">
        <v>45584</v>
      </c>
      <c r="D839" t="inlineStr">
        <is>
          <t>GOTLANDS LÄN</t>
        </is>
      </c>
      <c r="E839" t="inlineStr">
        <is>
          <t>GOTLAND</t>
        </is>
      </c>
      <c r="G839" t="n">
        <v>17.3</v>
      </c>
      <c r="H839" t="n">
        <v>0</v>
      </c>
      <c r="I839" t="n">
        <v>0</v>
      </c>
      <c r="J839" t="n">
        <v>0</v>
      </c>
      <c r="K839" t="n">
        <v>0</v>
      </c>
      <c r="L839" t="n">
        <v>0</v>
      </c>
      <c r="M839" t="n">
        <v>0</v>
      </c>
      <c r="N839" t="n">
        <v>0</v>
      </c>
      <c r="O839" t="n">
        <v>0</v>
      </c>
      <c r="P839" t="n">
        <v>0</v>
      </c>
      <c r="Q839" t="n">
        <v>0</v>
      </c>
      <c r="R839" s="2" t="inlineStr"/>
    </row>
    <row r="840" ht="15" customHeight="1">
      <c r="A840" t="inlineStr">
        <is>
          <t>A 25739-2024</t>
        </is>
      </c>
      <c r="B840" s="1" t="n">
        <v>45465</v>
      </c>
      <c r="C840" s="1" t="n">
        <v>45584</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25740-2024</t>
        </is>
      </c>
      <c r="B841" s="1" t="n">
        <v>45465</v>
      </c>
      <c r="C841" s="1" t="n">
        <v>45584</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26221-2024</t>
        </is>
      </c>
      <c r="B842" s="1" t="n">
        <v>45468</v>
      </c>
      <c r="C842" s="1" t="n">
        <v>45584</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26194-2024</t>
        </is>
      </c>
      <c r="B843" s="1" t="n">
        <v>45468</v>
      </c>
      <c r="C843" s="1" t="n">
        <v>45584</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26206-2024</t>
        </is>
      </c>
      <c r="B844" s="1" t="n">
        <v>45468</v>
      </c>
      <c r="C844" s="1" t="n">
        <v>45584</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26110-2024</t>
        </is>
      </c>
      <c r="B845" s="1" t="n">
        <v>45468</v>
      </c>
      <c r="C845" s="1" t="n">
        <v>45584</v>
      </c>
      <c r="D845" t="inlineStr">
        <is>
          <t>GOTLANDS LÄN</t>
        </is>
      </c>
      <c r="E845" t="inlineStr">
        <is>
          <t>GOTLAND</t>
        </is>
      </c>
      <c r="G845" t="n">
        <v>6.6</v>
      </c>
      <c r="H845" t="n">
        <v>0</v>
      </c>
      <c r="I845" t="n">
        <v>0</v>
      </c>
      <c r="J845" t="n">
        <v>0</v>
      </c>
      <c r="K845" t="n">
        <v>0</v>
      </c>
      <c r="L845" t="n">
        <v>0</v>
      </c>
      <c r="M845" t="n">
        <v>0</v>
      </c>
      <c r="N845" t="n">
        <v>0</v>
      </c>
      <c r="O845" t="n">
        <v>0</v>
      </c>
      <c r="P845" t="n">
        <v>0</v>
      </c>
      <c r="Q845" t="n">
        <v>0</v>
      </c>
      <c r="R845" s="2" t="inlineStr"/>
    </row>
    <row r="846" ht="15" customHeight="1">
      <c r="A846" t="inlineStr">
        <is>
          <t>A 26891-2024</t>
        </is>
      </c>
      <c r="B846" s="1" t="n">
        <v>45470</v>
      </c>
      <c r="C846" s="1" t="n">
        <v>45584</v>
      </c>
      <c r="D846" t="inlineStr">
        <is>
          <t>GOTLANDS LÄN</t>
        </is>
      </c>
      <c r="E846" t="inlineStr">
        <is>
          <t>GOTLAND</t>
        </is>
      </c>
      <c r="G846" t="n">
        <v>0.8</v>
      </c>
      <c r="H846" t="n">
        <v>0</v>
      </c>
      <c r="I846" t="n">
        <v>0</v>
      </c>
      <c r="J846" t="n">
        <v>0</v>
      </c>
      <c r="K846" t="n">
        <v>0</v>
      </c>
      <c r="L846" t="n">
        <v>0</v>
      </c>
      <c r="M846" t="n">
        <v>0</v>
      </c>
      <c r="N846" t="n">
        <v>0</v>
      </c>
      <c r="O846" t="n">
        <v>0</v>
      </c>
      <c r="P846" t="n">
        <v>0</v>
      </c>
      <c r="Q846" t="n">
        <v>0</v>
      </c>
      <c r="R846" s="2" t="inlineStr"/>
    </row>
    <row r="847" ht="15" customHeight="1">
      <c r="A847" t="inlineStr">
        <is>
          <t>A 27850-2024</t>
        </is>
      </c>
      <c r="B847" s="1" t="n">
        <v>45475</v>
      </c>
      <c r="C847" s="1" t="n">
        <v>45584</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27694-2024</t>
        </is>
      </c>
      <c r="B848" s="1" t="n">
        <v>45475</v>
      </c>
      <c r="C848" s="1" t="n">
        <v>45584</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27696-2024</t>
        </is>
      </c>
      <c r="B849" s="1" t="n">
        <v>45475</v>
      </c>
      <c r="C849" s="1" t="n">
        <v>45584</v>
      </c>
      <c r="D849" t="inlineStr">
        <is>
          <t>GOTLANDS LÄN</t>
        </is>
      </c>
      <c r="E849" t="inlineStr">
        <is>
          <t>GOTLAND</t>
        </is>
      </c>
      <c r="G849" t="n">
        <v>2.1</v>
      </c>
      <c r="H849" t="n">
        <v>0</v>
      </c>
      <c r="I849" t="n">
        <v>0</v>
      </c>
      <c r="J849" t="n">
        <v>0</v>
      </c>
      <c r="K849" t="n">
        <v>0</v>
      </c>
      <c r="L849" t="n">
        <v>0</v>
      </c>
      <c r="M849" t="n">
        <v>0</v>
      </c>
      <c r="N849" t="n">
        <v>0</v>
      </c>
      <c r="O849" t="n">
        <v>0</v>
      </c>
      <c r="P849" t="n">
        <v>0</v>
      </c>
      <c r="Q849" t="n">
        <v>0</v>
      </c>
      <c r="R849" s="2" t="inlineStr"/>
    </row>
    <row r="850" ht="15" customHeight="1">
      <c r="A850" t="inlineStr">
        <is>
          <t>A 28285-2024</t>
        </is>
      </c>
      <c r="B850" s="1" t="n">
        <v>45477</v>
      </c>
      <c r="C850" s="1" t="n">
        <v>45584</v>
      </c>
      <c r="D850" t="inlineStr">
        <is>
          <t>GOTLANDS LÄN</t>
        </is>
      </c>
      <c r="E850" t="inlineStr">
        <is>
          <t>GOTLAND</t>
        </is>
      </c>
      <c r="G850" t="n">
        <v>1.6</v>
      </c>
      <c r="H850" t="n">
        <v>0</v>
      </c>
      <c r="I850" t="n">
        <v>0</v>
      </c>
      <c r="J850" t="n">
        <v>0</v>
      </c>
      <c r="K850" t="n">
        <v>0</v>
      </c>
      <c r="L850" t="n">
        <v>0</v>
      </c>
      <c r="M850" t="n">
        <v>0</v>
      </c>
      <c r="N850" t="n">
        <v>0</v>
      </c>
      <c r="O850" t="n">
        <v>0</v>
      </c>
      <c r="P850" t="n">
        <v>0</v>
      </c>
      <c r="Q850" t="n">
        <v>0</v>
      </c>
      <c r="R850" s="2" t="inlineStr"/>
    </row>
    <row r="851" ht="15" customHeight="1">
      <c r="A851" t="inlineStr">
        <is>
          <t>A 28309-2024</t>
        </is>
      </c>
      <c r="B851" s="1" t="n">
        <v>45477</v>
      </c>
      <c r="C851" s="1" t="n">
        <v>45584</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28328-2024</t>
        </is>
      </c>
      <c r="B852" s="1" t="n">
        <v>45477</v>
      </c>
      <c r="C852" s="1" t="n">
        <v>45584</v>
      </c>
      <c r="D852" t="inlineStr">
        <is>
          <t>GOTLANDS LÄN</t>
        </is>
      </c>
      <c r="E852" t="inlineStr">
        <is>
          <t>GOTLAND</t>
        </is>
      </c>
      <c r="G852" t="n">
        <v>1.7</v>
      </c>
      <c r="H852" t="n">
        <v>0</v>
      </c>
      <c r="I852" t="n">
        <v>0</v>
      </c>
      <c r="J852" t="n">
        <v>0</v>
      </c>
      <c r="K852" t="n">
        <v>0</v>
      </c>
      <c r="L852" t="n">
        <v>0</v>
      </c>
      <c r="M852" t="n">
        <v>0</v>
      </c>
      <c r="N852" t="n">
        <v>0</v>
      </c>
      <c r="O852" t="n">
        <v>0</v>
      </c>
      <c r="P852" t="n">
        <v>0</v>
      </c>
      <c r="Q852" t="n">
        <v>0</v>
      </c>
      <c r="R852" s="2" t="inlineStr"/>
    </row>
    <row r="853" ht="15" customHeight="1">
      <c r="A853" t="inlineStr">
        <is>
          <t>A 30365-2024</t>
        </is>
      </c>
      <c r="B853" s="1" t="n">
        <v>45491</v>
      </c>
      <c r="C853" s="1" t="n">
        <v>45584</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30595-2024</t>
        </is>
      </c>
      <c r="B854" s="1" t="n">
        <v>45493</v>
      </c>
      <c r="C854" s="1" t="n">
        <v>45584</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30596-2024</t>
        </is>
      </c>
      <c r="B855" s="1" t="n">
        <v>45493</v>
      </c>
      <c r="C855" s="1" t="n">
        <v>45584</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30597-2024</t>
        </is>
      </c>
      <c r="B856" s="1" t="n">
        <v>45493</v>
      </c>
      <c r="C856" s="1" t="n">
        <v>45584</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30956-2024</t>
        </is>
      </c>
      <c r="B857" s="1" t="n">
        <v>45499</v>
      </c>
      <c r="C857" s="1" t="n">
        <v>45584</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30954-2024</t>
        </is>
      </c>
      <c r="B858" s="1" t="n">
        <v>45499</v>
      </c>
      <c r="C858" s="1" t="n">
        <v>45584</v>
      </c>
      <c r="D858" t="inlineStr">
        <is>
          <t>GOTLANDS LÄN</t>
        </is>
      </c>
      <c r="E858" t="inlineStr">
        <is>
          <t>GOTLAND</t>
        </is>
      </c>
      <c r="G858" t="n">
        <v>3.6</v>
      </c>
      <c r="H858" t="n">
        <v>0</v>
      </c>
      <c r="I858" t="n">
        <v>0</v>
      </c>
      <c r="J858" t="n">
        <v>0</v>
      </c>
      <c r="K858" t="n">
        <v>0</v>
      </c>
      <c r="L858" t="n">
        <v>0</v>
      </c>
      <c r="M858" t="n">
        <v>0</v>
      </c>
      <c r="N858" t="n">
        <v>0</v>
      </c>
      <c r="O858" t="n">
        <v>0</v>
      </c>
      <c r="P858" t="n">
        <v>0</v>
      </c>
      <c r="Q858" t="n">
        <v>0</v>
      </c>
      <c r="R858" s="2" t="inlineStr"/>
    </row>
    <row r="859" ht="15" customHeight="1">
      <c r="A859" t="inlineStr">
        <is>
          <t>A 31352-2024</t>
        </is>
      </c>
      <c r="B859" s="1" t="n">
        <v>45505</v>
      </c>
      <c r="C859" s="1" t="n">
        <v>45584</v>
      </c>
      <c r="D859" t="inlineStr">
        <is>
          <t>GOTLANDS LÄN</t>
        </is>
      </c>
      <c r="E859" t="inlineStr">
        <is>
          <t>GOTLAND</t>
        </is>
      </c>
      <c r="G859" t="n">
        <v>5.4</v>
      </c>
      <c r="H859" t="n">
        <v>0</v>
      </c>
      <c r="I859" t="n">
        <v>0</v>
      </c>
      <c r="J859" t="n">
        <v>0</v>
      </c>
      <c r="K859" t="n">
        <v>0</v>
      </c>
      <c r="L859" t="n">
        <v>0</v>
      </c>
      <c r="M859" t="n">
        <v>0</v>
      </c>
      <c r="N859" t="n">
        <v>0</v>
      </c>
      <c r="O859" t="n">
        <v>0</v>
      </c>
      <c r="P859" t="n">
        <v>0</v>
      </c>
      <c r="Q859" t="n">
        <v>0</v>
      </c>
      <c r="R859" s="2" t="inlineStr"/>
    </row>
    <row r="860" ht="15" customHeight="1">
      <c r="A860" t="inlineStr">
        <is>
          <t>A 31401-2024</t>
        </is>
      </c>
      <c r="B860" s="1" t="n">
        <v>45505</v>
      </c>
      <c r="C860" s="1" t="n">
        <v>45584</v>
      </c>
      <c r="D860" t="inlineStr">
        <is>
          <t>GOTLANDS LÄN</t>
        </is>
      </c>
      <c r="E860" t="inlineStr">
        <is>
          <t>GOTLAND</t>
        </is>
      </c>
      <c r="G860" t="n">
        <v>4.9</v>
      </c>
      <c r="H860" t="n">
        <v>0</v>
      </c>
      <c r="I860" t="n">
        <v>0</v>
      </c>
      <c r="J860" t="n">
        <v>0</v>
      </c>
      <c r="K860" t="n">
        <v>0</v>
      </c>
      <c r="L860" t="n">
        <v>0</v>
      </c>
      <c r="M860" t="n">
        <v>0</v>
      </c>
      <c r="N860" t="n">
        <v>0</v>
      </c>
      <c r="O860" t="n">
        <v>0</v>
      </c>
      <c r="P860" t="n">
        <v>0</v>
      </c>
      <c r="Q860" t="n">
        <v>0</v>
      </c>
      <c r="R860" s="2" t="inlineStr"/>
    </row>
    <row r="861" ht="15" customHeight="1">
      <c r="A861" t="inlineStr">
        <is>
          <t>A 31802-2024</t>
        </is>
      </c>
      <c r="B861" s="1" t="n">
        <v>45509</v>
      </c>
      <c r="C861" s="1" t="n">
        <v>45584</v>
      </c>
      <c r="D861" t="inlineStr">
        <is>
          <t>GOTLANDS LÄN</t>
        </is>
      </c>
      <c r="E861" t="inlineStr">
        <is>
          <t>GOTLAND</t>
        </is>
      </c>
      <c r="G861" t="n">
        <v>2.8</v>
      </c>
      <c r="H861" t="n">
        <v>0</v>
      </c>
      <c r="I861" t="n">
        <v>0</v>
      </c>
      <c r="J861" t="n">
        <v>0</v>
      </c>
      <c r="K861" t="n">
        <v>0</v>
      </c>
      <c r="L861" t="n">
        <v>0</v>
      </c>
      <c r="M861" t="n">
        <v>0</v>
      </c>
      <c r="N861" t="n">
        <v>0</v>
      </c>
      <c r="O861" t="n">
        <v>0</v>
      </c>
      <c r="P861" t="n">
        <v>0</v>
      </c>
      <c r="Q861" t="n">
        <v>0</v>
      </c>
      <c r="R861" s="2" t="inlineStr"/>
    </row>
    <row r="862" ht="15" customHeight="1">
      <c r="A862" t="inlineStr">
        <is>
          <t>A 32322-2024</t>
        </is>
      </c>
      <c r="B862" s="1" t="n">
        <v>45512</v>
      </c>
      <c r="C862" s="1" t="n">
        <v>45584</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32326-2024</t>
        </is>
      </c>
      <c r="B863" s="1" t="n">
        <v>45512</v>
      </c>
      <c r="C863" s="1" t="n">
        <v>45584</v>
      </c>
      <c r="D863" t="inlineStr">
        <is>
          <t>GOTLANDS LÄN</t>
        </is>
      </c>
      <c r="E863" t="inlineStr">
        <is>
          <t>GOTLAND</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32330-2024</t>
        </is>
      </c>
      <c r="B864" s="1" t="n">
        <v>45512</v>
      </c>
      <c r="C864" s="1" t="n">
        <v>45584</v>
      </c>
      <c r="D864" t="inlineStr">
        <is>
          <t>GOTLANDS LÄN</t>
        </is>
      </c>
      <c r="E864" t="inlineStr">
        <is>
          <t>GOTLAND</t>
        </is>
      </c>
      <c r="G864" t="n">
        <v>2.6</v>
      </c>
      <c r="H864" t="n">
        <v>0</v>
      </c>
      <c r="I864" t="n">
        <v>0</v>
      </c>
      <c r="J864" t="n">
        <v>0</v>
      </c>
      <c r="K864" t="n">
        <v>0</v>
      </c>
      <c r="L864" t="n">
        <v>0</v>
      </c>
      <c r="M864" t="n">
        <v>0</v>
      </c>
      <c r="N864" t="n">
        <v>0</v>
      </c>
      <c r="O864" t="n">
        <v>0</v>
      </c>
      <c r="P864" t="n">
        <v>0</v>
      </c>
      <c r="Q864" t="n">
        <v>0</v>
      </c>
      <c r="R864" s="2" t="inlineStr"/>
    </row>
    <row r="865" ht="15" customHeight="1">
      <c r="A865" t="inlineStr">
        <is>
          <t>A 32669-2024</t>
        </is>
      </c>
      <c r="B865" s="1" t="n">
        <v>45514</v>
      </c>
      <c r="C865" s="1" t="n">
        <v>45584</v>
      </c>
      <c r="D865" t="inlineStr">
        <is>
          <t>GOTLANDS LÄN</t>
        </is>
      </c>
      <c r="E865" t="inlineStr">
        <is>
          <t>GOTLAND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33518-2024</t>
        </is>
      </c>
      <c r="B866" s="1" t="n">
        <v>45519</v>
      </c>
      <c r="C866" s="1" t="n">
        <v>45584</v>
      </c>
      <c r="D866" t="inlineStr">
        <is>
          <t>GOTLANDS LÄN</t>
        </is>
      </c>
      <c r="E866" t="inlineStr">
        <is>
          <t>GOTLAND</t>
        </is>
      </c>
      <c r="G866" t="n">
        <v>7.2</v>
      </c>
      <c r="H866" t="n">
        <v>0</v>
      </c>
      <c r="I866" t="n">
        <v>0</v>
      </c>
      <c r="J866" t="n">
        <v>0</v>
      </c>
      <c r="K866" t="n">
        <v>0</v>
      </c>
      <c r="L866" t="n">
        <v>0</v>
      </c>
      <c r="M866" t="n">
        <v>0</v>
      </c>
      <c r="N866" t="n">
        <v>0</v>
      </c>
      <c r="O866" t="n">
        <v>0</v>
      </c>
      <c r="P866" t="n">
        <v>0</v>
      </c>
      <c r="Q866" t="n">
        <v>0</v>
      </c>
      <c r="R866" s="2" t="inlineStr"/>
    </row>
    <row r="867" ht="15" customHeight="1">
      <c r="A867" t="inlineStr">
        <is>
          <t>A 33853-2024</t>
        </is>
      </c>
      <c r="B867" s="1" t="n">
        <v>45520</v>
      </c>
      <c r="C867" s="1" t="n">
        <v>45584</v>
      </c>
      <c r="D867" t="inlineStr">
        <is>
          <t>GOTLANDS LÄN</t>
        </is>
      </c>
      <c r="E867" t="inlineStr">
        <is>
          <t>GOTLAND</t>
        </is>
      </c>
      <c r="G867" t="n">
        <v>3.9</v>
      </c>
      <c r="H867" t="n">
        <v>0</v>
      </c>
      <c r="I867" t="n">
        <v>0</v>
      </c>
      <c r="J867" t="n">
        <v>0</v>
      </c>
      <c r="K867" t="n">
        <v>0</v>
      </c>
      <c r="L867" t="n">
        <v>0</v>
      </c>
      <c r="M867" t="n">
        <v>0</v>
      </c>
      <c r="N867" t="n">
        <v>0</v>
      </c>
      <c r="O867" t="n">
        <v>0</v>
      </c>
      <c r="P867" t="n">
        <v>0</v>
      </c>
      <c r="Q867" t="n">
        <v>0</v>
      </c>
      <c r="R867" s="2" t="inlineStr"/>
    </row>
    <row r="868" ht="15" customHeight="1">
      <c r="A868" t="inlineStr">
        <is>
          <t>A 33876-2024</t>
        </is>
      </c>
      <c r="B868" s="1" t="n">
        <v>45521</v>
      </c>
      <c r="C868" s="1" t="n">
        <v>45584</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33928-2024</t>
        </is>
      </c>
      <c r="B869" s="1" t="n">
        <v>45523</v>
      </c>
      <c r="C869" s="1" t="n">
        <v>45584</v>
      </c>
      <c r="D869" t="inlineStr">
        <is>
          <t>GOTLANDS LÄN</t>
        </is>
      </c>
      <c r="E869" t="inlineStr">
        <is>
          <t>GOTLAND</t>
        </is>
      </c>
      <c r="G869" t="n">
        <v>0.7</v>
      </c>
      <c r="H869" t="n">
        <v>0</v>
      </c>
      <c r="I869" t="n">
        <v>0</v>
      </c>
      <c r="J869" t="n">
        <v>0</v>
      </c>
      <c r="K869" t="n">
        <v>0</v>
      </c>
      <c r="L869" t="n">
        <v>0</v>
      </c>
      <c r="M869" t="n">
        <v>0</v>
      </c>
      <c r="N869" t="n">
        <v>0</v>
      </c>
      <c r="O869" t="n">
        <v>0</v>
      </c>
      <c r="P869" t="n">
        <v>0</v>
      </c>
      <c r="Q869" t="n">
        <v>0</v>
      </c>
      <c r="R869" s="2" t="inlineStr"/>
    </row>
    <row r="870" ht="15" customHeight="1">
      <c r="A870" t="inlineStr">
        <is>
          <t>A 34167-2024</t>
        </is>
      </c>
      <c r="B870" s="1" t="n">
        <v>45524</v>
      </c>
      <c r="C870" s="1" t="n">
        <v>45584</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34157-2024</t>
        </is>
      </c>
      <c r="B871" s="1" t="n">
        <v>45524</v>
      </c>
      <c r="C871" s="1" t="n">
        <v>45584</v>
      </c>
      <c r="D871" t="inlineStr">
        <is>
          <t>GOTLANDS LÄN</t>
        </is>
      </c>
      <c r="E871" t="inlineStr">
        <is>
          <t>GOTLAND</t>
        </is>
      </c>
      <c r="G871" t="n">
        <v>3.3</v>
      </c>
      <c r="H871" t="n">
        <v>0</v>
      </c>
      <c r="I871" t="n">
        <v>0</v>
      </c>
      <c r="J871" t="n">
        <v>0</v>
      </c>
      <c r="K871" t="n">
        <v>0</v>
      </c>
      <c r="L871" t="n">
        <v>0</v>
      </c>
      <c r="M871" t="n">
        <v>0</v>
      </c>
      <c r="N871" t="n">
        <v>0</v>
      </c>
      <c r="O871" t="n">
        <v>0</v>
      </c>
      <c r="P871" t="n">
        <v>0</v>
      </c>
      <c r="Q871" t="n">
        <v>0</v>
      </c>
      <c r="R871" s="2" t="inlineStr"/>
    </row>
    <row r="872" ht="15" customHeight="1">
      <c r="A872" t="inlineStr">
        <is>
          <t>A 34142-2024</t>
        </is>
      </c>
      <c r="B872" s="1" t="n">
        <v>45524</v>
      </c>
      <c r="C872" s="1" t="n">
        <v>45584</v>
      </c>
      <c r="D872" t="inlineStr">
        <is>
          <t>GOTLANDS LÄN</t>
        </is>
      </c>
      <c r="E872" t="inlineStr">
        <is>
          <t>GOTLAND</t>
        </is>
      </c>
      <c r="G872" t="n">
        <v>6</v>
      </c>
      <c r="H872" t="n">
        <v>0</v>
      </c>
      <c r="I872" t="n">
        <v>0</v>
      </c>
      <c r="J872" t="n">
        <v>0</v>
      </c>
      <c r="K872" t="n">
        <v>0</v>
      </c>
      <c r="L872" t="n">
        <v>0</v>
      </c>
      <c r="M872" t="n">
        <v>0</v>
      </c>
      <c r="N872" t="n">
        <v>0</v>
      </c>
      <c r="O872" t="n">
        <v>0</v>
      </c>
      <c r="P872" t="n">
        <v>0</v>
      </c>
      <c r="Q872" t="n">
        <v>0</v>
      </c>
      <c r="R872" s="2" t="inlineStr"/>
    </row>
    <row r="873" ht="15" customHeight="1">
      <c r="A873" t="inlineStr">
        <is>
          <t>A 34154-2024</t>
        </is>
      </c>
      <c r="B873" s="1" t="n">
        <v>45524</v>
      </c>
      <c r="C873" s="1" t="n">
        <v>45584</v>
      </c>
      <c r="D873" t="inlineStr">
        <is>
          <t>GOTLANDS LÄN</t>
        </is>
      </c>
      <c r="E873" t="inlineStr">
        <is>
          <t>GOTLAND</t>
        </is>
      </c>
      <c r="G873" t="n">
        <v>9.9</v>
      </c>
      <c r="H873" t="n">
        <v>0</v>
      </c>
      <c r="I873" t="n">
        <v>0</v>
      </c>
      <c r="J873" t="n">
        <v>0</v>
      </c>
      <c r="K873" t="n">
        <v>0</v>
      </c>
      <c r="L873" t="n">
        <v>0</v>
      </c>
      <c r="M873" t="n">
        <v>0</v>
      </c>
      <c r="N873" t="n">
        <v>0</v>
      </c>
      <c r="O873" t="n">
        <v>0</v>
      </c>
      <c r="P873" t="n">
        <v>0</v>
      </c>
      <c r="Q873" t="n">
        <v>0</v>
      </c>
      <c r="R873" s="2" t="inlineStr"/>
    </row>
    <row r="874" ht="15" customHeight="1">
      <c r="A874" t="inlineStr">
        <is>
          <t>A 34170-2024</t>
        </is>
      </c>
      <c r="B874" s="1" t="n">
        <v>45524</v>
      </c>
      <c r="C874" s="1" t="n">
        <v>45584</v>
      </c>
      <c r="D874" t="inlineStr">
        <is>
          <t>GOTLANDS LÄN</t>
        </is>
      </c>
      <c r="E874" t="inlineStr">
        <is>
          <t>GOTLAND</t>
        </is>
      </c>
      <c r="G874" t="n">
        <v>3.2</v>
      </c>
      <c r="H874" t="n">
        <v>0</v>
      </c>
      <c r="I874" t="n">
        <v>0</v>
      </c>
      <c r="J874" t="n">
        <v>0</v>
      </c>
      <c r="K874" t="n">
        <v>0</v>
      </c>
      <c r="L874" t="n">
        <v>0</v>
      </c>
      <c r="M874" t="n">
        <v>0</v>
      </c>
      <c r="N874" t="n">
        <v>0</v>
      </c>
      <c r="O874" t="n">
        <v>0</v>
      </c>
      <c r="P874" t="n">
        <v>0</v>
      </c>
      <c r="Q874" t="n">
        <v>0</v>
      </c>
      <c r="R874" s="2" t="inlineStr"/>
    </row>
    <row r="875" ht="15" customHeight="1">
      <c r="A875" t="inlineStr">
        <is>
          <t>A 34312-2024</t>
        </is>
      </c>
      <c r="B875" s="1" t="n">
        <v>45524</v>
      </c>
      <c r="C875" s="1" t="n">
        <v>45584</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35093-2024</t>
        </is>
      </c>
      <c r="B876" s="1" t="n">
        <v>45527</v>
      </c>
      <c r="C876" s="1" t="n">
        <v>45584</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36539-2024</t>
        </is>
      </c>
      <c r="B877" s="1" t="n">
        <v>45537</v>
      </c>
      <c r="C877" s="1" t="n">
        <v>45584</v>
      </c>
      <c r="D877" t="inlineStr">
        <is>
          <t>GOTLANDS LÄN</t>
        </is>
      </c>
      <c r="E877" t="inlineStr">
        <is>
          <t>GOTLAND</t>
        </is>
      </c>
      <c r="G877" t="n">
        <v>5.9</v>
      </c>
      <c r="H877" t="n">
        <v>0</v>
      </c>
      <c r="I877" t="n">
        <v>0</v>
      </c>
      <c r="J877" t="n">
        <v>0</v>
      </c>
      <c r="K877" t="n">
        <v>0</v>
      </c>
      <c r="L877" t="n">
        <v>0</v>
      </c>
      <c r="M877" t="n">
        <v>0</v>
      </c>
      <c r="N877" t="n">
        <v>0</v>
      </c>
      <c r="O877" t="n">
        <v>0</v>
      </c>
      <c r="P877" t="n">
        <v>0</v>
      </c>
      <c r="Q877" t="n">
        <v>0</v>
      </c>
      <c r="R877" s="2" t="inlineStr"/>
    </row>
    <row r="878" ht="15" customHeight="1">
      <c r="A878" t="inlineStr">
        <is>
          <t>A 37225-2024</t>
        </is>
      </c>
      <c r="B878" s="1" t="n">
        <v>45539</v>
      </c>
      <c r="C878" s="1" t="n">
        <v>45584</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37202-2024</t>
        </is>
      </c>
      <c r="B879" s="1" t="n">
        <v>45539</v>
      </c>
      <c r="C879" s="1" t="n">
        <v>45584</v>
      </c>
      <c r="D879" t="inlineStr">
        <is>
          <t>GOTLANDS LÄN</t>
        </is>
      </c>
      <c r="E879" t="inlineStr">
        <is>
          <t>GOTLAND</t>
        </is>
      </c>
      <c r="G879" t="n">
        <v>0.3</v>
      </c>
      <c r="H879" t="n">
        <v>0</v>
      </c>
      <c r="I879" t="n">
        <v>0</v>
      </c>
      <c r="J879" t="n">
        <v>0</v>
      </c>
      <c r="K879" t="n">
        <v>0</v>
      </c>
      <c r="L879" t="n">
        <v>0</v>
      </c>
      <c r="M879" t="n">
        <v>0</v>
      </c>
      <c r="N879" t="n">
        <v>0</v>
      </c>
      <c r="O879" t="n">
        <v>0</v>
      </c>
      <c r="P879" t="n">
        <v>0</v>
      </c>
      <c r="Q879" t="n">
        <v>0</v>
      </c>
      <c r="R879" s="2" t="inlineStr"/>
    </row>
    <row r="880" ht="15" customHeight="1">
      <c r="A880" t="inlineStr">
        <is>
          <t>A 37376-2024</t>
        </is>
      </c>
      <c r="B880" s="1" t="n">
        <v>45540</v>
      </c>
      <c r="C880" s="1" t="n">
        <v>45584</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37442-2024</t>
        </is>
      </c>
      <c r="B881" s="1" t="n">
        <v>45540</v>
      </c>
      <c r="C881" s="1" t="n">
        <v>45584</v>
      </c>
      <c r="D881" t="inlineStr">
        <is>
          <t>GOTLANDS LÄN</t>
        </is>
      </c>
      <c r="E881" t="inlineStr">
        <is>
          <t>GOTLAND</t>
        </is>
      </c>
      <c r="G881" t="n">
        <v>4.3</v>
      </c>
      <c r="H881" t="n">
        <v>0</v>
      </c>
      <c r="I881" t="n">
        <v>0</v>
      </c>
      <c r="J881" t="n">
        <v>0</v>
      </c>
      <c r="K881" t="n">
        <v>0</v>
      </c>
      <c r="L881" t="n">
        <v>0</v>
      </c>
      <c r="M881" t="n">
        <v>0</v>
      </c>
      <c r="N881" t="n">
        <v>0</v>
      </c>
      <c r="O881" t="n">
        <v>0</v>
      </c>
      <c r="P881" t="n">
        <v>0</v>
      </c>
      <c r="Q881" t="n">
        <v>0</v>
      </c>
      <c r="R881" s="2" t="inlineStr"/>
    </row>
    <row r="882" ht="15" customHeight="1">
      <c r="A882" t="inlineStr">
        <is>
          <t>A 37440-2024</t>
        </is>
      </c>
      <c r="B882" s="1" t="n">
        <v>45540</v>
      </c>
      <c r="C882" s="1" t="n">
        <v>45584</v>
      </c>
      <c r="D882" t="inlineStr">
        <is>
          <t>GOTLANDS LÄN</t>
        </is>
      </c>
      <c r="E882" t="inlineStr">
        <is>
          <t>GOTLAND</t>
        </is>
      </c>
      <c r="G882" t="n">
        <v>1</v>
      </c>
      <c r="H882" t="n">
        <v>0</v>
      </c>
      <c r="I882" t="n">
        <v>0</v>
      </c>
      <c r="J882" t="n">
        <v>0</v>
      </c>
      <c r="K882" t="n">
        <v>0</v>
      </c>
      <c r="L882" t="n">
        <v>0</v>
      </c>
      <c r="M882" t="n">
        <v>0</v>
      </c>
      <c r="N882" t="n">
        <v>0</v>
      </c>
      <c r="O882" t="n">
        <v>0</v>
      </c>
      <c r="P882" t="n">
        <v>0</v>
      </c>
      <c r="Q882" t="n">
        <v>0</v>
      </c>
      <c r="R882" s="2" t="inlineStr"/>
    </row>
    <row r="883" ht="15" customHeight="1">
      <c r="A883" t="inlineStr">
        <is>
          <t>A 37728-2024</t>
        </is>
      </c>
      <c r="B883" s="1" t="n">
        <v>45541</v>
      </c>
      <c r="C883" s="1" t="n">
        <v>45584</v>
      </c>
      <c r="D883" t="inlineStr">
        <is>
          <t>GOTLANDS LÄN</t>
        </is>
      </c>
      <c r="E883" t="inlineStr">
        <is>
          <t>GOTLAND</t>
        </is>
      </c>
      <c r="G883" t="n">
        <v>0.4</v>
      </c>
      <c r="H883" t="n">
        <v>0</v>
      </c>
      <c r="I883" t="n">
        <v>0</v>
      </c>
      <c r="J883" t="n">
        <v>0</v>
      </c>
      <c r="K883" t="n">
        <v>0</v>
      </c>
      <c r="L883" t="n">
        <v>0</v>
      </c>
      <c r="M883" t="n">
        <v>0</v>
      </c>
      <c r="N883" t="n">
        <v>0</v>
      </c>
      <c r="O883" t="n">
        <v>0</v>
      </c>
      <c r="P883" t="n">
        <v>0</v>
      </c>
      <c r="Q883" t="n">
        <v>0</v>
      </c>
      <c r="R883" s="2" t="inlineStr"/>
    </row>
    <row r="884" ht="15" customHeight="1">
      <c r="A884" t="inlineStr">
        <is>
          <t>A 37808-2024</t>
        </is>
      </c>
      <c r="B884" s="1" t="n">
        <v>45543</v>
      </c>
      <c r="C884" s="1" t="n">
        <v>45584</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39311-2024</t>
        </is>
      </c>
      <c r="B885" s="1" t="n">
        <v>45551</v>
      </c>
      <c r="C885" s="1" t="n">
        <v>45584</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40805-2024</t>
        </is>
      </c>
      <c r="B886" s="1" t="n">
        <v>45558</v>
      </c>
      <c r="C886" s="1" t="n">
        <v>45584</v>
      </c>
      <c r="D886" t="inlineStr">
        <is>
          <t>GOTLANDS LÄN</t>
        </is>
      </c>
      <c r="E886" t="inlineStr">
        <is>
          <t>GOTLAND</t>
        </is>
      </c>
      <c r="G886" t="n">
        <v>13.2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45584</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41373-2024</t>
        </is>
      </c>
      <c r="B888" s="1" t="n">
        <v>45559</v>
      </c>
      <c r="C888" s="1" t="n">
        <v>45584</v>
      </c>
      <c r="D888" t="inlineStr">
        <is>
          <t>GOTLANDS LÄN</t>
        </is>
      </c>
      <c r="E888" t="inlineStr">
        <is>
          <t>GOTLAND</t>
        </is>
      </c>
      <c r="G888" t="n">
        <v>2</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45584</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45584</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42346-2024</t>
        </is>
      </c>
      <c r="B891" s="1" t="n">
        <v>45562</v>
      </c>
      <c r="C891" s="1" t="n">
        <v>45584</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42340-2024</t>
        </is>
      </c>
      <c r="B892" s="1" t="n">
        <v>45562</v>
      </c>
      <c r="C892" s="1" t="n">
        <v>45584</v>
      </c>
      <c r="D892" t="inlineStr">
        <is>
          <t>GOTLANDS LÄN</t>
        </is>
      </c>
      <c r="E892" t="inlineStr">
        <is>
          <t>GOTLAND</t>
        </is>
      </c>
      <c r="G892" t="n">
        <v>1.9</v>
      </c>
      <c r="H892" t="n">
        <v>0</v>
      </c>
      <c r="I892" t="n">
        <v>0</v>
      </c>
      <c r="J892" t="n">
        <v>0</v>
      </c>
      <c r="K892" t="n">
        <v>0</v>
      </c>
      <c r="L892" t="n">
        <v>0</v>
      </c>
      <c r="M892" t="n">
        <v>0</v>
      </c>
      <c r="N892" t="n">
        <v>0</v>
      </c>
      <c r="O892" t="n">
        <v>0</v>
      </c>
      <c r="P892" t="n">
        <v>0</v>
      </c>
      <c r="Q892" t="n">
        <v>0</v>
      </c>
      <c r="R892" s="2" t="inlineStr"/>
    </row>
    <row r="893" ht="15" customHeight="1">
      <c r="A893" t="inlineStr">
        <is>
          <t>A 42348-2024</t>
        </is>
      </c>
      <c r="B893" s="1" t="n">
        <v>45562</v>
      </c>
      <c r="C893" s="1" t="n">
        <v>45584</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45584</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43785-2024</t>
        </is>
      </c>
      <c r="B895" s="1" t="n">
        <v>45570</v>
      </c>
      <c r="C895" s="1" t="n">
        <v>45584</v>
      </c>
      <c r="D895" t="inlineStr">
        <is>
          <t>GOTLANDS LÄN</t>
        </is>
      </c>
      <c r="E895" t="inlineStr">
        <is>
          <t>GOTLAND</t>
        </is>
      </c>
      <c r="G895" t="n">
        <v>12.6</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45584</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43787-2024</t>
        </is>
      </c>
      <c r="B897" s="1" t="n">
        <v>45571</v>
      </c>
      <c r="C897" s="1" t="n">
        <v>45584</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43790-2024</t>
        </is>
      </c>
      <c r="B898" s="1" t="n">
        <v>45571</v>
      </c>
      <c r="C898" s="1" t="n">
        <v>45584</v>
      </c>
      <c r="D898" t="inlineStr">
        <is>
          <t>GOTLANDS LÄN</t>
        </is>
      </c>
      <c r="E898" t="inlineStr">
        <is>
          <t>GOTLAND</t>
        </is>
      </c>
      <c r="G898" t="n">
        <v>3.5</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45584</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45584</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45584</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45084-2024</t>
        </is>
      </c>
      <c r="B902" s="1" t="n">
        <v>45575</v>
      </c>
      <c r="C902" s="1" t="n">
        <v>45584</v>
      </c>
      <c r="D902" t="inlineStr">
        <is>
          <t>GOTLANDS LÄN</t>
        </is>
      </c>
      <c r="E902" t="inlineStr">
        <is>
          <t>GOTLAND</t>
        </is>
      </c>
      <c r="G902" t="n">
        <v>6.8</v>
      </c>
      <c r="H902" t="n">
        <v>0</v>
      </c>
      <c r="I902" t="n">
        <v>0</v>
      </c>
      <c r="J902" t="n">
        <v>0</v>
      </c>
      <c r="K902" t="n">
        <v>0</v>
      </c>
      <c r="L902" t="n">
        <v>0</v>
      </c>
      <c r="M902" t="n">
        <v>0</v>
      </c>
      <c r="N902" t="n">
        <v>0</v>
      </c>
      <c r="O902" t="n">
        <v>0</v>
      </c>
      <c r="P902" t="n">
        <v>0</v>
      </c>
      <c r="Q902" t="n">
        <v>0</v>
      </c>
      <c r="R902" s="2" t="inlineStr"/>
    </row>
    <row r="903" ht="15" customHeight="1">
      <c r="A903" t="inlineStr">
        <is>
          <t>A 45101-2024</t>
        </is>
      </c>
      <c r="B903" s="1" t="n">
        <v>45575</v>
      </c>
      <c r="C903" s="1" t="n">
        <v>45584</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45079-2024</t>
        </is>
      </c>
      <c r="B904" s="1" t="n">
        <v>45575</v>
      </c>
      <c r="C904" s="1" t="n">
        <v>45584</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44892-2024</t>
        </is>
      </c>
      <c r="B905" s="1" t="n">
        <v>45575</v>
      </c>
      <c r="C905" s="1" t="n">
        <v>45584</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45584</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45584</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46540-2024</t>
        </is>
      </c>
      <c r="B908" s="1" t="n">
        <v>45582</v>
      </c>
      <c r="C908" s="1" t="n">
        <v>45584</v>
      </c>
      <c r="D908" t="inlineStr">
        <is>
          <t>GOTLANDS LÄN</t>
        </is>
      </c>
      <c r="E908" t="inlineStr">
        <is>
          <t>GOTLAND</t>
        </is>
      </c>
      <c r="G908" t="n">
        <v>2.7</v>
      </c>
      <c r="H908" t="n">
        <v>0</v>
      </c>
      <c r="I908" t="n">
        <v>0</v>
      </c>
      <c r="J908" t="n">
        <v>0</v>
      </c>
      <c r="K908" t="n">
        <v>0</v>
      </c>
      <c r="L908" t="n">
        <v>0</v>
      </c>
      <c r="M908" t="n">
        <v>0</v>
      </c>
      <c r="N908" t="n">
        <v>0</v>
      </c>
      <c r="O908" t="n">
        <v>0</v>
      </c>
      <c r="P908" t="n">
        <v>0</v>
      </c>
      <c r="Q908" t="n">
        <v>0</v>
      </c>
      <c r="R908" s="2" t="inlineStr"/>
    </row>
    <row r="909" ht="15" customHeight="1">
      <c r="A909" t="inlineStr">
        <is>
          <t>A 46548-2024</t>
        </is>
      </c>
      <c r="B909" s="1" t="n">
        <v>45582</v>
      </c>
      <c r="C909" s="1" t="n">
        <v>45584</v>
      </c>
      <c r="D909" t="inlineStr">
        <is>
          <t>GOTLANDS LÄN</t>
        </is>
      </c>
      <c r="E909" t="inlineStr">
        <is>
          <t>GOTLAND</t>
        </is>
      </c>
      <c r="G909" t="n">
        <v>2.7</v>
      </c>
      <c r="H909" t="n">
        <v>0</v>
      </c>
      <c r="I909" t="n">
        <v>0</v>
      </c>
      <c r="J909" t="n">
        <v>0</v>
      </c>
      <c r="K909" t="n">
        <v>0</v>
      </c>
      <c r="L909" t="n">
        <v>0</v>
      </c>
      <c r="M909" t="n">
        <v>0</v>
      </c>
      <c r="N909" t="n">
        <v>0</v>
      </c>
      <c r="O909" t="n">
        <v>0</v>
      </c>
      <c r="P909" t="n">
        <v>0</v>
      </c>
      <c r="Q909" t="n">
        <v>0</v>
      </c>
      <c r="R909" s="2" t="inlineStr"/>
    </row>
    <row r="910" ht="15" customHeight="1">
      <c r="A910" t="inlineStr">
        <is>
          <t>A 46560-2024</t>
        </is>
      </c>
      <c r="B910" s="1" t="n">
        <v>45582</v>
      </c>
      <c r="C910" s="1" t="n">
        <v>45584</v>
      </c>
      <c r="D910" t="inlineStr">
        <is>
          <t>GOTLANDS LÄN</t>
        </is>
      </c>
      <c r="E910" t="inlineStr">
        <is>
          <t>GOTLAND</t>
        </is>
      </c>
      <c r="G910" t="n">
        <v>3</v>
      </c>
      <c r="H910" t="n">
        <v>0</v>
      </c>
      <c r="I910" t="n">
        <v>0</v>
      </c>
      <c r="J910" t="n">
        <v>0</v>
      </c>
      <c r="K910" t="n">
        <v>0</v>
      </c>
      <c r="L910" t="n">
        <v>0</v>
      </c>
      <c r="M910" t="n">
        <v>0</v>
      </c>
      <c r="N910" t="n">
        <v>0</v>
      </c>
      <c r="O910" t="n">
        <v>0</v>
      </c>
      <c r="P910" t="n">
        <v>0</v>
      </c>
      <c r="Q910" t="n">
        <v>0</v>
      </c>
      <c r="R910" s="2" t="inlineStr"/>
    </row>
    <row r="911" ht="15" customHeight="1">
      <c r="A911" t="inlineStr">
        <is>
          <t>A 46545-2024</t>
        </is>
      </c>
      <c r="B911" s="1" t="n">
        <v>45582</v>
      </c>
      <c r="C911" s="1" t="n">
        <v>45584</v>
      </c>
      <c r="D911" t="inlineStr">
        <is>
          <t>GOTLANDS LÄN</t>
        </is>
      </c>
      <c r="E911" t="inlineStr">
        <is>
          <t>GOTLAND</t>
        </is>
      </c>
      <c r="G911" t="n">
        <v>1.2</v>
      </c>
      <c r="H911" t="n">
        <v>0</v>
      </c>
      <c r="I911" t="n">
        <v>0</v>
      </c>
      <c r="J911" t="n">
        <v>0</v>
      </c>
      <c r="K911" t="n">
        <v>0</v>
      </c>
      <c r="L911" t="n">
        <v>0</v>
      </c>
      <c r="M911" t="n">
        <v>0</v>
      </c>
      <c r="N911" t="n">
        <v>0</v>
      </c>
      <c r="O911" t="n">
        <v>0</v>
      </c>
      <c r="P911" t="n">
        <v>0</v>
      </c>
      <c r="Q911" t="n">
        <v>0</v>
      </c>
      <c r="R911" s="2" t="inlineStr"/>
    </row>
    <row r="912">
      <c r="A912" t="inlineStr">
        <is>
          <t>A 46555-2024</t>
        </is>
      </c>
      <c r="B912" s="1" t="n">
        <v>45582</v>
      </c>
      <c r="C912" s="1" t="n">
        <v>45584</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2024-10-19T12:15:12Z</dcterms:created>
  <dcterms:modified xmlns:dcterms="http://purl.org/dc/terms/" xmlns:xsi="http://www.w3.org/2001/XMLSchema-instance" xsi:type="dcterms:W3CDTF">2024-10-19T12:15:12Z</dcterms:modified>
</cp:coreProperties>
</file>