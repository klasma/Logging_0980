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agg.
Svinrot
Ängsstarr
Anisspindling
Axag
Besk kastanjemusseron
Blåmossa
Grönpyrola
Kalktallört
Nästrot
Olivspindling
Purpurknipprot
Rödfläckig zontaggsvamp
Skogsknipprot
Sårläka
Tvåblad
Fläcknycklar
Grönvit nattviol
Nattviol
Sankt pers nycklar
Vanliga ängsnycklar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46085</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46085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46085</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46085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46085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445-2023</t>
        </is>
      </c>
      <c r="B17" s="1" t="n">
        <v>44929</v>
      </c>
      <c r="C17" s="1" t="n">
        <v>46085</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922-2023</t>
        </is>
      </c>
      <c r="B18" s="1" t="n">
        <v>44932</v>
      </c>
      <c r="C18" s="1" t="n">
        <v>46085</v>
      </c>
      <c r="D18" t="inlineStr">
        <is>
          <t>GOTLANDS LÄN</t>
        </is>
      </c>
      <c r="E18" t="inlineStr">
        <is>
          <t>GOTLAND</t>
        </is>
      </c>
      <c r="G18" t="n">
        <v>6.9</v>
      </c>
      <c r="H18" t="n">
        <v>3</v>
      </c>
      <c r="I18" t="n">
        <v>8</v>
      </c>
      <c r="J18" t="n">
        <v>7</v>
      </c>
      <c r="K18" t="n">
        <v>6</v>
      </c>
      <c r="L18" t="n">
        <v>0</v>
      </c>
      <c r="M18" t="n">
        <v>0</v>
      </c>
      <c r="N18" t="n">
        <v>0</v>
      </c>
      <c r="O18" t="n">
        <v>13</v>
      </c>
      <c r="P18" t="n">
        <v>6</v>
      </c>
      <c r="Q18" t="n">
        <v>21</v>
      </c>
      <c r="R1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8">
        <f>HYPERLINK("https://klasma.github.io/Logging_0980/artfynd/A 922-2023 artfynd.xlsx", "A 922-2023")</f>
        <v/>
      </c>
      <c r="T18">
        <f>HYPERLINK("https://klasma.github.io/Logging_0980/kartor/A 922-2023 karta.png", "A 922-2023")</f>
        <v/>
      </c>
      <c r="V18">
        <f>HYPERLINK("https://klasma.github.io/Logging_0980/klagomål/A 922-2023 FSC-klagomål.docx", "A 922-2023")</f>
        <v/>
      </c>
      <c r="W18">
        <f>HYPERLINK("https://klasma.github.io/Logging_0980/klagomålsmail/A 922-2023 FSC-klagomål mail.docx", "A 922-2023")</f>
        <v/>
      </c>
      <c r="X18">
        <f>HYPERLINK("https://klasma.github.io/Logging_0980/tillsyn/A 922-2023 tillsynsbegäran.docx", "A 922-2023")</f>
        <v/>
      </c>
      <c r="Y18">
        <f>HYPERLINK("https://klasma.github.io/Logging_0980/tillsynsmail/A 922-2023 tillsynsbegäran mail.docx", "A 922-2023")</f>
        <v/>
      </c>
    </row>
    <row r="19" ht="15" customHeight="1">
      <c r="A19" t="inlineStr">
        <is>
          <t>A 40235-2025</t>
        </is>
      </c>
      <c r="B19" s="1" t="n">
        <v>45894</v>
      </c>
      <c r="C19" s="1" t="n">
        <v>46085</v>
      </c>
      <c r="D19" t="inlineStr">
        <is>
          <t>GOTLANDS LÄN</t>
        </is>
      </c>
      <c r="E19" t="inlineStr">
        <is>
          <t>GOTLAND</t>
        </is>
      </c>
      <c r="G19" t="n">
        <v>10.6</v>
      </c>
      <c r="H19" t="n">
        <v>1</v>
      </c>
      <c r="I19" t="n">
        <v>8</v>
      </c>
      <c r="J19" t="n">
        <v>6</v>
      </c>
      <c r="K19" t="n">
        <v>6</v>
      </c>
      <c r="L19" t="n">
        <v>0</v>
      </c>
      <c r="M19" t="n">
        <v>0</v>
      </c>
      <c r="N19" t="n">
        <v>0</v>
      </c>
      <c r="O19" t="n">
        <v>12</v>
      </c>
      <c r="P19" t="n">
        <v>6</v>
      </c>
      <c r="Q19" t="n">
        <v>21</v>
      </c>
      <c r="R19"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9">
        <f>HYPERLINK("https://klasma.github.io/Logging_0980/artfynd/A 40235-2025 artfynd.xlsx", "A 40235-2025")</f>
        <v/>
      </c>
      <c r="T19">
        <f>HYPERLINK("https://klasma.github.io/Logging_0980/kartor/A 40235-2025 karta.png", "A 40235-2025")</f>
        <v/>
      </c>
      <c r="V19">
        <f>HYPERLINK("https://klasma.github.io/Logging_0980/klagomål/A 40235-2025 FSC-klagomål.docx", "A 40235-2025")</f>
        <v/>
      </c>
      <c r="W19">
        <f>HYPERLINK("https://klasma.github.io/Logging_0980/klagomålsmail/A 40235-2025 FSC-klagomål mail.docx", "A 40235-2025")</f>
        <v/>
      </c>
      <c r="X19">
        <f>HYPERLINK("https://klasma.github.io/Logging_0980/tillsyn/A 40235-2025 tillsynsbegäran.docx", "A 40235-2025")</f>
        <v/>
      </c>
      <c r="Y19">
        <f>HYPERLINK("https://klasma.github.io/Logging_0980/tillsynsmail/A 40235-2025 tillsynsbegäran mail.docx", "A 40235-2025")</f>
        <v/>
      </c>
    </row>
    <row r="20" ht="15" customHeight="1">
      <c r="A20" t="inlineStr">
        <is>
          <t>A 569-2023</t>
        </is>
      </c>
      <c r="B20" s="1" t="n">
        <v>44930</v>
      </c>
      <c r="C20" s="1" t="n">
        <v>46085</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46085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46085</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46085</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46085</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46085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46085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46085</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6153-2024</t>
        </is>
      </c>
      <c r="B28" s="1" t="n">
        <v>45337</v>
      </c>
      <c r="C28" s="1" t="n">
        <v>46085</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62132-2023</t>
        </is>
      </c>
      <c r="B29" s="1" t="n">
        <v>45267</v>
      </c>
      <c r="C29" s="1" t="n">
        <v>46085</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15629-2024</t>
        </is>
      </c>
      <c r="B30" s="1" t="n">
        <v>45402.78372685185</v>
      </c>
      <c r="C30" s="1" t="n">
        <v>46085</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61697-2023</t>
        </is>
      </c>
      <c r="B31" s="1" t="n">
        <v>45265</v>
      </c>
      <c r="C31" s="1" t="n">
        <v>46085</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17762-2024</t>
        </is>
      </c>
      <c r="B32" s="1" t="n">
        <v>45418</v>
      </c>
      <c r="C32" s="1" t="n">
        <v>46085</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46085</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46085</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agg.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46085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46085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46085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15850-2025</t>
        </is>
      </c>
      <c r="B39" s="1" t="n">
        <v>45748</v>
      </c>
      <c r="C39" s="1" t="n">
        <v>46085</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3324-2023</t>
        </is>
      </c>
      <c r="B40" s="1" t="n">
        <v>44949</v>
      </c>
      <c r="C40" s="1" t="n">
        <v>46085</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46085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46085</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46085</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46085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46085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46085</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46085</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46085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46085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46085</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21467-2024</t>
        </is>
      </c>
      <c r="B57" s="1" t="n">
        <v>45441</v>
      </c>
      <c r="C57" s="1" t="n">
        <v>46085</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46085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Grönvit nattviol
Kärrknipprot
Vanliga ängsnycklar</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7039-2023</t>
        </is>
      </c>
      <c r="B59" s="1" t="n">
        <v>44968</v>
      </c>
      <c r="C59" s="1" t="n">
        <v>46085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46085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46085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46085</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46085</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4984-2025</t>
        </is>
      </c>
      <c r="B64" s="1" t="n">
        <v>45691.29891203704</v>
      </c>
      <c r="C64" s="1" t="n">
        <v>46085</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56687-2025</t>
        </is>
      </c>
      <c r="B65" s="1" t="n">
        <v>45975.84065972222</v>
      </c>
      <c r="C65" s="1" t="n">
        <v>46085</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27168-2022</t>
        </is>
      </c>
      <c r="B66" s="1" t="n">
        <v>44741</v>
      </c>
      <c r="C66" s="1" t="n">
        <v>46085</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18541-2024</t>
        </is>
      </c>
      <c r="B67" s="1" t="n">
        <v>45425</v>
      </c>
      <c r="C67" s="1" t="n">
        <v>46085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44944-2022</t>
        </is>
      </c>
      <c r="B68" s="1" t="n">
        <v>44841</v>
      </c>
      <c r="C68" s="1" t="n">
        <v>46085</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10419-2025</t>
        </is>
      </c>
      <c r="B69" s="1" t="n">
        <v>45720</v>
      </c>
      <c r="C69" s="1" t="n">
        <v>46085</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46085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57773-2025</t>
        </is>
      </c>
      <c r="B72" s="1" t="n">
        <v>45981.56349537037</v>
      </c>
      <c r="C72" s="1" t="n">
        <v>46085</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446-2023</t>
        </is>
      </c>
      <c r="B73" s="1" t="n">
        <v>44929</v>
      </c>
      <c r="C73" s="1" t="n">
        <v>46085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46085</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7038-2023</t>
        </is>
      </c>
      <c r="B75" s="1" t="n">
        <v>44968</v>
      </c>
      <c r="C75" s="1" t="n">
        <v>46085</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2085-2023</t>
        </is>
      </c>
      <c r="B76" s="1" t="n">
        <v>44939</v>
      </c>
      <c r="C76" s="1" t="n">
        <v>46085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54527-2023</t>
        </is>
      </c>
      <c r="B77" s="1" t="n">
        <v>45233</v>
      </c>
      <c r="C77" s="1" t="n">
        <v>46085</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16823-2024</t>
        </is>
      </c>
      <c r="B78" s="1" t="n">
        <v>45411</v>
      </c>
      <c r="C78" s="1" t="n">
        <v>46085</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46085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46085</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6839-2026</t>
        </is>
      </c>
      <c r="B81" s="1" t="n">
        <v>46057.41193287037</v>
      </c>
      <c r="C81" s="1" t="n">
        <v>46085</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52245-2025</t>
        </is>
      </c>
      <c r="B82" s="1" t="n">
        <v>45953.47115740741</v>
      </c>
      <c r="C82" s="1" t="n">
        <v>46085</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54055-2022</t>
        </is>
      </c>
      <c r="B83" s="1" t="n">
        <v>44881</v>
      </c>
      <c r="C83" s="1" t="n">
        <v>46085</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42936-2024</t>
        </is>
      </c>
      <c r="B84" s="1" t="n">
        <v>45567</v>
      </c>
      <c r="C84" s="1" t="n">
        <v>46085</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2213-2023</t>
        </is>
      </c>
      <c r="B85" s="1" t="n">
        <v>44942</v>
      </c>
      <c r="C85" s="1" t="n">
        <v>46085</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46085</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46085</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35293-2025</t>
        </is>
      </c>
      <c r="B88" s="1" t="n">
        <v>45854.39438657407</v>
      </c>
      <c r="C88" s="1" t="n">
        <v>46085</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46085</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46085</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46085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6836-2026</t>
        </is>
      </c>
      <c r="B92" s="1" t="n">
        <v>46057.40902777778</v>
      </c>
      <c r="C92" s="1" t="n">
        <v>46085</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44933-2022</t>
        </is>
      </c>
      <c r="B93" s="1" t="n">
        <v>44841</v>
      </c>
      <c r="C93" s="1" t="n">
        <v>46085</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46085</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52250-2025</t>
        </is>
      </c>
      <c r="B95" s="1" t="n">
        <v>45953.48998842593</v>
      </c>
      <c r="C95" s="1" t="n">
        <v>46085</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2485-2025</t>
        </is>
      </c>
      <c r="B96" s="1" t="n">
        <v>45673</v>
      </c>
      <c r="C96" s="1" t="n">
        <v>46085</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46085</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46085</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1971-2023</t>
        </is>
      </c>
      <c r="B99" s="1" t="n">
        <v>44939</v>
      </c>
      <c r="C99" s="1" t="n">
        <v>46085</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54523-2023</t>
        </is>
      </c>
      <c r="B100" s="1" t="n">
        <v>45233</v>
      </c>
      <c r="C100" s="1" t="n">
        <v>46085</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8265-2023</t>
        </is>
      </c>
      <c r="B101" s="1" t="n">
        <v>44974</v>
      </c>
      <c r="C101" s="1" t="n">
        <v>46085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46085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46085</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20833-2024</t>
        </is>
      </c>
      <c r="B104" s="1" t="n">
        <v>45439</v>
      </c>
      <c r="C104" s="1" t="n">
        <v>46085</v>
      </c>
      <c r="D104" t="inlineStr">
        <is>
          <t>GOTLANDS LÄN</t>
        </is>
      </c>
      <c r="E104" t="inlineStr">
        <is>
          <t>GOTLAND</t>
        </is>
      </c>
      <c r="G104" t="n">
        <v>0.9</v>
      </c>
      <c r="H104" t="n">
        <v>3</v>
      </c>
      <c r="I104" t="n">
        <v>1</v>
      </c>
      <c r="J104" t="n">
        <v>3</v>
      </c>
      <c r="K104" t="n">
        <v>0</v>
      </c>
      <c r="L104" t="n">
        <v>0</v>
      </c>
      <c r="M104" t="n">
        <v>0</v>
      </c>
      <c r="N104" t="n">
        <v>0</v>
      </c>
      <c r="O104" t="n">
        <v>3</v>
      </c>
      <c r="P104" t="n">
        <v>0</v>
      </c>
      <c r="Q104" t="n">
        <v>4</v>
      </c>
      <c r="R104" s="2" t="inlineStr">
        <is>
          <t>Dårgräsfjäril
Spillkråka
Svinrot
Skogsknipprot</t>
        </is>
      </c>
      <c r="S104">
        <f>HYPERLINK("https://klasma.github.io/Logging_0980/artfynd/A 20833-2024 artfynd.xlsx", "A 20833-2024")</f>
        <v/>
      </c>
      <c r="T104">
        <f>HYPERLINK("https://klasma.github.io/Logging_0980/kartor/A 20833-2024 karta.png", "A 20833-2024")</f>
        <v/>
      </c>
      <c r="V104">
        <f>HYPERLINK("https://klasma.github.io/Logging_0980/klagomål/A 20833-2024 FSC-klagomål.docx", "A 20833-2024")</f>
        <v/>
      </c>
      <c r="W104">
        <f>HYPERLINK("https://klasma.github.io/Logging_0980/klagomålsmail/A 20833-2024 FSC-klagomål mail.docx", "A 20833-2024")</f>
        <v/>
      </c>
      <c r="X104">
        <f>HYPERLINK("https://klasma.github.io/Logging_0980/tillsyn/A 20833-2024 tillsynsbegäran.docx", "A 20833-2024")</f>
        <v/>
      </c>
      <c r="Y104">
        <f>HYPERLINK("https://klasma.github.io/Logging_0980/tillsynsmail/A 20833-2024 tillsynsbegäran mail.docx", "A 20833-2024")</f>
        <v/>
      </c>
      <c r="Z104">
        <f>HYPERLINK("https://klasma.github.io/Logging_0980/fåglar/A 20833-2024 prioriterade fågelarter.docx", "A 20833-2024")</f>
        <v/>
      </c>
    </row>
    <row r="105" ht="15" customHeight="1">
      <c r="A105" t="inlineStr">
        <is>
          <t>A 44323-2021</t>
        </is>
      </c>
      <c r="B105" s="1" t="n">
        <v>44434</v>
      </c>
      <c r="C105" s="1" t="n">
        <v>46085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46085</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46085</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46085</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17982-2023</t>
        </is>
      </c>
      <c r="B110" s="1" t="n">
        <v>45040</v>
      </c>
      <c r="C110" s="1" t="n">
        <v>46085</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17975-2024</t>
        </is>
      </c>
      <c r="B111" s="1" t="n">
        <v>45419.85546296297</v>
      </c>
      <c r="C111" s="1" t="n">
        <v>46085</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1520-2026</t>
        </is>
      </c>
      <c r="B112" s="1" t="n">
        <v>46034.35891203704</v>
      </c>
      <c r="C112" s="1" t="n">
        <v>46085</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13499-2022</t>
        </is>
      </c>
      <c r="B113" s="1" t="n">
        <v>44647.79203703703</v>
      </c>
      <c r="C113" s="1" t="n">
        <v>46085</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55334-2024</t>
        </is>
      </c>
      <c r="B114" s="1" t="n">
        <v>45621</v>
      </c>
      <c r="C114" s="1" t="n">
        <v>46085</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46085</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12315-2024</t>
        </is>
      </c>
      <c r="B116" s="1" t="n">
        <v>45378.6434837963</v>
      </c>
      <c r="C116" s="1" t="n">
        <v>46085</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73144-2021</t>
        </is>
      </c>
      <c r="B117" s="1" t="n">
        <v>44550</v>
      </c>
      <c r="C117" s="1" t="n">
        <v>46085</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43013-2022</t>
        </is>
      </c>
      <c r="B118" s="1" t="n">
        <v>44833</v>
      </c>
      <c r="C118" s="1" t="n">
        <v>46085</v>
      </c>
      <c r="D118" t="inlineStr">
        <is>
          <t>GOTLANDS LÄN</t>
        </is>
      </c>
      <c r="E118" t="inlineStr">
        <is>
          <t>GOTLAND</t>
        </is>
      </c>
      <c r="G118" t="n">
        <v>9.300000000000001</v>
      </c>
      <c r="H118" t="n">
        <v>0</v>
      </c>
      <c r="I118" t="n">
        <v>2</v>
      </c>
      <c r="J118" t="n">
        <v>0</v>
      </c>
      <c r="K118" t="n">
        <v>1</v>
      </c>
      <c r="L118" t="n">
        <v>0</v>
      </c>
      <c r="M118" t="n">
        <v>0</v>
      </c>
      <c r="N118" t="n">
        <v>0</v>
      </c>
      <c r="O118" t="n">
        <v>1</v>
      </c>
      <c r="P118" t="n">
        <v>1</v>
      </c>
      <c r="Q118" t="n">
        <v>3</v>
      </c>
      <c r="R118" s="2" t="inlineStr">
        <is>
          <t>Violettfläckig spindling
Anisspindling
Blå slemspindling</t>
        </is>
      </c>
      <c r="S118">
        <f>HYPERLINK("https://klasma.github.io/Logging_0980/artfynd/A 43013-2022 artfynd.xlsx", "A 43013-2022")</f>
        <v/>
      </c>
      <c r="T118">
        <f>HYPERLINK("https://klasma.github.io/Logging_0980/kartor/A 43013-2022 karta.png", "A 43013-2022")</f>
        <v/>
      </c>
      <c r="V118">
        <f>HYPERLINK("https://klasma.github.io/Logging_0980/klagomål/A 43013-2022 FSC-klagomål.docx", "A 43013-2022")</f>
        <v/>
      </c>
      <c r="W118">
        <f>HYPERLINK("https://klasma.github.io/Logging_0980/klagomålsmail/A 43013-2022 FSC-klagomål mail.docx", "A 43013-2022")</f>
        <v/>
      </c>
      <c r="X118">
        <f>HYPERLINK("https://klasma.github.io/Logging_0980/tillsyn/A 43013-2022 tillsynsbegäran.docx", "A 43013-2022")</f>
        <v/>
      </c>
      <c r="Y118">
        <f>HYPERLINK("https://klasma.github.io/Logging_0980/tillsynsmail/A 43013-2022 tillsynsbegäran mail.docx", "A 43013-2022")</f>
        <v/>
      </c>
    </row>
    <row r="119" ht="15" customHeight="1">
      <c r="A119" t="inlineStr">
        <is>
          <t>A 5235-2025</t>
        </is>
      </c>
      <c r="B119" s="1" t="n">
        <v>45692.26797453704</v>
      </c>
      <c r="C119" s="1" t="n">
        <v>46085</v>
      </c>
      <c r="D119" t="inlineStr">
        <is>
          <t>GOTLANDS LÄN</t>
        </is>
      </c>
      <c r="E119" t="inlineStr">
        <is>
          <t>GOTLAND</t>
        </is>
      </c>
      <c r="G119" t="n">
        <v>7.6</v>
      </c>
      <c r="H119" t="n">
        <v>1</v>
      </c>
      <c r="I119" t="n">
        <v>2</v>
      </c>
      <c r="J119" t="n">
        <v>1</v>
      </c>
      <c r="K119" t="n">
        <v>0</v>
      </c>
      <c r="L119" t="n">
        <v>0</v>
      </c>
      <c r="M119" t="n">
        <v>0</v>
      </c>
      <c r="N119" t="n">
        <v>0</v>
      </c>
      <c r="O119" t="n">
        <v>1</v>
      </c>
      <c r="P119" t="n">
        <v>0</v>
      </c>
      <c r="Q119" t="n">
        <v>3</v>
      </c>
      <c r="R119" s="2" t="inlineStr">
        <is>
          <t>Svinrot
Blåmossa
Tvåblad</t>
        </is>
      </c>
      <c r="S119">
        <f>HYPERLINK("https://klasma.github.io/Logging_0980/artfynd/A 5235-2025 artfynd.xlsx", "A 5235-2025")</f>
        <v/>
      </c>
      <c r="T119">
        <f>HYPERLINK("https://klasma.github.io/Logging_0980/kartor/A 5235-2025 karta.png", "A 5235-2025")</f>
        <v/>
      </c>
      <c r="V119">
        <f>HYPERLINK("https://klasma.github.io/Logging_0980/klagomål/A 5235-2025 FSC-klagomål.docx", "A 5235-2025")</f>
        <v/>
      </c>
      <c r="W119">
        <f>HYPERLINK("https://klasma.github.io/Logging_0980/klagomålsmail/A 5235-2025 FSC-klagomål mail.docx", "A 5235-2025")</f>
        <v/>
      </c>
      <c r="X119">
        <f>HYPERLINK("https://klasma.github.io/Logging_0980/tillsyn/A 5235-2025 tillsynsbegäran.docx", "A 5235-2025")</f>
        <v/>
      </c>
      <c r="Y119">
        <f>HYPERLINK("https://klasma.github.io/Logging_0980/tillsynsmail/A 5235-2025 tillsynsbegäran mail.docx", "A 5235-2025")</f>
        <v/>
      </c>
    </row>
    <row r="120" ht="15" customHeight="1">
      <c r="A120" t="inlineStr">
        <is>
          <t>A 53552-2021</t>
        </is>
      </c>
      <c r="B120" s="1" t="n">
        <v>44468</v>
      </c>
      <c r="C120" s="1" t="n">
        <v>46085</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30490-2025</t>
        </is>
      </c>
      <c r="B121" s="1" t="n">
        <v>45830</v>
      </c>
      <c r="C121" s="1" t="n">
        <v>46085</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20831-2024</t>
        </is>
      </c>
      <c r="B122" s="1" t="n">
        <v>45439</v>
      </c>
      <c r="C122" s="1" t="n">
        <v>46085</v>
      </c>
      <c r="D122" t="inlineStr">
        <is>
          <t>GOTLANDS LÄN</t>
        </is>
      </c>
      <c r="E122" t="inlineStr">
        <is>
          <t>GOTLAND</t>
        </is>
      </c>
      <c r="G122" t="n">
        <v>2.9</v>
      </c>
      <c r="H122" t="n">
        <v>2</v>
      </c>
      <c r="I122" t="n">
        <v>1</v>
      </c>
      <c r="J122" t="n">
        <v>2</v>
      </c>
      <c r="K122" t="n">
        <v>0</v>
      </c>
      <c r="L122" t="n">
        <v>0</v>
      </c>
      <c r="M122" t="n">
        <v>0</v>
      </c>
      <c r="N122" t="n">
        <v>0</v>
      </c>
      <c r="O122" t="n">
        <v>2</v>
      </c>
      <c r="P122" t="n">
        <v>0</v>
      </c>
      <c r="Q122" t="n">
        <v>3</v>
      </c>
      <c r="R122" s="2" t="inlineStr">
        <is>
          <t>Dårgräsfjäril
Svinrot
Skogsknipprot</t>
        </is>
      </c>
      <c r="S122">
        <f>HYPERLINK("https://klasma.github.io/Logging_0980/artfynd/A 20831-2024 artfynd.xlsx", "A 20831-2024")</f>
        <v/>
      </c>
      <c r="T122">
        <f>HYPERLINK("https://klasma.github.io/Logging_0980/kartor/A 20831-2024 karta.png", "A 20831-2024")</f>
        <v/>
      </c>
      <c r="V122">
        <f>HYPERLINK("https://klasma.github.io/Logging_0980/klagomål/A 20831-2024 FSC-klagomål.docx", "A 20831-2024")</f>
        <v/>
      </c>
      <c r="W122">
        <f>HYPERLINK("https://klasma.github.io/Logging_0980/klagomålsmail/A 20831-2024 FSC-klagomål mail.docx", "A 20831-2024")</f>
        <v/>
      </c>
      <c r="X122">
        <f>HYPERLINK("https://klasma.github.io/Logging_0980/tillsyn/A 20831-2024 tillsynsbegäran.docx", "A 20831-2024")</f>
        <v/>
      </c>
      <c r="Y122">
        <f>HYPERLINK("https://klasma.github.io/Logging_0980/tillsynsmail/A 20831-2024 tillsynsbegäran mail.docx", "A 20831-2024")</f>
        <v/>
      </c>
    </row>
    <row r="123" ht="15" customHeight="1">
      <c r="A123" t="inlineStr">
        <is>
          <t>A 29870-2021</t>
        </is>
      </c>
      <c r="B123" s="1" t="n">
        <v>44362</v>
      </c>
      <c r="C123" s="1" t="n">
        <v>46085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46085</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46085</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46085</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20838-2024</t>
        </is>
      </c>
      <c r="B127" s="1" t="n">
        <v>45439</v>
      </c>
      <c r="C127" s="1" t="n">
        <v>46085</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20218-2022</t>
        </is>
      </c>
      <c r="B128" s="1" t="n">
        <v>44698</v>
      </c>
      <c r="C128" s="1" t="n">
        <v>46085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54357-2024</t>
        </is>
      </c>
      <c r="B129" s="1" t="n">
        <v>45617.40662037037</v>
      </c>
      <c r="C129" s="1" t="n">
        <v>46085</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10274-2026</t>
        </is>
      </c>
      <c r="B130" s="1" t="n">
        <v>46076.58261574074</v>
      </c>
      <c r="C130" s="1" t="n">
        <v>46085</v>
      </c>
      <c r="D130" t="inlineStr">
        <is>
          <t>GOTLANDS LÄN</t>
        </is>
      </c>
      <c r="E130" t="inlineStr">
        <is>
          <t>GOTLAND</t>
        </is>
      </c>
      <c r="G130" t="n">
        <v>9.800000000000001</v>
      </c>
      <c r="H130" t="n">
        <v>1</v>
      </c>
      <c r="I130" t="n">
        <v>0</v>
      </c>
      <c r="J130" t="n">
        <v>0</v>
      </c>
      <c r="K130" t="n">
        <v>1</v>
      </c>
      <c r="L130" t="n">
        <v>0</v>
      </c>
      <c r="M130" t="n">
        <v>0</v>
      </c>
      <c r="N130" t="n">
        <v>0</v>
      </c>
      <c r="O130" t="n">
        <v>1</v>
      </c>
      <c r="P130" t="n">
        <v>1</v>
      </c>
      <c r="Q130" t="n">
        <v>2</v>
      </c>
      <c r="R130" s="2" t="inlineStr">
        <is>
          <t>Gråfingerört
Alvarstånds</t>
        </is>
      </c>
      <c r="S130">
        <f>HYPERLINK("https://klasma.github.io/Logging_0980/artfynd/A 10274-2026 artfynd.xlsx", "A 10274-2026")</f>
        <v/>
      </c>
      <c r="T130">
        <f>HYPERLINK("https://klasma.github.io/Logging_0980/kartor/A 10274-2026 karta.png", "A 10274-2026")</f>
        <v/>
      </c>
      <c r="V130">
        <f>HYPERLINK("https://klasma.github.io/Logging_0980/klagomål/A 10274-2026 FSC-klagomål.docx", "A 10274-2026")</f>
        <v/>
      </c>
      <c r="W130">
        <f>HYPERLINK("https://klasma.github.io/Logging_0980/klagomålsmail/A 10274-2026 FSC-klagomål mail.docx", "A 10274-2026")</f>
        <v/>
      </c>
      <c r="X130">
        <f>HYPERLINK("https://klasma.github.io/Logging_0980/tillsyn/A 10274-2026 tillsynsbegäran.docx", "A 10274-2026")</f>
        <v/>
      </c>
      <c r="Y130">
        <f>HYPERLINK("https://klasma.github.io/Logging_0980/tillsynsmail/A 10274-2026 tillsynsbegäran mail.docx", "A 10274-2026")</f>
        <v/>
      </c>
    </row>
    <row r="131" ht="15" customHeight="1">
      <c r="A131" t="inlineStr">
        <is>
          <t>A 7070-2022</t>
        </is>
      </c>
      <c r="B131" s="1" t="n">
        <v>44603</v>
      </c>
      <c r="C131" s="1" t="n">
        <v>46085</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62760-2025</t>
        </is>
      </c>
      <c r="B132" s="1" t="n">
        <v>46008</v>
      </c>
      <c r="C132" s="1" t="n">
        <v>46085</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26077-2024</t>
        </is>
      </c>
      <c r="B133" s="1" t="n">
        <v>45467</v>
      </c>
      <c r="C133" s="1" t="n">
        <v>46085</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43219-2023</t>
        </is>
      </c>
      <c r="B134" s="1" t="n">
        <v>45183</v>
      </c>
      <c r="C134" s="1" t="n">
        <v>46085</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20429-2025</t>
        </is>
      </c>
      <c r="B135" s="1" t="n">
        <v>45775.47728009259</v>
      </c>
      <c r="C135" s="1" t="n">
        <v>46085</v>
      </c>
      <c r="D135" t="inlineStr">
        <is>
          <t>GOTLANDS LÄN</t>
        </is>
      </c>
      <c r="E135" t="inlineStr">
        <is>
          <t>GOTLAND</t>
        </is>
      </c>
      <c r="G135" t="n">
        <v>1.4</v>
      </c>
      <c r="H135" t="n">
        <v>2</v>
      </c>
      <c r="I135" t="n">
        <v>0</v>
      </c>
      <c r="J135" t="n">
        <v>0</v>
      </c>
      <c r="K135" t="n">
        <v>0</v>
      </c>
      <c r="L135" t="n">
        <v>0</v>
      </c>
      <c r="M135" t="n">
        <v>0</v>
      </c>
      <c r="N135" t="n">
        <v>0</v>
      </c>
      <c r="O135" t="n">
        <v>0</v>
      </c>
      <c r="P135" t="n">
        <v>0</v>
      </c>
      <c r="Q135" t="n">
        <v>2</v>
      </c>
      <c r="R135" s="2" t="inlineStr">
        <is>
          <t>Lopplummer (aggregat)
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12914-2025</t>
        </is>
      </c>
      <c r="B136" s="1" t="n">
        <v>45733</v>
      </c>
      <c r="C136" s="1" t="n">
        <v>46085</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46085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46085</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63162-2025</t>
        </is>
      </c>
      <c r="B139" s="1" t="n">
        <v>46010.37629629629</v>
      </c>
      <c r="C139" s="1" t="n">
        <v>46085</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28276-2024</t>
        </is>
      </c>
      <c r="B140" s="1" t="n">
        <v>45477</v>
      </c>
      <c r="C140" s="1" t="n">
        <v>46085</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46085</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46362-2021</t>
        </is>
      </c>
      <c r="B142" s="1" t="n">
        <v>44442</v>
      </c>
      <c r="C142" s="1" t="n">
        <v>46085</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46085</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447-2023</t>
        </is>
      </c>
      <c r="B144" s="1" t="n">
        <v>44929</v>
      </c>
      <c r="C144" s="1" t="n">
        <v>46085</v>
      </c>
      <c r="D144" t="inlineStr">
        <is>
          <t>GOTLANDS LÄN</t>
        </is>
      </c>
      <c r="E144" t="inlineStr">
        <is>
          <t>GOTLAND</t>
        </is>
      </c>
      <c r="G144" t="n">
        <v>5.1</v>
      </c>
      <c r="H144" t="n">
        <v>0</v>
      </c>
      <c r="I144" t="n">
        <v>0</v>
      </c>
      <c r="J144" t="n">
        <v>1</v>
      </c>
      <c r="K144" t="n">
        <v>0</v>
      </c>
      <c r="L144" t="n">
        <v>0</v>
      </c>
      <c r="M144" t="n">
        <v>0</v>
      </c>
      <c r="N144" t="n">
        <v>0</v>
      </c>
      <c r="O144" t="n">
        <v>1</v>
      </c>
      <c r="P144" t="n">
        <v>0</v>
      </c>
      <c r="Q144" t="n">
        <v>1</v>
      </c>
      <c r="R144" s="2" t="inlineStr">
        <is>
          <t>Äggspindling</t>
        </is>
      </c>
      <c r="S144">
        <f>HYPERLINK("https://klasma.github.io/Logging_0980/artfynd/A 447-2023 artfynd.xlsx", "A 447-2023")</f>
        <v/>
      </c>
      <c r="T144">
        <f>HYPERLINK("https://klasma.github.io/Logging_0980/kartor/A 447-2023 karta.png", "A 447-2023")</f>
        <v/>
      </c>
      <c r="V144">
        <f>HYPERLINK("https://klasma.github.io/Logging_0980/klagomål/A 447-2023 FSC-klagomål.docx", "A 447-2023")</f>
        <v/>
      </c>
      <c r="W144">
        <f>HYPERLINK("https://klasma.github.io/Logging_0980/klagomålsmail/A 447-2023 FSC-klagomål mail.docx", "A 447-2023")</f>
        <v/>
      </c>
      <c r="X144">
        <f>HYPERLINK("https://klasma.github.io/Logging_0980/tillsyn/A 447-2023 tillsynsbegäran.docx", "A 447-2023")</f>
        <v/>
      </c>
      <c r="Y144">
        <f>HYPERLINK("https://klasma.github.io/Logging_0980/tillsynsmail/A 447-2023 tillsynsbegäran mail.docx", "A 447-2023")</f>
        <v/>
      </c>
    </row>
    <row r="145" ht="15" customHeight="1">
      <c r="A145" t="inlineStr">
        <is>
          <t>A 13939-2021</t>
        </is>
      </c>
      <c r="B145" s="1" t="n">
        <v>44277</v>
      </c>
      <c r="C145" s="1" t="n">
        <v>46085</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10218-2025</t>
        </is>
      </c>
      <c r="B146" s="1" t="n">
        <v>45720</v>
      </c>
      <c r="C146" s="1" t="n">
        <v>46085</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947-2023</t>
        </is>
      </c>
      <c r="B147" s="1" t="n">
        <v>44934</v>
      </c>
      <c r="C147" s="1" t="n">
        <v>46085</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49304-2024</t>
        </is>
      </c>
      <c r="B148" s="1" t="n">
        <v>45595.54996527778</v>
      </c>
      <c r="C148" s="1" t="n">
        <v>46085</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46085</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64700-2021</t>
        </is>
      </c>
      <c r="B150" s="1" t="n">
        <v>44511</v>
      </c>
      <c r="C150" s="1" t="n">
        <v>46085</v>
      </c>
      <c r="D150" t="inlineStr">
        <is>
          <t>GOTLANDS LÄN</t>
        </is>
      </c>
      <c r="E150" t="inlineStr">
        <is>
          <t>GOTLAND</t>
        </is>
      </c>
      <c r="F150" t="inlineStr">
        <is>
          <t>Naturvårdsverket</t>
        </is>
      </c>
      <c r="G150" t="n">
        <v>2.4</v>
      </c>
      <c r="H150" t="n">
        <v>1</v>
      </c>
      <c r="I150" t="n">
        <v>0</v>
      </c>
      <c r="J150" t="n">
        <v>0</v>
      </c>
      <c r="K150" t="n">
        <v>1</v>
      </c>
      <c r="L150" t="n">
        <v>0</v>
      </c>
      <c r="M150" t="n">
        <v>0</v>
      </c>
      <c r="N150" t="n">
        <v>0</v>
      </c>
      <c r="O150" t="n">
        <v>1</v>
      </c>
      <c r="P150" t="n">
        <v>1</v>
      </c>
      <c r="Q150" t="n">
        <v>1</v>
      </c>
      <c r="R150" s="2" t="inlineStr">
        <is>
          <t>Kalkdån</t>
        </is>
      </c>
      <c r="S150">
        <f>HYPERLINK("https://klasma.github.io/Logging_0980/artfynd/A 64700-2021 artfynd.xlsx", "A 64700-2021")</f>
        <v/>
      </c>
      <c r="T150">
        <f>HYPERLINK("https://klasma.github.io/Logging_0980/kartor/A 64700-2021 karta.png", "A 64700-2021")</f>
        <v/>
      </c>
      <c r="V150">
        <f>HYPERLINK("https://klasma.github.io/Logging_0980/klagomål/A 64700-2021 FSC-klagomål.docx", "A 64700-2021")</f>
        <v/>
      </c>
      <c r="W150">
        <f>HYPERLINK("https://klasma.github.io/Logging_0980/klagomålsmail/A 64700-2021 FSC-klagomål mail.docx", "A 64700-2021")</f>
        <v/>
      </c>
      <c r="X150">
        <f>HYPERLINK("https://klasma.github.io/Logging_0980/tillsyn/A 64700-2021 tillsynsbegäran.docx", "A 64700-2021")</f>
        <v/>
      </c>
      <c r="Y150">
        <f>HYPERLINK("https://klasma.github.io/Logging_0980/tillsynsmail/A 64700-2021 tillsynsbegäran mail.docx", "A 64700-2021")</f>
        <v/>
      </c>
    </row>
    <row r="151" ht="15" customHeight="1">
      <c r="A151" t="inlineStr">
        <is>
          <t>A 39812-2025</t>
        </is>
      </c>
      <c r="B151" s="1" t="n">
        <v>45891</v>
      </c>
      <c r="C151" s="1" t="n">
        <v>46085</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27589-2023</t>
        </is>
      </c>
      <c r="B152" s="1" t="n">
        <v>45097</v>
      </c>
      <c r="C152" s="1" t="n">
        <v>46085</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1477-2024</t>
        </is>
      </c>
      <c r="B153" s="1" t="n">
        <v>45305.37987268518</v>
      </c>
      <c r="C153" s="1" t="n">
        <v>46085</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35574-2024</t>
        </is>
      </c>
      <c r="B154" s="1" t="n">
        <v>45531</v>
      </c>
      <c r="C154" s="1" t="n">
        <v>46085</v>
      </c>
      <c r="D154" t="inlineStr">
        <is>
          <t>GOTLANDS LÄN</t>
        </is>
      </c>
      <c r="E154" t="inlineStr">
        <is>
          <t>GOTLAND</t>
        </is>
      </c>
      <c r="G154" t="n">
        <v>5.7</v>
      </c>
      <c r="H154" t="n">
        <v>0</v>
      </c>
      <c r="I154" t="n">
        <v>1</v>
      </c>
      <c r="J154" t="n">
        <v>0</v>
      </c>
      <c r="K154" t="n">
        <v>0</v>
      </c>
      <c r="L154" t="n">
        <v>0</v>
      </c>
      <c r="M154" t="n">
        <v>0</v>
      </c>
      <c r="N154" t="n">
        <v>0</v>
      </c>
      <c r="O154" t="n">
        <v>0</v>
      </c>
      <c r="P154" t="n">
        <v>0</v>
      </c>
      <c r="Q154" t="n">
        <v>1</v>
      </c>
      <c r="R154" s="2" t="inlineStr">
        <is>
          <t>Murgröna</t>
        </is>
      </c>
      <c r="S154">
        <f>HYPERLINK("https://klasma.github.io/Logging_0980/artfynd/A 35574-2024 artfynd.xlsx", "A 35574-2024")</f>
        <v/>
      </c>
      <c r="T154">
        <f>HYPERLINK("https://klasma.github.io/Logging_0980/kartor/A 35574-2024 karta.png", "A 35574-2024")</f>
        <v/>
      </c>
      <c r="V154">
        <f>HYPERLINK("https://klasma.github.io/Logging_0980/klagomål/A 35574-2024 FSC-klagomål.docx", "A 35574-2024")</f>
        <v/>
      </c>
      <c r="W154">
        <f>HYPERLINK("https://klasma.github.io/Logging_0980/klagomålsmail/A 35574-2024 FSC-klagomål mail.docx", "A 35574-2024")</f>
        <v/>
      </c>
      <c r="X154">
        <f>HYPERLINK("https://klasma.github.io/Logging_0980/tillsyn/A 35574-2024 tillsynsbegäran.docx", "A 35574-2024")</f>
        <v/>
      </c>
      <c r="Y154">
        <f>HYPERLINK("https://klasma.github.io/Logging_0980/tillsynsmail/A 35574-2024 tillsynsbegäran mail.docx", "A 35574-2024")</f>
        <v/>
      </c>
    </row>
    <row r="155" ht="15" customHeight="1">
      <c r="A155" t="inlineStr">
        <is>
          <t>A 12379-2024</t>
        </is>
      </c>
      <c r="B155" s="1" t="n">
        <v>45379.28155092592</v>
      </c>
      <c r="C155" s="1" t="n">
        <v>46085</v>
      </c>
      <c r="D155" t="inlineStr">
        <is>
          <t>GOTLANDS LÄN</t>
        </is>
      </c>
      <c r="E155" t="inlineStr">
        <is>
          <t>GOTLAND</t>
        </is>
      </c>
      <c r="G155" t="n">
        <v>4.4</v>
      </c>
      <c r="H155" t="n">
        <v>0</v>
      </c>
      <c r="I155" t="n">
        <v>0</v>
      </c>
      <c r="J155" t="n">
        <v>1</v>
      </c>
      <c r="K155" t="n">
        <v>0</v>
      </c>
      <c r="L155" t="n">
        <v>0</v>
      </c>
      <c r="M155" t="n">
        <v>0</v>
      </c>
      <c r="N155" t="n">
        <v>0</v>
      </c>
      <c r="O155" t="n">
        <v>1</v>
      </c>
      <c r="P155" t="n">
        <v>0</v>
      </c>
      <c r="Q155" t="n">
        <v>1</v>
      </c>
      <c r="R155" s="2" t="inlineStr">
        <is>
          <t>Svinrot</t>
        </is>
      </c>
      <c r="S155">
        <f>HYPERLINK("https://klasma.github.io/Logging_0980/artfynd/A 12379-2024 artfynd.xlsx", "A 12379-2024")</f>
        <v/>
      </c>
      <c r="T155">
        <f>HYPERLINK("https://klasma.github.io/Logging_0980/kartor/A 12379-2024 karta.png", "A 12379-2024")</f>
        <v/>
      </c>
      <c r="V155">
        <f>HYPERLINK("https://klasma.github.io/Logging_0980/klagomål/A 12379-2024 FSC-klagomål.docx", "A 12379-2024")</f>
        <v/>
      </c>
      <c r="W155">
        <f>HYPERLINK("https://klasma.github.io/Logging_0980/klagomålsmail/A 12379-2024 FSC-klagomål mail.docx", "A 12379-2024")</f>
        <v/>
      </c>
      <c r="X155">
        <f>HYPERLINK("https://klasma.github.io/Logging_0980/tillsyn/A 12379-2024 tillsynsbegäran.docx", "A 12379-2024")</f>
        <v/>
      </c>
      <c r="Y155">
        <f>HYPERLINK("https://klasma.github.io/Logging_0980/tillsynsmail/A 12379-2024 tillsynsbegäran mail.docx", "A 12379-2024")</f>
        <v/>
      </c>
    </row>
    <row r="156" ht="15" customHeight="1">
      <c r="A156" t="inlineStr">
        <is>
          <t>A 7637-2025</t>
        </is>
      </c>
      <c r="B156" s="1" t="n">
        <v>45705.77181712963</v>
      </c>
      <c r="C156" s="1" t="n">
        <v>46085</v>
      </c>
      <c r="D156" t="inlineStr">
        <is>
          <t>GOTLANDS LÄN</t>
        </is>
      </c>
      <c r="E156" t="inlineStr">
        <is>
          <t>GOTLAND</t>
        </is>
      </c>
      <c r="G156" t="n">
        <v>3.7</v>
      </c>
      <c r="H156" t="n">
        <v>0</v>
      </c>
      <c r="I156" t="n">
        <v>0</v>
      </c>
      <c r="J156" t="n">
        <v>0</v>
      </c>
      <c r="K156" t="n">
        <v>0</v>
      </c>
      <c r="L156" t="n">
        <v>0</v>
      </c>
      <c r="M156" t="n">
        <v>1</v>
      </c>
      <c r="N156" t="n">
        <v>0</v>
      </c>
      <c r="O156" t="n">
        <v>1</v>
      </c>
      <c r="P156" t="n">
        <v>1</v>
      </c>
      <c r="Q156" t="n">
        <v>1</v>
      </c>
      <c r="R156" s="2" t="inlineStr">
        <is>
          <t>Skogsalm</t>
        </is>
      </c>
      <c r="S156">
        <f>HYPERLINK("https://klasma.github.io/Logging_0980/artfynd/A 7637-2025 artfynd.xlsx", "A 7637-2025")</f>
        <v/>
      </c>
      <c r="T156">
        <f>HYPERLINK("https://klasma.github.io/Logging_0980/kartor/A 7637-2025 karta.png", "A 7637-2025")</f>
        <v/>
      </c>
      <c r="V156">
        <f>HYPERLINK("https://klasma.github.io/Logging_0980/klagomål/A 7637-2025 FSC-klagomål.docx", "A 7637-2025")</f>
        <v/>
      </c>
      <c r="W156">
        <f>HYPERLINK("https://klasma.github.io/Logging_0980/klagomålsmail/A 7637-2025 FSC-klagomål mail.docx", "A 7637-2025")</f>
        <v/>
      </c>
      <c r="X156">
        <f>HYPERLINK("https://klasma.github.io/Logging_0980/tillsyn/A 7637-2025 tillsynsbegäran.docx", "A 7637-2025")</f>
        <v/>
      </c>
      <c r="Y156">
        <f>HYPERLINK("https://klasma.github.io/Logging_0980/tillsynsmail/A 7637-2025 tillsynsbegäran mail.docx", "A 7637-2025")</f>
        <v/>
      </c>
    </row>
    <row r="157" ht="15" customHeight="1">
      <c r="A157" t="inlineStr">
        <is>
          <t>A 17723-2021</t>
        </is>
      </c>
      <c r="B157" s="1" t="n">
        <v>44300</v>
      </c>
      <c r="C157" s="1" t="n">
        <v>46085</v>
      </c>
      <c r="D157" t="inlineStr">
        <is>
          <t>GOTLANDS LÄN</t>
        </is>
      </c>
      <c r="E157" t="inlineStr">
        <is>
          <t>GOTLAND</t>
        </is>
      </c>
      <c r="G157" t="n">
        <v>1.5</v>
      </c>
      <c r="H157" t="n">
        <v>1</v>
      </c>
      <c r="I157" t="n">
        <v>1</v>
      </c>
      <c r="J157" t="n">
        <v>0</v>
      </c>
      <c r="K157" t="n">
        <v>0</v>
      </c>
      <c r="L157" t="n">
        <v>0</v>
      </c>
      <c r="M157" t="n">
        <v>0</v>
      </c>
      <c r="N157" t="n">
        <v>0</v>
      </c>
      <c r="O157" t="n">
        <v>0</v>
      </c>
      <c r="P157" t="n">
        <v>0</v>
      </c>
      <c r="Q157" t="n">
        <v>1</v>
      </c>
      <c r="R157" s="2" t="inlineStr">
        <is>
          <t>Vit skogslilja</t>
        </is>
      </c>
      <c r="S157">
        <f>HYPERLINK("https://klasma.github.io/Logging_0980/artfynd/A 17723-2021 artfynd.xlsx", "A 17723-2021")</f>
        <v/>
      </c>
      <c r="T157">
        <f>HYPERLINK("https://klasma.github.io/Logging_0980/kartor/A 17723-2021 karta.png", "A 17723-2021")</f>
        <v/>
      </c>
      <c r="V157">
        <f>HYPERLINK("https://klasma.github.io/Logging_0980/klagomål/A 17723-2021 FSC-klagomål.docx", "A 17723-2021")</f>
        <v/>
      </c>
      <c r="W157">
        <f>HYPERLINK("https://klasma.github.io/Logging_0980/klagomålsmail/A 17723-2021 FSC-klagomål mail.docx", "A 17723-2021")</f>
        <v/>
      </c>
      <c r="X157">
        <f>HYPERLINK("https://klasma.github.io/Logging_0980/tillsyn/A 17723-2021 tillsynsbegäran.docx", "A 17723-2021")</f>
        <v/>
      </c>
      <c r="Y157">
        <f>HYPERLINK("https://klasma.github.io/Logging_0980/tillsynsmail/A 17723-2021 tillsynsbegäran mail.docx", "A 17723-2021")</f>
        <v/>
      </c>
    </row>
    <row r="158" ht="15" customHeight="1">
      <c r="A158" t="inlineStr">
        <is>
          <t>A 63149-2025</t>
        </is>
      </c>
      <c r="B158" s="1" t="n">
        <v>46010</v>
      </c>
      <c r="C158" s="1" t="n">
        <v>46085</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Anisspindling</t>
        </is>
      </c>
      <c r="S158">
        <f>HYPERLINK("https://klasma.github.io/Logging_0980/artfynd/A 63149-2025 artfynd.xlsx", "A 63149-2025")</f>
        <v/>
      </c>
      <c r="T158">
        <f>HYPERLINK("https://klasma.github.io/Logging_0980/kartor/A 63149-2025 karta.png", "A 63149-2025")</f>
        <v/>
      </c>
      <c r="V158">
        <f>HYPERLINK("https://klasma.github.io/Logging_0980/klagomål/A 63149-2025 FSC-klagomål.docx", "A 63149-2025")</f>
        <v/>
      </c>
      <c r="W158">
        <f>HYPERLINK("https://klasma.github.io/Logging_0980/klagomålsmail/A 63149-2025 FSC-klagomål mail.docx", "A 63149-2025")</f>
        <v/>
      </c>
      <c r="X158">
        <f>HYPERLINK("https://klasma.github.io/Logging_0980/tillsyn/A 63149-2025 tillsynsbegäran.docx", "A 63149-2025")</f>
        <v/>
      </c>
      <c r="Y158">
        <f>HYPERLINK("https://klasma.github.io/Logging_0980/tillsynsmail/A 63149-2025 tillsynsbegäran mail.docx", "A 63149-2025")</f>
        <v/>
      </c>
    </row>
    <row r="159" ht="15" customHeight="1">
      <c r="A159" t="inlineStr">
        <is>
          <t>A 35467-2021</t>
        </is>
      </c>
      <c r="B159" s="1" t="n">
        <v>44385</v>
      </c>
      <c r="C159" s="1" t="n">
        <v>46085</v>
      </c>
      <c r="D159" t="inlineStr">
        <is>
          <t>GOTLANDS LÄN</t>
        </is>
      </c>
      <c r="E159" t="inlineStr">
        <is>
          <t>GOTLAND</t>
        </is>
      </c>
      <c r="G159" t="n">
        <v>12.7</v>
      </c>
      <c r="H159" t="n">
        <v>0</v>
      </c>
      <c r="I159" t="n">
        <v>0</v>
      </c>
      <c r="J159" t="n">
        <v>1</v>
      </c>
      <c r="K159" t="n">
        <v>0</v>
      </c>
      <c r="L159" t="n">
        <v>0</v>
      </c>
      <c r="M159" t="n">
        <v>0</v>
      </c>
      <c r="N159" t="n">
        <v>0</v>
      </c>
      <c r="O159" t="n">
        <v>1</v>
      </c>
      <c r="P159" t="n">
        <v>0</v>
      </c>
      <c r="Q159" t="n">
        <v>1</v>
      </c>
      <c r="R159" s="2" t="inlineStr">
        <is>
          <t>Loppstarr</t>
        </is>
      </c>
      <c r="S159">
        <f>HYPERLINK("https://klasma.github.io/Logging_0980/artfynd/A 35467-2021 artfynd.xlsx", "A 35467-2021")</f>
        <v/>
      </c>
      <c r="T159">
        <f>HYPERLINK("https://klasma.github.io/Logging_0980/kartor/A 35467-2021 karta.png", "A 35467-2021")</f>
        <v/>
      </c>
      <c r="V159">
        <f>HYPERLINK("https://klasma.github.io/Logging_0980/klagomål/A 35467-2021 FSC-klagomål.docx", "A 35467-2021")</f>
        <v/>
      </c>
      <c r="W159">
        <f>HYPERLINK("https://klasma.github.io/Logging_0980/klagomålsmail/A 35467-2021 FSC-klagomål mail.docx", "A 35467-2021")</f>
        <v/>
      </c>
      <c r="X159">
        <f>HYPERLINK("https://klasma.github.io/Logging_0980/tillsyn/A 35467-2021 tillsynsbegäran.docx", "A 35467-2021")</f>
        <v/>
      </c>
      <c r="Y159">
        <f>HYPERLINK("https://klasma.github.io/Logging_0980/tillsynsmail/A 35467-2021 tillsynsbegäran mail.docx", "A 35467-2021")</f>
        <v/>
      </c>
    </row>
    <row r="160" ht="15" customHeight="1">
      <c r="A160" t="inlineStr">
        <is>
          <t>A 6303-2024</t>
        </is>
      </c>
      <c r="B160" s="1" t="n">
        <v>45338.35376157407</v>
      </c>
      <c r="C160" s="1" t="n">
        <v>46085</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44619-2025</t>
        </is>
      </c>
      <c r="B161" s="1" t="n">
        <v>45917</v>
      </c>
      <c r="C161" s="1" t="n">
        <v>46085</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44304-2021</t>
        </is>
      </c>
      <c r="B162" s="1" t="n">
        <v>44434</v>
      </c>
      <c r="C162" s="1" t="n">
        <v>46085</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11708-2026</t>
        </is>
      </c>
      <c r="B163" s="1" t="n">
        <v>46084.61956018519</v>
      </c>
      <c r="C163" s="1" t="n">
        <v>46085</v>
      </c>
      <c r="D163" t="inlineStr">
        <is>
          <t>GOTLANDS LÄN</t>
        </is>
      </c>
      <c r="E163" t="inlineStr">
        <is>
          <t>GOTLAND</t>
        </is>
      </c>
      <c r="G163" t="n">
        <v>8.4</v>
      </c>
      <c r="H163" t="n">
        <v>1</v>
      </c>
      <c r="I163" t="n">
        <v>0</v>
      </c>
      <c r="J163" t="n">
        <v>1</v>
      </c>
      <c r="K163" t="n">
        <v>0</v>
      </c>
      <c r="L163" t="n">
        <v>0</v>
      </c>
      <c r="M163" t="n">
        <v>0</v>
      </c>
      <c r="N163" t="n">
        <v>0</v>
      </c>
      <c r="O163" t="n">
        <v>1</v>
      </c>
      <c r="P163" t="n">
        <v>0</v>
      </c>
      <c r="Q163" t="n">
        <v>1</v>
      </c>
      <c r="R163" s="2" t="inlineStr">
        <is>
          <t>Bredarun</t>
        </is>
      </c>
      <c r="S163">
        <f>HYPERLINK("https://klasma.github.io/Logging_0980/artfynd/A 11708-2026 artfynd.xlsx", "A 11708-2026")</f>
        <v/>
      </c>
      <c r="T163">
        <f>HYPERLINK("https://klasma.github.io/Logging_0980/kartor/A 11708-2026 karta.png", "A 11708-2026")</f>
        <v/>
      </c>
      <c r="V163">
        <f>HYPERLINK("https://klasma.github.io/Logging_0980/klagomål/A 11708-2026 FSC-klagomål.docx", "A 11708-2026")</f>
        <v/>
      </c>
      <c r="W163">
        <f>HYPERLINK("https://klasma.github.io/Logging_0980/klagomålsmail/A 11708-2026 FSC-klagomål mail.docx", "A 11708-2026")</f>
        <v/>
      </c>
      <c r="X163">
        <f>HYPERLINK("https://klasma.github.io/Logging_0980/tillsyn/A 11708-2026 tillsynsbegäran.docx", "A 11708-2026")</f>
        <v/>
      </c>
      <c r="Y163">
        <f>HYPERLINK("https://klasma.github.io/Logging_0980/tillsynsmail/A 11708-2026 tillsynsbegäran mail.docx", "A 11708-2026")</f>
        <v/>
      </c>
    </row>
    <row r="164" ht="15" customHeight="1">
      <c r="A164" t="inlineStr">
        <is>
          <t>A 34809-2024</t>
        </is>
      </c>
      <c r="B164" s="1" t="n">
        <v>45526</v>
      </c>
      <c r="C164" s="1" t="n">
        <v>46085</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49726-2025</t>
        </is>
      </c>
      <c r="B165" s="1" t="n">
        <v>45939.84466435185</v>
      </c>
      <c r="C165" s="1" t="n">
        <v>46085</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25977-2024</t>
        </is>
      </c>
      <c r="B166" s="1" t="n">
        <v>45467.69356481481</v>
      </c>
      <c r="C166" s="1" t="n">
        <v>46085</v>
      </c>
      <c r="D166" t="inlineStr">
        <is>
          <t>GOTLANDS LÄN</t>
        </is>
      </c>
      <c r="E166" t="inlineStr">
        <is>
          <t>GOTLAND</t>
        </is>
      </c>
      <c r="G166" t="n">
        <v>3</v>
      </c>
      <c r="H166" t="n">
        <v>1</v>
      </c>
      <c r="I166" t="n">
        <v>0</v>
      </c>
      <c r="J166" t="n">
        <v>0</v>
      </c>
      <c r="K166" t="n">
        <v>0</v>
      </c>
      <c r="L166" t="n">
        <v>0</v>
      </c>
      <c r="M166" t="n">
        <v>0</v>
      </c>
      <c r="N166" t="n">
        <v>0</v>
      </c>
      <c r="O166" t="n">
        <v>0</v>
      </c>
      <c r="P166" t="n">
        <v>0</v>
      </c>
      <c r="Q166" t="n">
        <v>1</v>
      </c>
      <c r="R166" s="2" t="inlineStr">
        <is>
          <t>Nattviol</t>
        </is>
      </c>
      <c r="S166">
        <f>HYPERLINK("https://klasma.github.io/Logging_0980/artfynd/A 25977-2024 artfynd.xlsx", "A 25977-2024")</f>
        <v/>
      </c>
      <c r="T166">
        <f>HYPERLINK("https://klasma.github.io/Logging_0980/kartor/A 25977-2024 karta.png", "A 25977-2024")</f>
        <v/>
      </c>
      <c r="V166">
        <f>HYPERLINK("https://klasma.github.io/Logging_0980/klagomål/A 25977-2024 FSC-klagomål.docx", "A 25977-2024")</f>
        <v/>
      </c>
      <c r="W166">
        <f>HYPERLINK("https://klasma.github.io/Logging_0980/klagomålsmail/A 25977-2024 FSC-klagomål mail.docx", "A 25977-2024")</f>
        <v/>
      </c>
      <c r="X166">
        <f>HYPERLINK("https://klasma.github.io/Logging_0980/tillsyn/A 25977-2024 tillsynsbegäran.docx", "A 25977-2024")</f>
        <v/>
      </c>
      <c r="Y166">
        <f>HYPERLINK("https://klasma.github.io/Logging_0980/tillsynsmail/A 25977-2024 tillsynsbegäran mail.docx", "A 25977-2024")</f>
        <v/>
      </c>
    </row>
    <row r="167" ht="15" customHeight="1">
      <c r="A167" t="inlineStr">
        <is>
          <t>A 65927-2021</t>
        </is>
      </c>
      <c r="B167" s="1" t="n">
        <v>44516</v>
      </c>
      <c r="C167" s="1" t="n">
        <v>46085</v>
      </c>
      <c r="D167" t="inlineStr">
        <is>
          <t>GOTLANDS LÄN</t>
        </is>
      </c>
      <c r="E167" t="inlineStr">
        <is>
          <t>GOTLAND</t>
        </is>
      </c>
      <c r="G167" t="n">
        <v>3.1</v>
      </c>
      <c r="H167" t="n">
        <v>1</v>
      </c>
      <c r="I167" t="n">
        <v>0</v>
      </c>
      <c r="J167" t="n">
        <v>0</v>
      </c>
      <c r="K167" t="n">
        <v>1</v>
      </c>
      <c r="L167" t="n">
        <v>0</v>
      </c>
      <c r="M167" t="n">
        <v>0</v>
      </c>
      <c r="N167" t="n">
        <v>0</v>
      </c>
      <c r="O167" t="n">
        <v>1</v>
      </c>
      <c r="P167" t="n">
        <v>1</v>
      </c>
      <c r="Q167" t="n">
        <v>1</v>
      </c>
      <c r="R167" s="2" t="inlineStr">
        <is>
          <t>Grenigt kungsljus</t>
        </is>
      </c>
      <c r="S167">
        <f>HYPERLINK("https://klasma.github.io/Logging_0980/artfynd/A 65927-2021 artfynd.xlsx", "A 65927-2021")</f>
        <v/>
      </c>
      <c r="T167">
        <f>HYPERLINK("https://klasma.github.io/Logging_0980/kartor/A 65927-2021 karta.png", "A 65927-2021")</f>
        <v/>
      </c>
      <c r="V167">
        <f>HYPERLINK("https://klasma.github.io/Logging_0980/klagomål/A 65927-2021 FSC-klagomål.docx", "A 65927-2021")</f>
        <v/>
      </c>
      <c r="W167">
        <f>HYPERLINK("https://klasma.github.io/Logging_0980/klagomålsmail/A 65927-2021 FSC-klagomål mail.docx", "A 65927-2021")</f>
        <v/>
      </c>
      <c r="X167">
        <f>HYPERLINK("https://klasma.github.io/Logging_0980/tillsyn/A 65927-2021 tillsynsbegäran.docx", "A 65927-2021")</f>
        <v/>
      </c>
      <c r="Y167">
        <f>HYPERLINK("https://klasma.github.io/Logging_0980/tillsynsmail/A 65927-2021 tillsynsbegäran mail.docx", "A 65927-2021")</f>
        <v/>
      </c>
    </row>
    <row r="168" ht="15" customHeight="1">
      <c r="A168" t="inlineStr">
        <is>
          <t>A 61561-2023</t>
        </is>
      </c>
      <c r="B168" s="1" t="n">
        <v>45265</v>
      </c>
      <c r="C168" s="1" t="n">
        <v>46085</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61796-2022</t>
        </is>
      </c>
      <c r="B169" s="1" t="n">
        <v>44917</v>
      </c>
      <c r="C169" s="1" t="n">
        <v>46085</v>
      </c>
      <c r="D169" t="inlineStr">
        <is>
          <t>GOTLANDS LÄN</t>
        </is>
      </c>
      <c r="E169" t="inlineStr">
        <is>
          <t>GOTLAND</t>
        </is>
      </c>
      <c r="G169" t="n">
        <v>1.5</v>
      </c>
      <c r="H169" t="n">
        <v>1</v>
      </c>
      <c r="I169" t="n">
        <v>0</v>
      </c>
      <c r="J169" t="n">
        <v>0</v>
      </c>
      <c r="K169" t="n">
        <v>0</v>
      </c>
      <c r="L169" t="n">
        <v>0</v>
      </c>
      <c r="M169" t="n">
        <v>0</v>
      </c>
      <c r="N169" t="n">
        <v>0</v>
      </c>
      <c r="O169" t="n">
        <v>0</v>
      </c>
      <c r="P169" t="n">
        <v>0</v>
      </c>
      <c r="Q169" t="n">
        <v>1</v>
      </c>
      <c r="R169" s="2" t="inlineStr">
        <is>
          <t>Skogsduva</t>
        </is>
      </c>
      <c r="S169">
        <f>HYPERLINK("https://klasma.github.io/Logging_0980/artfynd/A 61796-2022 artfynd.xlsx", "A 61796-2022")</f>
        <v/>
      </c>
      <c r="T169">
        <f>HYPERLINK("https://klasma.github.io/Logging_0980/kartor/A 61796-2022 karta.png", "A 61796-2022")</f>
        <v/>
      </c>
      <c r="V169">
        <f>HYPERLINK("https://klasma.github.io/Logging_0980/klagomål/A 61796-2022 FSC-klagomål.docx", "A 61796-2022")</f>
        <v/>
      </c>
      <c r="W169">
        <f>HYPERLINK("https://klasma.github.io/Logging_0980/klagomålsmail/A 61796-2022 FSC-klagomål mail.docx", "A 61796-2022")</f>
        <v/>
      </c>
      <c r="X169">
        <f>HYPERLINK("https://klasma.github.io/Logging_0980/tillsyn/A 61796-2022 tillsynsbegäran.docx", "A 61796-2022")</f>
        <v/>
      </c>
      <c r="Y169">
        <f>HYPERLINK("https://klasma.github.io/Logging_0980/tillsynsmail/A 61796-2022 tillsynsbegäran mail.docx", "A 61796-2022")</f>
        <v/>
      </c>
      <c r="Z169">
        <f>HYPERLINK("https://klasma.github.io/Logging_0980/fåglar/A 61796-2022 prioriterade fågelarter.docx", "A 61796-2022")</f>
        <v/>
      </c>
    </row>
    <row r="170" ht="15" customHeight="1">
      <c r="A170" t="inlineStr">
        <is>
          <t>A 22782-2023</t>
        </is>
      </c>
      <c r="B170" s="1" t="n">
        <v>45072</v>
      </c>
      <c r="C170" s="1" t="n">
        <v>46085</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15637-2024</t>
        </is>
      </c>
      <c r="B171" s="1" t="n">
        <v>45403.6684837963</v>
      </c>
      <c r="C171" s="1" t="n">
        <v>46085</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22883-2024</t>
        </is>
      </c>
      <c r="B172" s="1" t="n">
        <v>45448.66368055555</v>
      </c>
      <c r="C172" s="1" t="n">
        <v>46085</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24245-2022</t>
        </is>
      </c>
      <c r="B173" s="1" t="n">
        <v>44725</v>
      </c>
      <c r="C173" s="1" t="n">
        <v>46085</v>
      </c>
      <c r="D173" t="inlineStr">
        <is>
          <t>GOTLANDS LÄN</t>
        </is>
      </c>
      <c r="E173" t="inlineStr">
        <is>
          <t>GOTLAND</t>
        </is>
      </c>
      <c r="G173" t="n">
        <v>4.9</v>
      </c>
      <c r="H173" t="n">
        <v>0</v>
      </c>
      <c r="I173" t="n">
        <v>0</v>
      </c>
      <c r="J173" t="n">
        <v>0</v>
      </c>
      <c r="K173" t="n">
        <v>0</v>
      </c>
      <c r="L173" t="n">
        <v>1</v>
      </c>
      <c r="M173" t="n">
        <v>0</v>
      </c>
      <c r="N173" t="n">
        <v>0</v>
      </c>
      <c r="O173" t="n">
        <v>1</v>
      </c>
      <c r="P173" t="n">
        <v>1</v>
      </c>
      <c r="Q173" t="n">
        <v>1</v>
      </c>
      <c r="R173" s="2" t="inlineStr">
        <is>
          <t>Slät taggsvamp</t>
        </is>
      </c>
      <c r="S173">
        <f>HYPERLINK("https://klasma.github.io/Logging_0980/artfynd/A 24245-2022 artfynd.xlsx", "A 24245-2022")</f>
        <v/>
      </c>
      <c r="T173">
        <f>HYPERLINK("https://klasma.github.io/Logging_0980/kartor/A 24245-2022 karta.png", "A 24245-2022")</f>
        <v/>
      </c>
      <c r="V173">
        <f>HYPERLINK("https://klasma.github.io/Logging_0980/klagomål/A 24245-2022 FSC-klagomål.docx", "A 24245-2022")</f>
        <v/>
      </c>
      <c r="W173">
        <f>HYPERLINK("https://klasma.github.io/Logging_0980/klagomålsmail/A 24245-2022 FSC-klagomål mail.docx", "A 24245-2022")</f>
        <v/>
      </c>
      <c r="X173">
        <f>HYPERLINK("https://klasma.github.io/Logging_0980/tillsyn/A 24245-2022 tillsynsbegäran.docx", "A 24245-2022")</f>
        <v/>
      </c>
      <c r="Y173">
        <f>HYPERLINK("https://klasma.github.io/Logging_0980/tillsynsmail/A 24245-2022 tillsynsbegäran mail.docx", "A 24245-2022")</f>
        <v/>
      </c>
    </row>
    <row r="174" ht="15" customHeight="1">
      <c r="A174" t="inlineStr">
        <is>
          <t>A 2476-2025</t>
        </is>
      </c>
      <c r="B174" s="1" t="n">
        <v>45673</v>
      </c>
      <c r="C174" s="1" t="n">
        <v>46085</v>
      </c>
      <c r="D174" t="inlineStr">
        <is>
          <t>GOTLANDS LÄN</t>
        </is>
      </c>
      <c r="E174" t="inlineStr">
        <is>
          <t>GOTLAND</t>
        </is>
      </c>
      <c r="G174" t="n">
        <v>3.1</v>
      </c>
      <c r="H174" t="n">
        <v>0</v>
      </c>
      <c r="I174" t="n">
        <v>1</v>
      </c>
      <c r="J174" t="n">
        <v>0</v>
      </c>
      <c r="K174" t="n">
        <v>0</v>
      </c>
      <c r="L174" t="n">
        <v>0</v>
      </c>
      <c r="M174" t="n">
        <v>0</v>
      </c>
      <c r="N174" t="n">
        <v>0</v>
      </c>
      <c r="O174" t="n">
        <v>0</v>
      </c>
      <c r="P174" t="n">
        <v>0</v>
      </c>
      <c r="Q174" t="n">
        <v>1</v>
      </c>
      <c r="R174" s="2" t="inlineStr">
        <is>
          <t>Kryddspindling</t>
        </is>
      </c>
      <c r="S174">
        <f>HYPERLINK("https://klasma.github.io/Logging_0980/artfynd/A 2476-2025 artfynd.xlsx", "A 2476-2025")</f>
        <v/>
      </c>
      <c r="T174">
        <f>HYPERLINK("https://klasma.github.io/Logging_0980/kartor/A 2476-2025 karta.png", "A 2476-2025")</f>
        <v/>
      </c>
      <c r="V174">
        <f>HYPERLINK("https://klasma.github.io/Logging_0980/klagomål/A 2476-2025 FSC-klagomål.docx", "A 2476-2025")</f>
        <v/>
      </c>
      <c r="W174">
        <f>HYPERLINK("https://klasma.github.io/Logging_0980/klagomålsmail/A 2476-2025 FSC-klagomål mail.docx", "A 2476-2025")</f>
        <v/>
      </c>
      <c r="X174">
        <f>HYPERLINK("https://klasma.github.io/Logging_0980/tillsyn/A 2476-2025 tillsynsbegäran.docx", "A 2476-2025")</f>
        <v/>
      </c>
      <c r="Y174">
        <f>HYPERLINK("https://klasma.github.io/Logging_0980/tillsynsmail/A 2476-2025 tillsynsbegäran mail.docx", "A 2476-2025")</f>
        <v/>
      </c>
    </row>
    <row r="175" ht="15" customHeight="1">
      <c r="A175" t="inlineStr">
        <is>
          <t>A 10995-2023</t>
        </is>
      </c>
      <c r="B175" s="1" t="n">
        <v>44986</v>
      </c>
      <c r="C175" s="1" t="n">
        <v>46085</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49847-2023</t>
        </is>
      </c>
      <c r="B176" s="1" t="n">
        <v>45212</v>
      </c>
      <c r="C176" s="1" t="n">
        <v>46085</v>
      </c>
      <c r="D176" t="inlineStr">
        <is>
          <t>GOTLANDS LÄN</t>
        </is>
      </c>
      <c r="E176" t="inlineStr">
        <is>
          <t>GOTLAND</t>
        </is>
      </c>
      <c r="G176" t="n">
        <v>35.2</v>
      </c>
      <c r="H176" t="n">
        <v>0</v>
      </c>
      <c r="I176" t="n">
        <v>0</v>
      </c>
      <c r="J176" t="n">
        <v>0</v>
      </c>
      <c r="K176" t="n">
        <v>1</v>
      </c>
      <c r="L176" t="n">
        <v>0</v>
      </c>
      <c r="M176" t="n">
        <v>0</v>
      </c>
      <c r="N176" t="n">
        <v>0</v>
      </c>
      <c r="O176" t="n">
        <v>1</v>
      </c>
      <c r="P176" t="n">
        <v>1</v>
      </c>
      <c r="Q176" t="n">
        <v>1</v>
      </c>
      <c r="R176" s="2" t="inlineStr">
        <is>
          <t>Strandviol</t>
        </is>
      </c>
      <c r="S176">
        <f>HYPERLINK("https://klasma.github.io/Logging_0980/artfynd/A 49847-2023 artfynd.xlsx", "A 49847-2023")</f>
        <v/>
      </c>
      <c r="T176">
        <f>HYPERLINK("https://klasma.github.io/Logging_0980/kartor/A 49847-2023 karta.png", "A 49847-2023")</f>
        <v/>
      </c>
      <c r="V176">
        <f>HYPERLINK("https://klasma.github.io/Logging_0980/klagomål/A 49847-2023 FSC-klagomål.docx", "A 49847-2023")</f>
        <v/>
      </c>
      <c r="W176">
        <f>HYPERLINK("https://klasma.github.io/Logging_0980/klagomålsmail/A 49847-2023 FSC-klagomål mail.docx", "A 49847-2023")</f>
        <v/>
      </c>
      <c r="X176">
        <f>HYPERLINK("https://klasma.github.io/Logging_0980/tillsyn/A 49847-2023 tillsynsbegäran.docx", "A 49847-2023")</f>
        <v/>
      </c>
      <c r="Y176">
        <f>HYPERLINK("https://klasma.github.io/Logging_0980/tillsynsmail/A 49847-2023 tillsynsbegäran mail.docx", "A 49847-2023")</f>
        <v/>
      </c>
    </row>
    <row r="177" ht="15" customHeight="1">
      <c r="A177" t="inlineStr">
        <is>
          <t>A 46527-2023</t>
        </is>
      </c>
      <c r="B177" s="1" t="n">
        <v>45197</v>
      </c>
      <c r="C177" s="1" t="n">
        <v>46085</v>
      </c>
      <c r="D177" t="inlineStr">
        <is>
          <t>GOTLANDS LÄN</t>
        </is>
      </c>
      <c r="E177" t="inlineStr">
        <is>
          <t>GOTLAND</t>
        </is>
      </c>
      <c r="G177" t="n">
        <v>0.9</v>
      </c>
      <c r="H177" t="n">
        <v>0</v>
      </c>
      <c r="I177" t="n">
        <v>0</v>
      </c>
      <c r="J177" t="n">
        <v>1</v>
      </c>
      <c r="K177" t="n">
        <v>0</v>
      </c>
      <c r="L177" t="n">
        <v>0</v>
      </c>
      <c r="M177" t="n">
        <v>0</v>
      </c>
      <c r="N177" t="n">
        <v>0</v>
      </c>
      <c r="O177" t="n">
        <v>1</v>
      </c>
      <c r="P177" t="n">
        <v>0</v>
      </c>
      <c r="Q177" t="n">
        <v>1</v>
      </c>
      <c r="R177" s="2" t="inlineStr">
        <is>
          <t>Guldgräshoppa</t>
        </is>
      </c>
      <c r="S177">
        <f>HYPERLINK("https://klasma.github.io/Logging_0980/artfynd/A 46527-2023 artfynd.xlsx", "A 46527-2023")</f>
        <v/>
      </c>
      <c r="T177">
        <f>HYPERLINK("https://klasma.github.io/Logging_0980/kartor/A 46527-2023 karta.png", "A 46527-2023")</f>
        <v/>
      </c>
      <c r="V177">
        <f>HYPERLINK("https://klasma.github.io/Logging_0980/klagomål/A 46527-2023 FSC-klagomål.docx", "A 46527-2023")</f>
        <v/>
      </c>
      <c r="W177">
        <f>HYPERLINK("https://klasma.github.io/Logging_0980/klagomålsmail/A 46527-2023 FSC-klagomål mail.docx", "A 46527-2023")</f>
        <v/>
      </c>
      <c r="X177">
        <f>HYPERLINK("https://klasma.github.io/Logging_0980/tillsyn/A 46527-2023 tillsynsbegäran.docx", "A 46527-2023")</f>
        <v/>
      </c>
      <c r="Y177">
        <f>HYPERLINK("https://klasma.github.io/Logging_0980/tillsynsmail/A 46527-2023 tillsynsbegäran mail.docx", "A 46527-2023")</f>
        <v/>
      </c>
    </row>
    <row r="178" ht="15" customHeight="1">
      <c r="A178" t="inlineStr">
        <is>
          <t>A 62552-2022</t>
        </is>
      </c>
      <c r="B178" s="1" t="n">
        <v>44924</v>
      </c>
      <c r="C178" s="1" t="n">
        <v>46085</v>
      </c>
      <c r="D178" t="inlineStr">
        <is>
          <t>GOTLANDS LÄN</t>
        </is>
      </c>
      <c r="E178" t="inlineStr">
        <is>
          <t>GOTLAND</t>
        </is>
      </c>
      <c r="G178" t="n">
        <v>1.6</v>
      </c>
      <c r="H178" t="n">
        <v>0</v>
      </c>
      <c r="I178" t="n">
        <v>0</v>
      </c>
      <c r="J178" t="n">
        <v>1</v>
      </c>
      <c r="K178" t="n">
        <v>0</v>
      </c>
      <c r="L178" t="n">
        <v>0</v>
      </c>
      <c r="M178" t="n">
        <v>0</v>
      </c>
      <c r="N178" t="n">
        <v>0</v>
      </c>
      <c r="O178" t="n">
        <v>1</v>
      </c>
      <c r="P178" t="n">
        <v>0</v>
      </c>
      <c r="Q178" t="n">
        <v>1</v>
      </c>
      <c r="R178" s="2" t="inlineStr">
        <is>
          <t>Äggspindling</t>
        </is>
      </c>
      <c r="S178">
        <f>HYPERLINK("https://klasma.github.io/Logging_0980/artfynd/A 62552-2022 artfynd.xlsx", "A 62552-2022")</f>
        <v/>
      </c>
      <c r="T178">
        <f>HYPERLINK("https://klasma.github.io/Logging_0980/kartor/A 62552-2022 karta.png", "A 62552-2022")</f>
        <v/>
      </c>
      <c r="V178">
        <f>HYPERLINK("https://klasma.github.io/Logging_0980/klagomål/A 62552-2022 FSC-klagomål.docx", "A 62552-2022")</f>
        <v/>
      </c>
      <c r="W178">
        <f>HYPERLINK("https://klasma.github.io/Logging_0980/klagomålsmail/A 62552-2022 FSC-klagomål mail.docx", "A 62552-2022")</f>
        <v/>
      </c>
      <c r="X178">
        <f>HYPERLINK("https://klasma.github.io/Logging_0980/tillsyn/A 62552-2022 tillsynsbegäran.docx", "A 62552-2022")</f>
        <v/>
      </c>
      <c r="Y178">
        <f>HYPERLINK("https://klasma.github.io/Logging_0980/tillsynsmail/A 62552-2022 tillsynsbegäran mail.docx", "A 62552-2022")</f>
        <v/>
      </c>
    </row>
    <row r="179" ht="15" customHeight="1">
      <c r="A179" t="inlineStr">
        <is>
          <t>A 12324-2025</t>
        </is>
      </c>
      <c r="B179" s="1" t="n">
        <v>45730</v>
      </c>
      <c r="C179" s="1" t="n">
        <v>46085</v>
      </c>
      <c r="D179" t="inlineStr">
        <is>
          <t>GOTLANDS LÄN</t>
        </is>
      </c>
      <c r="E179" t="inlineStr">
        <is>
          <t>GOTLAND</t>
        </is>
      </c>
      <c r="G179" t="n">
        <v>5</v>
      </c>
      <c r="H179" t="n">
        <v>0</v>
      </c>
      <c r="I179" t="n">
        <v>0</v>
      </c>
      <c r="J179" t="n">
        <v>0</v>
      </c>
      <c r="K179" t="n">
        <v>1</v>
      </c>
      <c r="L179" t="n">
        <v>0</v>
      </c>
      <c r="M179" t="n">
        <v>0</v>
      </c>
      <c r="N179" t="n">
        <v>0</v>
      </c>
      <c r="O179" t="n">
        <v>1</v>
      </c>
      <c r="P179" t="n">
        <v>1</v>
      </c>
      <c r="Q179" t="n">
        <v>1</v>
      </c>
      <c r="R179" s="2" t="inlineStr">
        <is>
          <t>Sommarklynne</t>
        </is>
      </c>
      <c r="S179">
        <f>HYPERLINK("https://klasma.github.io/Logging_0980/artfynd/A 12324-2025 artfynd.xlsx", "A 12324-2025")</f>
        <v/>
      </c>
      <c r="T179">
        <f>HYPERLINK("https://klasma.github.io/Logging_0980/kartor/A 12324-2025 karta.png", "A 12324-2025")</f>
        <v/>
      </c>
      <c r="V179">
        <f>HYPERLINK("https://klasma.github.io/Logging_0980/klagomål/A 12324-2025 FSC-klagomål.docx", "A 12324-2025")</f>
        <v/>
      </c>
      <c r="W179">
        <f>HYPERLINK("https://klasma.github.io/Logging_0980/klagomålsmail/A 12324-2025 FSC-klagomål mail.docx", "A 12324-2025")</f>
        <v/>
      </c>
      <c r="X179">
        <f>HYPERLINK("https://klasma.github.io/Logging_0980/tillsyn/A 12324-2025 tillsynsbegäran.docx", "A 12324-2025")</f>
        <v/>
      </c>
      <c r="Y179">
        <f>HYPERLINK("https://klasma.github.io/Logging_0980/tillsynsmail/A 12324-2025 tillsynsbegäran mail.docx", "A 12324-2025")</f>
        <v/>
      </c>
    </row>
    <row r="180" ht="15" customHeight="1">
      <c r="A180" t="inlineStr">
        <is>
          <t>A 44088-2022</t>
        </is>
      </c>
      <c r="B180" s="1" t="n">
        <v>44839</v>
      </c>
      <c r="C180" s="1" t="n">
        <v>46085</v>
      </c>
      <c r="D180" t="inlineStr">
        <is>
          <t>GOTLANDS LÄN</t>
        </is>
      </c>
      <c r="E180" t="inlineStr">
        <is>
          <t>GOTLAND</t>
        </is>
      </c>
      <c r="G180" t="n">
        <v>1.5</v>
      </c>
      <c r="H180" t="n">
        <v>0</v>
      </c>
      <c r="I180" t="n">
        <v>1</v>
      </c>
      <c r="J180" t="n">
        <v>0</v>
      </c>
      <c r="K180" t="n">
        <v>0</v>
      </c>
      <c r="L180" t="n">
        <v>0</v>
      </c>
      <c r="M180" t="n">
        <v>0</v>
      </c>
      <c r="N180" t="n">
        <v>0</v>
      </c>
      <c r="O180" t="n">
        <v>0</v>
      </c>
      <c r="P180" t="n">
        <v>0</v>
      </c>
      <c r="Q180" t="n">
        <v>1</v>
      </c>
      <c r="R180" s="2" t="inlineStr">
        <is>
          <t>Strävlosta</t>
        </is>
      </c>
      <c r="S180">
        <f>HYPERLINK("https://klasma.github.io/Logging_0980/artfynd/A 44088-2022 artfynd.xlsx", "A 44088-2022")</f>
        <v/>
      </c>
      <c r="T180">
        <f>HYPERLINK("https://klasma.github.io/Logging_0980/kartor/A 44088-2022 karta.png", "A 44088-2022")</f>
        <v/>
      </c>
      <c r="V180">
        <f>HYPERLINK("https://klasma.github.io/Logging_0980/klagomål/A 44088-2022 FSC-klagomål.docx", "A 44088-2022")</f>
        <v/>
      </c>
      <c r="W180">
        <f>HYPERLINK("https://klasma.github.io/Logging_0980/klagomålsmail/A 44088-2022 FSC-klagomål mail.docx", "A 44088-2022")</f>
        <v/>
      </c>
      <c r="X180">
        <f>HYPERLINK("https://klasma.github.io/Logging_0980/tillsyn/A 44088-2022 tillsynsbegäran.docx", "A 44088-2022")</f>
        <v/>
      </c>
      <c r="Y180">
        <f>HYPERLINK("https://klasma.github.io/Logging_0980/tillsynsmail/A 44088-2022 tillsynsbegäran mail.docx", "A 44088-2022")</f>
        <v/>
      </c>
    </row>
    <row r="181" ht="15" customHeight="1">
      <c r="A181" t="inlineStr">
        <is>
          <t>A 37591-2023</t>
        </is>
      </c>
      <c r="B181" s="1" t="n">
        <v>45159</v>
      </c>
      <c r="C181" s="1" t="n">
        <v>46085</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44308-2021</t>
        </is>
      </c>
      <c r="B182" s="1" t="n">
        <v>44434</v>
      </c>
      <c r="C182" s="1" t="n">
        <v>46085</v>
      </c>
      <c r="D182" t="inlineStr">
        <is>
          <t>GOTLANDS LÄN</t>
        </is>
      </c>
      <c r="E182" t="inlineStr">
        <is>
          <t>GOTLAND</t>
        </is>
      </c>
      <c r="G182" t="n">
        <v>5.9</v>
      </c>
      <c r="H182" t="n">
        <v>0</v>
      </c>
      <c r="I182" t="n">
        <v>1</v>
      </c>
      <c r="J182" t="n">
        <v>0</v>
      </c>
      <c r="K182" t="n">
        <v>0</v>
      </c>
      <c r="L182" t="n">
        <v>0</v>
      </c>
      <c r="M182" t="n">
        <v>0</v>
      </c>
      <c r="N182" t="n">
        <v>0</v>
      </c>
      <c r="O182" t="n">
        <v>0</v>
      </c>
      <c r="P182" t="n">
        <v>0</v>
      </c>
      <c r="Q182" t="n">
        <v>1</v>
      </c>
      <c r="R182" s="2" t="inlineStr">
        <is>
          <t>Svavelriska</t>
        </is>
      </c>
      <c r="S182">
        <f>HYPERLINK("https://klasma.github.io/Logging_0980/artfynd/A 44308-2021 artfynd.xlsx", "A 44308-2021")</f>
        <v/>
      </c>
      <c r="T182">
        <f>HYPERLINK("https://klasma.github.io/Logging_0980/kartor/A 44308-2021 karta.png", "A 44308-2021")</f>
        <v/>
      </c>
      <c r="V182">
        <f>HYPERLINK("https://klasma.github.io/Logging_0980/klagomål/A 44308-2021 FSC-klagomål.docx", "A 44308-2021")</f>
        <v/>
      </c>
      <c r="W182">
        <f>HYPERLINK("https://klasma.github.io/Logging_0980/klagomålsmail/A 44308-2021 FSC-klagomål mail.docx", "A 44308-2021")</f>
        <v/>
      </c>
      <c r="X182">
        <f>HYPERLINK("https://klasma.github.io/Logging_0980/tillsyn/A 44308-2021 tillsynsbegäran.docx", "A 44308-2021")</f>
        <v/>
      </c>
      <c r="Y182">
        <f>HYPERLINK("https://klasma.github.io/Logging_0980/tillsynsmail/A 44308-2021 tillsynsbegäran mail.docx", "A 44308-2021")</f>
        <v/>
      </c>
    </row>
    <row r="183" ht="15" customHeight="1">
      <c r="A183" t="inlineStr">
        <is>
          <t>A 21466-2025</t>
        </is>
      </c>
      <c r="B183" s="1" t="n">
        <v>45782</v>
      </c>
      <c r="C183" s="1" t="n">
        <v>46085</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46085</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46085</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34141-2024</t>
        </is>
      </c>
      <c r="B186" s="1" t="n">
        <v>45524.36229166666</v>
      </c>
      <c r="C186" s="1" t="n">
        <v>46085</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9862-2024</t>
        </is>
      </c>
      <c r="B187" s="1" t="n">
        <v>45363</v>
      </c>
      <c r="C187" s="1" t="n">
        <v>46085</v>
      </c>
      <c r="D187" t="inlineStr">
        <is>
          <t>GOTLANDS LÄN</t>
        </is>
      </c>
      <c r="E187" t="inlineStr">
        <is>
          <t>GOTLAND</t>
        </is>
      </c>
      <c r="G187" t="n">
        <v>3.5</v>
      </c>
      <c r="H187" t="n">
        <v>1</v>
      </c>
      <c r="I187" t="n">
        <v>0</v>
      </c>
      <c r="J187" t="n">
        <v>0</v>
      </c>
      <c r="K187" t="n">
        <v>0</v>
      </c>
      <c r="L187" t="n">
        <v>0</v>
      </c>
      <c r="M187" t="n">
        <v>0</v>
      </c>
      <c r="N187" t="n">
        <v>0</v>
      </c>
      <c r="O187" t="n">
        <v>0</v>
      </c>
      <c r="P187" t="n">
        <v>0</v>
      </c>
      <c r="Q187" t="n">
        <v>1</v>
      </c>
      <c r="R187" s="2" t="inlineStr">
        <is>
          <t>Nattviol</t>
        </is>
      </c>
      <c r="S187">
        <f>HYPERLINK("https://klasma.github.io/Logging_0980/artfynd/A 9862-2024 artfynd.xlsx", "A 9862-2024")</f>
        <v/>
      </c>
      <c r="T187">
        <f>HYPERLINK("https://klasma.github.io/Logging_0980/kartor/A 9862-2024 karta.png", "A 9862-2024")</f>
        <v/>
      </c>
      <c r="V187">
        <f>HYPERLINK("https://klasma.github.io/Logging_0980/klagomål/A 9862-2024 FSC-klagomål.docx", "A 9862-2024")</f>
        <v/>
      </c>
      <c r="W187">
        <f>HYPERLINK("https://klasma.github.io/Logging_0980/klagomålsmail/A 9862-2024 FSC-klagomål mail.docx", "A 9862-2024")</f>
        <v/>
      </c>
      <c r="X187">
        <f>HYPERLINK("https://klasma.github.io/Logging_0980/tillsyn/A 9862-2024 tillsynsbegäran.docx", "A 9862-2024")</f>
        <v/>
      </c>
      <c r="Y187">
        <f>HYPERLINK("https://klasma.github.io/Logging_0980/tillsynsmail/A 9862-2024 tillsynsbegäran mail.docx", "A 9862-2024")</f>
        <v/>
      </c>
    </row>
    <row r="188" ht="15" customHeight="1">
      <c r="A188" t="inlineStr">
        <is>
          <t>A 12924-2025</t>
        </is>
      </c>
      <c r="B188" s="1" t="n">
        <v>45734</v>
      </c>
      <c r="C188" s="1" t="n">
        <v>46085</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19901-2021</t>
        </is>
      </c>
      <c r="B189" s="1" t="n">
        <v>44312</v>
      </c>
      <c r="C189" s="1" t="n">
        <v>46085</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46085</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46085</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46085</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46085</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46085</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46085</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46085</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46085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46085</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46085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46085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46085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46085</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46085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46085</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46085</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46085</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46085</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46085</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46085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46085</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46085</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46085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46085</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46085</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46085</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46085</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46085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46085</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46085</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46085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46085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46085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46085</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46085</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46085</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46085</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46085</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46085</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46085</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46085</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1394-2023</t>
        </is>
      </c>
      <c r="B231" s="1" t="n">
        <v>44936.72997685185</v>
      </c>
      <c r="C231" s="1" t="n">
        <v>46085</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58230-2024</t>
        </is>
      </c>
      <c r="B232" s="1" t="n">
        <v>45632.51625</v>
      </c>
      <c r="C232" s="1" t="n">
        <v>46085</v>
      </c>
      <c r="D232" t="inlineStr">
        <is>
          <t>GOTLANDS LÄN</t>
        </is>
      </c>
      <c r="E232" t="inlineStr">
        <is>
          <t>GOTLAND</t>
        </is>
      </c>
      <c r="G232" t="n">
        <v>7.3</v>
      </c>
      <c r="H232" t="n">
        <v>0</v>
      </c>
      <c r="I232" t="n">
        <v>0</v>
      </c>
      <c r="J232" t="n">
        <v>0</v>
      </c>
      <c r="K232" t="n">
        <v>0</v>
      </c>
      <c r="L232" t="n">
        <v>0</v>
      </c>
      <c r="M232" t="n">
        <v>0</v>
      </c>
      <c r="N232" t="n">
        <v>0</v>
      </c>
      <c r="O232" t="n">
        <v>0</v>
      </c>
      <c r="P232" t="n">
        <v>0</v>
      </c>
      <c r="Q232" t="n">
        <v>0</v>
      </c>
      <c r="R232" s="2" t="inlineStr"/>
    </row>
    <row r="233" ht="15" customHeight="1">
      <c r="A233" t="inlineStr">
        <is>
          <t>A 1462-2025</t>
        </is>
      </c>
      <c r="B233" s="1" t="n">
        <v>45670.36319444444</v>
      </c>
      <c r="C233" s="1" t="n">
        <v>46085</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46085</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46085</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46085</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46085</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46085</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24192-2023</t>
        </is>
      </c>
      <c r="B239" s="1" t="n">
        <v>45079</v>
      </c>
      <c r="C239" s="1" t="n">
        <v>46085</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5386-2023</t>
        </is>
      </c>
      <c r="B240" s="1" t="n">
        <v>44959</v>
      </c>
      <c r="C240" s="1" t="n">
        <v>46085</v>
      </c>
      <c r="D240" t="inlineStr">
        <is>
          <t>GOTLANDS LÄN</t>
        </is>
      </c>
      <c r="E240" t="inlineStr">
        <is>
          <t>GOTLAND</t>
        </is>
      </c>
      <c r="G240" t="n">
        <v>5.4</v>
      </c>
      <c r="H240" t="n">
        <v>0</v>
      </c>
      <c r="I240" t="n">
        <v>0</v>
      </c>
      <c r="J240" t="n">
        <v>0</v>
      </c>
      <c r="K240" t="n">
        <v>0</v>
      </c>
      <c r="L240" t="n">
        <v>0</v>
      </c>
      <c r="M240" t="n">
        <v>0</v>
      </c>
      <c r="N240" t="n">
        <v>0</v>
      </c>
      <c r="O240" t="n">
        <v>0</v>
      </c>
      <c r="P240" t="n">
        <v>0</v>
      </c>
      <c r="Q240" t="n">
        <v>0</v>
      </c>
      <c r="R240" s="2" t="inlineStr"/>
    </row>
    <row r="241" ht="15" customHeight="1">
      <c r="A241" t="inlineStr">
        <is>
          <t>A 7026-2023</t>
        </is>
      </c>
      <c r="B241" s="1" t="n">
        <v>44968.30340277778</v>
      </c>
      <c r="C241" s="1" t="n">
        <v>46085</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20855-2023</t>
        </is>
      </c>
      <c r="B242" s="1" t="n">
        <v>45058.82172453704</v>
      </c>
      <c r="C242" s="1" t="n">
        <v>46085</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1000-2024</t>
        </is>
      </c>
      <c r="B243" s="1" t="n">
        <v>45301.63371527778</v>
      </c>
      <c r="C243" s="1" t="n">
        <v>46085</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1010-2024</t>
        </is>
      </c>
      <c r="B244" s="1" t="n">
        <v>45301</v>
      </c>
      <c r="C244" s="1" t="n">
        <v>46085</v>
      </c>
      <c r="D244" t="inlineStr">
        <is>
          <t>GOTLANDS LÄN</t>
        </is>
      </c>
      <c r="E244" t="inlineStr">
        <is>
          <t>GOTLAND</t>
        </is>
      </c>
      <c r="G244" t="n">
        <v>2.4</v>
      </c>
      <c r="H244" t="n">
        <v>0</v>
      </c>
      <c r="I244" t="n">
        <v>0</v>
      </c>
      <c r="J244" t="n">
        <v>0</v>
      </c>
      <c r="K244" t="n">
        <v>0</v>
      </c>
      <c r="L244" t="n">
        <v>0</v>
      </c>
      <c r="M244" t="n">
        <v>0</v>
      </c>
      <c r="N244" t="n">
        <v>0</v>
      </c>
      <c r="O244" t="n">
        <v>0</v>
      </c>
      <c r="P244" t="n">
        <v>0</v>
      </c>
      <c r="Q244" t="n">
        <v>0</v>
      </c>
      <c r="R244" s="2" t="inlineStr"/>
    </row>
    <row r="245" ht="15" customHeight="1">
      <c r="A245" t="inlineStr">
        <is>
          <t>A 30282-2022</t>
        </is>
      </c>
      <c r="B245" s="1" t="n">
        <v>44760</v>
      </c>
      <c r="C245" s="1" t="n">
        <v>46085</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18993-2025</t>
        </is>
      </c>
      <c r="B246" s="1" t="n">
        <v>45764</v>
      </c>
      <c r="C246" s="1" t="n">
        <v>46085</v>
      </c>
      <c r="D246" t="inlineStr">
        <is>
          <t>GOTLANDS LÄN</t>
        </is>
      </c>
      <c r="E246" t="inlineStr">
        <is>
          <t>GOTLAND</t>
        </is>
      </c>
      <c r="G246" t="n">
        <v>3</v>
      </c>
      <c r="H246" t="n">
        <v>0</v>
      </c>
      <c r="I246" t="n">
        <v>0</v>
      </c>
      <c r="J246" t="n">
        <v>0</v>
      </c>
      <c r="K246" t="n">
        <v>0</v>
      </c>
      <c r="L246" t="n">
        <v>0</v>
      </c>
      <c r="M246" t="n">
        <v>0</v>
      </c>
      <c r="N246" t="n">
        <v>0</v>
      </c>
      <c r="O246" t="n">
        <v>0</v>
      </c>
      <c r="P246" t="n">
        <v>0</v>
      </c>
      <c r="Q246" t="n">
        <v>0</v>
      </c>
      <c r="R246" s="2" t="inlineStr"/>
    </row>
    <row r="247" ht="15" customHeight="1">
      <c r="A247" t="inlineStr">
        <is>
          <t>A 4868-2024</t>
        </is>
      </c>
      <c r="B247" s="1" t="n">
        <v>45329</v>
      </c>
      <c r="C247" s="1" t="n">
        <v>46085</v>
      </c>
      <c r="D247" t="inlineStr">
        <is>
          <t>GOTLANDS LÄN</t>
        </is>
      </c>
      <c r="E247" t="inlineStr">
        <is>
          <t>GOTLAND</t>
        </is>
      </c>
      <c r="G247" t="n">
        <v>7.1</v>
      </c>
      <c r="H247" t="n">
        <v>0</v>
      </c>
      <c r="I247" t="n">
        <v>0</v>
      </c>
      <c r="J247" t="n">
        <v>0</v>
      </c>
      <c r="K247" t="n">
        <v>0</v>
      </c>
      <c r="L247" t="n">
        <v>0</v>
      </c>
      <c r="M247" t="n">
        <v>0</v>
      </c>
      <c r="N247" t="n">
        <v>0</v>
      </c>
      <c r="O247" t="n">
        <v>0</v>
      </c>
      <c r="P247" t="n">
        <v>0</v>
      </c>
      <c r="Q247" t="n">
        <v>0</v>
      </c>
      <c r="R247" s="2" t="inlineStr"/>
    </row>
    <row r="248" ht="15" customHeight="1">
      <c r="A248" t="inlineStr">
        <is>
          <t>A 47762-2023</t>
        </is>
      </c>
      <c r="B248" s="1" t="n">
        <v>45203.86256944444</v>
      </c>
      <c r="C248" s="1" t="n">
        <v>46085</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46545-2024</t>
        </is>
      </c>
      <c r="B249" s="1" t="n">
        <v>45582.65831018519</v>
      </c>
      <c r="C249" s="1" t="n">
        <v>46085</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46085</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30135-2025</t>
        </is>
      </c>
      <c r="B251" s="1" t="n">
        <v>45826</v>
      </c>
      <c r="C251" s="1" t="n">
        <v>46085</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60086-2022</t>
        </is>
      </c>
      <c r="B252" s="1" t="n">
        <v>44909</v>
      </c>
      <c r="C252" s="1" t="n">
        <v>46085</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12599-2025</t>
        </is>
      </c>
      <c r="B253" s="1" t="n">
        <v>45733.29546296296</v>
      </c>
      <c r="C253" s="1" t="n">
        <v>46085</v>
      </c>
      <c r="D253" t="inlineStr">
        <is>
          <t>GOTLANDS LÄN</t>
        </is>
      </c>
      <c r="E253" t="inlineStr">
        <is>
          <t>GOTLAND</t>
        </is>
      </c>
      <c r="G253" t="n">
        <v>4.7</v>
      </c>
      <c r="H253" t="n">
        <v>0</v>
      </c>
      <c r="I253" t="n">
        <v>0</v>
      </c>
      <c r="J253" t="n">
        <v>0</v>
      </c>
      <c r="K253" t="n">
        <v>0</v>
      </c>
      <c r="L253" t="n">
        <v>0</v>
      </c>
      <c r="M253" t="n">
        <v>0</v>
      </c>
      <c r="N253" t="n">
        <v>0</v>
      </c>
      <c r="O253" t="n">
        <v>0</v>
      </c>
      <c r="P253" t="n">
        <v>0</v>
      </c>
      <c r="Q253" t="n">
        <v>0</v>
      </c>
      <c r="R253" s="2" t="inlineStr"/>
    </row>
    <row r="254" ht="15" customHeight="1">
      <c r="A254" t="inlineStr">
        <is>
          <t>A 28480-2023</t>
        </is>
      </c>
      <c r="B254" s="1" t="n">
        <v>45103</v>
      </c>
      <c r="C254" s="1" t="n">
        <v>46085</v>
      </c>
      <c r="D254" t="inlineStr">
        <is>
          <t>GOTLANDS LÄN</t>
        </is>
      </c>
      <c r="E254" t="inlineStr">
        <is>
          <t>GOTLAND</t>
        </is>
      </c>
      <c r="G254" t="n">
        <v>5.7</v>
      </c>
      <c r="H254" t="n">
        <v>0</v>
      </c>
      <c r="I254" t="n">
        <v>0</v>
      </c>
      <c r="J254" t="n">
        <v>0</v>
      </c>
      <c r="K254" t="n">
        <v>0</v>
      </c>
      <c r="L254" t="n">
        <v>0</v>
      </c>
      <c r="M254" t="n">
        <v>0</v>
      </c>
      <c r="N254" t="n">
        <v>0</v>
      </c>
      <c r="O254" t="n">
        <v>0</v>
      </c>
      <c r="P254" t="n">
        <v>0</v>
      </c>
      <c r="Q254" t="n">
        <v>0</v>
      </c>
      <c r="R254" s="2" t="inlineStr"/>
    </row>
    <row r="255" ht="15" customHeight="1">
      <c r="A255" t="inlineStr">
        <is>
          <t>A 28485-2023</t>
        </is>
      </c>
      <c r="B255" s="1" t="n">
        <v>45103.43731481482</v>
      </c>
      <c r="C255" s="1" t="n">
        <v>46085</v>
      </c>
      <c r="D255" t="inlineStr">
        <is>
          <t>GOTLANDS LÄN</t>
        </is>
      </c>
      <c r="E255" t="inlineStr">
        <is>
          <t>GOTLAND</t>
        </is>
      </c>
      <c r="G255" t="n">
        <v>2.3</v>
      </c>
      <c r="H255" t="n">
        <v>0</v>
      </c>
      <c r="I255" t="n">
        <v>0</v>
      </c>
      <c r="J255" t="n">
        <v>0</v>
      </c>
      <c r="K255" t="n">
        <v>0</v>
      </c>
      <c r="L255" t="n">
        <v>0</v>
      </c>
      <c r="M255" t="n">
        <v>0</v>
      </c>
      <c r="N255" t="n">
        <v>0</v>
      </c>
      <c r="O255" t="n">
        <v>0</v>
      </c>
      <c r="P255" t="n">
        <v>0</v>
      </c>
      <c r="Q255" t="n">
        <v>0</v>
      </c>
      <c r="R255" s="2" t="inlineStr"/>
    </row>
    <row r="256" ht="15" customHeight="1">
      <c r="A256" t="inlineStr">
        <is>
          <t>A 54584-2025</t>
        </is>
      </c>
      <c r="B256" s="1" t="n">
        <v>45965.71788194445</v>
      </c>
      <c r="C256" s="1" t="n">
        <v>46085</v>
      </c>
      <c r="D256" t="inlineStr">
        <is>
          <t>GOTLANDS LÄN</t>
        </is>
      </c>
      <c r="E256" t="inlineStr">
        <is>
          <t>GOTLAND</t>
        </is>
      </c>
      <c r="G256" t="n">
        <v>3.5</v>
      </c>
      <c r="H256" t="n">
        <v>0</v>
      </c>
      <c r="I256" t="n">
        <v>0</v>
      </c>
      <c r="J256" t="n">
        <v>0</v>
      </c>
      <c r="K256" t="n">
        <v>0</v>
      </c>
      <c r="L256" t="n">
        <v>0</v>
      </c>
      <c r="M256" t="n">
        <v>0</v>
      </c>
      <c r="N256" t="n">
        <v>0</v>
      </c>
      <c r="O256" t="n">
        <v>0</v>
      </c>
      <c r="P256" t="n">
        <v>0</v>
      </c>
      <c r="Q256" t="n">
        <v>0</v>
      </c>
      <c r="R256" s="2" t="inlineStr"/>
    </row>
    <row r="257" ht="15" customHeight="1">
      <c r="A257" t="inlineStr">
        <is>
          <t>A 6207-2026</t>
        </is>
      </c>
      <c r="B257" s="1" t="n">
        <v>46055.42083333333</v>
      </c>
      <c r="C257" s="1" t="n">
        <v>46085</v>
      </c>
      <c r="D257" t="inlineStr">
        <is>
          <t>GOTLANDS LÄN</t>
        </is>
      </c>
      <c r="E257" t="inlineStr">
        <is>
          <t>GOTLAND</t>
        </is>
      </c>
      <c r="G257" t="n">
        <v>7.6</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46085</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46085</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62915-2021</t>
        </is>
      </c>
      <c r="B260" s="1" t="n">
        <v>44504</v>
      </c>
      <c r="C260" s="1" t="n">
        <v>46085</v>
      </c>
      <c r="D260" t="inlineStr">
        <is>
          <t>GOTLANDS LÄN</t>
        </is>
      </c>
      <c r="E260" t="inlineStr">
        <is>
          <t>GOTLAND</t>
        </is>
      </c>
      <c r="G260" t="n">
        <v>1.1</v>
      </c>
      <c r="H260" t="n">
        <v>0</v>
      </c>
      <c r="I260" t="n">
        <v>0</v>
      </c>
      <c r="J260" t="n">
        <v>0</v>
      </c>
      <c r="K260" t="n">
        <v>0</v>
      </c>
      <c r="L260" t="n">
        <v>0</v>
      </c>
      <c r="M260" t="n">
        <v>0</v>
      </c>
      <c r="N260" t="n">
        <v>0</v>
      </c>
      <c r="O260" t="n">
        <v>0</v>
      </c>
      <c r="P260" t="n">
        <v>0</v>
      </c>
      <c r="Q260" t="n">
        <v>0</v>
      </c>
      <c r="R260" s="2" t="inlineStr"/>
    </row>
    <row r="261" ht="15" customHeight="1">
      <c r="A261" t="inlineStr">
        <is>
          <t>A 6960-2026</t>
        </is>
      </c>
      <c r="B261" s="1" t="n">
        <v>46057.58105324074</v>
      </c>
      <c r="C261" s="1" t="n">
        <v>46085</v>
      </c>
      <c r="D261" t="inlineStr">
        <is>
          <t>GOTLANDS LÄN</t>
        </is>
      </c>
      <c r="E261" t="inlineStr">
        <is>
          <t>GOTLAND</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6959-2026</t>
        </is>
      </c>
      <c r="B262" s="1" t="n">
        <v>46057.580625</v>
      </c>
      <c r="C262" s="1" t="n">
        <v>46085</v>
      </c>
      <c r="D262" t="inlineStr">
        <is>
          <t>GOTLANDS LÄN</t>
        </is>
      </c>
      <c r="E262" t="inlineStr">
        <is>
          <t>GOTLAND</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44949-2023</t>
        </is>
      </c>
      <c r="B263" s="1" t="n">
        <v>45190.69520833333</v>
      </c>
      <c r="C263" s="1" t="n">
        <v>46085</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37222-2021</t>
        </is>
      </c>
      <c r="B264" s="1" t="n">
        <v>44396</v>
      </c>
      <c r="C264" s="1" t="n">
        <v>46085</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32330-2024</t>
        </is>
      </c>
      <c r="B265" s="1" t="n">
        <v>45512</v>
      </c>
      <c r="C265" s="1" t="n">
        <v>46085</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39819-2025</t>
        </is>
      </c>
      <c r="B266" s="1" t="n">
        <v>45891.53418981482</v>
      </c>
      <c r="C266" s="1" t="n">
        <v>46085</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46085</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46085</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38649-2025</t>
        </is>
      </c>
      <c r="B269" s="1" t="n">
        <v>45884</v>
      </c>
      <c r="C269" s="1" t="n">
        <v>46085</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3964-2024</t>
        </is>
      </c>
      <c r="B270" s="1" t="n">
        <v>45322</v>
      </c>
      <c r="C270" s="1" t="n">
        <v>46085</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46085</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45084-2024</t>
        </is>
      </c>
      <c r="B272" s="1" t="n">
        <v>45575</v>
      </c>
      <c r="C272" s="1" t="n">
        <v>46085</v>
      </c>
      <c r="D272" t="inlineStr">
        <is>
          <t>GOTLANDS LÄN</t>
        </is>
      </c>
      <c r="E272" t="inlineStr">
        <is>
          <t>GOTLAND</t>
        </is>
      </c>
      <c r="G272" t="n">
        <v>6.8</v>
      </c>
      <c r="H272" t="n">
        <v>0</v>
      </c>
      <c r="I272" t="n">
        <v>0</v>
      </c>
      <c r="J272" t="n">
        <v>0</v>
      </c>
      <c r="K272" t="n">
        <v>0</v>
      </c>
      <c r="L272" t="n">
        <v>0</v>
      </c>
      <c r="M272" t="n">
        <v>0</v>
      </c>
      <c r="N272" t="n">
        <v>0</v>
      </c>
      <c r="O272" t="n">
        <v>0</v>
      </c>
      <c r="P272" t="n">
        <v>0</v>
      </c>
      <c r="Q272" t="n">
        <v>0</v>
      </c>
      <c r="R272" s="2" t="inlineStr"/>
    </row>
    <row r="273" ht="15" customHeight="1">
      <c r="A273" t="inlineStr">
        <is>
          <t>A 39816-2025</t>
        </is>
      </c>
      <c r="B273" s="1" t="n">
        <v>45891</v>
      </c>
      <c r="C273" s="1" t="n">
        <v>46085</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40103-2025</t>
        </is>
      </c>
      <c r="B274" s="1" t="n">
        <v>45894.4880324074</v>
      </c>
      <c r="C274" s="1" t="n">
        <v>46085</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40373-2025</t>
        </is>
      </c>
      <c r="B275" s="1" t="n">
        <v>45895.51821759259</v>
      </c>
      <c r="C275" s="1" t="n">
        <v>46085</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40499-2025</t>
        </is>
      </c>
      <c r="B276" s="1" t="n">
        <v>45896.32517361111</v>
      </c>
      <c r="C276" s="1" t="n">
        <v>46085</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61078-2025</t>
        </is>
      </c>
      <c r="B277" s="1" t="n">
        <v>46000</v>
      </c>
      <c r="C277" s="1" t="n">
        <v>46085</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46085</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7625-2026</t>
        </is>
      </c>
      <c r="B279" s="1" t="n">
        <v>46062.35135416667</v>
      </c>
      <c r="C279" s="1" t="n">
        <v>46085</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7627-2026</t>
        </is>
      </c>
      <c r="B280" s="1" t="n">
        <v>46062.35465277778</v>
      </c>
      <c r="C280" s="1" t="n">
        <v>46085</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9613-2025</t>
        </is>
      </c>
      <c r="B281" s="1" t="n">
        <v>45715</v>
      </c>
      <c r="C281" s="1" t="n">
        <v>46085</v>
      </c>
      <c r="D281" t="inlineStr">
        <is>
          <t>GOTLANDS LÄN</t>
        </is>
      </c>
      <c r="E281" t="inlineStr">
        <is>
          <t>GOTLAND</t>
        </is>
      </c>
      <c r="G281" t="n">
        <v>3.5</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46085</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5217-2023</t>
        </is>
      </c>
      <c r="B283" s="1" t="n">
        <v>44959.39582175926</v>
      </c>
      <c r="C283" s="1" t="n">
        <v>46085</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1677-2023</t>
        </is>
      </c>
      <c r="B284" s="1" t="n">
        <v>44938</v>
      </c>
      <c r="C284" s="1" t="n">
        <v>46085</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15595-2024</t>
        </is>
      </c>
      <c r="B285" s="1" t="n">
        <v>45401.81480324074</v>
      </c>
      <c r="C285" s="1" t="n">
        <v>46085</v>
      </c>
      <c r="D285" t="inlineStr">
        <is>
          <t>GOTLANDS LÄN</t>
        </is>
      </c>
      <c r="E285" t="inlineStr">
        <is>
          <t>GOTLAND</t>
        </is>
      </c>
      <c r="G285" t="n">
        <v>6.4</v>
      </c>
      <c r="H285" t="n">
        <v>0</v>
      </c>
      <c r="I285" t="n">
        <v>0</v>
      </c>
      <c r="J285" t="n">
        <v>0</v>
      </c>
      <c r="K285" t="n">
        <v>0</v>
      </c>
      <c r="L285" t="n">
        <v>0</v>
      </c>
      <c r="M285" t="n">
        <v>0</v>
      </c>
      <c r="N285" t="n">
        <v>0</v>
      </c>
      <c r="O285" t="n">
        <v>0</v>
      </c>
      <c r="P285" t="n">
        <v>0</v>
      </c>
      <c r="Q285" t="n">
        <v>0</v>
      </c>
      <c r="R285" s="2" t="inlineStr"/>
    </row>
    <row r="286" ht="15" customHeight="1">
      <c r="A286" t="inlineStr">
        <is>
          <t>A 45244-2024</t>
        </is>
      </c>
      <c r="B286" s="1" t="n">
        <v>45576</v>
      </c>
      <c r="C286" s="1" t="n">
        <v>46085</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41435-2025</t>
        </is>
      </c>
      <c r="B287" s="1" t="n">
        <v>45901.39974537037</v>
      </c>
      <c r="C287" s="1" t="n">
        <v>46085</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36-2026</t>
        </is>
      </c>
      <c r="B288" s="1" t="n">
        <v>46024.38886574074</v>
      </c>
      <c r="C288" s="1" t="n">
        <v>46085</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5751-2024</t>
        </is>
      </c>
      <c r="B289" s="1" t="n">
        <v>45335.32702546296</v>
      </c>
      <c r="C289" s="1" t="n">
        <v>46085</v>
      </c>
      <c r="D289" t="inlineStr">
        <is>
          <t>GOTLANDS LÄN</t>
        </is>
      </c>
      <c r="E289" t="inlineStr">
        <is>
          <t>GOTLAND</t>
        </is>
      </c>
      <c r="G289" t="n">
        <v>4.2</v>
      </c>
      <c r="H289" t="n">
        <v>0</v>
      </c>
      <c r="I289" t="n">
        <v>0</v>
      </c>
      <c r="J289" t="n">
        <v>0</v>
      </c>
      <c r="K289" t="n">
        <v>0</v>
      </c>
      <c r="L289" t="n">
        <v>0</v>
      </c>
      <c r="M289" t="n">
        <v>0</v>
      </c>
      <c r="N289" t="n">
        <v>0</v>
      </c>
      <c r="O289" t="n">
        <v>0</v>
      </c>
      <c r="P289" t="n">
        <v>0</v>
      </c>
      <c r="Q289" t="n">
        <v>0</v>
      </c>
      <c r="R289" s="2" t="inlineStr"/>
    </row>
    <row r="290" ht="15" customHeight="1">
      <c r="A290" t="inlineStr">
        <is>
          <t>A 62674-2025</t>
        </is>
      </c>
      <c r="B290" s="1" t="n">
        <v>46008</v>
      </c>
      <c r="C290" s="1" t="n">
        <v>46085</v>
      </c>
      <c r="D290" t="inlineStr">
        <is>
          <t>GOTLANDS LÄN</t>
        </is>
      </c>
      <c r="E290" t="inlineStr">
        <is>
          <t>GOTLAND</t>
        </is>
      </c>
      <c r="G290" t="n">
        <v>5</v>
      </c>
      <c r="H290" t="n">
        <v>0</v>
      </c>
      <c r="I290" t="n">
        <v>0</v>
      </c>
      <c r="J290" t="n">
        <v>0</v>
      </c>
      <c r="K290" t="n">
        <v>0</v>
      </c>
      <c r="L290" t="n">
        <v>0</v>
      </c>
      <c r="M290" t="n">
        <v>0</v>
      </c>
      <c r="N290" t="n">
        <v>0</v>
      </c>
      <c r="O290" t="n">
        <v>0</v>
      </c>
      <c r="P290" t="n">
        <v>0</v>
      </c>
      <c r="Q290" t="n">
        <v>0</v>
      </c>
      <c r="R290" s="2" t="inlineStr"/>
    </row>
    <row r="291" ht="15" customHeight="1">
      <c r="A291" t="inlineStr">
        <is>
          <t>A 8260-2023</t>
        </is>
      </c>
      <c r="B291" s="1" t="n">
        <v>44974.61608796296</v>
      </c>
      <c r="C291" s="1" t="n">
        <v>46085</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46085</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60384-2025</t>
        </is>
      </c>
      <c r="B293" s="1" t="n">
        <v>45995</v>
      </c>
      <c r="C293" s="1" t="n">
        <v>46085</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64969-2023</t>
        </is>
      </c>
      <c r="B294" s="1" t="n">
        <v>45284.54009259259</v>
      </c>
      <c r="C294" s="1" t="n">
        <v>46085</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48843-2024</t>
        </is>
      </c>
      <c r="B295" s="1" t="n">
        <v>45593</v>
      </c>
      <c r="C295" s="1" t="n">
        <v>46085</v>
      </c>
      <c r="D295" t="inlineStr">
        <is>
          <t>GOTLANDS LÄN</t>
        </is>
      </c>
      <c r="E295" t="inlineStr">
        <is>
          <t>GOTLAND</t>
        </is>
      </c>
      <c r="G295" t="n">
        <v>0.5</v>
      </c>
      <c r="H295" t="n">
        <v>0</v>
      </c>
      <c r="I295" t="n">
        <v>0</v>
      </c>
      <c r="J295" t="n">
        <v>0</v>
      </c>
      <c r="K295" t="n">
        <v>0</v>
      </c>
      <c r="L295" t="n">
        <v>0</v>
      </c>
      <c r="M295" t="n">
        <v>0</v>
      </c>
      <c r="N295" t="n">
        <v>0</v>
      </c>
      <c r="O295" t="n">
        <v>0</v>
      </c>
      <c r="P295" t="n">
        <v>0</v>
      </c>
      <c r="Q295" t="n">
        <v>0</v>
      </c>
      <c r="R295" s="2" t="inlineStr"/>
    </row>
    <row r="296" ht="15" customHeight="1">
      <c r="A296" t="inlineStr">
        <is>
          <t>A 17541-2024</t>
        </is>
      </c>
      <c r="B296" s="1" t="n">
        <v>45415</v>
      </c>
      <c r="C296" s="1" t="n">
        <v>46085</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24966-2023</t>
        </is>
      </c>
      <c r="B297" s="1" t="n">
        <v>45085</v>
      </c>
      <c r="C297" s="1" t="n">
        <v>46085</v>
      </c>
      <c r="D297" t="inlineStr">
        <is>
          <t>GOTLANDS LÄN</t>
        </is>
      </c>
      <c r="E297" t="inlineStr">
        <is>
          <t>GOTLAND</t>
        </is>
      </c>
      <c r="G297" t="n">
        <v>7</v>
      </c>
      <c r="H297" t="n">
        <v>0</v>
      </c>
      <c r="I297" t="n">
        <v>0</v>
      </c>
      <c r="J297" t="n">
        <v>0</v>
      </c>
      <c r="K297" t="n">
        <v>0</v>
      </c>
      <c r="L297" t="n">
        <v>0</v>
      </c>
      <c r="M297" t="n">
        <v>0</v>
      </c>
      <c r="N297" t="n">
        <v>0</v>
      </c>
      <c r="O297" t="n">
        <v>0</v>
      </c>
      <c r="P297" t="n">
        <v>0</v>
      </c>
      <c r="Q297" t="n">
        <v>0</v>
      </c>
      <c r="R297" s="2" t="inlineStr"/>
    </row>
    <row r="298" ht="15" customHeight="1">
      <c r="A298" t="inlineStr">
        <is>
          <t>A 2241-2025</t>
        </is>
      </c>
      <c r="B298" s="1" t="n">
        <v>45673.48710648148</v>
      </c>
      <c r="C298" s="1" t="n">
        <v>46085</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46189-2022</t>
        </is>
      </c>
      <c r="B299" s="1" t="n">
        <v>44847</v>
      </c>
      <c r="C299" s="1" t="n">
        <v>46085</v>
      </c>
      <c r="D299" t="inlineStr">
        <is>
          <t>GOTLANDS LÄN</t>
        </is>
      </c>
      <c r="E299" t="inlineStr">
        <is>
          <t>GOTLAND</t>
        </is>
      </c>
      <c r="G299" t="n">
        <v>0.4</v>
      </c>
      <c r="H299" t="n">
        <v>0</v>
      </c>
      <c r="I299" t="n">
        <v>0</v>
      </c>
      <c r="J299" t="n">
        <v>0</v>
      </c>
      <c r="K299" t="n">
        <v>0</v>
      </c>
      <c r="L299" t="n">
        <v>0</v>
      </c>
      <c r="M299" t="n">
        <v>0</v>
      </c>
      <c r="N299" t="n">
        <v>0</v>
      </c>
      <c r="O299" t="n">
        <v>0</v>
      </c>
      <c r="P299" t="n">
        <v>0</v>
      </c>
      <c r="Q299" t="n">
        <v>0</v>
      </c>
      <c r="R299" s="2" t="inlineStr"/>
    </row>
    <row r="300" ht="15" customHeight="1">
      <c r="A300" t="inlineStr">
        <is>
          <t>A 9543-2026</t>
        </is>
      </c>
      <c r="B300" s="1" t="n">
        <v>46071.62486111111</v>
      </c>
      <c r="C300" s="1" t="n">
        <v>46085</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9521-2026</t>
        </is>
      </c>
      <c r="B301" s="1" t="n">
        <v>46071.59969907408</v>
      </c>
      <c r="C301" s="1" t="n">
        <v>46085</v>
      </c>
      <c r="D301" t="inlineStr">
        <is>
          <t>GOTLANDS LÄN</t>
        </is>
      </c>
      <c r="E301" t="inlineStr">
        <is>
          <t>GOTLAND</t>
        </is>
      </c>
      <c r="G301" t="n">
        <v>3.9</v>
      </c>
      <c r="H301" t="n">
        <v>0</v>
      </c>
      <c r="I301" t="n">
        <v>0</v>
      </c>
      <c r="J301" t="n">
        <v>0</v>
      </c>
      <c r="K301" t="n">
        <v>0</v>
      </c>
      <c r="L301" t="n">
        <v>0</v>
      </c>
      <c r="M301" t="n">
        <v>0</v>
      </c>
      <c r="N301" t="n">
        <v>0</v>
      </c>
      <c r="O301" t="n">
        <v>0</v>
      </c>
      <c r="P301" t="n">
        <v>0</v>
      </c>
      <c r="Q301" t="n">
        <v>0</v>
      </c>
      <c r="R301" s="2" t="inlineStr"/>
    </row>
    <row r="302" ht="15" customHeight="1">
      <c r="A302" t="inlineStr">
        <is>
          <t>A 9524-2026</t>
        </is>
      </c>
      <c r="B302" s="1" t="n">
        <v>46071.60108796296</v>
      </c>
      <c r="C302" s="1" t="n">
        <v>46085</v>
      </c>
      <c r="D302" t="inlineStr">
        <is>
          <t>GOTLANDS LÄN</t>
        </is>
      </c>
      <c r="E302" t="inlineStr">
        <is>
          <t>GOTLAND</t>
        </is>
      </c>
      <c r="G302" t="n">
        <v>2.5</v>
      </c>
      <c r="H302" t="n">
        <v>0</v>
      </c>
      <c r="I302" t="n">
        <v>0</v>
      </c>
      <c r="J302" t="n">
        <v>0</v>
      </c>
      <c r="K302" t="n">
        <v>0</v>
      </c>
      <c r="L302" t="n">
        <v>0</v>
      </c>
      <c r="M302" t="n">
        <v>0</v>
      </c>
      <c r="N302" t="n">
        <v>0</v>
      </c>
      <c r="O302" t="n">
        <v>0</v>
      </c>
      <c r="P302" t="n">
        <v>0</v>
      </c>
      <c r="Q302" t="n">
        <v>0</v>
      </c>
      <c r="R302" s="2" t="inlineStr"/>
    </row>
    <row r="303" ht="15" customHeight="1">
      <c r="A303" t="inlineStr">
        <is>
          <t>A 15434-2024</t>
        </is>
      </c>
      <c r="B303" s="1" t="n">
        <v>45401.38836805556</v>
      </c>
      <c r="C303" s="1" t="n">
        <v>46085</v>
      </c>
      <c r="D303" t="inlineStr">
        <is>
          <t>GOTLANDS LÄN</t>
        </is>
      </c>
      <c r="E303" t="inlineStr">
        <is>
          <t>GOTLAND</t>
        </is>
      </c>
      <c r="G303" t="n">
        <v>2.5</v>
      </c>
      <c r="H303" t="n">
        <v>0</v>
      </c>
      <c r="I303" t="n">
        <v>0</v>
      </c>
      <c r="J303" t="n">
        <v>0</v>
      </c>
      <c r="K303" t="n">
        <v>0</v>
      </c>
      <c r="L303" t="n">
        <v>0</v>
      </c>
      <c r="M303" t="n">
        <v>0</v>
      </c>
      <c r="N303" t="n">
        <v>0</v>
      </c>
      <c r="O303" t="n">
        <v>0</v>
      </c>
      <c r="P303" t="n">
        <v>0</v>
      </c>
      <c r="Q303" t="n">
        <v>0</v>
      </c>
      <c r="R303" s="2" t="inlineStr"/>
    </row>
    <row r="304" ht="15" customHeight="1">
      <c r="A304" t="inlineStr">
        <is>
          <t>A 5943-2024</t>
        </is>
      </c>
      <c r="B304" s="1" t="n">
        <v>45336</v>
      </c>
      <c r="C304" s="1" t="n">
        <v>46085</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9518-2026</t>
        </is>
      </c>
      <c r="B305" s="1" t="n">
        <v>46071.59653935185</v>
      </c>
      <c r="C305" s="1" t="n">
        <v>46085</v>
      </c>
      <c r="D305" t="inlineStr">
        <is>
          <t>GOTLANDS LÄN</t>
        </is>
      </c>
      <c r="E305" t="inlineStr">
        <is>
          <t>GOTLAND</t>
        </is>
      </c>
      <c r="G305" t="n">
        <v>6.2</v>
      </c>
      <c r="H305" t="n">
        <v>0</v>
      </c>
      <c r="I305" t="n">
        <v>0</v>
      </c>
      <c r="J305" t="n">
        <v>0</v>
      </c>
      <c r="K305" t="n">
        <v>0</v>
      </c>
      <c r="L305" t="n">
        <v>0</v>
      </c>
      <c r="M305" t="n">
        <v>0</v>
      </c>
      <c r="N305" t="n">
        <v>0</v>
      </c>
      <c r="O305" t="n">
        <v>0</v>
      </c>
      <c r="P305" t="n">
        <v>0</v>
      </c>
      <c r="Q305" t="n">
        <v>0</v>
      </c>
      <c r="R305" s="2" t="inlineStr"/>
    </row>
    <row r="306" ht="15" customHeight="1">
      <c r="A306" t="inlineStr">
        <is>
          <t>A 54073-2022</t>
        </is>
      </c>
      <c r="B306" s="1" t="n">
        <v>44881.50380787037</v>
      </c>
      <c r="C306" s="1" t="n">
        <v>46085</v>
      </c>
      <c r="D306" t="inlineStr">
        <is>
          <t>GOTLANDS LÄN</t>
        </is>
      </c>
      <c r="E306" t="inlineStr">
        <is>
          <t>GOTLAND</t>
        </is>
      </c>
      <c r="G306" t="n">
        <v>3.8</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46085</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16361-2024</t>
        </is>
      </c>
      <c r="B308" s="1" t="n">
        <v>45407</v>
      </c>
      <c r="C308" s="1" t="n">
        <v>46085</v>
      </c>
      <c r="D308" t="inlineStr">
        <is>
          <t>GOTLANDS LÄN</t>
        </is>
      </c>
      <c r="E308" t="inlineStr">
        <is>
          <t>GOTLAND</t>
        </is>
      </c>
      <c r="G308" t="n">
        <v>6</v>
      </c>
      <c r="H308" t="n">
        <v>0</v>
      </c>
      <c r="I308" t="n">
        <v>0</v>
      </c>
      <c r="J308" t="n">
        <v>0</v>
      </c>
      <c r="K308" t="n">
        <v>0</v>
      </c>
      <c r="L308" t="n">
        <v>0</v>
      </c>
      <c r="M308" t="n">
        <v>0</v>
      </c>
      <c r="N308" t="n">
        <v>0</v>
      </c>
      <c r="O308" t="n">
        <v>0</v>
      </c>
      <c r="P308" t="n">
        <v>0</v>
      </c>
      <c r="Q308" t="n">
        <v>0</v>
      </c>
      <c r="R308" s="2" t="inlineStr"/>
    </row>
    <row r="309" ht="15" customHeight="1">
      <c r="A309" t="inlineStr">
        <is>
          <t>A 9519-2026</t>
        </is>
      </c>
      <c r="B309" s="1" t="n">
        <v>46071.59820601852</v>
      </c>
      <c r="C309" s="1" t="n">
        <v>46085</v>
      </c>
      <c r="D309" t="inlineStr">
        <is>
          <t>GOTLANDS LÄN</t>
        </is>
      </c>
      <c r="E309" t="inlineStr">
        <is>
          <t>GOTLAND</t>
        </is>
      </c>
      <c r="G309" t="n">
        <v>4</v>
      </c>
      <c r="H309" t="n">
        <v>0</v>
      </c>
      <c r="I309" t="n">
        <v>0</v>
      </c>
      <c r="J309" t="n">
        <v>0</v>
      </c>
      <c r="K309" t="n">
        <v>0</v>
      </c>
      <c r="L309" t="n">
        <v>0</v>
      </c>
      <c r="M309" t="n">
        <v>0</v>
      </c>
      <c r="N309" t="n">
        <v>0</v>
      </c>
      <c r="O309" t="n">
        <v>0</v>
      </c>
      <c r="P309" t="n">
        <v>0</v>
      </c>
      <c r="Q309" t="n">
        <v>0</v>
      </c>
      <c r="R309" s="2" t="inlineStr"/>
    </row>
    <row r="310" ht="15" customHeight="1">
      <c r="A310" t="inlineStr">
        <is>
          <t>A 41038-2023</t>
        </is>
      </c>
      <c r="B310" s="1" t="n">
        <v>45173.60959490741</v>
      </c>
      <c r="C310" s="1" t="n">
        <v>46085</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22031-2024</t>
        </is>
      </c>
      <c r="B311" s="1" t="n">
        <v>45443.60075231481</v>
      </c>
      <c r="C311" s="1" t="n">
        <v>46085</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9540-2026</t>
        </is>
      </c>
      <c r="B312" s="1" t="n">
        <v>46071.61961805556</v>
      </c>
      <c r="C312" s="1" t="n">
        <v>46085</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49314-2024</t>
        </is>
      </c>
      <c r="B313" s="1" t="n">
        <v>45595.55893518519</v>
      </c>
      <c r="C313" s="1" t="n">
        <v>46085</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9504-2026</t>
        </is>
      </c>
      <c r="B314" s="1" t="n">
        <v>46071.57730324074</v>
      </c>
      <c r="C314" s="1" t="n">
        <v>46085</v>
      </c>
      <c r="D314" t="inlineStr">
        <is>
          <t>GOTLANDS LÄN</t>
        </is>
      </c>
      <c r="E314" t="inlineStr">
        <is>
          <t>GOTLAND</t>
        </is>
      </c>
      <c r="G314" t="n">
        <v>0.6</v>
      </c>
      <c r="H314" t="n">
        <v>0</v>
      </c>
      <c r="I314" t="n">
        <v>0</v>
      </c>
      <c r="J314" t="n">
        <v>0</v>
      </c>
      <c r="K314" t="n">
        <v>0</v>
      </c>
      <c r="L314" t="n">
        <v>0</v>
      </c>
      <c r="M314" t="n">
        <v>0</v>
      </c>
      <c r="N314" t="n">
        <v>0</v>
      </c>
      <c r="O314" t="n">
        <v>0</v>
      </c>
      <c r="P314" t="n">
        <v>0</v>
      </c>
      <c r="Q314" t="n">
        <v>0</v>
      </c>
      <c r="R314" s="2" t="inlineStr"/>
    </row>
    <row r="315" ht="15" customHeight="1">
      <c r="A315" t="inlineStr">
        <is>
          <t>A 63105-2025</t>
        </is>
      </c>
      <c r="B315" s="1" t="n">
        <v>46009</v>
      </c>
      <c r="C315" s="1" t="n">
        <v>46085</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63152-2025</t>
        </is>
      </c>
      <c r="B316" s="1" t="n">
        <v>46010</v>
      </c>
      <c r="C316" s="1" t="n">
        <v>46085</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44919-2022</t>
        </is>
      </c>
      <c r="B317" s="1" t="n">
        <v>44841</v>
      </c>
      <c r="C317" s="1" t="n">
        <v>46085</v>
      </c>
      <c r="D317" t="inlineStr">
        <is>
          <t>GOTLANDS LÄN</t>
        </is>
      </c>
      <c r="E317" t="inlineStr">
        <is>
          <t>GOTLAND</t>
        </is>
      </c>
      <c r="G317" t="n">
        <v>2.2</v>
      </c>
      <c r="H317" t="n">
        <v>0</v>
      </c>
      <c r="I317" t="n">
        <v>0</v>
      </c>
      <c r="J317" t="n">
        <v>0</v>
      </c>
      <c r="K317" t="n">
        <v>0</v>
      </c>
      <c r="L317" t="n">
        <v>0</v>
      </c>
      <c r="M317" t="n">
        <v>0</v>
      </c>
      <c r="N317" t="n">
        <v>0</v>
      </c>
      <c r="O317" t="n">
        <v>0</v>
      </c>
      <c r="P317" t="n">
        <v>0</v>
      </c>
      <c r="Q317" t="n">
        <v>0</v>
      </c>
      <c r="R317" s="2" t="inlineStr"/>
    </row>
    <row r="318" ht="15" customHeight="1">
      <c r="A318" t="inlineStr">
        <is>
          <t>A 9901-2026</t>
        </is>
      </c>
      <c r="B318" s="1" t="n">
        <v>46073.40391203704</v>
      </c>
      <c r="C318" s="1" t="n">
        <v>46085</v>
      </c>
      <c r="D318" t="inlineStr">
        <is>
          <t>GOTLANDS LÄN</t>
        </is>
      </c>
      <c r="E318" t="inlineStr">
        <is>
          <t>GOTLAND</t>
        </is>
      </c>
      <c r="F318" t="inlineStr">
        <is>
          <t>Kyrkan</t>
        </is>
      </c>
      <c r="G318" t="n">
        <v>0.9</v>
      </c>
      <c r="H318" t="n">
        <v>0</v>
      </c>
      <c r="I318" t="n">
        <v>0</v>
      </c>
      <c r="J318" t="n">
        <v>0</v>
      </c>
      <c r="K318" t="n">
        <v>0</v>
      </c>
      <c r="L318" t="n">
        <v>0</v>
      </c>
      <c r="M318" t="n">
        <v>0</v>
      </c>
      <c r="N318" t="n">
        <v>0</v>
      </c>
      <c r="O318" t="n">
        <v>0</v>
      </c>
      <c r="P318" t="n">
        <v>0</v>
      </c>
      <c r="Q318" t="n">
        <v>0</v>
      </c>
      <c r="R318" s="2" t="inlineStr"/>
    </row>
    <row r="319" ht="15" customHeight="1">
      <c r="A319" t="inlineStr">
        <is>
          <t>A 14427-2024</t>
        </is>
      </c>
      <c r="B319" s="1" t="n">
        <v>45394</v>
      </c>
      <c r="C319" s="1" t="n">
        <v>46085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16373-2025</t>
        </is>
      </c>
      <c r="B320" s="1" t="n">
        <v>45751</v>
      </c>
      <c r="C320" s="1" t="n">
        <v>46085</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48503-2023</t>
        </is>
      </c>
      <c r="B321" s="1" t="n">
        <v>45207</v>
      </c>
      <c r="C321" s="1" t="n">
        <v>46085</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31802-2024</t>
        </is>
      </c>
      <c r="B322" s="1" t="n">
        <v>45509</v>
      </c>
      <c r="C322" s="1" t="n">
        <v>46085</v>
      </c>
      <c r="D322" t="inlineStr">
        <is>
          <t>GOTLANDS LÄN</t>
        </is>
      </c>
      <c r="E322" t="inlineStr">
        <is>
          <t>GOTLAND</t>
        </is>
      </c>
      <c r="G322" t="n">
        <v>2.8</v>
      </c>
      <c r="H322" t="n">
        <v>0</v>
      </c>
      <c r="I322" t="n">
        <v>0</v>
      </c>
      <c r="J322" t="n">
        <v>0</v>
      </c>
      <c r="K322" t="n">
        <v>0</v>
      </c>
      <c r="L322" t="n">
        <v>0</v>
      </c>
      <c r="M322" t="n">
        <v>0</v>
      </c>
      <c r="N322" t="n">
        <v>0</v>
      </c>
      <c r="O322" t="n">
        <v>0</v>
      </c>
      <c r="P322" t="n">
        <v>0</v>
      </c>
      <c r="Q322" t="n">
        <v>0</v>
      </c>
      <c r="R322" s="2" t="inlineStr"/>
    </row>
    <row r="323" ht="15" customHeight="1">
      <c r="A323" t="inlineStr">
        <is>
          <t>A 65901-2021</t>
        </is>
      </c>
      <c r="B323" s="1" t="n">
        <v>44516</v>
      </c>
      <c r="C323" s="1" t="n">
        <v>46085</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1355-2026</t>
        </is>
      </c>
      <c r="B324" s="1" t="n">
        <v>46031.59909722222</v>
      </c>
      <c r="C324" s="1" t="n">
        <v>46085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8036-2022</t>
        </is>
      </c>
      <c r="B325" s="1" t="n">
        <v>44609.44362268518</v>
      </c>
      <c r="C325" s="1" t="n">
        <v>46085</v>
      </c>
      <c r="D325" t="inlineStr">
        <is>
          <t>GOTLANDS LÄN</t>
        </is>
      </c>
      <c r="E325" t="inlineStr">
        <is>
          <t>GOTLAND</t>
        </is>
      </c>
      <c r="G325" t="n">
        <v>6.1</v>
      </c>
      <c r="H325" t="n">
        <v>0</v>
      </c>
      <c r="I325" t="n">
        <v>0</v>
      </c>
      <c r="J325" t="n">
        <v>0</v>
      </c>
      <c r="K325" t="n">
        <v>0</v>
      </c>
      <c r="L325" t="n">
        <v>0</v>
      </c>
      <c r="M325" t="n">
        <v>0</v>
      </c>
      <c r="N325" t="n">
        <v>0</v>
      </c>
      <c r="O325" t="n">
        <v>0</v>
      </c>
      <c r="P325" t="n">
        <v>0</v>
      </c>
      <c r="Q325" t="n">
        <v>0</v>
      </c>
      <c r="R325" s="2" t="inlineStr"/>
    </row>
    <row r="326" ht="15" customHeight="1">
      <c r="A326" t="inlineStr">
        <is>
          <t>A 12846-2025</t>
        </is>
      </c>
      <c r="B326" s="1" t="n">
        <v>45733.65049768519</v>
      </c>
      <c r="C326" s="1" t="n">
        <v>46085</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10486-2026</t>
        </is>
      </c>
      <c r="B327" s="1" t="n">
        <v>46077.51425925926</v>
      </c>
      <c r="C327" s="1" t="n">
        <v>46085</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10158-2025</t>
        </is>
      </c>
      <c r="B328" s="1" t="n">
        <v>45719</v>
      </c>
      <c r="C328" s="1" t="n">
        <v>46085</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62836-2025</t>
        </is>
      </c>
      <c r="B329" s="1" t="n">
        <v>46008</v>
      </c>
      <c r="C329" s="1" t="n">
        <v>46085</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43911-2025</t>
        </is>
      </c>
      <c r="B330" s="1" t="n">
        <v>45914.3881712963</v>
      </c>
      <c r="C330" s="1" t="n">
        <v>46085</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46085</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43951-2025</t>
        </is>
      </c>
      <c r="B332" s="1" t="n">
        <v>45915.38119212963</v>
      </c>
      <c r="C332" s="1" t="n">
        <v>46085</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46949-2024</t>
        </is>
      </c>
      <c r="B333" s="1" t="n">
        <v>45585</v>
      </c>
      <c r="C333" s="1" t="n">
        <v>46085</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44405-2025</t>
        </is>
      </c>
      <c r="B334" s="1" t="n">
        <v>45916.52405092592</v>
      </c>
      <c r="C334" s="1" t="n">
        <v>46085</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2135-2026</t>
        </is>
      </c>
      <c r="B335" s="1" t="n">
        <v>46036</v>
      </c>
      <c r="C335" s="1" t="n">
        <v>46085</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10284-2026</t>
        </is>
      </c>
      <c r="B336" s="1" t="n">
        <v>46076</v>
      </c>
      <c r="C336" s="1" t="n">
        <v>46085</v>
      </c>
      <c r="D336" t="inlineStr">
        <is>
          <t>GOTLANDS LÄN</t>
        </is>
      </c>
      <c r="E336" t="inlineStr">
        <is>
          <t>GOTLAND</t>
        </is>
      </c>
      <c r="G336" t="n">
        <v>5.2</v>
      </c>
      <c r="H336" t="n">
        <v>0</v>
      </c>
      <c r="I336" t="n">
        <v>0</v>
      </c>
      <c r="J336" t="n">
        <v>0</v>
      </c>
      <c r="K336" t="n">
        <v>0</v>
      </c>
      <c r="L336" t="n">
        <v>0</v>
      </c>
      <c r="M336" t="n">
        <v>0</v>
      </c>
      <c r="N336" t="n">
        <v>0</v>
      </c>
      <c r="O336" t="n">
        <v>0</v>
      </c>
      <c r="P336" t="n">
        <v>0</v>
      </c>
      <c r="Q336" t="n">
        <v>0</v>
      </c>
      <c r="R336" s="2" t="inlineStr"/>
    </row>
    <row r="337" ht="15" customHeight="1">
      <c r="A337" t="inlineStr">
        <is>
          <t>A 10650-2022</t>
        </is>
      </c>
      <c r="B337" s="1" t="n">
        <v>44624.57945601852</v>
      </c>
      <c r="C337" s="1" t="n">
        <v>46085</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1898-2026</t>
        </is>
      </c>
      <c r="B338" s="1" t="n">
        <v>46035.52024305556</v>
      </c>
      <c r="C338" s="1" t="n">
        <v>46085</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44649-2021</t>
        </is>
      </c>
      <c r="B339" s="1" t="n">
        <v>44437</v>
      </c>
      <c r="C339" s="1" t="n">
        <v>46085</v>
      </c>
      <c r="D339" t="inlineStr">
        <is>
          <t>GOTLANDS LÄN</t>
        </is>
      </c>
      <c r="E339" t="inlineStr">
        <is>
          <t>GOTLAND</t>
        </is>
      </c>
      <c r="G339" t="n">
        <v>8.1</v>
      </c>
      <c r="H339" t="n">
        <v>0</v>
      </c>
      <c r="I339" t="n">
        <v>0</v>
      </c>
      <c r="J339" t="n">
        <v>0</v>
      </c>
      <c r="K339" t="n">
        <v>0</v>
      </c>
      <c r="L339" t="n">
        <v>0</v>
      </c>
      <c r="M339" t="n">
        <v>0</v>
      </c>
      <c r="N339" t="n">
        <v>0</v>
      </c>
      <c r="O339" t="n">
        <v>0</v>
      </c>
      <c r="P339" t="n">
        <v>0</v>
      </c>
      <c r="Q339" t="n">
        <v>0</v>
      </c>
      <c r="R339" s="2" t="inlineStr"/>
    </row>
    <row r="340" ht="15" customHeight="1">
      <c r="A340" t="inlineStr">
        <is>
          <t>A 2134-2026</t>
        </is>
      </c>
      <c r="B340" s="1" t="n">
        <v>46036</v>
      </c>
      <c r="C340" s="1" t="n">
        <v>46085</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1839-2026</t>
        </is>
      </c>
      <c r="B341" s="1" t="n">
        <v>46035.3942824074</v>
      </c>
      <c r="C341" s="1" t="n">
        <v>46085</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9947-2024</t>
        </is>
      </c>
      <c r="B342" s="1" t="n">
        <v>45363</v>
      </c>
      <c r="C342" s="1" t="n">
        <v>46085</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2415-2026</t>
        </is>
      </c>
      <c r="B343" s="1" t="n">
        <v>46036.76203703704</v>
      </c>
      <c r="C343" s="1" t="n">
        <v>46085</v>
      </c>
      <c r="D343" t="inlineStr">
        <is>
          <t>GOTLANDS LÄN</t>
        </is>
      </c>
      <c r="E343" t="inlineStr">
        <is>
          <t>GOTLAND</t>
        </is>
      </c>
      <c r="G343" t="n">
        <v>6.9</v>
      </c>
      <c r="H343" t="n">
        <v>0</v>
      </c>
      <c r="I343" t="n">
        <v>0</v>
      </c>
      <c r="J343" t="n">
        <v>0</v>
      </c>
      <c r="K343" t="n">
        <v>0</v>
      </c>
      <c r="L343" t="n">
        <v>0</v>
      </c>
      <c r="M343" t="n">
        <v>0</v>
      </c>
      <c r="N343" t="n">
        <v>0</v>
      </c>
      <c r="O343" t="n">
        <v>0</v>
      </c>
      <c r="P343" t="n">
        <v>0</v>
      </c>
      <c r="Q343" t="n">
        <v>0</v>
      </c>
      <c r="R343" s="2" t="inlineStr"/>
    </row>
    <row r="344" ht="15" customHeight="1">
      <c r="A344" t="inlineStr">
        <is>
          <t>A 11634-2024</t>
        </is>
      </c>
      <c r="B344" s="1" t="n">
        <v>45373</v>
      </c>
      <c r="C344" s="1" t="n">
        <v>46085</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1351-2025</t>
        </is>
      </c>
      <c r="B345" s="1" t="n">
        <v>45667.62246527777</v>
      </c>
      <c r="C345" s="1" t="n">
        <v>46085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62754-2025</t>
        </is>
      </c>
      <c r="B346" s="1" t="n">
        <v>46008</v>
      </c>
      <c r="C346" s="1" t="n">
        <v>46085</v>
      </c>
      <c r="D346" t="inlineStr">
        <is>
          <t>GOTLANDS LÄN</t>
        </is>
      </c>
      <c r="E346" t="inlineStr">
        <is>
          <t>GOTLAND</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39496-2022</t>
        </is>
      </c>
      <c r="B347" s="1" t="n">
        <v>44818</v>
      </c>
      <c r="C347" s="1" t="n">
        <v>46085</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1854-2026</t>
        </is>
      </c>
      <c r="B348" s="1" t="n">
        <v>46035.4171875</v>
      </c>
      <c r="C348" s="1" t="n">
        <v>46085</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49874-2024</t>
        </is>
      </c>
      <c r="B349" s="1" t="n">
        <v>45597.49274305555</v>
      </c>
      <c r="C349" s="1" t="n">
        <v>46085</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63000-2025</t>
        </is>
      </c>
      <c r="B350" s="1" t="n">
        <v>46009</v>
      </c>
      <c r="C350" s="1" t="n">
        <v>46085</v>
      </c>
      <c r="D350" t="inlineStr">
        <is>
          <t>GOTLANDS LÄN</t>
        </is>
      </c>
      <c r="E350" t="inlineStr">
        <is>
          <t>GOTLAND</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62751-2025</t>
        </is>
      </c>
      <c r="B351" s="1" t="n">
        <v>46008</v>
      </c>
      <c r="C351" s="1" t="n">
        <v>46085</v>
      </c>
      <c r="D351" t="inlineStr">
        <is>
          <t>GOTLANDS LÄN</t>
        </is>
      </c>
      <c r="E351" t="inlineStr">
        <is>
          <t>GOTLAND</t>
        </is>
      </c>
      <c r="F351" t="inlineStr">
        <is>
          <t>Övriga Aktiebolag</t>
        </is>
      </c>
      <c r="G351" t="n">
        <v>7.8</v>
      </c>
      <c r="H351" t="n">
        <v>0</v>
      </c>
      <c r="I351" t="n">
        <v>0</v>
      </c>
      <c r="J351" t="n">
        <v>0</v>
      </c>
      <c r="K351" t="n">
        <v>0</v>
      </c>
      <c r="L351" t="n">
        <v>0</v>
      </c>
      <c r="M351" t="n">
        <v>0</v>
      </c>
      <c r="N351" t="n">
        <v>0</v>
      </c>
      <c r="O351" t="n">
        <v>0</v>
      </c>
      <c r="P351" t="n">
        <v>0</v>
      </c>
      <c r="Q351" t="n">
        <v>0</v>
      </c>
      <c r="R351" s="2" t="inlineStr"/>
    </row>
    <row r="352" ht="15" customHeight="1">
      <c r="A352" t="inlineStr">
        <is>
          <t>A 42201-2023</t>
        </is>
      </c>
      <c r="B352" s="1" t="n">
        <v>45179</v>
      </c>
      <c r="C352" s="1" t="n">
        <v>46085</v>
      </c>
      <c r="D352" t="inlineStr">
        <is>
          <t>GOTLANDS LÄN</t>
        </is>
      </c>
      <c r="E352" t="inlineStr">
        <is>
          <t>GOTLAND</t>
        </is>
      </c>
      <c r="G352" t="n">
        <v>11.9</v>
      </c>
      <c r="H352" t="n">
        <v>0</v>
      </c>
      <c r="I352" t="n">
        <v>0</v>
      </c>
      <c r="J352" t="n">
        <v>0</v>
      </c>
      <c r="K352" t="n">
        <v>0</v>
      </c>
      <c r="L352" t="n">
        <v>0</v>
      </c>
      <c r="M352" t="n">
        <v>0</v>
      </c>
      <c r="N352" t="n">
        <v>0</v>
      </c>
      <c r="O352" t="n">
        <v>0</v>
      </c>
      <c r="P352" t="n">
        <v>0</v>
      </c>
      <c r="Q352" t="n">
        <v>0</v>
      </c>
      <c r="R352" s="2" t="inlineStr"/>
    </row>
    <row r="353" ht="15" customHeight="1">
      <c r="A353" t="inlineStr">
        <is>
          <t>A 46400-2023</t>
        </is>
      </c>
      <c r="B353" s="1" t="n">
        <v>45197.49290509259</v>
      </c>
      <c r="C353" s="1" t="n">
        <v>46085</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11414-2026</t>
        </is>
      </c>
      <c r="B354" s="1" t="n">
        <v>46083.46336805556</v>
      </c>
      <c r="C354" s="1" t="n">
        <v>46085</v>
      </c>
      <c r="D354" t="inlineStr">
        <is>
          <t>GOTLANDS LÄN</t>
        </is>
      </c>
      <c r="E354" t="inlineStr">
        <is>
          <t>GOTLAND</t>
        </is>
      </c>
      <c r="G354" t="n">
        <v>4.9</v>
      </c>
      <c r="H354" t="n">
        <v>0</v>
      </c>
      <c r="I354" t="n">
        <v>0</v>
      </c>
      <c r="J354" t="n">
        <v>0</v>
      </c>
      <c r="K354" t="n">
        <v>0</v>
      </c>
      <c r="L354" t="n">
        <v>0</v>
      </c>
      <c r="M354" t="n">
        <v>0</v>
      </c>
      <c r="N354" t="n">
        <v>0</v>
      </c>
      <c r="O354" t="n">
        <v>0</v>
      </c>
      <c r="P354" t="n">
        <v>0</v>
      </c>
      <c r="Q354" t="n">
        <v>0</v>
      </c>
      <c r="R354" s="2" t="inlineStr"/>
    </row>
    <row r="355" ht="15" customHeight="1">
      <c r="A355" t="inlineStr">
        <is>
          <t>A 9875-2025</t>
        </is>
      </c>
      <c r="B355" s="1" t="n">
        <v>45716</v>
      </c>
      <c r="C355" s="1" t="n">
        <v>46085</v>
      </c>
      <c r="D355" t="inlineStr">
        <is>
          <t>GOTLANDS LÄN</t>
        </is>
      </c>
      <c r="E355" t="inlineStr">
        <is>
          <t>GOTLAND</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17682-2024</t>
        </is>
      </c>
      <c r="B356" s="1" t="n">
        <v>45418.42966435185</v>
      </c>
      <c r="C356" s="1" t="n">
        <v>46085</v>
      </c>
      <c r="D356" t="inlineStr">
        <is>
          <t>GOTLANDS LÄN</t>
        </is>
      </c>
      <c r="E356" t="inlineStr">
        <is>
          <t>GOTLAND</t>
        </is>
      </c>
      <c r="G356" t="n">
        <v>2.9</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46085</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57522-2022</t>
        </is>
      </c>
      <c r="B358" s="1" t="n">
        <v>44896</v>
      </c>
      <c r="C358" s="1" t="n">
        <v>46085</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11424-2026</t>
        </is>
      </c>
      <c r="B359" s="1" t="n">
        <v>46083.48068287037</v>
      </c>
      <c r="C359" s="1" t="n">
        <v>46085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21164-2024</t>
        </is>
      </c>
      <c r="B360" s="1" t="n">
        <v>45440</v>
      </c>
      <c r="C360" s="1" t="n">
        <v>46085</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8045-2022</t>
        </is>
      </c>
      <c r="B361" s="1" t="n">
        <v>44609</v>
      </c>
      <c r="C361" s="1" t="n">
        <v>46085</v>
      </c>
      <c r="D361" t="inlineStr">
        <is>
          <t>GOTLANDS LÄN</t>
        </is>
      </c>
      <c r="E361" t="inlineStr">
        <is>
          <t>GOTLAND</t>
        </is>
      </c>
      <c r="G361" t="n">
        <v>7</v>
      </c>
      <c r="H361" t="n">
        <v>0</v>
      </c>
      <c r="I361" t="n">
        <v>0</v>
      </c>
      <c r="J361" t="n">
        <v>0</v>
      </c>
      <c r="K361" t="n">
        <v>0</v>
      </c>
      <c r="L361" t="n">
        <v>0</v>
      </c>
      <c r="M361" t="n">
        <v>0</v>
      </c>
      <c r="N361" t="n">
        <v>0</v>
      </c>
      <c r="O361" t="n">
        <v>0</v>
      </c>
      <c r="P361" t="n">
        <v>0</v>
      </c>
      <c r="Q361" t="n">
        <v>0</v>
      </c>
      <c r="R361" s="2" t="inlineStr"/>
    </row>
    <row r="362" ht="15" customHeight="1">
      <c r="A362" t="inlineStr">
        <is>
          <t>A 53587-2025</t>
        </is>
      </c>
      <c r="B362" s="1" t="n">
        <v>45960.43681712963</v>
      </c>
      <c r="C362" s="1" t="n">
        <v>46085</v>
      </c>
      <c r="D362" t="inlineStr">
        <is>
          <t>GOTLANDS LÄN</t>
        </is>
      </c>
      <c r="E362" t="inlineStr">
        <is>
          <t>GOTLAND</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46836-2025</t>
        </is>
      </c>
      <c r="B363" s="1" t="n">
        <v>45928.31511574074</v>
      </c>
      <c r="C363" s="1" t="n">
        <v>46085</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3067-2026</t>
        </is>
      </c>
      <c r="B364" s="1" t="n">
        <v>46040.59025462963</v>
      </c>
      <c r="C364" s="1" t="n">
        <v>46085</v>
      </c>
      <c r="D364" t="inlineStr">
        <is>
          <t>GOTLANDS LÄN</t>
        </is>
      </c>
      <c r="E364" t="inlineStr">
        <is>
          <t>GOTLAND</t>
        </is>
      </c>
      <c r="G364" t="n">
        <v>7.8</v>
      </c>
      <c r="H364" t="n">
        <v>0</v>
      </c>
      <c r="I364" t="n">
        <v>0</v>
      </c>
      <c r="J364" t="n">
        <v>0</v>
      </c>
      <c r="K364" t="n">
        <v>0</v>
      </c>
      <c r="L364" t="n">
        <v>0</v>
      </c>
      <c r="M364" t="n">
        <v>0</v>
      </c>
      <c r="N364" t="n">
        <v>0</v>
      </c>
      <c r="O364" t="n">
        <v>0</v>
      </c>
      <c r="P364" t="n">
        <v>0</v>
      </c>
      <c r="Q364" t="n">
        <v>0</v>
      </c>
      <c r="R364" s="2" t="inlineStr"/>
    </row>
    <row r="365" ht="15" customHeight="1">
      <c r="A365" t="inlineStr">
        <is>
          <t>A 22897-2023</t>
        </is>
      </c>
      <c r="B365" s="1" t="n">
        <v>45072.55239583334</v>
      </c>
      <c r="C365" s="1" t="n">
        <v>46085</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53561-2025</t>
        </is>
      </c>
      <c r="B366" s="1" t="n">
        <v>45960.4059375</v>
      </c>
      <c r="C366" s="1" t="n">
        <v>46085</v>
      </c>
      <c r="D366" t="inlineStr">
        <is>
          <t>GOTLANDS LÄN</t>
        </is>
      </c>
      <c r="E366" t="inlineStr">
        <is>
          <t>GOTLAND</t>
        </is>
      </c>
      <c r="F366" t="inlineStr">
        <is>
          <t>Övriga Aktiebolag</t>
        </is>
      </c>
      <c r="G366" t="n">
        <v>2.4</v>
      </c>
      <c r="H366" t="n">
        <v>0</v>
      </c>
      <c r="I366" t="n">
        <v>0</v>
      </c>
      <c r="J366" t="n">
        <v>0</v>
      </c>
      <c r="K366" t="n">
        <v>0</v>
      </c>
      <c r="L366" t="n">
        <v>0</v>
      </c>
      <c r="M366" t="n">
        <v>0</v>
      </c>
      <c r="N366" t="n">
        <v>0</v>
      </c>
      <c r="O366" t="n">
        <v>0</v>
      </c>
      <c r="P366" t="n">
        <v>0</v>
      </c>
      <c r="Q366" t="n">
        <v>0</v>
      </c>
      <c r="R366" s="2" t="inlineStr"/>
    </row>
    <row r="367" ht="15" customHeight="1">
      <c r="A367" t="inlineStr">
        <is>
          <t>A 3253-2026</t>
        </is>
      </c>
      <c r="B367" s="1" t="n">
        <v>46041.58902777778</v>
      </c>
      <c r="C367" s="1" t="n">
        <v>46085</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61897-2024</t>
        </is>
      </c>
      <c r="B368" s="1" t="n">
        <v>45652.75685185185</v>
      </c>
      <c r="C368" s="1" t="n">
        <v>46085</v>
      </c>
      <c r="D368" t="inlineStr">
        <is>
          <t>GOTLANDS LÄN</t>
        </is>
      </c>
      <c r="E368" t="inlineStr">
        <is>
          <t>GOTLAND</t>
        </is>
      </c>
      <c r="G368" t="n">
        <v>6.4</v>
      </c>
      <c r="H368" t="n">
        <v>0</v>
      </c>
      <c r="I368" t="n">
        <v>0</v>
      </c>
      <c r="J368" t="n">
        <v>0</v>
      </c>
      <c r="K368" t="n">
        <v>0</v>
      </c>
      <c r="L368" t="n">
        <v>0</v>
      </c>
      <c r="M368" t="n">
        <v>0</v>
      </c>
      <c r="N368" t="n">
        <v>0</v>
      </c>
      <c r="O368" t="n">
        <v>0</v>
      </c>
      <c r="P368" t="n">
        <v>0</v>
      </c>
      <c r="Q368" t="n">
        <v>0</v>
      </c>
      <c r="R368" s="2" t="inlineStr"/>
    </row>
    <row r="369" ht="15" customHeight="1">
      <c r="A369" t="inlineStr">
        <is>
          <t>A 27593-2023</t>
        </is>
      </c>
      <c r="B369" s="1" t="n">
        <v>45097</v>
      </c>
      <c r="C369" s="1" t="n">
        <v>46085</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49962-2023</t>
        </is>
      </c>
      <c r="B370" s="1" t="n">
        <v>45215.38775462963</v>
      </c>
      <c r="C370" s="1" t="n">
        <v>46085</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20165-2022</t>
        </is>
      </c>
      <c r="B371" s="1" t="n">
        <v>44698.49854166667</v>
      </c>
      <c r="C371" s="1" t="n">
        <v>46085</v>
      </c>
      <c r="D371" t="inlineStr">
        <is>
          <t>GOTLANDS LÄN</t>
        </is>
      </c>
      <c r="E371" t="inlineStr">
        <is>
          <t>GOTLAND</t>
        </is>
      </c>
      <c r="G371" t="n">
        <v>4.1</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46085</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40294-2022</t>
        </is>
      </c>
      <c r="B373" s="1" t="n">
        <v>44821</v>
      </c>
      <c r="C373" s="1" t="n">
        <v>46085</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63516-2023</t>
        </is>
      </c>
      <c r="B374" s="1" t="n">
        <v>45274</v>
      </c>
      <c r="C374" s="1" t="n">
        <v>46085</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12032-2025</t>
        </is>
      </c>
      <c r="B375" s="1" t="n">
        <v>45728.64472222222</v>
      </c>
      <c r="C375" s="1" t="n">
        <v>46085</v>
      </c>
      <c r="D375" t="inlineStr">
        <is>
          <t>GOTLANDS LÄN</t>
        </is>
      </c>
      <c r="E375" t="inlineStr">
        <is>
          <t>GOTLAND</t>
        </is>
      </c>
      <c r="G375" t="n">
        <v>1.4</v>
      </c>
      <c r="H375" t="n">
        <v>0</v>
      </c>
      <c r="I375" t="n">
        <v>0</v>
      </c>
      <c r="J375" t="n">
        <v>0</v>
      </c>
      <c r="K375" t="n">
        <v>0</v>
      </c>
      <c r="L375" t="n">
        <v>0</v>
      </c>
      <c r="M375" t="n">
        <v>0</v>
      </c>
      <c r="N375" t="n">
        <v>0</v>
      </c>
      <c r="O375" t="n">
        <v>0</v>
      </c>
      <c r="P375" t="n">
        <v>0</v>
      </c>
      <c r="Q375" t="n">
        <v>0</v>
      </c>
      <c r="R375" s="2" t="inlineStr"/>
    </row>
    <row r="376" ht="15" customHeight="1">
      <c r="A376" t="inlineStr">
        <is>
          <t>A 38787-2023</t>
        </is>
      </c>
      <c r="B376" s="1" t="n">
        <v>45163</v>
      </c>
      <c r="C376" s="1" t="n">
        <v>46085</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32378-2025</t>
        </is>
      </c>
      <c r="B377" s="1" t="n">
        <v>45837</v>
      </c>
      <c r="C377" s="1" t="n">
        <v>46085</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24001-2021</t>
        </is>
      </c>
      <c r="B378" s="1" t="n">
        <v>44335</v>
      </c>
      <c r="C378" s="1" t="n">
        <v>46085</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43231-2023</t>
        </is>
      </c>
      <c r="B379" s="1" t="n">
        <v>45183.47025462963</v>
      </c>
      <c r="C379" s="1" t="n">
        <v>46085</v>
      </c>
      <c r="D379" t="inlineStr">
        <is>
          <t>GOTLANDS LÄN</t>
        </is>
      </c>
      <c r="E379" t="inlineStr">
        <is>
          <t>GOTLAND</t>
        </is>
      </c>
      <c r="G379" t="n">
        <v>3.6</v>
      </c>
      <c r="H379" t="n">
        <v>0</v>
      </c>
      <c r="I379" t="n">
        <v>0</v>
      </c>
      <c r="J379" t="n">
        <v>0</v>
      </c>
      <c r="K379" t="n">
        <v>0</v>
      </c>
      <c r="L379" t="n">
        <v>0</v>
      </c>
      <c r="M379" t="n">
        <v>0</v>
      </c>
      <c r="N379" t="n">
        <v>0</v>
      </c>
      <c r="O379" t="n">
        <v>0</v>
      </c>
      <c r="P379" t="n">
        <v>0</v>
      </c>
      <c r="Q379" t="n">
        <v>0</v>
      </c>
      <c r="R379" s="2" t="inlineStr"/>
    </row>
    <row r="380" ht="15" customHeight="1">
      <c r="A380" t="inlineStr">
        <is>
          <t>A 17532-2024</t>
        </is>
      </c>
      <c r="B380" s="1" t="n">
        <v>45415</v>
      </c>
      <c r="C380" s="1" t="n">
        <v>46085</v>
      </c>
      <c r="D380" t="inlineStr">
        <is>
          <t>GOTLANDS LÄN</t>
        </is>
      </c>
      <c r="E380" t="inlineStr">
        <is>
          <t>GOTLAND</t>
        </is>
      </c>
      <c r="G380" t="n">
        <v>4.3</v>
      </c>
      <c r="H380" t="n">
        <v>0</v>
      </c>
      <c r="I380" t="n">
        <v>0</v>
      </c>
      <c r="J380" t="n">
        <v>0</v>
      </c>
      <c r="K380" t="n">
        <v>0</v>
      </c>
      <c r="L380" t="n">
        <v>0</v>
      </c>
      <c r="M380" t="n">
        <v>0</v>
      </c>
      <c r="N380" t="n">
        <v>0</v>
      </c>
      <c r="O380" t="n">
        <v>0</v>
      </c>
      <c r="P380" t="n">
        <v>0</v>
      </c>
      <c r="Q380" t="n">
        <v>0</v>
      </c>
      <c r="R380" s="2" t="inlineStr"/>
    </row>
    <row r="381" ht="15" customHeight="1">
      <c r="A381" t="inlineStr">
        <is>
          <t>A 35550-2025</t>
        </is>
      </c>
      <c r="B381" s="1" t="n">
        <v>45856.49324074074</v>
      </c>
      <c r="C381" s="1" t="n">
        <v>46085</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3935-2025</t>
        </is>
      </c>
      <c r="B382" s="1" t="n">
        <v>45684.46070601852</v>
      </c>
      <c r="C382" s="1" t="n">
        <v>46085</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47578-2025</t>
        </is>
      </c>
      <c r="B383" s="1" t="n">
        <v>45931</v>
      </c>
      <c r="C383" s="1" t="n">
        <v>46085</v>
      </c>
      <c r="D383" t="inlineStr">
        <is>
          <t>GOTLANDS LÄN</t>
        </is>
      </c>
      <c r="E383" t="inlineStr">
        <is>
          <t>GOTLAND</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30365-2024</t>
        </is>
      </c>
      <c r="B384" s="1" t="n">
        <v>45491.3716087963</v>
      </c>
      <c r="C384" s="1" t="n">
        <v>46085</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49724-2025</t>
        </is>
      </c>
      <c r="B385" s="1" t="n">
        <v>45939.83730324074</v>
      </c>
      <c r="C385" s="1" t="n">
        <v>46085</v>
      </c>
      <c r="D385" t="inlineStr">
        <is>
          <t>GOTLANDS LÄN</t>
        </is>
      </c>
      <c r="E385" t="inlineStr">
        <is>
          <t>GOTLAND</t>
        </is>
      </c>
      <c r="F385" t="inlineStr">
        <is>
          <t>Kyrkan</t>
        </is>
      </c>
      <c r="G385" t="n">
        <v>3.1</v>
      </c>
      <c r="H385" t="n">
        <v>0</v>
      </c>
      <c r="I385" t="n">
        <v>0</v>
      </c>
      <c r="J385" t="n">
        <v>0</v>
      </c>
      <c r="K385" t="n">
        <v>0</v>
      </c>
      <c r="L385" t="n">
        <v>0</v>
      </c>
      <c r="M385" t="n">
        <v>0</v>
      </c>
      <c r="N385" t="n">
        <v>0</v>
      </c>
      <c r="O385" t="n">
        <v>0</v>
      </c>
      <c r="P385" t="n">
        <v>0</v>
      </c>
      <c r="Q385" t="n">
        <v>0</v>
      </c>
      <c r="R385" s="2" t="inlineStr"/>
    </row>
    <row r="386" ht="15" customHeight="1">
      <c r="A386" t="inlineStr">
        <is>
          <t>A 49730-2025</t>
        </is>
      </c>
      <c r="B386" s="1" t="n">
        <v>45939.87613425926</v>
      </c>
      <c r="C386" s="1" t="n">
        <v>46085</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1681-2023</t>
        </is>
      </c>
      <c r="B387" s="1" t="n">
        <v>44938.39715277778</v>
      </c>
      <c r="C387" s="1" t="n">
        <v>46085</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20225-2025</t>
        </is>
      </c>
      <c r="B388" s="1" t="n">
        <v>45772.65802083333</v>
      </c>
      <c r="C388" s="1" t="n">
        <v>46085</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45939.66730324074</v>
      </c>
      <c r="C389" s="1" t="n">
        <v>46085</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33011-2025</t>
        </is>
      </c>
      <c r="B390" s="1" t="n">
        <v>45840</v>
      </c>
      <c r="C390" s="1" t="n">
        <v>46085</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883-2025</t>
        </is>
      </c>
      <c r="B391" s="1" t="n">
        <v>45665</v>
      </c>
      <c r="C391" s="1" t="n">
        <v>46085</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50421-2025</t>
        </is>
      </c>
      <c r="B392" s="1" t="n">
        <v>45944.66049768519</v>
      </c>
      <c r="C392" s="1" t="n">
        <v>46085</v>
      </c>
      <c r="D392" t="inlineStr">
        <is>
          <t>GOTLANDS LÄN</t>
        </is>
      </c>
      <c r="E392" t="inlineStr">
        <is>
          <t>GOTLAND</t>
        </is>
      </c>
      <c r="G392" t="n">
        <v>3.9</v>
      </c>
      <c r="H392" t="n">
        <v>0</v>
      </c>
      <c r="I392" t="n">
        <v>0</v>
      </c>
      <c r="J392" t="n">
        <v>0</v>
      </c>
      <c r="K392" t="n">
        <v>0</v>
      </c>
      <c r="L392" t="n">
        <v>0</v>
      </c>
      <c r="M392" t="n">
        <v>0</v>
      </c>
      <c r="N392" t="n">
        <v>0</v>
      </c>
      <c r="O392" t="n">
        <v>0</v>
      </c>
      <c r="P392" t="n">
        <v>0</v>
      </c>
      <c r="Q392" t="n">
        <v>0</v>
      </c>
      <c r="R392" s="2" t="inlineStr"/>
    </row>
    <row r="393" ht="15" customHeight="1">
      <c r="A393" t="inlineStr">
        <is>
          <t>A 6099-2024</t>
        </is>
      </c>
      <c r="B393" s="1" t="n">
        <v>45337</v>
      </c>
      <c r="C393" s="1" t="n">
        <v>46085</v>
      </c>
      <c r="D393" t="inlineStr">
        <is>
          <t>GOTLANDS LÄN</t>
        </is>
      </c>
      <c r="E393" t="inlineStr">
        <is>
          <t>GOTLAND</t>
        </is>
      </c>
      <c r="G393" t="n">
        <v>12.6</v>
      </c>
      <c r="H393" t="n">
        <v>0</v>
      </c>
      <c r="I393" t="n">
        <v>0</v>
      </c>
      <c r="J393" t="n">
        <v>0</v>
      </c>
      <c r="K393" t="n">
        <v>0</v>
      </c>
      <c r="L393" t="n">
        <v>0</v>
      </c>
      <c r="M393" t="n">
        <v>0</v>
      </c>
      <c r="N393" t="n">
        <v>0</v>
      </c>
      <c r="O393" t="n">
        <v>0</v>
      </c>
      <c r="P393" t="n">
        <v>0</v>
      </c>
      <c r="Q393" t="n">
        <v>0</v>
      </c>
      <c r="R393" s="2" t="inlineStr"/>
    </row>
    <row r="394" ht="15" customHeight="1">
      <c r="A394" t="inlineStr">
        <is>
          <t>A 50431-2025</t>
        </is>
      </c>
      <c r="B394" s="1" t="n">
        <v>45944.68453703704</v>
      </c>
      <c r="C394" s="1" t="n">
        <v>46085</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50928-2025</t>
        </is>
      </c>
      <c r="B395" s="1" t="n">
        <v>45946.67896990741</v>
      </c>
      <c r="C395" s="1" t="n">
        <v>46085</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1066-2024</t>
        </is>
      </c>
      <c r="B396" s="1" t="n">
        <v>45302.285</v>
      </c>
      <c r="C396" s="1" t="n">
        <v>46085</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1273-2023</t>
        </is>
      </c>
      <c r="B397" s="1" t="n">
        <v>44936</v>
      </c>
      <c r="C397" s="1" t="n">
        <v>46085</v>
      </c>
      <c r="D397" t="inlineStr">
        <is>
          <t>GOTLANDS LÄN</t>
        </is>
      </c>
      <c r="E397" t="inlineStr">
        <is>
          <t>GOTLAND</t>
        </is>
      </c>
      <c r="G397" t="n">
        <v>4.5</v>
      </c>
      <c r="H397" t="n">
        <v>0</v>
      </c>
      <c r="I397" t="n">
        <v>0</v>
      </c>
      <c r="J397" t="n">
        <v>0</v>
      </c>
      <c r="K397" t="n">
        <v>0</v>
      </c>
      <c r="L397" t="n">
        <v>0</v>
      </c>
      <c r="M397" t="n">
        <v>0</v>
      </c>
      <c r="N397" t="n">
        <v>0</v>
      </c>
      <c r="O397" t="n">
        <v>0</v>
      </c>
      <c r="P397" t="n">
        <v>0</v>
      </c>
      <c r="Q397" t="n">
        <v>0</v>
      </c>
      <c r="R397" s="2" t="inlineStr"/>
    </row>
    <row r="398" ht="15" customHeight="1">
      <c r="A398" t="inlineStr">
        <is>
          <t>A 17144-2025</t>
        </is>
      </c>
      <c r="B398" s="1" t="n">
        <v>45755.9499537037</v>
      </c>
      <c r="C398" s="1" t="n">
        <v>46085</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58780-2024</t>
        </is>
      </c>
      <c r="B399" s="1" t="n">
        <v>45635.84113425926</v>
      </c>
      <c r="C399" s="1" t="n">
        <v>46085</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45692-2023</t>
        </is>
      </c>
      <c r="B400" s="1" t="n">
        <v>45195</v>
      </c>
      <c r="C400" s="1" t="n">
        <v>46085</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56009-2024</t>
        </is>
      </c>
      <c r="B401" s="1" t="n">
        <v>45623.80864583333</v>
      </c>
      <c r="C401" s="1" t="n">
        <v>46085</v>
      </c>
      <c r="D401" t="inlineStr">
        <is>
          <t>GOTLANDS LÄN</t>
        </is>
      </c>
      <c r="E401" t="inlineStr">
        <is>
          <t>GOTLAND</t>
        </is>
      </c>
      <c r="G401" t="n">
        <v>2.8</v>
      </c>
      <c r="H401" t="n">
        <v>0</v>
      </c>
      <c r="I401" t="n">
        <v>0</v>
      </c>
      <c r="J401" t="n">
        <v>0</v>
      </c>
      <c r="K401" t="n">
        <v>0</v>
      </c>
      <c r="L401" t="n">
        <v>0</v>
      </c>
      <c r="M401" t="n">
        <v>0</v>
      </c>
      <c r="N401" t="n">
        <v>0</v>
      </c>
      <c r="O401" t="n">
        <v>0</v>
      </c>
      <c r="P401" t="n">
        <v>0</v>
      </c>
      <c r="Q401" t="n">
        <v>0</v>
      </c>
      <c r="R401" s="2" t="inlineStr"/>
    </row>
    <row r="402" ht="15" customHeight="1">
      <c r="A402" t="inlineStr">
        <is>
          <t>A 33876-2024</t>
        </is>
      </c>
      <c r="B402" s="1" t="n">
        <v>45521.87988425926</v>
      </c>
      <c r="C402" s="1" t="n">
        <v>46085</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51262-2025</t>
        </is>
      </c>
      <c r="B403" s="1" t="n">
        <v>45949.49872685185</v>
      </c>
      <c r="C403" s="1" t="n">
        <v>46085</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42338-2023</t>
        </is>
      </c>
      <c r="B404" s="1" t="n">
        <v>45180</v>
      </c>
      <c r="C404" s="1" t="n">
        <v>46085</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28285-2024</t>
        </is>
      </c>
      <c r="B405" s="1" t="n">
        <v>45477</v>
      </c>
      <c r="C405" s="1" t="n">
        <v>46085</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61100-2022</t>
        </is>
      </c>
      <c r="B406" s="1" t="n">
        <v>44915</v>
      </c>
      <c r="C406" s="1" t="n">
        <v>46085</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52249-2025</t>
        </is>
      </c>
      <c r="B407" s="1" t="n">
        <v>45953.48637731482</v>
      </c>
      <c r="C407" s="1" t="n">
        <v>46085</v>
      </c>
      <c r="D407" t="inlineStr">
        <is>
          <t>GOTLANDS LÄN</t>
        </is>
      </c>
      <c r="E407" t="inlineStr">
        <is>
          <t>GOTLAND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61682-2024</t>
        </is>
      </c>
      <c r="B408" s="1" t="n">
        <v>45647.48824074074</v>
      </c>
      <c r="C408" s="1" t="n">
        <v>46085</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581-2023</t>
        </is>
      </c>
      <c r="B409" s="1" t="n">
        <v>44930</v>
      </c>
      <c r="C409" s="1" t="n">
        <v>46085</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52637-2025</t>
        </is>
      </c>
      <c r="B410" s="1" t="n">
        <v>45954.75099537037</v>
      </c>
      <c r="C410" s="1" t="n">
        <v>46085</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61386-2023</t>
        </is>
      </c>
      <c r="B411" s="1" t="n">
        <v>45264</v>
      </c>
      <c r="C411" s="1" t="n">
        <v>46085</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873-2024</t>
        </is>
      </c>
      <c r="B412" s="1" t="n">
        <v>45301</v>
      </c>
      <c r="C412" s="1" t="n">
        <v>46085</v>
      </c>
      <c r="D412" t="inlineStr">
        <is>
          <t>GOTLANDS LÄN</t>
        </is>
      </c>
      <c r="E412" t="inlineStr">
        <is>
          <t>GOTLAND</t>
        </is>
      </c>
      <c r="G412" t="n">
        <v>2.7</v>
      </c>
      <c r="H412" t="n">
        <v>0</v>
      </c>
      <c r="I412" t="n">
        <v>0</v>
      </c>
      <c r="J412" t="n">
        <v>0</v>
      </c>
      <c r="K412" t="n">
        <v>0</v>
      </c>
      <c r="L412" t="n">
        <v>0</v>
      </c>
      <c r="M412" t="n">
        <v>0</v>
      </c>
      <c r="N412" t="n">
        <v>0</v>
      </c>
      <c r="O412" t="n">
        <v>0</v>
      </c>
      <c r="P412" t="n">
        <v>0</v>
      </c>
      <c r="Q412" t="n">
        <v>0</v>
      </c>
      <c r="R412" s="2" t="inlineStr"/>
    </row>
    <row r="413" ht="15" customHeight="1">
      <c r="A413" t="inlineStr">
        <is>
          <t>A 49411-2023</t>
        </is>
      </c>
      <c r="B413" s="1" t="n">
        <v>45205</v>
      </c>
      <c r="C413" s="1" t="n">
        <v>46085</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22275-2023</t>
        </is>
      </c>
      <c r="B414" s="1" t="n">
        <v>45070.39875</v>
      </c>
      <c r="C414" s="1" t="n">
        <v>46085</v>
      </c>
      <c r="D414" t="inlineStr">
        <is>
          <t>GOTLANDS LÄN</t>
        </is>
      </c>
      <c r="E414" t="inlineStr">
        <is>
          <t>GOTLAND</t>
        </is>
      </c>
      <c r="G414" t="n">
        <v>7.2</v>
      </c>
      <c r="H414" t="n">
        <v>0</v>
      </c>
      <c r="I414" t="n">
        <v>0</v>
      </c>
      <c r="J414" t="n">
        <v>0</v>
      </c>
      <c r="K414" t="n">
        <v>0</v>
      </c>
      <c r="L414" t="n">
        <v>0</v>
      </c>
      <c r="M414" t="n">
        <v>0</v>
      </c>
      <c r="N414" t="n">
        <v>0</v>
      </c>
      <c r="O414" t="n">
        <v>0</v>
      </c>
      <c r="P414" t="n">
        <v>0</v>
      </c>
      <c r="Q414" t="n">
        <v>0</v>
      </c>
      <c r="R414" s="2" t="inlineStr"/>
    </row>
    <row r="415" ht="15" customHeight="1">
      <c r="A415" t="inlineStr">
        <is>
          <t>A 12322-2025</t>
        </is>
      </c>
      <c r="B415" s="1" t="n">
        <v>45730</v>
      </c>
      <c r="C415" s="1" t="n">
        <v>46085</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46085</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999-2024</t>
        </is>
      </c>
      <c r="B417" s="1" t="n">
        <v>45301</v>
      </c>
      <c r="C417" s="1" t="n">
        <v>46085</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61596-2023</t>
        </is>
      </c>
      <c r="B418" s="1" t="n">
        <v>45265</v>
      </c>
      <c r="C418" s="1" t="n">
        <v>46085</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53569-2025</t>
        </is>
      </c>
      <c r="B419" s="1" t="n">
        <v>45960.41155092593</v>
      </c>
      <c r="C419" s="1" t="n">
        <v>46085</v>
      </c>
      <c r="D419" t="inlineStr">
        <is>
          <t>GOTLANDS LÄN</t>
        </is>
      </c>
      <c r="E419" t="inlineStr">
        <is>
          <t>GOTLAND</t>
        </is>
      </c>
      <c r="F419" t="inlineStr">
        <is>
          <t>Övriga Aktiebolag</t>
        </is>
      </c>
      <c r="G419" t="n">
        <v>11.3</v>
      </c>
      <c r="H419" t="n">
        <v>0</v>
      </c>
      <c r="I419" t="n">
        <v>0</v>
      </c>
      <c r="J419" t="n">
        <v>0</v>
      </c>
      <c r="K419" t="n">
        <v>0</v>
      </c>
      <c r="L419" t="n">
        <v>0</v>
      </c>
      <c r="M419" t="n">
        <v>0</v>
      </c>
      <c r="N419" t="n">
        <v>0</v>
      </c>
      <c r="O419" t="n">
        <v>0</v>
      </c>
      <c r="P419" t="n">
        <v>0</v>
      </c>
      <c r="Q419" t="n">
        <v>0</v>
      </c>
      <c r="R419" s="2" t="inlineStr"/>
    </row>
    <row r="420" ht="15" customHeight="1">
      <c r="A420" t="inlineStr">
        <is>
          <t>A 53577-2025</t>
        </is>
      </c>
      <c r="B420" s="1" t="n">
        <v>45960.42224537037</v>
      </c>
      <c r="C420" s="1" t="n">
        <v>46085</v>
      </c>
      <c r="D420" t="inlineStr">
        <is>
          <t>GOTLANDS LÄN</t>
        </is>
      </c>
      <c r="E420" t="inlineStr">
        <is>
          <t>GOTLAND</t>
        </is>
      </c>
      <c r="F420" t="inlineStr">
        <is>
          <t>Övriga Aktiebolag</t>
        </is>
      </c>
      <c r="G420" t="n">
        <v>3.3</v>
      </c>
      <c r="H420" t="n">
        <v>0</v>
      </c>
      <c r="I420" t="n">
        <v>0</v>
      </c>
      <c r="J420" t="n">
        <v>0</v>
      </c>
      <c r="K420" t="n">
        <v>0</v>
      </c>
      <c r="L420" t="n">
        <v>0</v>
      </c>
      <c r="M420" t="n">
        <v>0</v>
      </c>
      <c r="N420" t="n">
        <v>0</v>
      </c>
      <c r="O420" t="n">
        <v>0</v>
      </c>
      <c r="P420" t="n">
        <v>0</v>
      </c>
      <c r="Q420" t="n">
        <v>0</v>
      </c>
      <c r="R420" s="2" t="inlineStr"/>
    </row>
    <row r="421" ht="15" customHeight="1">
      <c r="A421" t="inlineStr">
        <is>
          <t>A 14638-2025</t>
        </is>
      </c>
      <c r="B421" s="1" t="n">
        <v>45742</v>
      </c>
      <c r="C421" s="1" t="n">
        <v>46085</v>
      </c>
      <c r="D421" t="inlineStr">
        <is>
          <t>GOTLANDS LÄN</t>
        </is>
      </c>
      <c r="E421" t="inlineStr">
        <is>
          <t>GOTLAND</t>
        </is>
      </c>
      <c r="G421" t="n">
        <v>13.4</v>
      </c>
      <c r="H421" t="n">
        <v>0</v>
      </c>
      <c r="I421" t="n">
        <v>0</v>
      </c>
      <c r="J421" t="n">
        <v>0</v>
      </c>
      <c r="K421" t="n">
        <v>0</v>
      </c>
      <c r="L421" t="n">
        <v>0</v>
      </c>
      <c r="M421" t="n">
        <v>0</v>
      </c>
      <c r="N421" t="n">
        <v>0</v>
      </c>
      <c r="O421" t="n">
        <v>0</v>
      </c>
      <c r="P421" t="n">
        <v>0</v>
      </c>
      <c r="Q421" t="n">
        <v>0</v>
      </c>
      <c r="R421" s="2" t="inlineStr"/>
    </row>
    <row r="422" ht="15" customHeight="1">
      <c r="A422" t="inlineStr">
        <is>
          <t>A 58388-2022</t>
        </is>
      </c>
      <c r="B422" s="1" t="n">
        <v>44894</v>
      </c>
      <c r="C422" s="1" t="n">
        <v>46085</v>
      </c>
      <c r="D422" t="inlineStr">
        <is>
          <t>GOTLANDS LÄN</t>
        </is>
      </c>
      <c r="E422" t="inlineStr">
        <is>
          <t>GOTLAND</t>
        </is>
      </c>
      <c r="F422" t="inlineStr">
        <is>
          <t>Övriga statliga verk och myndigheter</t>
        </is>
      </c>
      <c r="G422" t="n">
        <v>3.1</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44496.64855324074</v>
      </c>
      <c r="C423" s="1" t="n">
        <v>46085</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46085</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21792-2024</t>
        </is>
      </c>
      <c r="B425" s="1" t="n">
        <v>45442.64326388889</v>
      </c>
      <c r="C425" s="1" t="n">
        <v>46085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22287-2022</t>
        </is>
      </c>
      <c r="B426" s="1" t="n">
        <v>44712</v>
      </c>
      <c r="C426" s="1" t="n">
        <v>46085</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17688-2024</t>
        </is>
      </c>
      <c r="B427" s="1" t="n">
        <v>45418.43575231481</v>
      </c>
      <c r="C427" s="1" t="n">
        <v>46085</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7837-2024</t>
        </is>
      </c>
      <c r="B428" s="1" t="n">
        <v>45349.83787037037</v>
      </c>
      <c r="C428" s="1" t="n">
        <v>46085</v>
      </c>
      <c r="D428" t="inlineStr">
        <is>
          <t>GOTLANDS LÄN</t>
        </is>
      </c>
      <c r="E428" t="inlineStr">
        <is>
          <t>GOTLAND</t>
        </is>
      </c>
      <c r="G428" t="n">
        <v>5</v>
      </c>
      <c r="H428" t="n">
        <v>0</v>
      </c>
      <c r="I428" t="n">
        <v>0</v>
      </c>
      <c r="J428" t="n">
        <v>0</v>
      </c>
      <c r="K428" t="n">
        <v>0</v>
      </c>
      <c r="L428" t="n">
        <v>0</v>
      </c>
      <c r="M428" t="n">
        <v>0</v>
      </c>
      <c r="N428" t="n">
        <v>0</v>
      </c>
      <c r="O428" t="n">
        <v>0</v>
      </c>
      <c r="P428" t="n">
        <v>0</v>
      </c>
      <c r="Q428" t="n">
        <v>0</v>
      </c>
      <c r="R428" s="2" t="inlineStr"/>
    </row>
    <row r="429" ht="15" customHeight="1">
      <c r="A429" t="inlineStr">
        <is>
          <t>A 54074-2022</t>
        </is>
      </c>
      <c r="B429" s="1" t="n">
        <v>44881</v>
      </c>
      <c r="C429" s="1" t="n">
        <v>46085</v>
      </c>
      <c r="D429" t="inlineStr">
        <is>
          <t>GOTLANDS LÄN</t>
        </is>
      </c>
      <c r="E429" t="inlineStr">
        <is>
          <t>GOTLAND</t>
        </is>
      </c>
      <c r="G429" t="n">
        <v>0.9</v>
      </c>
      <c r="H429" t="n">
        <v>0</v>
      </c>
      <c r="I429" t="n">
        <v>0</v>
      </c>
      <c r="J429" t="n">
        <v>0</v>
      </c>
      <c r="K429" t="n">
        <v>0</v>
      </c>
      <c r="L429" t="n">
        <v>0</v>
      </c>
      <c r="M429" t="n">
        <v>0</v>
      </c>
      <c r="N429" t="n">
        <v>0</v>
      </c>
      <c r="O429" t="n">
        <v>0</v>
      </c>
      <c r="P429" t="n">
        <v>0</v>
      </c>
      <c r="Q429" t="n">
        <v>0</v>
      </c>
      <c r="R429" s="2" t="inlineStr"/>
    </row>
    <row r="430" ht="15" customHeight="1">
      <c r="A430" t="inlineStr">
        <is>
          <t>A 65249-2023</t>
        </is>
      </c>
      <c r="B430" s="1" t="n">
        <v>45290</v>
      </c>
      <c r="C430" s="1" t="n">
        <v>46085</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4568-2025</t>
        </is>
      </c>
      <c r="B431" s="1" t="n">
        <v>45687</v>
      </c>
      <c r="C431" s="1" t="n">
        <v>46085</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35512-2023</t>
        </is>
      </c>
      <c r="B432" s="1" t="n">
        <v>45147.25623842593</v>
      </c>
      <c r="C432" s="1" t="n">
        <v>46085</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5905-2024</t>
        </is>
      </c>
      <c r="B433" s="1" t="n">
        <v>45335.88993055555</v>
      </c>
      <c r="C433" s="1" t="n">
        <v>46085</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1291-2023</t>
        </is>
      </c>
      <c r="B434" s="1" t="n">
        <v>44936.47561342592</v>
      </c>
      <c r="C434" s="1" t="n">
        <v>46085</v>
      </c>
      <c r="D434" t="inlineStr">
        <is>
          <t>GOTLANDS LÄN</t>
        </is>
      </c>
      <c r="E434" t="inlineStr">
        <is>
          <t>GOTLAND</t>
        </is>
      </c>
      <c r="G434" t="n">
        <v>7.4</v>
      </c>
      <c r="H434" t="n">
        <v>0</v>
      </c>
      <c r="I434" t="n">
        <v>0</v>
      </c>
      <c r="J434" t="n">
        <v>0</v>
      </c>
      <c r="K434" t="n">
        <v>0</v>
      </c>
      <c r="L434" t="n">
        <v>0</v>
      </c>
      <c r="M434" t="n">
        <v>0</v>
      </c>
      <c r="N434" t="n">
        <v>0</v>
      </c>
      <c r="O434" t="n">
        <v>0</v>
      </c>
      <c r="P434" t="n">
        <v>0</v>
      </c>
      <c r="Q434" t="n">
        <v>0</v>
      </c>
      <c r="R434" s="2" t="inlineStr"/>
    </row>
    <row r="435" ht="15" customHeight="1">
      <c r="A435" t="inlineStr">
        <is>
          <t>A 57652-2023</t>
        </is>
      </c>
      <c r="B435" s="1" t="n">
        <v>45246</v>
      </c>
      <c r="C435" s="1" t="n">
        <v>46085</v>
      </c>
      <c r="D435" t="inlineStr">
        <is>
          <t>GOTLANDS LÄN</t>
        </is>
      </c>
      <c r="E435" t="inlineStr">
        <is>
          <t>GOTLAND</t>
        </is>
      </c>
      <c r="G435" t="n">
        <v>7.2</v>
      </c>
      <c r="H435" t="n">
        <v>0</v>
      </c>
      <c r="I435" t="n">
        <v>0</v>
      </c>
      <c r="J435" t="n">
        <v>0</v>
      </c>
      <c r="K435" t="n">
        <v>0</v>
      </c>
      <c r="L435" t="n">
        <v>0</v>
      </c>
      <c r="M435" t="n">
        <v>0</v>
      </c>
      <c r="N435" t="n">
        <v>0</v>
      </c>
      <c r="O435" t="n">
        <v>0</v>
      </c>
      <c r="P435" t="n">
        <v>0</v>
      </c>
      <c r="Q435" t="n">
        <v>0</v>
      </c>
      <c r="R435" s="2" t="inlineStr"/>
    </row>
    <row r="436" ht="15" customHeight="1">
      <c r="A436" t="inlineStr">
        <is>
          <t>A 13910-2025</t>
        </is>
      </c>
      <c r="B436" s="1" t="n">
        <v>45737</v>
      </c>
      <c r="C436" s="1" t="n">
        <v>46085</v>
      </c>
      <c r="D436" t="inlineStr">
        <is>
          <t>GOTLANDS LÄN</t>
        </is>
      </c>
      <c r="E436" t="inlineStr">
        <is>
          <t>GOTLAND</t>
        </is>
      </c>
      <c r="F436" t="inlineStr">
        <is>
          <t>Kommuner</t>
        </is>
      </c>
      <c r="G436" t="n">
        <v>3.2</v>
      </c>
      <c r="H436" t="n">
        <v>0</v>
      </c>
      <c r="I436" t="n">
        <v>0</v>
      </c>
      <c r="J436" t="n">
        <v>0</v>
      </c>
      <c r="K436" t="n">
        <v>0</v>
      </c>
      <c r="L436" t="n">
        <v>0</v>
      </c>
      <c r="M436" t="n">
        <v>0</v>
      </c>
      <c r="N436" t="n">
        <v>0</v>
      </c>
      <c r="O436" t="n">
        <v>0</v>
      </c>
      <c r="P436" t="n">
        <v>0</v>
      </c>
      <c r="Q436" t="n">
        <v>0</v>
      </c>
      <c r="R436" s="2" t="inlineStr"/>
    </row>
    <row r="437" ht="15" customHeight="1">
      <c r="A437" t="inlineStr">
        <is>
          <t>A 49315-2024</t>
        </is>
      </c>
      <c r="B437" s="1" t="n">
        <v>45595</v>
      </c>
      <c r="C437" s="1" t="n">
        <v>46085</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17780-2022</t>
        </is>
      </c>
      <c r="B438" s="1" t="n">
        <v>44682.82622685185</v>
      </c>
      <c r="C438" s="1" t="n">
        <v>46085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45106-2024</t>
        </is>
      </c>
      <c r="B439" s="1" t="n">
        <v>45575</v>
      </c>
      <c r="C439" s="1" t="n">
        <v>46085</v>
      </c>
      <c r="D439" t="inlineStr">
        <is>
          <t>GOTLANDS LÄN</t>
        </is>
      </c>
      <c r="E439" t="inlineStr">
        <is>
          <t>GOTLAND</t>
        </is>
      </c>
      <c r="G439" t="n">
        <v>10</v>
      </c>
      <c r="H439" t="n">
        <v>0</v>
      </c>
      <c r="I439" t="n">
        <v>0</v>
      </c>
      <c r="J439" t="n">
        <v>0</v>
      </c>
      <c r="K439" t="n">
        <v>0</v>
      </c>
      <c r="L439" t="n">
        <v>0</v>
      </c>
      <c r="M439" t="n">
        <v>0</v>
      </c>
      <c r="N439" t="n">
        <v>0</v>
      </c>
      <c r="O439" t="n">
        <v>0</v>
      </c>
      <c r="P439" t="n">
        <v>0</v>
      </c>
      <c r="Q439" t="n">
        <v>0</v>
      </c>
      <c r="R439" s="2" t="inlineStr"/>
    </row>
    <row r="440" ht="15" customHeight="1">
      <c r="A440" t="inlineStr">
        <is>
          <t>A 45112-2024</t>
        </is>
      </c>
      <c r="B440" s="1" t="n">
        <v>45575</v>
      </c>
      <c r="C440" s="1" t="n">
        <v>46085</v>
      </c>
      <c r="D440" t="inlineStr">
        <is>
          <t>GOTLANDS LÄN</t>
        </is>
      </c>
      <c r="E440" t="inlineStr">
        <is>
          <t>GOTLAND</t>
        </is>
      </c>
      <c r="G440" t="n">
        <v>5.1</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46085</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59986-2022</t>
        </is>
      </c>
      <c r="B442" s="1" t="n">
        <v>44909</v>
      </c>
      <c r="C442" s="1" t="n">
        <v>46085</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14536-2021</t>
        </is>
      </c>
      <c r="B443" s="1" t="n">
        <v>44279.66168981481</v>
      </c>
      <c r="C443" s="1" t="n">
        <v>46085</v>
      </c>
      <c r="D443" t="inlineStr">
        <is>
          <t>GOTLANDS LÄN</t>
        </is>
      </c>
      <c r="E443" t="inlineStr">
        <is>
          <t>GOTLAND</t>
        </is>
      </c>
      <c r="G443" t="n">
        <v>8.5</v>
      </c>
      <c r="H443" t="n">
        <v>0</v>
      </c>
      <c r="I443" t="n">
        <v>0</v>
      </c>
      <c r="J443" t="n">
        <v>0</v>
      </c>
      <c r="K443" t="n">
        <v>0</v>
      </c>
      <c r="L443" t="n">
        <v>0</v>
      </c>
      <c r="M443" t="n">
        <v>0</v>
      </c>
      <c r="N443" t="n">
        <v>0</v>
      </c>
      <c r="O443" t="n">
        <v>0</v>
      </c>
      <c r="P443" t="n">
        <v>0</v>
      </c>
      <c r="Q443" t="n">
        <v>0</v>
      </c>
      <c r="R443" s="2" t="inlineStr"/>
    </row>
    <row r="444" ht="15" customHeight="1">
      <c r="A444" t="inlineStr">
        <is>
          <t>A 2676-2023</t>
        </is>
      </c>
      <c r="B444" s="1" t="n">
        <v>44944</v>
      </c>
      <c r="C444" s="1" t="n">
        <v>46085</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56688-2025</t>
        </is>
      </c>
      <c r="B445" s="1" t="n">
        <v>45975.84331018518</v>
      </c>
      <c r="C445" s="1" t="n">
        <v>46085</v>
      </c>
      <c r="D445" t="inlineStr">
        <is>
          <t>GOTLANDS LÄN</t>
        </is>
      </c>
      <c r="E445" t="inlineStr">
        <is>
          <t>GOTLAND</t>
        </is>
      </c>
      <c r="G445" t="n">
        <v>1.3</v>
      </c>
      <c r="H445" t="n">
        <v>0</v>
      </c>
      <c r="I445" t="n">
        <v>0</v>
      </c>
      <c r="J445" t="n">
        <v>0</v>
      </c>
      <c r="K445" t="n">
        <v>0</v>
      </c>
      <c r="L445" t="n">
        <v>0</v>
      </c>
      <c r="M445" t="n">
        <v>0</v>
      </c>
      <c r="N445" t="n">
        <v>0</v>
      </c>
      <c r="O445" t="n">
        <v>0</v>
      </c>
      <c r="P445" t="n">
        <v>0</v>
      </c>
      <c r="Q445" t="n">
        <v>0</v>
      </c>
      <c r="R445" s="2" t="inlineStr"/>
    </row>
    <row r="446" ht="15" customHeight="1">
      <c r="A446" t="inlineStr">
        <is>
          <t>A 3150-2025</t>
        </is>
      </c>
      <c r="B446" s="1" t="n">
        <v>45679.28974537037</v>
      </c>
      <c r="C446" s="1" t="n">
        <v>46085</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8484-2025</t>
        </is>
      </c>
      <c r="B447" s="1" t="n">
        <v>45709</v>
      </c>
      <c r="C447" s="1" t="n">
        <v>46085</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7635-2025</t>
        </is>
      </c>
      <c r="B448" s="1" t="n">
        <v>45705</v>
      </c>
      <c r="C448" s="1" t="n">
        <v>46085</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7636-2025</t>
        </is>
      </c>
      <c r="B449" s="1" t="n">
        <v>45705.7687962963</v>
      </c>
      <c r="C449" s="1" t="n">
        <v>46085</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7639-2025</t>
        </is>
      </c>
      <c r="B450" s="1" t="n">
        <v>45705.77465277778</v>
      </c>
      <c r="C450" s="1" t="n">
        <v>46085</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11874-2024</t>
        </is>
      </c>
      <c r="B451" s="1" t="n">
        <v>45376.46956018519</v>
      </c>
      <c r="C451" s="1" t="n">
        <v>46085</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42041-2024</t>
        </is>
      </c>
      <c r="B452" s="1" t="n">
        <v>45561</v>
      </c>
      <c r="C452" s="1" t="n">
        <v>46085</v>
      </c>
      <c r="D452" t="inlineStr">
        <is>
          <t>GOTLANDS LÄN</t>
        </is>
      </c>
      <c r="E452" t="inlineStr">
        <is>
          <t>GOTLAND</t>
        </is>
      </c>
      <c r="G452" t="n">
        <v>3.2</v>
      </c>
      <c r="H452" t="n">
        <v>0</v>
      </c>
      <c r="I452" t="n">
        <v>0</v>
      </c>
      <c r="J452" t="n">
        <v>0</v>
      </c>
      <c r="K452" t="n">
        <v>0</v>
      </c>
      <c r="L452" t="n">
        <v>0</v>
      </c>
      <c r="M452" t="n">
        <v>0</v>
      </c>
      <c r="N452" t="n">
        <v>0</v>
      </c>
      <c r="O452" t="n">
        <v>0</v>
      </c>
      <c r="P452" t="n">
        <v>0</v>
      </c>
      <c r="Q452" t="n">
        <v>0</v>
      </c>
      <c r="R452" s="2" t="inlineStr"/>
    </row>
    <row r="453" ht="15" customHeight="1">
      <c r="A453" t="inlineStr">
        <is>
          <t>A 61694-2023</t>
        </is>
      </c>
      <c r="B453" s="1" t="n">
        <v>45264</v>
      </c>
      <c r="C453" s="1" t="n">
        <v>46085</v>
      </c>
      <c r="D453" t="inlineStr">
        <is>
          <t>GOTLANDS LÄN</t>
        </is>
      </c>
      <c r="E453" t="inlineStr">
        <is>
          <t>GOTLAND</t>
        </is>
      </c>
      <c r="G453" t="n">
        <v>4.6</v>
      </c>
      <c r="H453" t="n">
        <v>0</v>
      </c>
      <c r="I453" t="n">
        <v>0</v>
      </c>
      <c r="J453" t="n">
        <v>0</v>
      </c>
      <c r="K453" t="n">
        <v>0</v>
      </c>
      <c r="L453" t="n">
        <v>0</v>
      </c>
      <c r="M453" t="n">
        <v>0</v>
      </c>
      <c r="N453" t="n">
        <v>0</v>
      </c>
      <c r="O453" t="n">
        <v>0</v>
      </c>
      <c r="P453" t="n">
        <v>0</v>
      </c>
      <c r="Q453" t="n">
        <v>0</v>
      </c>
      <c r="R453" s="2" t="inlineStr"/>
    </row>
    <row r="454" ht="15" customHeight="1">
      <c r="A454" t="inlineStr">
        <is>
          <t>A 20356-2022</t>
        </is>
      </c>
      <c r="B454" s="1" t="n">
        <v>44699</v>
      </c>
      <c r="C454" s="1" t="n">
        <v>46085</v>
      </c>
      <c r="D454" t="inlineStr">
        <is>
          <t>GOTLANDS LÄN</t>
        </is>
      </c>
      <c r="E454" t="inlineStr">
        <is>
          <t>GOTLAND</t>
        </is>
      </c>
      <c r="F454" t="inlineStr">
        <is>
          <t>Övriga Aktiebolag</t>
        </is>
      </c>
      <c r="G454" t="n">
        <v>4.4</v>
      </c>
      <c r="H454" t="n">
        <v>0</v>
      </c>
      <c r="I454" t="n">
        <v>0</v>
      </c>
      <c r="J454" t="n">
        <v>0</v>
      </c>
      <c r="K454" t="n">
        <v>0</v>
      </c>
      <c r="L454" t="n">
        <v>0</v>
      </c>
      <c r="M454" t="n">
        <v>0</v>
      </c>
      <c r="N454" t="n">
        <v>0</v>
      </c>
      <c r="O454" t="n">
        <v>0</v>
      </c>
      <c r="P454" t="n">
        <v>0</v>
      </c>
      <c r="Q454" t="n">
        <v>0</v>
      </c>
      <c r="R454" s="2" t="inlineStr"/>
    </row>
    <row r="455" ht="15" customHeight="1">
      <c r="A455" t="inlineStr">
        <is>
          <t>A 48734-2022</t>
        </is>
      </c>
      <c r="B455" s="1" t="n">
        <v>44855</v>
      </c>
      <c r="C455" s="1" t="n">
        <v>46085</v>
      </c>
      <c r="D455" t="inlineStr">
        <is>
          <t>GOTLANDS LÄN</t>
        </is>
      </c>
      <c r="E455" t="inlineStr">
        <is>
          <t>GOTLAND</t>
        </is>
      </c>
      <c r="G455" t="n">
        <v>1.6</v>
      </c>
      <c r="H455" t="n">
        <v>0</v>
      </c>
      <c r="I455" t="n">
        <v>0</v>
      </c>
      <c r="J455" t="n">
        <v>0</v>
      </c>
      <c r="K455" t="n">
        <v>0</v>
      </c>
      <c r="L455" t="n">
        <v>0</v>
      </c>
      <c r="M455" t="n">
        <v>0</v>
      </c>
      <c r="N455" t="n">
        <v>0</v>
      </c>
      <c r="O455" t="n">
        <v>0</v>
      </c>
      <c r="P455" t="n">
        <v>0</v>
      </c>
      <c r="Q455" t="n">
        <v>0</v>
      </c>
      <c r="R455" s="2" t="inlineStr"/>
    </row>
    <row r="456" ht="15" customHeight="1">
      <c r="A456" t="inlineStr">
        <is>
          <t>A 14141-2024</t>
        </is>
      </c>
      <c r="B456" s="1" t="n">
        <v>45392.85193287037</v>
      </c>
      <c r="C456" s="1" t="n">
        <v>46085</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44755.8713425926</v>
      </c>
      <c r="C457" s="1" t="n">
        <v>46085</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64555-2023</t>
        </is>
      </c>
      <c r="B458" s="1" t="n">
        <v>45281</v>
      </c>
      <c r="C458" s="1" t="n">
        <v>46085</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64831-2023</t>
        </is>
      </c>
      <c r="B459" s="1" t="n">
        <v>45282.44924768519</v>
      </c>
      <c r="C459" s="1" t="n">
        <v>46085</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14804-2021</t>
        </is>
      </c>
      <c r="B460" s="1" t="n">
        <v>44280</v>
      </c>
      <c r="C460" s="1" t="n">
        <v>46085</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999-2023</t>
        </is>
      </c>
      <c r="B461" s="1" t="n">
        <v>44935</v>
      </c>
      <c r="C461" s="1" t="n">
        <v>46085</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27602-2023</t>
        </is>
      </c>
      <c r="B462" s="1" t="n">
        <v>45097</v>
      </c>
      <c r="C462" s="1" t="n">
        <v>46085</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59197-2025</t>
        </is>
      </c>
      <c r="B463" s="1" t="n">
        <v>45988.59846064815</v>
      </c>
      <c r="C463" s="1" t="n">
        <v>46085</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57685-2022</t>
        </is>
      </c>
      <c r="B464" s="1" t="n">
        <v>44897.4777662037</v>
      </c>
      <c r="C464" s="1" t="n">
        <v>46085</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4377-2023</t>
        </is>
      </c>
      <c r="B465" s="1" t="n">
        <v>44955.5502662037</v>
      </c>
      <c r="C465" s="1" t="n">
        <v>46085</v>
      </c>
      <c r="D465" t="inlineStr">
        <is>
          <t>GOTLANDS LÄN</t>
        </is>
      </c>
      <c r="E465" t="inlineStr">
        <is>
          <t>GOTLAND</t>
        </is>
      </c>
      <c r="F465" t="inlineStr">
        <is>
          <t>Kyrkan</t>
        </is>
      </c>
      <c r="G465" t="n">
        <v>0.6</v>
      </c>
      <c r="H465" t="n">
        <v>0</v>
      </c>
      <c r="I465" t="n">
        <v>0</v>
      </c>
      <c r="J465" t="n">
        <v>0</v>
      </c>
      <c r="K465" t="n">
        <v>0</v>
      </c>
      <c r="L465" t="n">
        <v>0</v>
      </c>
      <c r="M465" t="n">
        <v>0</v>
      </c>
      <c r="N465" t="n">
        <v>0</v>
      </c>
      <c r="O465" t="n">
        <v>0</v>
      </c>
      <c r="P465" t="n">
        <v>0</v>
      </c>
      <c r="Q465" t="n">
        <v>0</v>
      </c>
      <c r="R465" s="2" t="inlineStr"/>
    </row>
    <row r="466" ht="15" customHeight="1">
      <c r="A466" t="inlineStr">
        <is>
          <t>A 4387-2023</t>
        </is>
      </c>
      <c r="B466" s="1" t="n">
        <v>44955.73359953704</v>
      </c>
      <c r="C466" s="1" t="n">
        <v>46085</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39479-2022</t>
        </is>
      </c>
      <c r="B467" s="1" t="n">
        <v>44818</v>
      </c>
      <c r="C467" s="1" t="n">
        <v>46085</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36319-2025</t>
        </is>
      </c>
      <c r="B468" s="1" t="n">
        <v>45868</v>
      </c>
      <c r="C468" s="1" t="n">
        <v>46085</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30815-2023</t>
        </is>
      </c>
      <c r="B469" s="1" t="n">
        <v>45112</v>
      </c>
      <c r="C469" s="1" t="n">
        <v>46085</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51963-2024</t>
        </is>
      </c>
      <c r="B470" s="1" t="n">
        <v>45607.64833333333</v>
      </c>
      <c r="C470" s="1" t="n">
        <v>46085</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811-2023</t>
        </is>
      </c>
      <c r="B471" s="1" t="n">
        <v>44931</v>
      </c>
      <c r="C471" s="1" t="n">
        <v>46085</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46085</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26810-2021</t>
        </is>
      </c>
      <c r="B473" s="1" t="n">
        <v>44349.55087962963</v>
      </c>
      <c r="C473" s="1" t="n">
        <v>46085</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7034-2023</t>
        </is>
      </c>
      <c r="B474" s="1" t="n">
        <v>44968.32108796296</v>
      </c>
      <c r="C474" s="1" t="n">
        <v>46085</v>
      </c>
      <c r="D474" t="inlineStr">
        <is>
          <t>GOTLANDS LÄN</t>
        </is>
      </c>
      <c r="E474" t="inlineStr">
        <is>
          <t>GOTLAND</t>
        </is>
      </c>
      <c r="G474" t="n">
        <v>1.6</v>
      </c>
      <c r="H474" t="n">
        <v>0</v>
      </c>
      <c r="I474" t="n">
        <v>0</v>
      </c>
      <c r="J474" t="n">
        <v>0</v>
      </c>
      <c r="K474" t="n">
        <v>0</v>
      </c>
      <c r="L474" t="n">
        <v>0</v>
      </c>
      <c r="M474" t="n">
        <v>0</v>
      </c>
      <c r="N474" t="n">
        <v>0</v>
      </c>
      <c r="O474" t="n">
        <v>0</v>
      </c>
      <c r="P474" t="n">
        <v>0</v>
      </c>
      <c r="Q474" t="n">
        <v>0</v>
      </c>
      <c r="R474" s="2" t="inlineStr"/>
    </row>
    <row r="475" ht="15" customHeight="1">
      <c r="A475" t="inlineStr">
        <is>
          <t>A 7042-2023</t>
        </is>
      </c>
      <c r="B475" s="1" t="n">
        <v>44968</v>
      </c>
      <c r="C475" s="1" t="n">
        <v>46085</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5923-2023</t>
        </is>
      </c>
      <c r="B476" s="1" t="n">
        <v>44963.69503472222</v>
      </c>
      <c r="C476" s="1" t="n">
        <v>46085</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23516-2023</t>
        </is>
      </c>
      <c r="B477" s="1" t="n">
        <v>45076.93391203704</v>
      </c>
      <c r="C477" s="1" t="n">
        <v>46085</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33853-2024</t>
        </is>
      </c>
      <c r="B478" s="1" t="n">
        <v>45520.64298611111</v>
      </c>
      <c r="C478" s="1" t="n">
        <v>46085</v>
      </c>
      <c r="D478" t="inlineStr">
        <is>
          <t>GOTLANDS LÄN</t>
        </is>
      </c>
      <c r="E478" t="inlineStr">
        <is>
          <t>GOTLAND</t>
        </is>
      </c>
      <c r="G478" t="n">
        <v>3.9</v>
      </c>
      <c r="H478" t="n">
        <v>0</v>
      </c>
      <c r="I478" t="n">
        <v>0</v>
      </c>
      <c r="J478" t="n">
        <v>0</v>
      </c>
      <c r="K478" t="n">
        <v>0</v>
      </c>
      <c r="L478" t="n">
        <v>0</v>
      </c>
      <c r="M478" t="n">
        <v>0</v>
      </c>
      <c r="N478" t="n">
        <v>0</v>
      </c>
      <c r="O478" t="n">
        <v>0</v>
      </c>
      <c r="P478" t="n">
        <v>0</v>
      </c>
      <c r="Q478" t="n">
        <v>0</v>
      </c>
      <c r="R478" s="2" t="inlineStr"/>
    </row>
    <row r="479" ht="15" customHeight="1">
      <c r="A479" t="inlineStr">
        <is>
          <t>A 18918-2025</t>
        </is>
      </c>
      <c r="B479" s="1" t="n">
        <v>45764</v>
      </c>
      <c r="C479" s="1" t="n">
        <v>46085</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2674-2023</t>
        </is>
      </c>
      <c r="B480" s="1" t="n">
        <v>44944</v>
      </c>
      <c r="C480" s="1" t="n">
        <v>46085</v>
      </c>
      <c r="D480" t="inlineStr">
        <is>
          <t>GOTLANDS LÄN</t>
        </is>
      </c>
      <c r="E480" t="inlineStr">
        <is>
          <t>GOTLAND</t>
        </is>
      </c>
      <c r="G480" t="n">
        <v>2.5</v>
      </c>
      <c r="H480" t="n">
        <v>0</v>
      </c>
      <c r="I480" t="n">
        <v>0</v>
      </c>
      <c r="J480" t="n">
        <v>0</v>
      </c>
      <c r="K480" t="n">
        <v>0</v>
      </c>
      <c r="L480" t="n">
        <v>0</v>
      </c>
      <c r="M480" t="n">
        <v>0</v>
      </c>
      <c r="N480" t="n">
        <v>0</v>
      </c>
      <c r="O480" t="n">
        <v>0</v>
      </c>
      <c r="P480" t="n">
        <v>0</v>
      </c>
      <c r="Q480" t="n">
        <v>0</v>
      </c>
      <c r="R480" s="2" t="inlineStr"/>
    </row>
    <row r="481" ht="15" customHeight="1">
      <c r="A481" t="inlineStr">
        <is>
          <t>A 64660-2023</t>
        </is>
      </c>
      <c r="B481" s="1" t="n">
        <v>45281.60122685185</v>
      </c>
      <c r="C481" s="1" t="n">
        <v>46085</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63763-2023</t>
        </is>
      </c>
      <c r="B482" s="1" t="n">
        <v>45278.33944444444</v>
      </c>
      <c r="C482" s="1" t="n">
        <v>46085</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10655-2023</t>
        </is>
      </c>
      <c r="B483" s="1" t="n">
        <v>44988.49543981482</v>
      </c>
      <c r="C483" s="1" t="n">
        <v>46085</v>
      </c>
      <c r="D483" t="inlineStr">
        <is>
          <t>GOTLANDS LÄN</t>
        </is>
      </c>
      <c r="E483" t="inlineStr">
        <is>
          <t>GOTLAND</t>
        </is>
      </c>
      <c r="F483" t="inlineStr">
        <is>
          <t>Kyrkan</t>
        </is>
      </c>
      <c r="G483" t="n">
        <v>2</v>
      </c>
      <c r="H483" t="n">
        <v>0</v>
      </c>
      <c r="I483" t="n">
        <v>0</v>
      </c>
      <c r="J483" t="n">
        <v>0</v>
      </c>
      <c r="K483" t="n">
        <v>0</v>
      </c>
      <c r="L483" t="n">
        <v>0</v>
      </c>
      <c r="M483" t="n">
        <v>0</v>
      </c>
      <c r="N483" t="n">
        <v>0</v>
      </c>
      <c r="O483" t="n">
        <v>0</v>
      </c>
      <c r="P483" t="n">
        <v>0</v>
      </c>
      <c r="Q483" t="n">
        <v>0</v>
      </c>
      <c r="R483" s="2" t="inlineStr"/>
    </row>
    <row r="484" ht="15" customHeight="1">
      <c r="A484" t="inlineStr">
        <is>
          <t>A 2719-2023</t>
        </is>
      </c>
      <c r="B484" s="1" t="n">
        <v>44944.55361111111</v>
      </c>
      <c r="C484" s="1" t="n">
        <v>46085</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26891-2024</t>
        </is>
      </c>
      <c r="B485" s="1" t="n">
        <v>45470.65540509259</v>
      </c>
      <c r="C485" s="1" t="n">
        <v>46085</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42007-2023</t>
        </is>
      </c>
      <c r="B486" s="1" t="n">
        <v>45177</v>
      </c>
      <c r="C486" s="1" t="n">
        <v>46085</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9887-2025</t>
        </is>
      </c>
      <c r="B487" s="1" t="n">
        <v>45716</v>
      </c>
      <c r="C487" s="1" t="n">
        <v>46085</v>
      </c>
      <c r="D487" t="inlineStr">
        <is>
          <t>GOTLANDS LÄN</t>
        </is>
      </c>
      <c r="E487" t="inlineStr">
        <is>
          <t>GOTLAND</t>
        </is>
      </c>
      <c r="G487" t="n">
        <v>7.5</v>
      </c>
      <c r="H487" t="n">
        <v>0</v>
      </c>
      <c r="I487" t="n">
        <v>0</v>
      </c>
      <c r="J487" t="n">
        <v>0</v>
      </c>
      <c r="K487" t="n">
        <v>0</v>
      </c>
      <c r="L487" t="n">
        <v>0</v>
      </c>
      <c r="M487" t="n">
        <v>0</v>
      </c>
      <c r="N487" t="n">
        <v>0</v>
      </c>
      <c r="O487" t="n">
        <v>0</v>
      </c>
      <c r="P487" t="n">
        <v>0</v>
      </c>
      <c r="Q487" t="n">
        <v>0</v>
      </c>
      <c r="R487" s="2" t="inlineStr"/>
    </row>
    <row r="488" ht="15" customHeight="1">
      <c r="A488" t="inlineStr">
        <is>
          <t>A 38165-2023</t>
        </is>
      </c>
      <c r="B488" s="1" t="n">
        <v>45161</v>
      </c>
      <c r="C488" s="1" t="n">
        <v>46085</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4662-2026</t>
        </is>
      </c>
      <c r="B489" s="1" t="n">
        <v>46048.40949074074</v>
      </c>
      <c r="C489" s="1" t="n">
        <v>46085</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4634-2026</t>
        </is>
      </c>
      <c r="B490" s="1" t="n">
        <v>46048.39304398148</v>
      </c>
      <c r="C490" s="1" t="n">
        <v>46085</v>
      </c>
      <c r="D490" t="inlineStr">
        <is>
          <t>GOTLANDS LÄN</t>
        </is>
      </c>
      <c r="E490" t="inlineStr">
        <is>
          <t>GOTLAND</t>
        </is>
      </c>
      <c r="G490" t="n">
        <v>7.8</v>
      </c>
      <c r="H490" t="n">
        <v>0</v>
      </c>
      <c r="I490" t="n">
        <v>0</v>
      </c>
      <c r="J490" t="n">
        <v>0</v>
      </c>
      <c r="K490" t="n">
        <v>0</v>
      </c>
      <c r="L490" t="n">
        <v>0</v>
      </c>
      <c r="M490" t="n">
        <v>0</v>
      </c>
      <c r="N490" t="n">
        <v>0</v>
      </c>
      <c r="O490" t="n">
        <v>0</v>
      </c>
      <c r="P490" t="n">
        <v>0</v>
      </c>
      <c r="Q490" t="n">
        <v>0</v>
      </c>
      <c r="R490" s="2" t="inlineStr"/>
    </row>
    <row r="491" ht="15" customHeight="1">
      <c r="A491" t="inlineStr">
        <is>
          <t>A 4646-2026</t>
        </is>
      </c>
      <c r="B491" s="1" t="n">
        <v>46048.40357638889</v>
      </c>
      <c r="C491" s="1" t="n">
        <v>46085</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63229-2021</t>
        </is>
      </c>
      <c r="B492" s="1" t="n">
        <v>44508.34518518519</v>
      </c>
      <c r="C492" s="1" t="n">
        <v>46085</v>
      </c>
      <c r="D492" t="inlineStr">
        <is>
          <t>GOTLANDS LÄN</t>
        </is>
      </c>
      <c r="E492" t="inlineStr">
        <is>
          <t>GOTLAND</t>
        </is>
      </c>
      <c r="F492" t="inlineStr">
        <is>
          <t>Kyrkan</t>
        </is>
      </c>
      <c r="G492" t="n">
        <v>3.8</v>
      </c>
      <c r="H492" t="n">
        <v>0</v>
      </c>
      <c r="I492" t="n">
        <v>0</v>
      </c>
      <c r="J492" t="n">
        <v>0</v>
      </c>
      <c r="K492" t="n">
        <v>0</v>
      </c>
      <c r="L492" t="n">
        <v>0</v>
      </c>
      <c r="M492" t="n">
        <v>0</v>
      </c>
      <c r="N492" t="n">
        <v>0</v>
      </c>
      <c r="O492" t="n">
        <v>0</v>
      </c>
      <c r="P492" t="n">
        <v>0</v>
      </c>
      <c r="Q492" t="n">
        <v>0</v>
      </c>
      <c r="R492" s="2" t="inlineStr"/>
    </row>
    <row r="493" ht="15" customHeight="1">
      <c r="A493" t="inlineStr">
        <is>
          <t>A 46375-2024</t>
        </is>
      </c>
      <c r="B493" s="1" t="n">
        <v>45582</v>
      </c>
      <c r="C493" s="1" t="n">
        <v>46085</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27596-2023</t>
        </is>
      </c>
      <c r="B494" s="1" t="n">
        <v>45097</v>
      </c>
      <c r="C494" s="1" t="n">
        <v>46085</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4670-2026</t>
        </is>
      </c>
      <c r="B495" s="1" t="n">
        <v>46048.41733796296</v>
      </c>
      <c r="C495" s="1" t="n">
        <v>46085</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24825-2024</t>
        </is>
      </c>
      <c r="B496" s="1" t="n">
        <v>45461</v>
      </c>
      <c r="C496" s="1" t="n">
        <v>46085</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6696-2023</t>
        </is>
      </c>
      <c r="B497" s="1" t="n">
        <v>44966.66425925926</v>
      </c>
      <c r="C497" s="1" t="n">
        <v>46085</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62066-2025</t>
        </is>
      </c>
      <c r="B498" s="1" t="n">
        <v>46006.34738425926</v>
      </c>
      <c r="C498" s="1" t="n">
        <v>46085</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44705.38832175926</v>
      </c>
      <c r="C499" s="1" t="n">
        <v>46085</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456-2023</t>
        </is>
      </c>
      <c r="B500" s="1" t="n">
        <v>44929.87122685185</v>
      </c>
      <c r="C500" s="1" t="n">
        <v>46085</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4639-2026</t>
        </is>
      </c>
      <c r="B501" s="1" t="n">
        <v>46048.39880787037</v>
      </c>
      <c r="C501" s="1" t="n">
        <v>46085</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46085</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62103-2025</t>
        </is>
      </c>
      <c r="B503" s="1" t="n">
        <v>46006</v>
      </c>
      <c r="C503" s="1" t="n">
        <v>46085</v>
      </c>
      <c r="D503" t="inlineStr">
        <is>
          <t>GOTLANDS LÄN</t>
        </is>
      </c>
      <c r="E503" t="inlineStr">
        <is>
          <t>GOTLAND</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4421-2024</t>
        </is>
      </c>
      <c r="B504" s="1" t="n">
        <v>45327.45173611111</v>
      </c>
      <c r="C504" s="1" t="n">
        <v>46085</v>
      </c>
      <c r="D504" t="inlineStr">
        <is>
          <t>GOTLANDS LÄN</t>
        </is>
      </c>
      <c r="E504" t="inlineStr">
        <is>
          <t>GOTLAND</t>
        </is>
      </c>
      <c r="G504" t="n">
        <v>5.1</v>
      </c>
      <c r="H504" t="n">
        <v>0</v>
      </c>
      <c r="I504" t="n">
        <v>0</v>
      </c>
      <c r="J504" t="n">
        <v>0</v>
      </c>
      <c r="K504" t="n">
        <v>0</v>
      </c>
      <c r="L504" t="n">
        <v>0</v>
      </c>
      <c r="M504" t="n">
        <v>0</v>
      </c>
      <c r="N504" t="n">
        <v>0</v>
      </c>
      <c r="O504" t="n">
        <v>0</v>
      </c>
      <c r="P504" t="n">
        <v>0</v>
      </c>
      <c r="Q504" t="n">
        <v>0</v>
      </c>
      <c r="R504" s="2" t="inlineStr"/>
    </row>
    <row r="505" ht="15" customHeight="1">
      <c r="A505" t="inlineStr">
        <is>
          <t>A 51782-2023</t>
        </is>
      </c>
      <c r="B505" s="1" t="n">
        <v>45222.80952546297</v>
      </c>
      <c r="C505" s="1" t="n">
        <v>46085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46085</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46085</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46085</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43229-2023</t>
        </is>
      </c>
      <c r="B509" s="1" t="n">
        <v>45183.46704861111</v>
      </c>
      <c r="C509" s="1" t="n">
        <v>46085</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1175-2025</t>
        </is>
      </c>
      <c r="B510" s="1" t="n">
        <v>45667.34449074074</v>
      </c>
      <c r="C510" s="1" t="n">
        <v>46085</v>
      </c>
      <c r="D510" t="inlineStr">
        <is>
          <t>GOTLANDS LÄN</t>
        </is>
      </c>
      <c r="E510" t="inlineStr">
        <is>
          <t>GOTLAND</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27095-2022</t>
        </is>
      </c>
      <c r="B511" s="1" t="n">
        <v>44741</v>
      </c>
      <c r="C511" s="1" t="n">
        <v>46085</v>
      </c>
      <c r="D511" t="inlineStr">
        <is>
          <t>GOTLANDS LÄN</t>
        </is>
      </c>
      <c r="E511" t="inlineStr">
        <is>
          <t>GOTLAND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22899-2023</t>
        </is>
      </c>
      <c r="B512" s="1" t="n">
        <v>45072</v>
      </c>
      <c r="C512" s="1" t="n">
        <v>46085</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23978-2023</t>
        </is>
      </c>
      <c r="B513" s="1" t="n">
        <v>45078</v>
      </c>
      <c r="C513" s="1" t="n">
        <v>46085</v>
      </c>
      <c r="D513" t="inlineStr">
        <is>
          <t>GOTLANDS LÄN</t>
        </is>
      </c>
      <c r="E513" t="inlineStr">
        <is>
          <t>GOTLAND</t>
        </is>
      </c>
      <c r="F513" t="inlineStr">
        <is>
          <t>Naturvårdsverket</t>
        </is>
      </c>
      <c r="G513" t="n">
        <v>1.7</v>
      </c>
      <c r="H513" t="n">
        <v>0</v>
      </c>
      <c r="I513" t="n">
        <v>0</v>
      </c>
      <c r="J513" t="n">
        <v>0</v>
      </c>
      <c r="K513" t="n">
        <v>0</v>
      </c>
      <c r="L513" t="n">
        <v>0</v>
      </c>
      <c r="M513" t="n">
        <v>0</v>
      </c>
      <c r="N513" t="n">
        <v>0</v>
      </c>
      <c r="O513" t="n">
        <v>0</v>
      </c>
      <c r="P513" t="n">
        <v>0</v>
      </c>
      <c r="Q513" t="n">
        <v>0</v>
      </c>
      <c r="R513" s="2" t="inlineStr"/>
    </row>
    <row r="514" ht="15" customHeight="1">
      <c r="A514" t="inlineStr">
        <is>
          <t>A 34407-2023</t>
        </is>
      </c>
      <c r="B514" s="1" t="n">
        <v>45132</v>
      </c>
      <c r="C514" s="1" t="n">
        <v>46085</v>
      </c>
      <c r="D514" t="inlineStr">
        <is>
          <t>GOTLANDS LÄN</t>
        </is>
      </c>
      <c r="E514" t="inlineStr">
        <is>
          <t>GOTLAND</t>
        </is>
      </c>
      <c r="G514" t="n">
        <v>4.4</v>
      </c>
      <c r="H514" t="n">
        <v>0</v>
      </c>
      <c r="I514" t="n">
        <v>0</v>
      </c>
      <c r="J514" t="n">
        <v>0</v>
      </c>
      <c r="K514" t="n">
        <v>0</v>
      </c>
      <c r="L514" t="n">
        <v>0</v>
      </c>
      <c r="M514" t="n">
        <v>0</v>
      </c>
      <c r="N514" t="n">
        <v>0</v>
      </c>
      <c r="O514" t="n">
        <v>0</v>
      </c>
      <c r="P514" t="n">
        <v>0</v>
      </c>
      <c r="Q514" t="n">
        <v>0</v>
      </c>
      <c r="R514" s="2" t="inlineStr"/>
    </row>
    <row r="515" ht="15" customHeight="1">
      <c r="A515" t="inlineStr">
        <is>
          <t>A 11013-2024</t>
        </is>
      </c>
      <c r="B515" s="1" t="n">
        <v>45370</v>
      </c>
      <c r="C515" s="1" t="n">
        <v>46085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47147-2025</t>
        </is>
      </c>
      <c r="B516" s="1" t="n">
        <v>45929</v>
      </c>
      <c r="C516" s="1" t="n">
        <v>46085</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27694-2024</t>
        </is>
      </c>
      <c r="B517" s="1" t="n">
        <v>45475</v>
      </c>
      <c r="C517" s="1" t="n">
        <v>46085</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15083-2025</t>
        </is>
      </c>
      <c r="B518" s="1" t="n">
        <v>45743</v>
      </c>
      <c r="C518" s="1" t="n">
        <v>46085</v>
      </c>
      <c r="D518" t="inlineStr">
        <is>
          <t>GOTLANDS LÄN</t>
        </is>
      </c>
      <c r="E518" t="inlineStr">
        <is>
          <t>GOTLAND</t>
        </is>
      </c>
      <c r="G518" t="n">
        <v>2.3</v>
      </c>
      <c r="H518" t="n">
        <v>0</v>
      </c>
      <c r="I518" t="n">
        <v>0</v>
      </c>
      <c r="J518" t="n">
        <v>0</v>
      </c>
      <c r="K518" t="n">
        <v>0</v>
      </c>
      <c r="L518" t="n">
        <v>0</v>
      </c>
      <c r="M518" t="n">
        <v>0</v>
      </c>
      <c r="N518" t="n">
        <v>0</v>
      </c>
      <c r="O518" t="n">
        <v>0</v>
      </c>
      <c r="P518" t="n">
        <v>0</v>
      </c>
      <c r="Q518" t="n">
        <v>0</v>
      </c>
      <c r="R518" s="2" t="inlineStr"/>
    </row>
    <row r="519" ht="15" customHeight="1">
      <c r="A519" t="inlineStr">
        <is>
          <t>A 1734-2025</t>
        </is>
      </c>
      <c r="B519" s="1" t="n">
        <v>45671.3840625</v>
      </c>
      <c r="C519" s="1" t="n">
        <v>46085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13037-2025</t>
        </is>
      </c>
      <c r="B520" s="1" t="n">
        <v>45734</v>
      </c>
      <c r="C520" s="1" t="n">
        <v>46085</v>
      </c>
      <c r="D520" t="inlineStr">
        <is>
          <t>GOTLANDS LÄN</t>
        </is>
      </c>
      <c r="E520" t="inlineStr">
        <is>
          <t>GOTLAND</t>
        </is>
      </c>
      <c r="G520" t="n">
        <v>9.5</v>
      </c>
      <c r="H520" t="n">
        <v>0</v>
      </c>
      <c r="I520" t="n">
        <v>0</v>
      </c>
      <c r="J520" t="n">
        <v>0</v>
      </c>
      <c r="K520" t="n">
        <v>0</v>
      </c>
      <c r="L520" t="n">
        <v>0</v>
      </c>
      <c r="M520" t="n">
        <v>0</v>
      </c>
      <c r="N520" t="n">
        <v>0</v>
      </c>
      <c r="O520" t="n">
        <v>0</v>
      </c>
      <c r="P520" t="n">
        <v>0</v>
      </c>
      <c r="Q520" t="n">
        <v>0</v>
      </c>
      <c r="R520" s="2" t="inlineStr"/>
    </row>
    <row r="521" ht="15" customHeight="1">
      <c r="A521" t="inlineStr">
        <is>
          <t>A 20993-2023</t>
        </is>
      </c>
      <c r="B521" s="1" t="n">
        <v>45056</v>
      </c>
      <c r="C521" s="1" t="n">
        <v>46085</v>
      </c>
      <c r="D521" t="inlineStr">
        <is>
          <t>GOTLANDS LÄN</t>
        </is>
      </c>
      <c r="E521" t="inlineStr">
        <is>
          <t>GOTLAND</t>
        </is>
      </c>
      <c r="G521" t="n">
        <v>7.1</v>
      </c>
      <c r="H521" t="n">
        <v>0</v>
      </c>
      <c r="I521" t="n">
        <v>0</v>
      </c>
      <c r="J521" t="n">
        <v>0</v>
      </c>
      <c r="K521" t="n">
        <v>0</v>
      </c>
      <c r="L521" t="n">
        <v>0</v>
      </c>
      <c r="M521" t="n">
        <v>0</v>
      </c>
      <c r="N521" t="n">
        <v>0</v>
      </c>
      <c r="O521" t="n">
        <v>0</v>
      </c>
      <c r="P521" t="n">
        <v>0</v>
      </c>
      <c r="Q521" t="n">
        <v>0</v>
      </c>
      <c r="R521" s="2" t="inlineStr"/>
    </row>
    <row r="522" ht="15" customHeight="1">
      <c r="A522" t="inlineStr">
        <is>
          <t>A 458-2023</t>
        </is>
      </c>
      <c r="B522" s="1" t="n">
        <v>44929</v>
      </c>
      <c r="C522" s="1" t="n">
        <v>46085</v>
      </c>
      <c r="D522" t="inlineStr">
        <is>
          <t>GOTLANDS LÄN</t>
        </is>
      </c>
      <c r="E522" t="inlineStr">
        <is>
          <t>GOTLAND</t>
        </is>
      </c>
      <c r="G522" t="n">
        <v>3.6</v>
      </c>
      <c r="H522" t="n">
        <v>0</v>
      </c>
      <c r="I522" t="n">
        <v>0</v>
      </c>
      <c r="J522" t="n">
        <v>0</v>
      </c>
      <c r="K522" t="n">
        <v>0</v>
      </c>
      <c r="L522" t="n">
        <v>0</v>
      </c>
      <c r="M522" t="n">
        <v>0</v>
      </c>
      <c r="N522" t="n">
        <v>0</v>
      </c>
      <c r="O522" t="n">
        <v>0</v>
      </c>
      <c r="P522" t="n">
        <v>0</v>
      </c>
      <c r="Q522" t="n">
        <v>0</v>
      </c>
      <c r="R522" s="2" t="inlineStr"/>
    </row>
    <row r="523" ht="15" customHeight="1">
      <c r="A523" t="inlineStr">
        <is>
          <t>A 5863-2026</t>
        </is>
      </c>
      <c r="B523" s="1" t="n">
        <v>46052.36697916667</v>
      </c>
      <c r="C523" s="1" t="n">
        <v>46085</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63002-2025</t>
        </is>
      </c>
      <c r="B524" s="1" t="n">
        <v>46009.56564814815</v>
      </c>
      <c r="C524" s="1" t="n">
        <v>46085</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44839.51599537037</v>
      </c>
      <c r="C525" s="1" t="n">
        <v>46085</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58132-2023</t>
        </is>
      </c>
      <c r="B526" s="1" t="n">
        <v>45250</v>
      </c>
      <c r="C526" s="1" t="n">
        <v>46085</v>
      </c>
      <c r="D526" t="inlineStr">
        <is>
          <t>GOTLANDS LÄN</t>
        </is>
      </c>
      <c r="E526" t="inlineStr">
        <is>
          <t>GOTLAND</t>
        </is>
      </c>
      <c r="G526" t="n">
        <v>3.1</v>
      </c>
      <c r="H526" t="n">
        <v>0</v>
      </c>
      <c r="I526" t="n">
        <v>0</v>
      </c>
      <c r="J526" t="n">
        <v>0</v>
      </c>
      <c r="K526" t="n">
        <v>0</v>
      </c>
      <c r="L526" t="n">
        <v>0</v>
      </c>
      <c r="M526" t="n">
        <v>0</v>
      </c>
      <c r="N526" t="n">
        <v>0</v>
      </c>
      <c r="O526" t="n">
        <v>0</v>
      </c>
      <c r="P526" t="n">
        <v>0</v>
      </c>
      <c r="Q526" t="n">
        <v>0</v>
      </c>
      <c r="R526" s="2" t="inlineStr"/>
    </row>
    <row r="527" ht="15" customHeight="1">
      <c r="A527" t="inlineStr">
        <is>
          <t>A 6218-2026</t>
        </is>
      </c>
      <c r="B527" s="1" t="n">
        <v>46055.42859953704</v>
      </c>
      <c r="C527" s="1" t="n">
        <v>46085</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12596-2023</t>
        </is>
      </c>
      <c r="B528" s="1" t="n">
        <v>45000.43310185185</v>
      </c>
      <c r="C528" s="1" t="n">
        <v>46085</v>
      </c>
      <c r="D528" t="inlineStr">
        <is>
          <t>GOTLANDS LÄN</t>
        </is>
      </c>
      <c r="E528" t="inlineStr">
        <is>
          <t>GOTLAND</t>
        </is>
      </c>
      <c r="G528" t="n">
        <v>4.1</v>
      </c>
      <c r="H528" t="n">
        <v>0</v>
      </c>
      <c r="I528" t="n">
        <v>0</v>
      </c>
      <c r="J528" t="n">
        <v>0</v>
      </c>
      <c r="K528" t="n">
        <v>0</v>
      </c>
      <c r="L528" t="n">
        <v>0</v>
      </c>
      <c r="M528" t="n">
        <v>0</v>
      </c>
      <c r="N528" t="n">
        <v>0</v>
      </c>
      <c r="O528" t="n">
        <v>0</v>
      </c>
      <c r="P528" t="n">
        <v>0</v>
      </c>
      <c r="Q528" t="n">
        <v>0</v>
      </c>
      <c r="R528" s="2" t="inlineStr"/>
    </row>
    <row r="529" ht="15" customHeight="1">
      <c r="A529" t="inlineStr">
        <is>
          <t>A 2125-2025</t>
        </is>
      </c>
      <c r="B529" s="1" t="n">
        <v>45672.64940972222</v>
      </c>
      <c r="C529" s="1" t="n">
        <v>46085</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49884-2023</t>
        </is>
      </c>
      <c r="B530" s="1" t="n">
        <v>45213</v>
      </c>
      <c r="C530" s="1" t="n">
        <v>46085</v>
      </c>
      <c r="D530" t="inlineStr">
        <is>
          <t>GOTLANDS LÄN</t>
        </is>
      </c>
      <c r="E530" t="inlineStr">
        <is>
          <t>GOTLAND</t>
        </is>
      </c>
      <c r="G530" t="n">
        <v>8.9</v>
      </c>
      <c r="H530" t="n">
        <v>0</v>
      </c>
      <c r="I530" t="n">
        <v>0</v>
      </c>
      <c r="J530" t="n">
        <v>0</v>
      </c>
      <c r="K530" t="n">
        <v>0</v>
      </c>
      <c r="L530" t="n">
        <v>0</v>
      </c>
      <c r="M530" t="n">
        <v>0</v>
      </c>
      <c r="N530" t="n">
        <v>0</v>
      </c>
      <c r="O530" t="n">
        <v>0</v>
      </c>
      <c r="P530" t="n">
        <v>0</v>
      </c>
      <c r="Q530" t="n">
        <v>0</v>
      </c>
      <c r="R530" s="2" t="inlineStr"/>
    </row>
    <row r="531" ht="15" customHeight="1">
      <c r="A531" t="inlineStr">
        <is>
          <t>A 12155-2023</t>
        </is>
      </c>
      <c r="B531" s="1" t="n">
        <v>44998.49106481481</v>
      </c>
      <c r="C531" s="1" t="n">
        <v>46085</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44929.87238425926</v>
      </c>
      <c r="C532" s="1" t="n">
        <v>46085</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459-2023</t>
        </is>
      </c>
      <c r="B533" s="1" t="n">
        <v>44929.87423611111</v>
      </c>
      <c r="C533" s="1" t="n">
        <v>46085</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38234-2023</t>
        </is>
      </c>
      <c r="B534" s="1" t="n">
        <v>45161.56663194444</v>
      </c>
      <c r="C534" s="1" t="n">
        <v>46085</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876-2024</t>
        </is>
      </c>
      <c r="B535" s="1" t="n">
        <v>45301</v>
      </c>
      <c r="C535" s="1" t="n">
        <v>46085</v>
      </c>
      <c r="D535" t="inlineStr">
        <is>
          <t>GOTLANDS LÄN</t>
        </is>
      </c>
      <c r="E535" t="inlineStr">
        <is>
          <t>GOTLAND</t>
        </is>
      </c>
      <c r="G535" t="n">
        <v>5.3</v>
      </c>
      <c r="H535" t="n">
        <v>0</v>
      </c>
      <c r="I535" t="n">
        <v>0</v>
      </c>
      <c r="J535" t="n">
        <v>0</v>
      </c>
      <c r="K535" t="n">
        <v>0</v>
      </c>
      <c r="L535" t="n">
        <v>0</v>
      </c>
      <c r="M535" t="n">
        <v>0</v>
      </c>
      <c r="N535" t="n">
        <v>0</v>
      </c>
      <c r="O535" t="n">
        <v>0</v>
      </c>
      <c r="P535" t="n">
        <v>0</v>
      </c>
      <c r="Q535" t="n">
        <v>0</v>
      </c>
      <c r="R535" s="2" t="inlineStr"/>
    </row>
    <row r="536" ht="15" customHeight="1">
      <c r="A536" t="inlineStr">
        <is>
          <t>A 50744-2024</t>
        </is>
      </c>
      <c r="B536" s="1" t="n">
        <v>45602.4187037037</v>
      </c>
      <c r="C536" s="1" t="n">
        <v>46085</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53934-2024</t>
        </is>
      </c>
      <c r="B537" s="1" t="n">
        <v>45615</v>
      </c>
      <c r="C537" s="1" t="n">
        <v>46085</v>
      </c>
      <c r="D537" t="inlineStr">
        <is>
          <t>GOTLANDS LÄN</t>
        </is>
      </c>
      <c r="E537" t="inlineStr">
        <is>
          <t>GOTLAND</t>
        </is>
      </c>
      <c r="G537" t="n">
        <v>5</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46085</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28425-2023</t>
        </is>
      </c>
      <c r="B539" s="1" t="n">
        <v>45102</v>
      </c>
      <c r="C539" s="1" t="n">
        <v>46085</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46085</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43200-2023</t>
        </is>
      </c>
      <c r="B541" s="1" t="n">
        <v>45183</v>
      </c>
      <c r="C541" s="1" t="n">
        <v>46085</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43223-2023</t>
        </is>
      </c>
      <c r="B542" s="1" t="n">
        <v>45183.45642361111</v>
      </c>
      <c r="C542" s="1" t="n">
        <v>46085</v>
      </c>
      <c r="D542" t="inlineStr">
        <is>
          <t>GOTLANDS LÄN</t>
        </is>
      </c>
      <c r="E542" t="inlineStr">
        <is>
          <t>GOTLAND</t>
        </is>
      </c>
      <c r="G542" t="n">
        <v>1.8</v>
      </c>
      <c r="H542" t="n">
        <v>0</v>
      </c>
      <c r="I542" t="n">
        <v>0</v>
      </c>
      <c r="J542" t="n">
        <v>0</v>
      </c>
      <c r="K542" t="n">
        <v>0</v>
      </c>
      <c r="L542" t="n">
        <v>0</v>
      </c>
      <c r="M542" t="n">
        <v>0</v>
      </c>
      <c r="N542" t="n">
        <v>0</v>
      </c>
      <c r="O542" t="n">
        <v>0</v>
      </c>
      <c r="P542" t="n">
        <v>0</v>
      </c>
      <c r="Q542" t="n">
        <v>0</v>
      </c>
      <c r="R542" s="2" t="inlineStr"/>
    </row>
    <row r="543" ht="15" customHeight="1">
      <c r="A543" t="inlineStr">
        <is>
          <t>A 12327-2025</t>
        </is>
      </c>
      <c r="B543" s="1" t="n">
        <v>45730</v>
      </c>
      <c r="C543" s="1" t="n">
        <v>46085</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3431-2025</t>
        </is>
      </c>
      <c r="B544" s="1" t="n">
        <v>45680.42935185185</v>
      </c>
      <c r="C544" s="1" t="n">
        <v>46085</v>
      </c>
      <c r="D544" t="inlineStr">
        <is>
          <t>GOTLANDS LÄN</t>
        </is>
      </c>
      <c r="E544" t="inlineStr">
        <is>
          <t>GOTLAND</t>
        </is>
      </c>
      <c r="G544" t="n">
        <v>4.8</v>
      </c>
      <c r="H544" t="n">
        <v>0</v>
      </c>
      <c r="I544" t="n">
        <v>0</v>
      </c>
      <c r="J544" t="n">
        <v>0</v>
      </c>
      <c r="K544" t="n">
        <v>0</v>
      </c>
      <c r="L544" t="n">
        <v>0</v>
      </c>
      <c r="M544" t="n">
        <v>0</v>
      </c>
      <c r="N544" t="n">
        <v>0</v>
      </c>
      <c r="O544" t="n">
        <v>0</v>
      </c>
      <c r="P544" t="n">
        <v>0</v>
      </c>
      <c r="Q544" t="n">
        <v>0</v>
      </c>
      <c r="R544" s="2" t="inlineStr"/>
    </row>
    <row r="545" ht="15" customHeight="1">
      <c r="A545" t="inlineStr">
        <is>
          <t>A 12209-2024</t>
        </is>
      </c>
      <c r="B545" s="1" t="n">
        <v>45378</v>
      </c>
      <c r="C545" s="1" t="n">
        <v>46085</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12210-2024</t>
        </is>
      </c>
      <c r="B546" s="1" t="n">
        <v>45378</v>
      </c>
      <c r="C546" s="1" t="n">
        <v>46085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1364-2025</t>
        </is>
      </c>
      <c r="B547" s="1" t="n">
        <v>45667.63929398148</v>
      </c>
      <c r="C547" s="1" t="n">
        <v>46085</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15042-2025</t>
        </is>
      </c>
      <c r="B548" s="1" t="n">
        <v>45743</v>
      </c>
      <c r="C548" s="1" t="n">
        <v>46085</v>
      </c>
      <c r="D548" t="inlineStr">
        <is>
          <t>GOTLANDS LÄN</t>
        </is>
      </c>
      <c r="E548" t="inlineStr">
        <is>
          <t>GOTLAND</t>
        </is>
      </c>
      <c r="G548" t="n">
        <v>8.5</v>
      </c>
      <c r="H548" t="n">
        <v>0</v>
      </c>
      <c r="I548" t="n">
        <v>0</v>
      </c>
      <c r="J548" t="n">
        <v>0</v>
      </c>
      <c r="K548" t="n">
        <v>0</v>
      </c>
      <c r="L548" t="n">
        <v>0</v>
      </c>
      <c r="M548" t="n">
        <v>0</v>
      </c>
      <c r="N548" t="n">
        <v>0</v>
      </c>
      <c r="O548" t="n">
        <v>0</v>
      </c>
      <c r="P548" t="n">
        <v>0</v>
      </c>
      <c r="Q548" t="n">
        <v>0</v>
      </c>
      <c r="R548" s="2" t="inlineStr"/>
    </row>
    <row r="549" ht="15" customHeight="1">
      <c r="A549" t="inlineStr">
        <is>
          <t>A 1446-2025</t>
        </is>
      </c>
      <c r="B549" s="1" t="n">
        <v>45669.86035879629</v>
      </c>
      <c r="C549" s="1" t="n">
        <v>46085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2180-2025</t>
        </is>
      </c>
      <c r="B550" s="1" t="n">
        <v>45673</v>
      </c>
      <c r="C550" s="1" t="n">
        <v>46085</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15436-2025</t>
        </is>
      </c>
      <c r="B551" s="1" t="n">
        <v>45747.47462962963</v>
      </c>
      <c r="C551" s="1" t="n">
        <v>46085</v>
      </c>
      <c r="D551" t="inlineStr">
        <is>
          <t>GOTLANDS LÄN</t>
        </is>
      </c>
      <c r="E551" t="inlineStr">
        <is>
          <t>GOTLAND</t>
        </is>
      </c>
      <c r="G551" t="n">
        <v>4.1</v>
      </c>
      <c r="H551" t="n">
        <v>0</v>
      </c>
      <c r="I551" t="n">
        <v>0</v>
      </c>
      <c r="J551" t="n">
        <v>0</v>
      </c>
      <c r="K551" t="n">
        <v>0</v>
      </c>
      <c r="L551" t="n">
        <v>0</v>
      </c>
      <c r="M551" t="n">
        <v>0</v>
      </c>
      <c r="N551" t="n">
        <v>0</v>
      </c>
      <c r="O551" t="n">
        <v>0</v>
      </c>
      <c r="P551" t="n">
        <v>0</v>
      </c>
      <c r="Q551" t="n">
        <v>0</v>
      </c>
      <c r="R551" s="2" t="inlineStr"/>
    </row>
    <row r="552" ht="15" customHeight="1">
      <c r="A552" t="inlineStr">
        <is>
          <t>A 31264-2021</t>
        </is>
      </c>
      <c r="B552" s="1" t="n">
        <v>44368</v>
      </c>
      <c r="C552" s="1" t="n">
        <v>46085</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49257-2024</t>
        </is>
      </c>
      <c r="B553" s="1" t="n">
        <v>45595.47627314815</v>
      </c>
      <c r="C553" s="1" t="n">
        <v>46085</v>
      </c>
      <c r="D553" t="inlineStr">
        <is>
          <t>GOTLANDS LÄN</t>
        </is>
      </c>
      <c r="E553" t="inlineStr">
        <is>
          <t>GOTLAND</t>
        </is>
      </c>
      <c r="G553" t="n">
        <v>6.3</v>
      </c>
      <c r="H553" t="n">
        <v>0</v>
      </c>
      <c r="I553" t="n">
        <v>0</v>
      </c>
      <c r="J553" t="n">
        <v>0</v>
      </c>
      <c r="K553" t="n">
        <v>0</v>
      </c>
      <c r="L553" t="n">
        <v>0</v>
      </c>
      <c r="M553" t="n">
        <v>0</v>
      </c>
      <c r="N553" t="n">
        <v>0</v>
      </c>
      <c r="O553" t="n">
        <v>0</v>
      </c>
      <c r="P553" t="n">
        <v>0</v>
      </c>
      <c r="Q553" t="n">
        <v>0</v>
      </c>
      <c r="R553" s="2" t="inlineStr"/>
    </row>
    <row r="554" ht="15" customHeight="1">
      <c r="A554" t="inlineStr">
        <is>
          <t>A 43901-2023</t>
        </is>
      </c>
      <c r="B554" s="1" t="n">
        <v>45187</v>
      </c>
      <c r="C554" s="1" t="n">
        <v>46085</v>
      </c>
      <c r="D554" t="inlineStr">
        <is>
          <t>GOTLANDS LÄN</t>
        </is>
      </c>
      <c r="E554" t="inlineStr">
        <is>
          <t>GOTLAND</t>
        </is>
      </c>
      <c r="G554" t="n">
        <v>5.4</v>
      </c>
      <c r="H554" t="n">
        <v>0</v>
      </c>
      <c r="I554" t="n">
        <v>0</v>
      </c>
      <c r="J554" t="n">
        <v>0</v>
      </c>
      <c r="K554" t="n">
        <v>0</v>
      </c>
      <c r="L554" t="n">
        <v>0</v>
      </c>
      <c r="M554" t="n">
        <v>0</v>
      </c>
      <c r="N554" t="n">
        <v>0</v>
      </c>
      <c r="O554" t="n">
        <v>0</v>
      </c>
      <c r="P554" t="n">
        <v>0</v>
      </c>
      <c r="Q554" t="n">
        <v>0</v>
      </c>
      <c r="R554" s="2" t="inlineStr"/>
    </row>
    <row r="555" ht="15" customHeight="1">
      <c r="A555" t="inlineStr">
        <is>
          <t>A 37202-2024</t>
        </is>
      </c>
      <c r="B555" s="1" t="n">
        <v>45539.67310185185</v>
      </c>
      <c r="C555" s="1" t="n">
        <v>46085</v>
      </c>
      <c r="D555" t="inlineStr">
        <is>
          <t>GOTLANDS LÄN</t>
        </is>
      </c>
      <c r="E555" t="inlineStr">
        <is>
          <t>GOTLAND</t>
        </is>
      </c>
      <c r="G555" t="n">
        <v>0.3</v>
      </c>
      <c r="H555" t="n">
        <v>0</v>
      </c>
      <c r="I555" t="n">
        <v>0</v>
      </c>
      <c r="J555" t="n">
        <v>0</v>
      </c>
      <c r="K555" t="n">
        <v>0</v>
      </c>
      <c r="L555" t="n">
        <v>0</v>
      </c>
      <c r="M555" t="n">
        <v>0</v>
      </c>
      <c r="N555" t="n">
        <v>0</v>
      </c>
      <c r="O555" t="n">
        <v>0</v>
      </c>
      <c r="P555" t="n">
        <v>0</v>
      </c>
      <c r="Q555" t="n">
        <v>0</v>
      </c>
      <c r="R555" s="2" t="inlineStr"/>
    </row>
    <row r="556" ht="15" customHeight="1">
      <c r="A556" t="inlineStr">
        <is>
          <t>A 10746-2025</t>
        </is>
      </c>
      <c r="B556" s="1" t="n">
        <v>45722.42766203704</v>
      </c>
      <c r="C556" s="1" t="n">
        <v>46085</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16501-2023</t>
        </is>
      </c>
      <c r="B557" s="1" t="n">
        <v>45029</v>
      </c>
      <c r="C557" s="1" t="n">
        <v>46085</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56115-2023</t>
        </is>
      </c>
      <c r="B558" s="1" t="n">
        <v>45236</v>
      </c>
      <c r="C558" s="1" t="n">
        <v>46085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27930-2021</t>
        </is>
      </c>
      <c r="B559" s="1" t="n">
        <v>44354</v>
      </c>
      <c r="C559" s="1" t="n">
        <v>46085</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61962-2024</t>
        </is>
      </c>
      <c r="B560" s="1" t="n">
        <v>45653.54340277778</v>
      </c>
      <c r="C560" s="1" t="n">
        <v>46085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10492-2023</t>
        </is>
      </c>
      <c r="B561" s="1" t="n">
        <v>44987</v>
      </c>
      <c r="C561" s="1" t="n">
        <v>46085</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2774-2024</t>
        </is>
      </c>
      <c r="B562" s="1" t="n">
        <v>45314.62375</v>
      </c>
      <c r="C562" s="1" t="n">
        <v>46085</v>
      </c>
      <c r="D562" t="inlineStr">
        <is>
          <t>GOTLANDS LÄN</t>
        </is>
      </c>
      <c r="E562" t="inlineStr">
        <is>
          <t>GOTLAND</t>
        </is>
      </c>
      <c r="G562" t="n">
        <v>1</v>
      </c>
      <c r="H562" t="n">
        <v>0</v>
      </c>
      <c r="I562" t="n">
        <v>0</v>
      </c>
      <c r="J562" t="n">
        <v>0</v>
      </c>
      <c r="K562" t="n">
        <v>0</v>
      </c>
      <c r="L562" t="n">
        <v>0</v>
      </c>
      <c r="M562" t="n">
        <v>0</v>
      </c>
      <c r="N562" t="n">
        <v>0</v>
      </c>
      <c r="O562" t="n">
        <v>0</v>
      </c>
      <c r="P562" t="n">
        <v>0</v>
      </c>
      <c r="Q562" t="n">
        <v>0</v>
      </c>
      <c r="R562" s="2" t="inlineStr"/>
    </row>
    <row r="563" ht="15" customHeight="1">
      <c r="A563" t="inlineStr">
        <is>
          <t>A 5909-2025</t>
        </is>
      </c>
      <c r="B563" s="1" t="n">
        <v>45695.40634259259</v>
      </c>
      <c r="C563" s="1" t="n">
        <v>46085</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10653-2023</t>
        </is>
      </c>
      <c r="B564" s="1" t="n">
        <v>44988.48859953704</v>
      </c>
      <c r="C564" s="1" t="n">
        <v>46085</v>
      </c>
      <c r="D564" t="inlineStr">
        <is>
          <t>GOTLANDS LÄN</t>
        </is>
      </c>
      <c r="E564" t="inlineStr">
        <is>
          <t>GOTLAND</t>
        </is>
      </c>
      <c r="F564" t="inlineStr">
        <is>
          <t>Kyrkan</t>
        </is>
      </c>
      <c r="G564" t="n">
        <v>3</v>
      </c>
      <c r="H564" t="n">
        <v>0</v>
      </c>
      <c r="I564" t="n">
        <v>0</v>
      </c>
      <c r="J564" t="n">
        <v>0</v>
      </c>
      <c r="K564" t="n">
        <v>0</v>
      </c>
      <c r="L564" t="n">
        <v>0</v>
      </c>
      <c r="M564" t="n">
        <v>0</v>
      </c>
      <c r="N564" t="n">
        <v>0</v>
      </c>
      <c r="O564" t="n">
        <v>0</v>
      </c>
      <c r="P564" t="n">
        <v>0</v>
      </c>
      <c r="Q564" t="n">
        <v>0</v>
      </c>
      <c r="R564" s="2" t="inlineStr"/>
    </row>
    <row r="565" ht="15" customHeight="1">
      <c r="A565" t="inlineStr">
        <is>
          <t>A 60709-2023</t>
        </is>
      </c>
      <c r="B565" s="1" t="n">
        <v>45260</v>
      </c>
      <c r="C565" s="1" t="n">
        <v>46085</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4990-2025</t>
        </is>
      </c>
      <c r="B566" s="1" t="n">
        <v>45691</v>
      </c>
      <c r="C566" s="1" t="n">
        <v>46085</v>
      </c>
      <c r="D566" t="inlineStr">
        <is>
          <t>GOTLANDS LÄN</t>
        </is>
      </c>
      <c r="E566" t="inlineStr">
        <is>
          <t>GOTLAND</t>
        </is>
      </c>
      <c r="G566" t="n">
        <v>7.7</v>
      </c>
      <c r="H566" t="n">
        <v>0</v>
      </c>
      <c r="I566" t="n">
        <v>0</v>
      </c>
      <c r="J566" t="n">
        <v>0</v>
      </c>
      <c r="K566" t="n">
        <v>0</v>
      </c>
      <c r="L566" t="n">
        <v>0</v>
      </c>
      <c r="M566" t="n">
        <v>0</v>
      </c>
      <c r="N566" t="n">
        <v>0</v>
      </c>
      <c r="O566" t="n">
        <v>0</v>
      </c>
      <c r="P566" t="n">
        <v>0</v>
      </c>
      <c r="Q566" t="n">
        <v>0</v>
      </c>
      <c r="R566" s="2" t="inlineStr"/>
    </row>
    <row r="567" ht="15" customHeight="1">
      <c r="A567" t="inlineStr">
        <is>
          <t>A 64208-2021</t>
        </is>
      </c>
      <c r="B567" s="1" t="n">
        <v>44510</v>
      </c>
      <c r="C567" s="1" t="n">
        <v>46085</v>
      </c>
      <c r="D567" t="inlineStr">
        <is>
          <t>GOTLANDS LÄN</t>
        </is>
      </c>
      <c r="E567" t="inlineStr">
        <is>
          <t>GOTLAND</t>
        </is>
      </c>
      <c r="G567" t="n">
        <v>4.7</v>
      </c>
      <c r="H567" t="n">
        <v>0</v>
      </c>
      <c r="I567" t="n">
        <v>0</v>
      </c>
      <c r="J567" t="n">
        <v>0</v>
      </c>
      <c r="K567" t="n">
        <v>0</v>
      </c>
      <c r="L567" t="n">
        <v>0</v>
      </c>
      <c r="M567" t="n">
        <v>0</v>
      </c>
      <c r="N567" t="n">
        <v>0</v>
      </c>
      <c r="O567" t="n">
        <v>0</v>
      </c>
      <c r="P567" t="n">
        <v>0</v>
      </c>
      <c r="Q567" t="n">
        <v>0</v>
      </c>
      <c r="R567" s="2" t="inlineStr"/>
    </row>
    <row r="568" ht="15" customHeight="1">
      <c r="A568" t="inlineStr">
        <is>
          <t>A 39764-2022</t>
        </is>
      </c>
      <c r="B568" s="1" t="n">
        <v>44819</v>
      </c>
      <c r="C568" s="1" t="n">
        <v>46085</v>
      </c>
      <c r="D568" t="inlineStr">
        <is>
          <t>GOTLANDS LÄN</t>
        </is>
      </c>
      <c r="E568" t="inlineStr">
        <is>
          <t>GOTLAND</t>
        </is>
      </c>
      <c r="F568" t="inlineStr">
        <is>
          <t>Kyrkan</t>
        </is>
      </c>
      <c r="G568" t="n">
        <v>3.7</v>
      </c>
      <c r="H568" t="n">
        <v>0</v>
      </c>
      <c r="I568" t="n">
        <v>0</v>
      </c>
      <c r="J568" t="n">
        <v>0</v>
      </c>
      <c r="K568" t="n">
        <v>0</v>
      </c>
      <c r="L568" t="n">
        <v>0</v>
      </c>
      <c r="M568" t="n">
        <v>0</v>
      </c>
      <c r="N568" t="n">
        <v>0</v>
      </c>
      <c r="O568" t="n">
        <v>0</v>
      </c>
      <c r="P568" t="n">
        <v>0</v>
      </c>
      <c r="Q568" t="n">
        <v>0</v>
      </c>
      <c r="R568" s="2" t="inlineStr"/>
    </row>
    <row r="569" ht="15" customHeight="1">
      <c r="A569" t="inlineStr">
        <is>
          <t>A 58211-2024</t>
        </is>
      </c>
      <c r="B569" s="1" t="n">
        <v>45632.49292824074</v>
      </c>
      <c r="C569" s="1" t="n">
        <v>46085</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43081-2022</t>
        </is>
      </c>
      <c r="B570" s="1" t="n">
        <v>44833</v>
      </c>
      <c r="C570" s="1" t="n">
        <v>46085</v>
      </c>
      <c r="D570" t="inlineStr">
        <is>
          <t>GOTLANDS LÄN</t>
        </is>
      </c>
      <c r="E570" t="inlineStr">
        <is>
          <t>GOTLAND</t>
        </is>
      </c>
      <c r="G570" t="n">
        <v>6.8</v>
      </c>
      <c r="H570" t="n">
        <v>0</v>
      </c>
      <c r="I570" t="n">
        <v>0</v>
      </c>
      <c r="J570" t="n">
        <v>0</v>
      </c>
      <c r="K570" t="n">
        <v>0</v>
      </c>
      <c r="L570" t="n">
        <v>0</v>
      </c>
      <c r="M570" t="n">
        <v>0</v>
      </c>
      <c r="N570" t="n">
        <v>0</v>
      </c>
      <c r="O570" t="n">
        <v>0</v>
      </c>
      <c r="P570" t="n">
        <v>0</v>
      </c>
      <c r="Q570" t="n">
        <v>0</v>
      </c>
      <c r="R570" s="2" t="inlineStr"/>
    </row>
    <row r="571" ht="15" customHeight="1">
      <c r="A571" t="inlineStr">
        <is>
          <t>A 30956-2024</t>
        </is>
      </c>
      <c r="B571" s="1" t="n">
        <v>45499.42527777778</v>
      </c>
      <c r="C571" s="1" t="n">
        <v>46085</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46085</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14635-2023</t>
        </is>
      </c>
      <c r="B573" s="1" t="n">
        <v>45013.69365740741</v>
      </c>
      <c r="C573" s="1" t="n">
        <v>46085</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32958-2021</t>
        </is>
      </c>
      <c r="B574" s="1" t="n">
        <v>44376</v>
      </c>
      <c r="C574" s="1" t="n">
        <v>46085</v>
      </c>
      <c r="D574" t="inlineStr">
        <is>
          <t>GOTLANDS LÄN</t>
        </is>
      </c>
      <c r="E574" t="inlineStr">
        <is>
          <t>GOTLAND</t>
        </is>
      </c>
      <c r="G574" t="n">
        <v>2.2</v>
      </c>
      <c r="H574" t="n">
        <v>0</v>
      </c>
      <c r="I574" t="n">
        <v>0</v>
      </c>
      <c r="J574" t="n">
        <v>0</v>
      </c>
      <c r="K574" t="n">
        <v>0</v>
      </c>
      <c r="L574" t="n">
        <v>0</v>
      </c>
      <c r="M574" t="n">
        <v>0</v>
      </c>
      <c r="N574" t="n">
        <v>0</v>
      </c>
      <c r="O574" t="n">
        <v>0</v>
      </c>
      <c r="P574" t="n">
        <v>0</v>
      </c>
      <c r="Q574" t="n">
        <v>0</v>
      </c>
      <c r="R574" s="2" t="inlineStr"/>
    </row>
    <row r="575" ht="15" customHeight="1">
      <c r="A575" t="inlineStr">
        <is>
          <t>A 59469-2024</t>
        </is>
      </c>
      <c r="B575" s="1" t="n">
        <v>45638</v>
      </c>
      <c r="C575" s="1" t="n">
        <v>46085</v>
      </c>
      <c r="D575" t="inlineStr">
        <is>
          <t>GOTLANDS LÄN</t>
        </is>
      </c>
      <c r="E575" t="inlineStr">
        <is>
          <t>GOTLAND</t>
        </is>
      </c>
      <c r="G575" t="n">
        <v>0.4</v>
      </c>
      <c r="H575" t="n">
        <v>0</v>
      </c>
      <c r="I575" t="n">
        <v>0</v>
      </c>
      <c r="J575" t="n">
        <v>0</v>
      </c>
      <c r="K575" t="n">
        <v>0</v>
      </c>
      <c r="L575" t="n">
        <v>0</v>
      </c>
      <c r="M575" t="n">
        <v>0</v>
      </c>
      <c r="N575" t="n">
        <v>0</v>
      </c>
      <c r="O575" t="n">
        <v>0</v>
      </c>
      <c r="P575" t="n">
        <v>0</v>
      </c>
      <c r="Q575" t="n">
        <v>0</v>
      </c>
      <c r="R575" s="2" t="inlineStr"/>
    </row>
    <row r="576" ht="15" customHeight="1">
      <c r="A576" t="inlineStr">
        <is>
          <t>A 7858-2025</t>
        </is>
      </c>
      <c r="B576" s="1" t="n">
        <v>45706.68633101852</v>
      </c>
      <c r="C576" s="1" t="n">
        <v>46085</v>
      </c>
      <c r="D576" t="inlineStr">
        <is>
          <t>GOTLANDS LÄN</t>
        </is>
      </c>
      <c r="E576" t="inlineStr">
        <is>
          <t>GOTLAND</t>
        </is>
      </c>
      <c r="G576" t="n">
        <v>3</v>
      </c>
      <c r="H576" t="n">
        <v>0</v>
      </c>
      <c r="I576" t="n">
        <v>0</v>
      </c>
      <c r="J576" t="n">
        <v>0</v>
      </c>
      <c r="K576" t="n">
        <v>0</v>
      </c>
      <c r="L576" t="n">
        <v>0</v>
      </c>
      <c r="M576" t="n">
        <v>0</v>
      </c>
      <c r="N576" t="n">
        <v>0</v>
      </c>
      <c r="O576" t="n">
        <v>0</v>
      </c>
      <c r="P576" t="n">
        <v>0</v>
      </c>
      <c r="Q576" t="n">
        <v>0</v>
      </c>
      <c r="R576" s="2" t="inlineStr"/>
    </row>
    <row r="577" ht="15" customHeight="1">
      <c r="A577" t="inlineStr">
        <is>
          <t>A 5884-2025</t>
        </is>
      </c>
      <c r="B577" s="1" t="n">
        <v>45695.37482638889</v>
      </c>
      <c r="C577" s="1" t="n">
        <v>46085</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5897-2025</t>
        </is>
      </c>
      <c r="B578" s="1" t="n">
        <v>45695.39273148148</v>
      </c>
      <c r="C578" s="1" t="n">
        <v>46085</v>
      </c>
      <c r="D578" t="inlineStr">
        <is>
          <t>GOTLANDS LÄN</t>
        </is>
      </c>
      <c r="E578" t="inlineStr">
        <is>
          <t>GOTLAND</t>
        </is>
      </c>
      <c r="G578" t="n">
        <v>3.7</v>
      </c>
      <c r="H578" t="n">
        <v>0</v>
      </c>
      <c r="I578" t="n">
        <v>0</v>
      </c>
      <c r="J578" t="n">
        <v>0</v>
      </c>
      <c r="K578" t="n">
        <v>0</v>
      </c>
      <c r="L578" t="n">
        <v>0</v>
      </c>
      <c r="M578" t="n">
        <v>0</v>
      </c>
      <c r="N578" t="n">
        <v>0</v>
      </c>
      <c r="O578" t="n">
        <v>0</v>
      </c>
      <c r="P578" t="n">
        <v>0</v>
      </c>
      <c r="Q578" t="n">
        <v>0</v>
      </c>
      <c r="R578" s="2" t="inlineStr"/>
    </row>
    <row r="579" ht="15" customHeight="1">
      <c r="A579" t="inlineStr">
        <is>
          <t>A 53935-2024</t>
        </is>
      </c>
      <c r="B579" s="1" t="n">
        <v>45615</v>
      </c>
      <c r="C579" s="1" t="n">
        <v>46085</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49693-2023</t>
        </is>
      </c>
      <c r="B580" s="1" t="n">
        <v>45212.38138888889</v>
      </c>
      <c r="C580" s="1" t="n">
        <v>46085</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18223-2025</t>
        </is>
      </c>
      <c r="B581" s="1" t="n">
        <v>45761</v>
      </c>
      <c r="C581" s="1" t="n">
        <v>46085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4420-2025</t>
        </is>
      </c>
      <c r="B582" s="1" t="n">
        <v>45686.47157407407</v>
      </c>
      <c r="C582" s="1" t="n">
        <v>46085</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49697-2023</t>
        </is>
      </c>
      <c r="B583" s="1" t="n">
        <v>45212.38909722222</v>
      </c>
      <c r="C583" s="1" t="n">
        <v>46085</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5891-2025</t>
        </is>
      </c>
      <c r="B584" s="1" t="n">
        <v>45695.38327546296</v>
      </c>
      <c r="C584" s="1" t="n">
        <v>46085</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17901-2023</t>
        </is>
      </c>
      <c r="B585" s="1" t="n">
        <v>45039</v>
      </c>
      <c r="C585" s="1" t="n">
        <v>46085</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52892-2021</t>
        </is>
      </c>
      <c r="B586" s="1" t="n">
        <v>44467.49048611111</v>
      </c>
      <c r="C586" s="1" t="n">
        <v>46085</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7835-2024</t>
        </is>
      </c>
      <c r="B587" s="1" t="n">
        <v>45349.83138888889</v>
      </c>
      <c r="C587" s="1" t="n">
        <v>46085</v>
      </c>
      <c r="D587" t="inlineStr">
        <is>
          <t>GOTLANDS LÄN</t>
        </is>
      </c>
      <c r="E587" t="inlineStr">
        <is>
          <t>GOTLAND</t>
        </is>
      </c>
      <c r="G587" t="n">
        <v>3.8</v>
      </c>
      <c r="H587" t="n">
        <v>0</v>
      </c>
      <c r="I587" t="n">
        <v>0</v>
      </c>
      <c r="J587" t="n">
        <v>0</v>
      </c>
      <c r="K587" t="n">
        <v>0</v>
      </c>
      <c r="L587" t="n">
        <v>0</v>
      </c>
      <c r="M587" t="n">
        <v>0</v>
      </c>
      <c r="N587" t="n">
        <v>0</v>
      </c>
      <c r="O587" t="n">
        <v>0</v>
      </c>
      <c r="P587" t="n">
        <v>0</v>
      </c>
      <c r="Q587" t="n">
        <v>0</v>
      </c>
      <c r="R587" s="2" t="inlineStr"/>
    </row>
    <row r="588" ht="15" customHeight="1">
      <c r="A588" t="inlineStr">
        <is>
          <t>A 20794-2025</t>
        </is>
      </c>
      <c r="B588" s="1" t="n">
        <v>45776</v>
      </c>
      <c r="C588" s="1" t="n">
        <v>46085</v>
      </c>
      <c r="D588" t="inlineStr">
        <is>
          <t>GOTLANDS LÄN</t>
        </is>
      </c>
      <c r="E588" t="inlineStr">
        <is>
          <t>GOTLAND</t>
        </is>
      </c>
      <c r="G588" t="n">
        <v>6</v>
      </c>
      <c r="H588" t="n">
        <v>0</v>
      </c>
      <c r="I588" t="n">
        <v>0</v>
      </c>
      <c r="J588" t="n">
        <v>0</v>
      </c>
      <c r="K588" t="n">
        <v>0</v>
      </c>
      <c r="L588" t="n">
        <v>0</v>
      </c>
      <c r="M588" t="n">
        <v>0</v>
      </c>
      <c r="N588" t="n">
        <v>0</v>
      </c>
      <c r="O588" t="n">
        <v>0</v>
      </c>
      <c r="P588" t="n">
        <v>0</v>
      </c>
      <c r="Q588" t="n">
        <v>0</v>
      </c>
      <c r="R588" s="2" t="inlineStr"/>
    </row>
    <row r="589" ht="15" customHeight="1">
      <c r="A589" t="inlineStr">
        <is>
          <t>A 46396-2023</t>
        </is>
      </c>
      <c r="B589" s="1" t="n">
        <v>45197</v>
      </c>
      <c r="C589" s="1" t="n">
        <v>46085</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20805-2025</t>
        </is>
      </c>
      <c r="B590" s="1" t="n">
        <v>45776</v>
      </c>
      <c r="C590" s="1" t="n">
        <v>46085</v>
      </c>
      <c r="D590" t="inlineStr">
        <is>
          <t>GOTLANDS LÄN</t>
        </is>
      </c>
      <c r="E590" t="inlineStr">
        <is>
          <t>GOTLAND</t>
        </is>
      </c>
      <c r="G590" t="n">
        <v>3.1</v>
      </c>
      <c r="H590" t="n">
        <v>0</v>
      </c>
      <c r="I590" t="n">
        <v>0</v>
      </c>
      <c r="J590" t="n">
        <v>0</v>
      </c>
      <c r="K590" t="n">
        <v>0</v>
      </c>
      <c r="L590" t="n">
        <v>0</v>
      </c>
      <c r="M590" t="n">
        <v>0</v>
      </c>
      <c r="N590" t="n">
        <v>0</v>
      </c>
      <c r="O590" t="n">
        <v>0</v>
      </c>
      <c r="P590" t="n">
        <v>0</v>
      </c>
      <c r="Q590" t="n">
        <v>0</v>
      </c>
      <c r="R590" s="2" t="inlineStr"/>
    </row>
    <row r="591" ht="15" customHeight="1">
      <c r="A591" t="inlineStr">
        <is>
          <t>A 17724-2024</t>
        </is>
      </c>
      <c r="B591" s="1" t="n">
        <v>45418.55096064815</v>
      </c>
      <c r="C591" s="1" t="n">
        <v>46085</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34312-2024</t>
        </is>
      </c>
      <c r="B592" s="1" t="n">
        <v>45524.69703703704</v>
      </c>
      <c r="C592" s="1" t="n">
        <v>46085</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21389-2025</t>
        </is>
      </c>
      <c r="B593" s="1" t="n">
        <v>45782</v>
      </c>
      <c r="C593" s="1" t="n">
        <v>46085</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21651-2025</t>
        </is>
      </c>
      <c r="B594" s="1" t="n">
        <v>45783</v>
      </c>
      <c r="C594" s="1" t="n">
        <v>46085</v>
      </c>
      <c r="D594" t="inlineStr">
        <is>
          <t>GOTLANDS LÄN</t>
        </is>
      </c>
      <c r="E594" t="inlineStr">
        <is>
          <t>GOTLAND</t>
        </is>
      </c>
      <c r="G594" t="n">
        <v>4.2</v>
      </c>
      <c r="H594" t="n">
        <v>0</v>
      </c>
      <c r="I594" t="n">
        <v>0</v>
      </c>
      <c r="J594" t="n">
        <v>0</v>
      </c>
      <c r="K594" t="n">
        <v>0</v>
      </c>
      <c r="L594" t="n">
        <v>0</v>
      </c>
      <c r="M594" t="n">
        <v>0</v>
      </c>
      <c r="N594" t="n">
        <v>0</v>
      </c>
      <c r="O594" t="n">
        <v>0</v>
      </c>
      <c r="P594" t="n">
        <v>0</v>
      </c>
      <c r="Q594" t="n">
        <v>0</v>
      </c>
      <c r="R594" s="2" t="inlineStr"/>
    </row>
    <row r="595" ht="15" customHeight="1">
      <c r="A595" t="inlineStr">
        <is>
          <t>A 69112-2021</t>
        </is>
      </c>
      <c r="B595" s="1" t="n">
        <v>44530</v>
      </c>
      <c r="C595" s="1" t="n">
        <v>46085</v>
      </c>
      <c r="D595" t="inlineStr">
        <is>
          <t>GOTLANDS LÄN</t>
        </is>
      </c>
      <c r="E595" t="inlineStr">
        <is>
          <t>GOTLAND</t>
        </is>
      </c>
      <c r="G595" t="n">
        <v>4.2</v>
      </c>
      <c r="H595" t="n">
        <v>0</v>
      </c>
      <c r="I595" t="n">
        <v>0</v>
      </c>
      <c r="J595" t="n">
        <v>0</v>
      </c>
      <c r="K595" t="n">
        <v>0</v>
      </c>
      <c r="L595" t="n">
        <v>0</v>
      </c>
      <c r="M595" t="n">
        <v>0</v>
      </c>
      <c r="N595" t="n">
        <v>0</v>
      </c>
      <c r="O595" t="n">
        <v>0</v>
      </c>
      <c r="P595" t="n">
        <v>0</v>
      </c>
      <c r="Q595" t="n">
        <v>0</v>
      </c>
      <c r="R595" s="2" t="inlineStr"/>
    </row>
    <row r="596" ht="15" customHeight="1">
      <c r="A596" t="inlineStr">
        <is>
          <t>A 7638-2025</t>
        </is>
      </c>
      <c r="B596" s="1" t="n">
        <v>45705.77306712963</v>
      </c>
      <c r="C596" s="1" t="n">
        <v>46085</v>
      </c>
      <c r="D596" t="inlineStr">
        <is>
          <t>GOTLANDS LÄN</t>
        </is>
      </c>
      <c r="E596" t="inlineStr">
        <is>
          <t>GOTLAND</t>
        </is>
      </c>
      <c r="G596" t="n">
        <v>2.2</v>
      </c>
      <c r="H596" t="n">
        <v>0</v>
      </c>
      <c r="I596" t="n">
        <v>0</v>
      </c>
      <c r="J596" t="n">
        <v>0</v>
      </c>
      <c r="K596" t="n">
        <v>0</v>
      </c>
      <c r="L596" t="n">
        <v>0</v>
      </c>
      <c r="M596" t="n">
        <v>0</v>
      </c>
      <c r="N596" t="n">
        <v>0</v>
      </c>
      <c r="O596" t="n">
        <v>0</v>
      </c>
      <c r="P596" t="n">
        <v>0</v>
      </c>
      <c r="Q596" t="n">
        <v>0</v>
      </c>
      <c r="R596" s="2" t="inlineStr"/>
    </row>
    <row r="597" ht="15" customHeight="1">
      <c r="A597" t="inlineStr">
        <is>
          <t>A 50482-2024</t>
        </is>
      </c>
      <c r="B597" s="1" t="n">
        <v>45601.48114583334</v>
      </c>
      <c r="C597" s="1" t="n">
        <v>46085</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57356-2023</t>
        </is>
      </c>
      <c r="B598" s="1" t="n">
        <v>45240</v>
      </c>
      <c r="C598" s="1" t="n">
        <v>46085</v>
      </c>
      <c r="D598" t="inlineStr">
        <is>
          <t>GOTLANDS LÄN</t>
        </is>
      </c>
      <c r="E598" t="inlineStr">
        <is>
          <t>GOTLAND</t>
        </is>
      </c>
      <c r="G598" t="n">
        <v>6.4</v>
      </c>
      <c r="H598" t="n">
        <v>0</v>
      </c>
      <c r="I598" t="n">
        <v>0</v>
      </c>
      <c r="J598" t="n">
        <v>0</v>
      </c>
      <c r="K598" t="n">
        <v>0</v>
      </c>
      <c r="L598" t="n">
        <v>0</v>
      </c>
      <c r="M598" t="n">
        <v>0</v>
      </c>
      <c r="N598" t="n">
        <v>0</v>
      </c>
      <c r="O598" t="n">
        <v>0</v>
      </c>
      <c r="P598" t="n">
        <v>0</v>
      </c>
      <c r="Q598" t="n">
        <v>0</v>
      </c>
      <c r="R598" s="2" t="inlineStr"/>
    </row>
    <row r="599" ht="15" customHeight="1">
      <c r="A599" t="inlineStr">
        <is>
          <t>A 10656-2024</t>
        </is>
      </c>
      <c r="B599" s="1" t="n">
        <v>45368</v>
      </c>
      <c r="C599" s="1" t="n">
        <v>46085</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28506-2023</t>
        </is>
      </c>
      <c r="B600" s="1" t="n">
        <v>45103</v>
      </c>
      <c r="C600" s="1" t="n">
        <v>46085</v>
      </c>
      <c r="D600" t="inlineStr">
        <is>
          <t>GOTLANDS LÄN</t>
        </is>
      </c>
      <c r="E600" t="inlineStr">
        <is>
          <t>GOTLAND</t>
        </is>
      </c>
      <c r="G600" t="n">
        <v>3.2</v>
      </c>
      <c r="H600" t="n">
        <v>0</v>
      </c>
      <c r="I600" t="n">
        <v>0</v>
      </c>
      <c r="J600" t="n">
        <v>0</v>
      </c>
      <c r="K600" t="n">
        <v>0</v>
      </c>
      <c r="L600" t="n">
        <v>0</v>
      </c>
      <c r="M600" t="n">
        <v>0</v>
      </c>
      <c r="N600" t="n">
        <v>0</v>
      </c>
      <c r="O600" t="n">
        <v>0</v>
      </c>
      <c r="P600" t="n">
        <v>0</v>
      </c>
      <c r="Q600" t="n">
        <v>0</v>
      </c>
      <c r="R600" s="2" t="inlineStr"/>
    </row>
    <row r="601" ht="15" customHeight="1">
      <c r="A601" t="inlineStr">
        <is>
          <t>A 21420-2024</t>
        </is>
      </c>
      <c r="B601" s="1" t="n">
        <v>45441.38293981482</v>
      </c>
      <c r="C601" s="1" t="n">
        <v>46085</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23188-2025</t>
        </is>
      </c>
      <c r="B602" s="1" t="n">
        <v>45791</v>
      </c>
      <c r="C602" s="1" t="n">
        <v>46085</v>
      </c>
      <c r="D602" t="inlineStr">
        <is>
          <t>GOTLANDS LÄN</t>
        </is>
      </c>
      <c r="E602" t="inlineStr">
        <is>
          <t>GOTLAND</t>
        </is>
      </c>
      <c r="G602" t="n">
        <v>6.2</v>
      </c>
      <c r="H602" t="n">
        <v>0</v>
      </c>
      <c r="I602" t="n">
        <v>0</v>
      </c>
      <c r="J602" t="n">
        <v>0</v>
      </c>
      <c r="K602" t="n">
        <v>0</v>
      </c>
      <c r="L602" t="n">
        <v>0</v>
      </c>
      <c r="M602" t="n">
        <v>0</v>
      </c>
      <c r="N602" t="n">
        <v>0</v>
      </c>
      <c r="O602" t="n">
        <v>0</v>
      </c>
      <c r="P602" t="n">
        <v>0</v>
      </c>
      <c r="Q602" t="n">
        <v>0</v>
      </c>
      <c r="R602" s="2" t="inlineStr"/>
    </row>
    <row r="603" ht="15" customHeight="1">
      <c r="A603" t="inlineStr">
        <is>
          <t>A 23473-2025</t>
        </is>
      </c>
      <c r="B603" s="1" t="n">
        <v>45792</v>
      </c>
      <c r="C603" s="1" t="n">
        <v>46085</v>
      </c>
      <c r="D603" t="inlineStr">
        <is>
          <t>GOTLANDS LÄN</t>
        </is>
      </c>
      <c r="E603" t="inlineStr">
        <is>
          <t>GOTLAND</t>
        </is>
      </c>
      <c r="G603" t="n">
        <v>3.6</v>
      </c>
      <c r="H603" t="n">
        <v>0</v>
      </c>
      <c r="I603" t="n">
        <v>0</v>
      </c>
      <c r="J603" t="n">
        <v>0</v>
      </c>
      <c r="K603" t="n">
        <v>0</v>
      </c>
      <c r="L603" t="n">
        <v>0</v>
      </c>
      <c r="M603" t="n">
        <v>0</v>
      </c>
      <c r="N603" t="n">
        <v>0</v>
      </c>
      <c r="O603" t="n">
        <v>0</v>
      </c>
      <c r="P603" t="n">
        <v>0</v>
      </c>
      <c r="Q603" t="n">
        <v>0</v>
      </c>
      <c r="R603" s="2" t="inlineStr"/>
    </row>
    <row r="604" ht="15" customHeight="1">
      <c r="A604" t="inlineStr">
        <is>
          <t>A 23856-2025</t>
        </is>
      </c>
      <c r="B604" s="1" t="n">
        <v>45793</v>
      </c>
      <c r="C604" s="1" t="n">
        <v>46085</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15073-2025</t>
        </is>
      </c>
      <c r="B605" s="1" t="n">
        <v>45743</v>
      </c>
      <c r="C605" s="1" t="n">
        <v>46085</v>
      </c>
      <c r="D605" t="inlineStr">
        <is>
          <t>GOTLANDS LÄN</t>
        </is>
      </c>
      <c r="E605" t="inlineStr">
        <is>
          <t>GOTLAND</t>
        </is>
      </c>
      <c r="G605" t="n">
        <v>12.1</v>
      </c>
      <c r="H605" t="n">
        <v>0</v>
      </c>
      <c r="I605" t="n">
        <v>0</v>
      </c>
      <c r="J605" t="n">
        <v>0</v>
      </c>
      <c r="K605" t="n">
        <v>0</v>
      </c>
      <c r="L605" t="n">
        <v>0</v>
      </c>
      <c r="M605" t="n">
        <v>0</v>
      </c>
      <c r="N605" t="n">
        <v>0</v>
      </c>
      <c r="O605" t="n">
        <v>0</v>
      </c>
      <c r="P605" t="n">
        <v>0</v>
      </c>
      <c r="Q605" t="n">
        <v>0</v>
      </c>
      <c r="R605" s="2" t="inlineStr"/>
    </row>
    <row r="606" ht="15" customHeight="1">
      <c r="A606" t="inlineStr">
        <is>
          <t>A 6749-2025</t>
        </is>
      </c>
      <c r="B606" s="1" t="n">
        <v>45700</v>
      </c>
      <c r="C606" s="1" t="n">
        <v>46085</v>
      </c>
      <c r="D606" t="inlineStr">
        <is>
          <t>GOTLANDS LÄN</t>
        </is>
      </c>
      <c r="E606" t="inlineStr">
        <is>
          <t>GOTLAND</t>
        </is>
      </c>
      <c r="G606" t="n">
        <v>4.5</v>
      </c>
      <c r="H606" t="n">
        <v>0</v>
      </c>
      <c r="I606" t="n">
        <v>0</v>
      </c>
      <c r="J606" t="n">
        <v>0</v>
      </c>
      <c r="K606" t="n">
        <v>0</v>
      </c>
      <c r="L606" t="n">
        <v>0</v>
      </c>
      <c r="M606" t="n">
        <v>0</v>
      </c>
      <c r="N606" t="n">
        <v>0</v>
      </c>
      <c r="O606" t="n">
        <v>0</v>
      </c>
      <c r="P606" t="n">
        <v>0</v>
      </c>
      <c r="Q606" t="n">
        <v>0</v>
      </c>
      <c r="R606" s="2" t="inlineStr"/>
    </row>
    <row r="607" ht="15" customHeight="1">
      <c r="A607" t="inlineStr">
        <is>
          <t>A 23698-2025</t>
        </is>
      </c>
      <c r="B607" s="1" t="n">
        <v>45793</v>
      </c>
      <c r="C607" s="1" t="n">
        <v>46085</v>
      </c>
      <c r="D607" t="inlineStr">
        <is>
          <t>GOTLANDS LÄN</t>
        </is>
      </c>
      <c r="E607" t="inlineStr">
        <is>
          <t>GOTLAND</t>
        </is>
      </c>
      <c r="G607" t="n">
        <v>0.8</v>
      </c>
      <c r="H607" t="n">
        <v>0</v>
      </c>
      <c r="I607" t="n">
        <v>0</v>
      </c>
      <c r="J607" t="n">
        <v>0</v>
      </c>
      <c r="K607" t="n">
        <v>0</v>
      </c>
      <c r="L607" t="n">
        <v>0</v>
      </c>
      <c r="M607" t="n">
        <v>0</v>
      </c>
      <c r="N607" t="n">
        <v>0</v>
      </c>
      <c r="O607" t="n">
        <v>0</v>
      </c>
      <c r="P607" t="n">
        <v>0</v>
      </c>
      <c r="Q607" t="n">
        <v>0</v>
      </c>
      <c r="R607" s="2" t="inlineStr"/>
    </row>
    <row r="608" ht="15" customHeight="1">
      <c r="A608" t="inlineStr">
        <is>
          <t>A 5462-2025</t>
        </is>
      </c>
      <c r="B608" s="1" t="n">
        <v>45693.29331018519</v>
      </c>
      <c r="C608" s="1" t="n">
        <v>46085</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25796-2025</t>
        </is>
      </c>
      <c r="B609" s="1" t="n">
        <v>45804.39543981481</v>
      </c>
      <c r="C609" s="1" t="n">
        <v>46085</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26457-2025</t>
        </is>
      </c>
      <c r="B610" s="1" t="n">
        <v>45807.42773148148</v>
      </c>
      <c r="C610" s="1" t="n">
        <v>46085</v>
      </c>
      <c r="D610" t="inlineStr">
        <is>
          <t>GOTLANDS LÄN</t>
        </is>
      </c>
      <c r="E610" t="inlineStr">
        <is>
          <t>GOTLAND</t>
        </is>
      </c>
      <c r="G610" t="n">
        <v>5.7</v>
      </c>
      <c r="H610" t="n">
        <v>0</v>
      </c>
      <c r="I610" t="n">
        <v>0</v>
      </c>
      <c r="J610" t="n">
        <v>0</v>
      </c>
      <c r="K610" t="n">
        <v>0</v>
      </c>
      <c r="L610" t="n">
        <v>0</v>
      </c>
      <c r="M610" t="n">
        <v>0</v>
      </c>
      <c r="N610" t="n">
        <v>0</v>
      </c>
      <c r="O610" t="n">
        <v>0</v>
      </c>
      <c r="P610" t="n">
        <v>0</v>
      </c>
      <c r="Q610" t="n">
        <v>0</v>
      </c>
      <c r="R610" s="2" t="inlineStr"/>
    </row>
    <row r="611" ht="15" customHeight="1">
      <c r="A611" t="inlineStr">
        <is>
          <t>A 26467-2025</t>
        </is>
      </c>
      <c r="B611" s="1" t="n">
        <v>45807.44640046296</v>
      </c>
      <c r="C611" s="1" t="n">
        <v>46085</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26465-2025</t>
        </is>
      </c>
      <c r="B612" s="1" t="n">
        <v>45807.44377314814</v>
      </c>
      <c r="C612" s="1" t="n">
        <v>46085</v>
      </c>
      <c r="D612" t="inlineStr">
        <is>
          <t>GOTLANDS LÄN</t>
        </is>
      </c>
      <c r="E612" t="inlineStr">
        <is>
          <t>GOTLAND</t>
        </is>
      </c>
      <c r="G612" t="n">
        <v>4.5</v>
      </c>
      <c r="H612" t="n">
        <v>0</v>
      </c>
      <c r="I612" t="n">
        <v>0</v>
      </c>
      <c r="J612" t="n">
        <v>0</v>
      </c>
      <c r="K612" t="n">
        <v>0</v>
      </c>
      <c r="L612" t="n">
        <v>0</v>
      </c>
      <c r="M612" t="n">
        <v>0</v>
      </c>
      <c r="N612" t="n">
        <v>0</v>
      </c>
      <c r="O612" t="n">
        <v>0</v>
      </c>
      <c r="P612" t="n">
        <v>0</v>
      </c>
      <c r="Q612" t="n">
        <v>0</v>
      </c>
      <c r="R612" s="2" t="inlineStr"/>
    </row>
    <row r="613" ht="15" customHeight="1">
      <c r="A613" t="inlineStr">
        <is>
          <t>A 26660-2025</t>
        </is>
      </c>
      <c r="B613" s="1" t="n">
        <v>45810.39737268518</v>
      </c>
      <c r="C613" s="1" t="n">
        <v>46085</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27371-2025</t>
        </is>
      </c>
      <c r="B614" s="1" t="n">
        <v>45812</v>
      </c>
      <c r="C614" s="1" t="n">
        <v>46085</v>
      </c>
      <c r="D614" t="inlineStr">
        <is>
          <t>GOTLANDS LÄN</t>
        </is>
      </c>
      <c r="E614" t="inlineStr">
        <is>
          <t>GOTLAND</t>
        </is>
      </c>
      <c r="G614" t="n">
        <v>8</v>
      </c>
      <c r="H614" t="n">
        <v>0</v>
      </c>
      <c r="I614" t="n">
        <v>0</v>
      </c>
      <c r="J614" t="n">
        <v>0</v>
      </c>
      <c r="K614" t="n">
        <v>0</v>
      </c>
      <c r="L614" t="n">
        <v>0</v>
      </c>
      <c r="M614" t="n">
        <v>0</v>
      </c>
      <c r="N614" t="n">
        <v>0</v>
      </c>
      <c r="O614" t="n">
        <v>0</v>
      </c>
      <c r="P614" t="n">
        <v>0</v>
      </c>
      <c r="Q614" t="n">
        <v>0</v>
      </c>
      <c r="R614" s="2" t="inlineStr"/>
    </row>
    <row r="615" ht="15" customHeight="1">
      <c r="A615" t="inlineStr">
        <is>
          <t>A 27355-2025</t>
        </is>
      </c>
      <c r="B615" s="1" t="n">
        <v>45812</v>
      </c>
      <c r="C615" s="1" t="n">
        <v>46085</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6739-2025</t>
        </is>
      </c>
      <c r="B616" s="1" t="n">
        <v>45700</v>
      </c>
      <c r="C616" s="1" t="n">
        <v>46085</v>
      </c>
      <c r="D616" t="inlineStr">
        <is>
          <t>GOTLANDS LÄN</t>
        </is>
      </c>
      <c r="E616" t="inlineStr">
        <is>
          <t>GOTLAND</t>
        </is>
      </c>
      <c r="G616" t="n">
        <v>4.5</v>
      </c>
      <c r="H616" t="n">
        <v>0</v>
      </c>
      <c r="I616" t="n">
        <v>0</v>
      </c>
      <c r="J616" t="n">
        <v>0</v>
      </c>
      <c r="K616" t="n">
        <v>0</v>
      </c>
      <c r="L616" t="n">
        <v>0</v>
      </c>
      <c r="M616" t="n">
        <v>0</v>
      </c>
      <c r="N616" t="n">
        <v>0</v>
      </c>
      <c r="O616" t="n">
        <v>0</v>
      </c>
      <c r="P616" t="n">
        <v>0</v>
      </c>
      <c r="Q616" t="n">
        <v>0</v>
      </c>
      <c r="R616" s="2" t="inlineStr"/>
    </row>
    <row r="617" ht="15" customHeight="1">
      <c r="A617" t="inlineStr">
        <is>
          <t>A 7850-2025</t>
        </is>
      </c>
      <c r="B617" s="1" t="n">
        <v>45706</v>
      </c>
      <c r="C617" s="1" t="n">
        <v>46085</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8444-2025</t>
        </is>
      </c>
      <c r="B618" s="1" t="n">
        <v>45709</v>
      </c>
      <c r="C618" s="1" t="n">
        <v>46085</v>
      </c>
      <c r="D618" t="inlineStr">
        <is>
          <t>GOTLANDS LÄN</t>
        </is>
      </c>
      <c r="E618" t="inlineStr">
        <is>
          <t>GOTLAND</t>
        </is>
      </c>
      <c r="G618" t="n">
        <v>5.2</v>
      </c>
      <c r="H618" t="n">
        <v>0</v>
      </c>
      <c r="I618" t="n">
        <v>0</v>
      </c>
      <c r="J618" t="n">
        <v>0</v>
      </c>
      <c r="K618" t="n">
        <v>0</v>
      </c>
      <c r="L618" t="n">
        <v>0</v>
      </c>
      <c r="M618" t="n">
        <v>0</v>
      </c>
      <c r="N618" t="n">
        <v>0</v>
      </c>
      <c r="O618" t="n">
        <v>0</v>
      </c>
      <c r="P618" t="n">
        <v>0</v>
      </c>
      <c r="Q618" t="n">
        <v>0</v>
      </c>
      <c r="R618" s="2" t="inlineStr"/>
    </row>
    <row r="619" ht="15" customHeight="1">
      <c r="A619" t="inlineStr">
        <is>
          <t>A 19905-2025</t>
        </is>
      </c>
      <c r="B619" s="1" t="n">
        <v>45771</v>
      </c>
      <c r="C619" s="1" t="n">
        <v>46085</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29196-2025</t>
        </is>
      </c>
      <c r="B620" s="1" t="n">
        <v>45822</v>
      </c>
      <c r="C620" s="1" t="n">
        <v>46085</v>
      </c>
      <c r="D620" t="inlineStr">
        <is>
          <t>GOTLANDS LÄN</t>
        </is>
      </c>
      <c r="E620" t="inlineStr">
        <is>
          <t>GOTLAND</t>
        </is>
      </c>
      <c r="G620" t="n">
        <v>0.5</v>
      </c>
      <c r="H620" t="n">
        <v>0</v>
      </c>
      <c r="I620" t="n">
        <v>0</v>
      </c>
      <c r="J620" t="n">
        <v>0</v>
      </c>
      <c r="K620" t="n">
        <v>0</v>
      </c>
      <c r="L620" t="n">
        <v>0</v>
      </c>
      <c r="M620" t="n">
        <v>0</v>
      </c>
      <c r="N620" t="n">
        <v>0</v>
      </c>
      <c r="O620" t="n">
        <v>0</v>
      </c>
      <c r="P620" t="n">
        <v>0</v>
      </c>
      <c r="Q620" t="n">
        <v>0</v>
      </c>
      <c r="R620" s="2" t="inlineStr"/>
    </row>
    <row r="621" ht="15" customHeight="1">
      <c r="A621" t="inlineStr">
        <is>
          <t>A 29207-2025</t>
        </is>
      </c>
      <c r="B621" s="1" t="n">
        <v>45823</v>
      </c>
      <c r="C621" s="1" t="n">
        <v>46085</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30061-2025</t>
        </is>
      </c>
      <c r="B622" s="1" t="n">
        <v>45826.61488425926</v>
      </c>
      <c r="C622" s="1" t="n">
        <v>46085</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58160-2024</t>
        </is>
      </c>
      <c r="B623" s="1" t="n">
        <v>45632.44927083333</v>
      </c>
      <c r="C623" s="1" t="n">
        <v>46085</v>
      </c>
      <c r="D623" t="inlineStr">
        <is>
          <t>GOTLANDS LÄN</t>
        </is>
      </c>
      <c r="E623" t="inlineStr">
        <is>
          <t>GOTLAND</t>
        </is>
      </c>
      <c r="G623" t="n">
        <v>5.6</v>
      </c>
      <c r="H623" t="n">
        <v>0</v>
      </c>
      <c r="I623" t="n">
        <v>0</v>
      </c>
      <c r="J623" t="n">
        <v>0</v>
      </c>
      <c r="K623" t="n">
        <v>0</v>
      </c>
      <c r="L623" t="n">
        <v>0</v>
      </c>
      <c r="M623" t="n">
        <v>0</v>
      </c>
      <c r="N623" t="n">
        <v>0</v>
      </c>
      <c r="O623" t="n">
        <v>0</v>
      </c>
      <c r="P623" t="n">
        <v>0</v>
      </c>
      <c r="Q623" t="n">
        <v>0</v>
      </c>
      <c r="R623" s="2" t="inlineStr"/>
    </row>
    <row r="624" ht="15" customHeight="1">
      <c r="A624" t="inlineStr">
        <is>
          <t>A 32379-2025</t>
        </is>
      </c>
      <c r="B624" s="1" t="n">
        <v>45837</v>
      </c>
      <c r="C624" s="1" t="n">
        <v>46085</v>
      </c>
      <c r="D624" t="inlineStr">
        <is>
          <t>GOTLANDS LÄN</t>
        </is>
      </c>
      <c r="E624" t="inlineStr">
        <is>
          <t>GOTLAND</t>
        </is>
      </c>
      <c r="G624" t="n">
        <v>1</v>
      </c>
      <c r="H624" t="n">
        <v>0</v>
      </c>
      <c r="I624" t="n">
        <v>0</v>
      </c>
      <c r="J624" t="n">
        <v>0</v>
      </c>
      <c r="K624" t="n">
        <v>0</v>
      </c>
      <c r="L624" t="n">
        <v>0</v>
      </c>
      <c r="M624" t="n">
        <v>0</v>
      </c>
      <c r="N624" t="n">
        <v>0</v>
      </c>
      <c r="O624" t="n">
        <v>0</v>
      </c>
      <c r="P624" t="n">
        <v>0</v>
      </c>
      <c r="Q624" t="n">
        <v>0</v>
      </c>
      <c r="R624" s="2" t="inlineStr"/>
    </row>
    <row r="625" ht="15" customHeight="1">
      <c r="A625" t="inlineStr">
        <is>
          <t>A 32467-2025</t>
        </is>
      </c>
      <c r="B625" s="1" t="n">
        <v>45838.42111111111</v>
      </c>
      <c r="C625" s="1" t="n">
        <v>46085</v>
      </c>
      <c r="D625" t="inlineStr">
        <is>
          <t>GOTLANDS LÄN</t>
        </is>
      </c>
      <c r="E625" t="inlineStr">
        <is>
          <t>GOTLAND</t>
        </is>
      </c>
      <c r="G625" t="n">
        <v>4.3</v>
      </c>
      <c r="H625" t="n">
        <v>0</v>
      </c>
      <c r="I625" t="n">
        <v>0</v>
      </c>
      <c r="J625" t="n">
        <v>0</v>
      </c>
      <c r="K625" t="n">
        <v>0</v>
      </c>
      <c r="L625" t="n">
        <v>0</v>
      </c>
      <c r="M625" t="n">
        <v>0</v>
      </c>
      <c r="N625" t="n">
        <v>0</v>
      </c>
      <c r="O625" t="n">
        <v>0</v>
      </c>
      <c r="P625" t="n">
        <v>0</v>
      </c>
      <c r="Q625" t="n">
        <v>0</v>
      </c>
      <c r="R625" s="2" t="inlineStr"/>
    </row>
    <row r="626" ht="15" customHeight="1">
      <c r="A626" t="inlineStr">
        <is>
          <t>A 16109-2025</t>
        </is>
      </c>
      <c r="B626" s="1" t="n">
        <v>45750</v>
      </c>
      <c r="C626" s="1" t="n">
        <v>46085</v>
      </c>
      <c r="D626" t="inlineStr">
        <is>
          <t>GOTLANDS LÄN</t>
        </is>
      </c>
      <c r="E626" t="inlineStr">
        <is>
          <t>GOTLAND</t>
        </is>
      </c>
      <c r="G626" t="n">
        <v>4.9</v>
      </c>
      <c r="H626" t="n">
        <v>0</v>
      </c>
      <c r="I626" t="n">
        <v>0</v>
      </c>
      <c r="J626" t="n">
        <v>0</v>
      </c>
      <c r="K626" t="n">
        <v>0</v>
      </c>
      <c r="L626" t="n">
        <v>0</v>
      </c>
      <c r="M626" t="n">
        <v>0</v>
      </c>
      <c r="N626" t="n">
        <v>0</v>
      </c>
      <c r="O626" t="n">
        <v>0</v>
      </c>
      <c r="P626" t="n">
        <v>0</v>
      </c>
      <c r="Q626" t="n">
        <v>0</v>
      </c>
      <c r="R626" s="2" t="inlineStr"/>
    </row>
    <row r="627" ht="15" customHeight="1">
      <c r="A627" t="inlineStr">
        <is>
          <t>A 33007-2025</t>
        </is>
      </c>
      <c r="B627" s="1" t="n">
        <v>45840</v>
      </c>
      <c r="C627" s="1" t="n">
        <v>46085</v>
      </c>
      <c r="D627" t="inlineStr">
        <is>
          <t>GOTLANDS LÄN</t>
        </is>
      </c>
      <c r="E627" t="inlineStr">
        <is>
          <t>GOTLAND</t>
        </is>
      </c>
      <c r="G627" t="n">
        <v>4.9</v>
      </c>
      <c r="H627" t="n">
        <v>0</v>
      </c>
      <c r="I627" t="n">
        <v>0</v>
      </c>
      <c r="J627" t="n">
        <v>0</v>
      </c>
      <c r="K627" t="n">
        <v>0</v>
      </c>
      <c r="L627" t="n">
        <v>0</v>
      </c>
      <c r="M627" t="n">
        <v>0</v>
      </c>
      <c r="N627" t="n">
        <v>0</v>
      </c>
      <c r="O627" t="n">
        <v>0</v>
      </c>
      <c r="P627" t="n">
        <v>0</v>
      </c>
      <c r="Q627" t="n">
        <v>0</v>
      </c>
      <c r="R627" s="2" t="inlineStr"/>
    </row>
    <row r="628" ht="15" customHeight="1">
      <c r="A628" t="inlineStr">
        <is>
          <t>A 15413-2025</t>
        </is>
      </c>
      <c r="B628" s="1" t="n">
        <v>45747.451875</v>
      </c>
      <c r="C628" s="1" t="n">
        <v>46085</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35123-2025</t>
        </is>
      </c>
      <c r="B629" s="1" t="n">
        <v>45852.614375</v>
      </c>
      <c r="C629" s="1" t="n">
        <v>46085</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35096-2025</t>
        </is>
      </c>
      <c r="B630" s="1" t="n">
        <v>45852.54356481481</v>
      </c>
      <c r="C630" s="1" t="n">
        <v>46085</v>
      </c>
      <c r="D630" t="inlineStr">
        <is>
          <t>GOTLANDS LÄN</t>
        </is>
      </c>
      <c r="E630" t="inlineStr">
        <is>
          <t>GOTLAND</t>
        </is>
      </c>
      <c r="F630" t="inlineStr">
        <is>
          <t>Kyrkan</t>
        </is>
      </c>
      <c r="G630" t="n">
        <v>1</v>
      </c>
      <c r="H630" t="n">
        <v>0</v>
      </c>
      <c r="I630" t="n">
        <v>0</v>
      </c>
      <c r="J630" t="n">
        <v>0</v>
      </c>
      <c r="K630" t="n">
        <v>0</v>
      </c>
      <c r="L630" t="n">
        <v>0</v>
      </c>
      <c r="M630" t="n">
        <v>0</v>
      </c>
      <c r="N630" t="n">
        <v>0</v>
      </c>
      <c r="O630" t="n">
        <v>0</v>
      </c>
      <c r="P630" t="n">
        <v>0</v>
      </c>
      <c r="Q630" t="n">
        <v>0</v>
      </c>
      <c r="R630" s="2" t="inlineStr"/>
    </row>
    <row r="631" ht="15" customHeight="1">
      <c r="A631" t="inlineStr">
        <is>
          <t>A 30104-2025</t>
        </is>
      </c>
      <c r="B631" s="1" t="n">
        <v>45826.68806712963</v>
      </c>
      <c r="C631" s="1" t="n">
        <v>46085</v>
      </c>
      <c r="D631" t="inlineStr">
        <is>
          <t>GOTLANDS LÄN</t>
        </is>
      </c>
      <c r="E631" t="inlineStr">
        <is>
          <t>GOTLAND</t>
        </is>
      </c>
      <c r="G631" t="n">
        <v>15.4</v>
      </c>
      <c r="H631" t="n">
        <v>0</v>
      </c>
      <c r="I631" t="n">
        <v>0</v>
      </c>
      <c r="J631" t="n">
        <v>0</v>
      </c>
      <c r="K631" t="n">
        <v>0</v>
      </c>
      <c r="L631" t="n">
        <v>0</v>
      </c>
      <c r="M631" t="n">
        <v>0</v>
      </c>
      <c r="N631" t="n">
        <v>0</v>
      </c>
      <c r="O631" t="n">
        <v>0</v>
      </c>
      <c r="P631" t="n">
        <v>0</v>
      </c>
      <c r="Q631" t="n">
        <v>0</v>
      </c>
      <c r="R631" s="2" t="inlineStr"/>
    </row>
    <row r="632" ht="15" customHeight="1">
      <c r="A632" t="inlineStr">
        <is>
          <t>A 35290-2025</t>
        </is>
      </c>
      <c r="B632" s="1" t="n">
        <v>45854.38502314815</v>
      </c>
      <c r="C632" s="1" t="n">
        <v>46085</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32669-2024</t>
        </is>
      </c>
      <c r="B633" s="1" t="n">
        <v>45514</v>
      </c>
      <c r="C633" s="1" t="n">
        <v>46085</v>
      </c>
      <c r="D633" t="inlineStr">
        <is>
          <t>GOTLANDS LÄN</t>
        </is>
      </c>
      <c r="E633" t="inlineStr">
        <is>
          <t>GOTLAND</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35537-2025</t>
        </is>
      </c>
      <c r="B634" s="1" t="n">
        <v>45856</v>
      </c>
      <c r="C634" s="1" t="n">
        <v>46085</v>
      </c>
      <c r="D634" t="inlineStr">
        <is>
          <t>GOTLANDS LÄN</t>
        </is>
      </c>
      <c r="E634" t="inlineStr">
        <is>
          <t>GOTLAND</t>
        </is>
      </c>
      <c r="G634" t="n">
        <v>16.8</v>
      </c>
      <c r="H634" t="n">
        <v>0</v>
      </c>
      <c r="I634" t="n">
        <v>0</v>
      </c>
      <c r="J634" t="n">
        <v>0</v>
      </c>
      <c r="K634" t="n">
        <v>0</v>
      </c>
      <c r="L634" t="n">
        <v>0</v>
      </c>
      <c r="M634" t="n">
        <v>0</v>
      </c>
      <c r="N634" t="n">
        <v>0</v>
      </c>
      <c r="O634" t="n">
        <v>0</v>
      </c>
      <c r="P634" t="n">
        <v>0</v>
      </c>
      <c r="Q634" t="n">
        <v>0</v>
      </c>
      <c r="R634" s="2" t="inlineStr"/>
    </row>
    <row r="635" ht="15" customHeight="1">
      <c r="A635" t="inlineStr">
        <is>
          <t>A 15216-2025</t>
        </is>
      </c>
      <c r="B635" s="1" t="n">
        <v>45744</v>
      </c>
      <c r="C635" s="1" t="n">
        <v>46085</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43790-2024</t>
        </is>
      </c>
      <c r="B636" s="1" t="n">
        <v>45571</v>
      </c>
      <c r="C636" s="1" t="n">
        <v>46085</v>
      </c>
      <c r="D636" t="inlineStr">
        <is>
          <t>GOTLANDS LÄN</t>
        </is>
      </c>
      <c r="E636" t="inlineStr">
        <is>
          <t>GOTLAND</t>
        </is>
      </c>
      <c r="G636" t="n">
        <v>3.5</v>
      </c>
      <c r="H636" t="n">
        <v>0</v>
      </c>
      <c r="I636" t="n">
        <v>0</v>
      </c>
      <c r="J636" t="n">
        <v>0</v>
      </c>
      <c r="K636" t="n">
        <v>0</v>
      </c>
      <c r="L636" t="n">
        <v>0</v>
      </c>
      <c r="M636" t="n">
        <v>0</v>
      </c>
      <c r="N636" t="n">
        <v>0</v>
      </c>
      <c r="O636" t="n">
        <v>0</v>
      </c>
      <c r="P636" t="n">
        <v>0</v>
      </c>
      <c r="Q636" t="n">
        <v>0</v>
      </c>
      <c r="R636" s="2" t="inlineStr"/>
    </row>
    <row r="637" ht="15" customHeight="1">
      <c r="A637" t="inlineStr">
        <is>
          <t>A 15001-2025</t>
        </is>
      </c>
      <c r="B637" s="1" t="n">
        <v>45743</v>
      </c>
      <c r="C637" s="1" t="n">
        <v>46085</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30488-2025</t>
        </is>
      </c>
      <c r="B638" s="1" t="n">
        <v>45830</v>
      </c>
      <c r="C638" s="1" t="n">
        <v>46085</v>
      </c>
      <c r="D638" t="inlineStr">
        <is>
          <t>GOTLANDS LÄN</t>
        </is>
      </c>
      <c r="E638" t="inlineStr">
        <is>
          <t>GOTLAND</t>
        </is>
      </c>
      <c r="F638" t="inlineStr">
        <is>
          <t>Kyrkan</t>
        </is>
      </c>
      <c r="G638" t="n">
        <v>3.9</v>
      </c>
      <c r="H638" t="n">
        <v>0</v>
      </c>
      <c r="I638" t="n">
        <v>0</v>
      </c>
      <c r="J638" t="n">
        <v>0</v>
      </c>
      <c r="K638" t="n">
        <v>0</v>
      </c>
      <c r="L638" t="n">
        <v>0</v>
      </c>
      <c r="M638" t="n">
        <v>0</v>
      </c>
      <c r="N638" t="n">
        <v>0</v>
      </c>
      <c r="O638" t="n">
        <v>0</v>
      </c>
      <c r="P638" t="n">
        <v>0</v>
      </c>
      <c r="Q638" t="n">
        <v>0</v>
      </c>
      <c r="R638" s="2" t="inlineStr"/>
    </row>
    <row r="639" ht="15" customHeight="1">
      <c r="A639" t="inlineStr">
        <is>
          <t>A 17847-2025</t>
        </is>
      </c>
      <c r="B639" s="1" t="n">
        <v>45758</v>
      </c>
      <c r="C639" s="1" t="n">
        <v>46085</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18742-2025</t>
        </is>
      </c>
      <c r="B640" s="1" t="n">
        <v>45763</v>
      </c>
      <c r="C640" s="1" t="n">
        <v>46085</v>
      </c>
      <c r="D640" t="inlineStr">
        <is>
          <t>GOTLANDS LÄN</t>
        </is>
      </c>
      <c r="E640" t="inlineStr">
        <is>
          <t>GOTLAND</t>
        </is>
      </c>
      <c r="G640" t="n">
        <v>3.4</v>
      </c>
      <c r="H640" t="n">
        <v>0</v>
      </c>
      <c r="I640" t="n">
        <v>0</v>
      </c>
      <c r="J640" t="n">
        <v>0</v>
      </c>
      <c r="K640" t="n">
        <v>0</v>
      </c>
      <c r="L640" t="n">
        <v>0</v>
      </c>
      <c r="M640" t="n">
        <v>0</v>
      </c>
      <c r="N640" t="n">
        <v>0</v>
      </c>
      <c r="O640" t="n">
        <v>0</v>
      </c>
      <c r="P640" t="n">
        <v>0</v>
      </c>
      <c r="Q640" t="n">
        <v>0</v>
      </c>
      <c r="R640" s="2" t="inlineStr"/>
    </row>
    <row r="641" ht="15" customHeight="1">
      <c r="A641" t="inlineStr">
        <is>
          <t>A 35129-2025</t>
        </is>
      </c>
      <c r="B641" s="1" t="n">
        <v>45852.63224537037</v>
      </c>
      <c r="C641" s="1" t="n">
        <v>46085</v>
      </c>
      <c r="D641" t="inlineStr">
        <is>
          <t>GOTLANDS LÄN</t>
        </is>
      </c>
      <c r="E641" t="inlineStr">
        <is>
          <t>GOTLAND</t>
        </is>
      </c>
      <c r="G641" t="n">
        <v>3.2</v>
      </c>
      <c r="H641" t="n">
        <v>0</v>
      </c>
      <c r="I641" t="n">
        <v>0</v>
      </c>
      <c r="J641" t="n">
        <v>0</v>
      </c>
      <c r="K641" t="n">
        <v>0</v>
      </c>
      <c r="L641" t="n">
        <v>0</v>
      </c>
      <c r="M641" t="n">
        <v>0</v>
      </c>
      <c r="N641" t="n">
        <v>0</v>
      </c>
      <c r="O641" t="n">
        <v>0</v>
      </c>
      <c r="P641" t="n">
        <v>0</v>
      </c>
      <c r="Q641" t="n">
        <v>0</v>
      </c>
      <c r="R641" s="2" t="inlineStr"/>
    </row>
    <row r="642" ht="15" customHeight="1">
      <c r="A642" t="inlineStr">
        <is>
          <t>A 6108-2025</t>
        </is>
      </c>
      <c r="B642" s="1" t="n">
        <v>45698.29880787037</v>
      </c>
      <c r="C642" s="1" t="n">
        <v>46085</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21142-2025</t>
        </is>
      </c>
      <c r="B643" s="1" t="n">
        <v>45779</v>
      </c>
      <c r="C643" s="1" t="n">
        <v>46085</v>
      </c>
      <c r="D643" t="inlineStr">
        <is>
          <t>GOTLANDS LÄN</t>
        </is>
      </c>
      <c r="E643" t="inlineStr">
        <is>
          <t>GOTLAND</t>
        </is>
      </c>
      <c r="G643" t="n">
        <v>1.3</v>
      </c>
      <c r="H643" t="n">
        <v>0</v>
      </c>
      <c r="I643" t="n">
        <v>0</v>
      </c>
      <c r="J643" t="n">
        <v>0</v>
      </c>
      <c r="K643" t="n">
        <v>0</v>
      </c>
      <c r="L643" t="n">
        <v>0</v>
      </c>
      <c r="M643" t="n">
        <v>0</v>
      </c>
      <c r="N643" t="n">
        <v>0</v>
      </c>
      <c r="O643" t="n">
        <v>0</v>
      </c>
      <c r="P643" t="n">
        <v>0</v>
      </c>
      <c r="Q643" t="n">
        <v>0</v>
      </c>
      <c r="R643" s="2" t="inlineStr"/>
    </row>
    <row r="644" ht="15" customHeight="1">
      <c r="A644" t="inlineStr">
        <is>
          <t>A 17343-2025</t>
        </is>
      </c>
      <c r="B644" s="1" t="n">
        <v>45756.6687037037</v>
      </c>
      <c r="C644" s="1" t="n">
        <v>46085</v>
      </c>
      <c r="D644" t="inlineStr">
        <is>
          <t>GOTLANDS LÄN</t>
        </is>
      </c>
      <c r="E644" t="inlineStr">
        <is>
          <t>GOTLAND</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18938-2025</t>
        </is>
      </c>
      <c r="B645" s="1" t="n">
        <v>45764.49172453704</v>
      </c>
      <c r="C645" s="1" t="n">
        <v>46085</v>
      </c>
      <c r="D645" t="inlineStr">
        <is>
          <t>GOTLANDS LÄN</t>
        </is>
      </c>
      <c r="E645" t="inlineStr">
        <is>
          <t>GOTLAND</t>
        </is>
      </c>
      <c r="G645" t="n">
        <v>1.1</v>
      </c>
      <c r="H645" t="n">
        <v>0</v>
      </c>
      <c r="I645" t="n">
        <v>0</v>
      </c>
      <c r="J645" t="n">
        <v>0</v>
      </c>
      <c r="K645" t="n">
        <v>0</v>
      </c>
      <c r="L645" t="n">
        <v>0</v>
      </c>
      <c r="M645" t="n">
        <v>0</v>
      </c>
      <c r="N645" t="n">
        <v>0</v>
      </c>
      <c r="O645" t="n">
        <v>0</v>
      </c>
      <c r="P645" t="n">
        <v>0</v>
      </c>
      <c r="Q645" t="n">
        <v>0</v>
      </c>
      <c r="R645" s="2" t="inlineStr"/>
    </row>
    <row r="646" ht="15" customHeight="1">
      <c r="A646" t="inlineStr">
        <is>
          <t>A 30489-2025</t>
        </is>
      </c>
      <c r="B646" s="1" t="n">
        <v>45830</v>
      </c>
      <c r="C646" s="1" t="n">
        <v>46085</v>
      </c>
      <c r="D646" t="inlineStr">
        <is>
          <t>GOTLANDS LÄN</t>
        </is>
      </c>
      <c r="E646" t="inlineStr">
        <is>
          <t>GOTLAND</t>
        </is>
      </c>
      <c r="G646" t="n">
        <v>4.6</v>
      </c>
      <c r="H646" t="n">
        <v>0</v>
      </c>
      <c r="I646" t="n">
        <v>0</v>
      </c>
      <c r="J646" t="n">
        <v>0</v>
      </c>
      <c r="K646" t="n">
        <v>0</v>
      </c>
      <c r="L646" t="n">
        <v>0</v>
      </c>
      <c r="M646" t="n">
        <v>0</v>
      </c>
      <c r="N646" t="n">
        <v>0</v>
      </c>
      <c r="O646" t="n">
        <v>0</v>
      </c>
      <c r="P646" t="n">
        <v>0</v>
      </c>
      <c r="Q646" t="n">
        <v>0</v>
      </c>
      <c r="R646" s="2" t="inlineStr"/>
    </row>
    <row r="647">
      <c r="A647" t="inlineStr">
        <is>
          <t>A 20307-2025</t>
        </is>
      </c>
      <c r="B647" s="1" t="n">
        <v>45774.95546296296</v>
      </c>
      <c r="C647" s="1" t="n">
        <v>46085</v>
      </c>
      <c r="D647" t="inlineStr">
        <is>
          <t>GOTLANDS LÄN</t>
        </is>
      </c>
      <c r="E647" t="inlineStr">
        <is>
          <t>GOTLAND</t>
        </is>
      </c>
      <c r="G647" t="n">
        <v>6.8</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2026-03-04T11:13:32Z</dcterms:created>
  <dcterms:modified xmlns:dcterms="http://purl.org/dc/terms/" xmlns:xsi="http://www.w3.org/2001/XMLSchema-instance" xsi:type="dcterms:W3CDTF">2026-03-04T11:13:33Z</dcterms:modified>
</cp:coreProperties>
</file>