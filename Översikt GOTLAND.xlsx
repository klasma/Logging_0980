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46128</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46128</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46128</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46128</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46128</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46128</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46128</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46128</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46128</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46128</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46128</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46128</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62132-2023</t>
        </is>
      </c>
      <c r="B27" s="1" t="n">
        <v>45267</v>
      </c>
      <c r="C27" s="1" t="n">
        <v>46128</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46128</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46128</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46128</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46128</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46128</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46128</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44204-2022</t>
        </is>
      </c>
      <c r="B34" s="1" t="n">
        <v>44839</v>
      </c>
      <c r="C34" s="1" t="n">
        <v>46128</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35141-2022</t>
        </is>
      </c>
      <c r="B35" s="1" t="n">
        <v>44797.53318287037</v>
      </c>
      <c r="C35" s="1" t="n">
        <v>46128</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46128</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46128</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46128</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46128</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46128</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46128</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43201-2023</t>
        </is>
      </c>
      <c r="B42" s="1" t="n">
        <v>45183</v>
      </c>
      <c r="C42" s="1" t="n">
        <v>46128</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6052-2024</t>
        </is>
      </c>
      <c r="B43" s="1" t="n">
        <v>45336</v>
      </c>
      <c r="C43" s="1" t="n">
        <v>46128</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46128</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46128</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46128</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46128</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14354-2024</t>
        </is>
      </c>
      <c r="B48" s="1" t="n">
        <v>45393</v>
      </c>
      <c r="C48" s="1" t="n">
        <v>46128</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22404-2024</t>
        </is>
      </c>
      <c r="B49" s="1" t="n">
        <v>45446</v>
      </c>
      <c r="C49" s="1" t="n">
        <v>46128</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27280-2023</t>
        </is>
      </c>
      <c r="B50" s="1" t="n">
        <v>45096</v>
      </c>
      <c r="C50" s="1" t="n">
        <v>46128</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1719-2025</t>
        </is>
      </c>
      <c r="B51" s="1" t="n">
        <v>45671</v>
      </c>
      <c r="C51" s="1" t="n">
        <v>46128</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46128</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45248-2024</t>
        </is>
      </c>
      <c r="B53" s="1" t="n">
        <v>45576</v>
      </c>
      <c r="C53" s="1" t="n">
        <v>46128</v>
      </c>
      <c r="D53" t="inlineStr">
        <is>
          <t>GOTLANDS LÄN</t>
        </is>
      </c>
      <c r="E53" t="inlineStr">
        <is>
          <t>GOTLAND</t>
        </is>
      </c>
      <c r="G53" t="n">
        <v>9.4</v>
      </c>
      <c r="H53" t="n">
        <v>0</v>
      </c>
      <c r="I53" t="n">
        <v>6</v>
      </c>
      <c r="J53" t="n">
        <v>1</v>
      </c>
      <c r="K53" t="n">
        <v>1</v>
      </c>
      <c r="L53" t="n">
        <v>1</v>
      </c>
      <c r="M53" t="n">
        <v>1</v>
      </c>
      <c r="N53" t="n">
        <v>0</v>
      </c>
      <c r="O53" t="n">
        <v>4</v>
      </c>
      <c r="P53" t="n">
        <v>3</v>
      </c>
      <c r="Q53" t="n">
        <v>10</v>
      </c>
      <c r="R53" s="2" t="inlineStr">
        <is>
          <t>Lundalm
Ask
Mjölspindling
Oxtungssvamp
Blå slemspindling
Bolmörtsskivling
Myskmadra
Stinkbrosking
Toppvaxing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39376-2023</t>
        </is>
      </c>
      <c r="B54" s="1" t="n">
        <v>45166</v>
      </c>
      <c r="C54" s="1" t="n">
        <v>46128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46128</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1769-2022</t>
        </is>
      </c>
      <c r="B57" s="1" t="n">
        <v>44574</v>
      </c>
      <c r="C57" s="1" t="n">
        <v>46128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46128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46128</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46128</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46128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46128</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10419-2025</t>
        </is>
      </c>
      <c r="B63" s="1" t="n">
        <v>45720</v>
      </c>
      <c r="C63" s="1" t="n">
        <v>46128</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44944-2022</t>
        </is>
      </c>
      <c r="B64" s="1" t="n">
        <v>44841</v>
      </c>
      <c r="C64" s="1" t="n">
        <v>46128</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46128</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56687-2025</t>
        </is>
      </c>
      <c r="B66" s="1" t="n">
        <v>45975.84065972222</v>
      </c>
      <c r="C66" s="1" t="n">
        <v>46128</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4984-2025</t>
        </is>
      </c>
      <c r="B67" s="1" t="n">
        <v>45691.29891203704</v>
      </c>
      <c r="C67" s="1" t="n">
        <v>46128</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25205-2021</t>
        </is>
      </c>
      <c r="B68" s="1" t="n">
        <v>44342</v>
      </c>
      <c r="C68" s="1" t="n">
        <v>46128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54527-2023</t>
        </is>
      </c>
      <c r="B69" s="1" t="n">
        <v>45233</v>
      </c>
      <c r="C69" s="1" t="n">
        <v>46128</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54527-2023</t>
        </is>
      </c>
      <c r="B70" s="1" t="n">
        <v>45233</v>
      </c>
      <c r="C70" s="1" t="n">
        <v>46128</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446-2023</t>
        </is>
      </c>
      <c r="B71" s="1" t="n">
        <v>44929</v>
      </c>
      <c r="C71" s="1" t="n">
        <v>46128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46128</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46128</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46128</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2085-2023</t>
        </is>
      </c>
      <c r="B75" s="1" t="n">
        <v>44939</v>
      </c>
      <c r="C75" s="1" t="n">
        <v>46128</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57773-2025</t>
        </is>
      </c>
      <c r="B76" s="1" t="n">
        <v>45981.56349537037</v>
      </c>
      <c r="C76" s="1" t="n">
        <v>46128</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46128</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2213-2023</t>
        </is>
      </c>
      <c r="B78" s="1" t="n">
        <v>44942</v>
      </c>
      <c r="C78" s="1" t="n">
        <v>46128</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46128</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16375-2025</t>
        </is>
      </c>
      <c r="B80" s="1" t="n">
        <v>45751.41064814815</v>
      </c>
      <c r="C80" s="1" t="n">
        <v>46128</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39425-2023</t>
        </is>
      </c>
      <c r="B81" s="1" t="n">
        <v>45166</v>
      </c>
      <c r="C81" s="1" t="n">
        <v>46128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35293-2025</t>
        </is>
      </c>
      <c r="B82" s="1" t="n">
        <v>45854.39438657407</v>
      </c>
      <c r="C82" s="1" t="n">
        <v>46128</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54055-2022</t>
        </is>
      </c>
      <c r="B83" s="1" t="n">
        <v>44881</v>
      </c>
      <c r="C83" s="1" t="n">
        <v>46128</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42936-2024</t>
        </is>
      </c>
      <c r="B84" s="1" t="n">
        <v>45567</v>
      </c>
      <c r="C84" s="1" t="n">
        <v>46128</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52245-2025</t>
        </is>
      </c>
      <c r="B85" s="1" t="n">
        <v>45953.47115740741</v>
      </c>
      <c r="C85" s="1" t="n">
        <v>46128</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6839-2026</t>
        </is>
      </c>
      <c r="B86" s="1" t="n">
        <v>46057.41193287037</v>
      </c>
      <c r="C86" s="1" t="n">
        <v>46128</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10274-2026</t>
        </is>
      </c>
      <c r="B87" s="1" t="n">
        <v>46076.58261574074</v>
      </c>
      <c r="C87" s="1" t="n">
        <v>46128</v>
      </c>
      <c r="D87" t="inlineStr">
        <is>
          <t>GOTLANDS LÄN</t>
        </is>
      </c>
      <c r="E87" t="inlineStr">
        <is>
          <t>GOTLAND</t>
        </is>
      </c>
      <c r="G87" t="n">
        <v>9.800000000000001</v>
      </c>
      <c r="H87" t="n">
        <v>2</v>
      </c>
      <c r="I87" t="n">
        <v>2</v>
      </c>
      <c r="J87" t="n">
        <v>1</v>
      </c>
      <c r="K87" t="n">
        <v>1</v>
      </c>
      <c r="L87" t="n">
        <v>0</v>
      </c>
      <c r="M87" t="n">
        <v>0</v>
      </c>
      <c r="N87" t="n">
        <v>0</v>
      </c>
      <c r="O87" t="n">
        <v>2</v>
      </c>
      <c r="P87" t="n">
        <v>1</v>
      </c>
      <c r="Q87" t="n">
        <v>5</v>
      </c>
      <c r="R87" s="2" t="inlineStr">
        <is>
          <t>Gråfingerört
Spillkråka
Axag
Grönpyrola
Alvarstånds</t>
        </is>
      </c>
      <c r="S87">
        <f>HYPERLINK("https://klasma.github.io/Logging_0980/artfynd/A 10274-2026 artfynd.xlsx", "A 10274-2026")</f>
        <v/>
      </c>
      <c r="T87">
        <f>HYPERLINK("https://klasma.github.io/Logging_0980/kartor/A 10274-2026 karta.png", "A 10274-2026")</f>
        <v/>
      </c>
      <c r="V87">
        <f>HYPERLINK("https://klasma.github.io/Logging_0980/klagomål/A 10274-2026 FSC-klagomål.docx", "A 10274-2026")</f>
        <v/>
      </c>
      <c r="W87">
        <f>HYPERLINK("https://klasma.github.io/Logging_0980/klagomålsmail/A 10274-2026 FSC-klagomål mail.docx", "A 10274-2026")</f>
        <v/>
      </c>
      <c r="X87">
        <f>HYPERLINK("https://klasma.github.io/Logging_0980/tillsyn/A 10274-2026 tillsynsbegäran.docx", "A 10274-2026")</f>
        <v/>
      </c>
      <c r="Y87">
        <f>HYPERLINK("https://klasma.github.io/Logging_0980/tillsynsmail/A 10274-2026 tillsynsbegäran mail.docx", "A 10274-2026")</f>
        <v/>
      </c>
      <c r="Z87">
        <f>HYPERLINK("https://klasma.github.io/Logging_0980/fåglar/A 10274-2026 prioriterade fågelarter.docx", "A 10274-2026")</f>
        <v/>
      </c>
    </row>
    <row r="88" ht="15" customHeight="1">
      <c r="A88" t="inlineStr">
        <is>
          <t>A 29331-2021</t>
        </is>
      </c>
      <c r="B88" s="1" t="n">
        <v>44361</v>
      </c>
      <c r="C88" s="1" t="n">
        <v>46128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8265-2023</t>
        </is>
      </c>
      <c r="B89" s="1" t="n">
        <v>44974</v>
      </c>
      <c r="C89" s="1" t="n">
        <v>46128</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186-2023</t>
        </is>
      </c>
      <c r="B90" s="1" t="n">
        <v>44928</v>
      </c>
      <c r="C90" s="1" t="n">
        <v>46128</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46128</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5904-2024</t>
        </is>
      </c>
      <c r="B92" s="1" t="n">
        <v>45335</v>
      </c>
      <c r="C92" s="1" t="n">
        <v>46128</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46128</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44933-2022</t>
        </is>
      </c>
      <c r="B94" s="1" t="n">
        <v>44841</v>
      </c>
      <c r="C94" s="1" t="n">
        <v>46128</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2485-2025</t>
        </is>
      </c>
      <c r="B95" s="1" t="n">
        <v>45673</v>
      </c>
      <c r="C95" s="1" t="n">
        <v>46128</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20833-2024</t>
        </is>
      </c>
      <c r="B96" s="1" t="n">
        <v>45439</v>
      </c>
      <c r="C96" s="1" t="n">
        <v>46128</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6159-2023</t>
        </is>
      </c>
      <c r="B97" s="1" t="n">
        <v>44964</v>
      </c>
      <c r="C97" s="1" t="n">
        <v>46128</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54523-2023</t>
        </is>
      </c>
      <c r="B98" s="1" t="n">
        <v>45233</v>
      </c>
      <c r="C98" s="1" t="n">
        <v>46128</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43197-2023</t>
        </is>
      </c>
      <c r="B99" s="1" t="n">
        <v>45183</v>
      </c>
      <c r="C99" s="1" t="n">
        <v>46128</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57463-2025</t>
        </is>
      </c>
      <c r="B100" s="1" t="n">
        <v>45980.54174768519</v>
      </c>
      <c r="C100" s="1" t="n">
        <v>46128</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46128</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1971-2023</t>
        </is>
      </c>
      <c r="B102" s="1" t="n">
        <v>44939</v>
      </c>
      <c r="C102" s="1" t="n">
        <v>46128</v>
      </c>
      <c r="D102" t="inlineStr">
        <is>
          <t>GOTLANDS LÄN</t>
        </is>
      </c>
      <c r="E102" t="inlineStr">
        <is>
          <t>GOTLAND</t>
        </is>
      </c>
      <c r="G102" t="n">
        <v>5.5</v>
      </c>
      <c r="H102" t="n">
        <v>0</v>
      </c>
      <c r="I102" t="n">
        <v>2</v>
      </c>
      <c r="J102" t="n">
        <v>1</v>
      </c>
      <c r="K102" t="n">
        <v>1</v>
      </c>
      <c r="L102" t="n">
        <v>0</v>
      </c>
      <c r="M102" t="n">
        <v>0</v>
      </c>
      <c r="N102" t="n">
        <v>0</v>
      </c>
      <c r="O102" t="n">
        <v>2</v>
      </c>
      <c r="P102" t="n">
        <v>1</v>
      </c>
      <c r="Q102" t="n">
        <v>4</v>
      </c>
      <c r="R102" s="2" t="inlineStr">
        <is>
          <t>Gulsträngad fagerspindling
Svinrot
Fjällig taggsvamp s.str.
Olivspindling</t>
        </is>
      </c>
      <c r="S102">
        <f>HYPERLINK("https://klasma.github.io/Logging_0980/artfynd/A 1971-2023 artfynd.xlsx", "A 1971-2023")</f>
        <v/>
      </c>
      <c r="T102">
        <f>HYPERLINK("https://klasma.github.io/Logging_0980/kartor/A 1971-2023 karta.png", "A 1971-2023")</f>
        <v/>
      </c>
      <c r="V102">
        <f>HYPERLINK("https://klasma.github.io/Logging_0980/klagomål/A 1971-2023 FSC-klagomål.docx", "A 1971-2023")</f>
        <v/>
      </c>
      <c r="W102">
        <f>HYPERLINK("https://klasma.github.io/Logging_0980/klagomålsmail/A 1971-2023 FSC-klagomål mail.docx", "A 1971-2023")</f>
        <v/>
      </c>
      <c r="X102">
        <f>HYPERLINK("https://klasma.github.io/Logging_0980/tillsyn/A 1971-2023 tillsynsbegäran.docx", "A 1971-2023")</f>
        <v/>
      </c>
      <c r="Y102">
        <f>HYPERLINK("https://klasma.github.io/Logging_0980/tillsynsmail/A 1971-2023 tillsynsbegäran mail.docx", "A 1971-2023")</f>
        <v/>
      </c>
    </row>
    <row r="103" ht="15" customHeight="1">
      <c r="A103" t="inlineStr">
        <is>
          <t>A 13203-2026</t>
        </is>
      </c>
      <c r="B103" s="1" t="n">
        <v>46093</v>
      </c>
      <c r="C103" s="1" t="n">
        <v>46128</v>
      </c>
      <c r="D103" t="inlineStr">
        <is>
          <t>GOTLANDS LÄN</t>
        </is>
      </c>
      <c r="E103" t="inlineStr">
        <is>
          <t>GOTLAND</t>
        </is>
      </c>
      <c r="G103" t="n">
        <v>4.5</v>
      </c>
      <c r="H103" t="n">
        <v>2</v>
      </c>
      <c r="I103" t="n">
        <v>1</v>
      </c>
      <c r="J103" t="n">
        <v>1</v>
      </c>
      <c r="K103" t="n">
        <v>1</v>
      </c>
      <c r="L103" t="n">
        <v>0</v>
      </c>
      <c r="M103" t="n">
        <v>0</v>
      </c>
      <c r="N103" t="n">
        <v>0</v>
      </c>
      <c r="O103" t="n">
        <v>2</v>
      </c>
      <c r="P103" t="n">
        <v>1</v>
      </c>
      <c r="Q103" t="n">
        <v>4</v>
      </c>
      <c r="R103" s="2" t="inlineStr">
        <is>
          <t>Gotlandsmåra
Svinrot
Nästrot
Grönvit nattviol</t>
        </is>
      </c>
      <c r="S103">
        <f>HYPERLINK("https://klasma.github.io/Logging_0980/artfynd/A 13203-2026 artfynd.xlsx", "A 13203-2026")</f>
        <v/>
      </c>
      <c r="T103">
        <f>HYPERLINK("https://klasma.github.io/Logging_0980/kartor/A 13203-2026 karta.png", "A 13203-2026")</f>
        <v/>
      </c>
      <c r="V103">
        <f>HYPERLINK("https://klasma.github.io/Logging_0980/klagomål/A 13203-2026 FSC-klagomål.docx", "A 13203-2026")</f>
        <v/>
      </c>
      <c r="W103">
        <f>HYPERLINK("https://klasma.github.io/Logging_0980/klagomålsmail/A 13203-2026 FSC-klagomål mail.docx", "A 13203-2026")</f>
        <v/>
      </c>
      <c r="X103">
        <f>HYPERLINK("https://klasma.github.io/Logging_0980/tillsyn/A 13203-2026 tillsynsbegäran.docx", "A 13203-2026")</f>
        <v/>
      </c>
      <c r="Y103">
        <f>HYPERLINK("https://klasma.github.io/Logging_0980/tillsynsmail/A 13203-2026 tillsynsbegäran mail.docx", "A 13203-2026")</f>
        <v/>
      </c>
    </row>
    <row r="104" ht="15" customHeight="1">
      <c r="A104" t="inlineStr">
        <is>
          <t>A 6836-2026</t>
        </is>
      </c>
      <c r="B104" s="1" t="n">
        <v>46057.40902777778</v>
      </c>
      <c r="C104" s="1" t="n">
        <v>46128</v>
      </c>
      <c r="D104" t="inlineStr">
        <is>
          <t>GOTLANDS LÄN</t>
        </is>
      </c>
      <c r="E104" t="inlineStr">
        <is>
          <t>GOTLAND</t>
        </is>
      </c>
      <c r="G104" t="n">
        <v>3.8</v>
      </c>
      <c r="H104" t="n">
        <v>1</v>
      </c>
      <c r="I104" t="n">
        <v>3</v>
      </c>
      <c r="J104" t="n">
        <v>0</v>
      </c>
      <c r="K104" t="n">
        <v>1</v>
      </c>
      <c r="L104" t="n">
        <v>0</v>
      </c>
      <c r="M104" t="n">
        <v>0</v>
      </c>
      <c r="N104" t="n">
        <v>0</v>
      </c>
      <c r="O104" t="n">
        <v>1</v>
      </c>
      <c r="P104" t="n">
        <v>1</v>
      </c>
      <c r="Q104" t="n">
        <v>4</v>
      </c>
      <c r="R104" s="2" t="inlineStr">
        <is>
          <t>Knärot
Fransig jordstjärna
Rödgul trumpetsvamp
Svavelriska</t>
        </is>
      </c>
      <c r="S104">
        <f>HYPERLINK("https://klasma.github.io/Logging_0980/artfynd/A 6836-2026 artfynd.xlsx", "A 6836-2026")</f>
        <v/>
      </c>
      <c r="T104">
        <f>HYPERLINK("https://klasma.github.io/Logging_0980/kartor/A 6836-2026 karta.png", "A 6836-2026")</f>
        <v/>
      </c>
      <c r="U104">
        <f>HYPERLINK("https://klasma.github.io/Logging_0980/knärot/A 6836-2026 karta knärot.png", "A 6836-2026")</f>
        <v/>
      </c>
      <c r="V104">
        <f>HYPERLINK("https://klasma.github.io/Logging_0980/klagomål/A 6836-2026 FSC-klagomål.docx", "A 6836-2026")</f>
        <v/>
      </c>
      <c r="W104">
        <f>HYPERLINK("https://klasma.github.io/Logging_0980/klagomålsmail/A 6836-2026 FSC-klagomål mail.docx", "A 6836-2026")</f>
        <v/>
      </c>
      <c r="X104">
        <f>HYPERLINK("https://klasma.github.io/Logging_0980/tillsyn/A 6836-2026 tillsynsbegäran.docx", "A 6836-2026")</f>
        <v/>
      </c>
      <c r="Y104">
        <f>HYPERLINK("https://klasma.github.io/Logging_0980/tillsynsmail/A 6836-2026 tillsynsbegäran mail.docx", "A 6836-2026")</f>
        <v/>
      </c>
    </row>
    <row r="105" ht="15" customHeight="1">
      <c r="A105" t="inlineStr">
        <is>
          <t>A 44323-2021</t>
        </is>
      </c>
      <c r="B105" s="1" t="n">
        <v>44434</v>
      </c>
      <c r="C105" s="1" t="n">
        <v>46128</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46128</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46128</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73144-2021</t>
        </is>
      </c>
      <c r="B108" s="1" t="n">
        <v>44550</v>
      </c>
      <c r="C108" s="1" t="n">
        <v>46128</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48126-2022</t>
        </is>
      </c>
      <c r="B109" s="1" t="n">
        <v>44857</v>
      </c>
      <c r="C109" s="1" t="n">
        <v>46128</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43013-2022</t>
        </is>
      </c>
      <c r="B110" s="1" t="n">
        <v>44833</v>
      </c>
      <c r="C110" s="1" t="n">
        <v>46128</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46128</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53552-2021</t>
        </is>
      </c>
      <c r="B112" s="1" t="n">
        <v>44468</v>
      </c>
      <c r="C112" s="1" t="n">
        <v>46128</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55334-2024</t>
        </is>
      </c>
      <c r="B113" s="1" t="n">
        <v>45621</v>
      </c>
      <c r="C113" s="1" t="n">
        <v>46128</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46128</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30490-2025</t>
        </is>
      </c>
      <c r="B115" s="1" t="n">
        <v>45830</v>
      </c>
      <c r="C115" s="1" t="n">
        <v>46128</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17982-2023</t>
        </is>
      </c>
      <c r="B116" s="1" t="n">
        <v>45040</v>
      </c>
      <c r="C116" s="1" t="n">
        <v>46128</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46128</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46128</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20831-2024</t>
        </is>
      </c>
      <c r="B119" s="1" t="n">
        <v>45439</v>
      </c>
      <c r="C119" s="1" t="n">
        <v>46128</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12315-2024</t>
        </is>
      </c>
      <c r="B120" s="1" t="n">
        <v>45378.6434837963</v>
      </c>
      <c r="C120" s="1" t="n">
        <v>46128</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1520-2026</t>
        </is>
      </c>
      <c r="B121" s="1" t="n">
        <v>46034.35891203704</v>
      </c>
      <c r="C121" s="1" t="n">
        <v>46128</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29870-2021</t>
        </is>
      </c>
      <c r="B122" s="1" t="n">
        <v>44362</v>
      </c>
      <c r="C122" s="1" t="n">
        <v>46128</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46128</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46128</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28276-2024</t>
        </is>
      </c>
      <c r="B126" s="1" t="n">
        <v>45477</v>
      </c>
      <c r="C126" s="1" t="n">
        <v>46128</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21879-2025</t>
        </is>
      </c>
      <c r="B127" s="1" t="n">
        <v>45784.40533564815</v>
      </c>
      <c r="C127" s="1" t="n">
        <v>46128</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20838-2024</t>
        </is>
      </c>
      <c r="B128" s="1" t="n">
        <v>45439</v>
      </c>
      <c r="C128" s="1" t="n">
        <v>46128</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20429-2025</t>
        </is>
      </c>
      <c r="B129" s="1" t="n">
        <v>45775.47728009259</v>
      </c>
      <c r="C129" s="1" t="n">
        <v>46128</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54357-2024</t>
        </is>
      </c>
      <c r="B130" s="1" t="n">
        <v>45617.40662037037</v>
      </c>
      <c r="C130" s="1" t="n">
        <v>46128</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46128</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26077-2024</t>
        </is>
      </c>
      <c r="B132" s="1" t="n">
        <v>45467</v>
      </c>
      <c r="C132" s="1" t="n">
        <v>46128</v>
      </c>
      <c r="D132" t="inlineStr">
        <is>
          <t>GOTLANDS LÄN</t>
        </is>
      </c>
      <c r="E132" t="inlineStr">
        <is>
          <t>GOTLAND</t>
        </is>
      </c>
      <c r="G132" t="n">
        <v>4.6</v>
      </c>
      <c r="H132" t="n">
        <v>0</v>
      </c>
      <c r="I132" t="n">
        <v>0</v>
      </c>
      <c r="J132" t="n">
        <v>1</v>
      </c>
      <c r="K132" t="n">
        <v>0</v>
      </c>
      <c r="L132" t="n">
        <v>1</v>
      </c>
      <c r="M132" t="n">
        <v>0</v>
      </c>
      <c r="N132" t="n">
        <v>0</v>
      </c>
      <c r="O132" t="n">
        <v>2</v>
      </c>
      <c r="P132" t="n">
        <v>1</v>
      </c>
      <c r="Q132" t="n">
        <v>2</v>
      </c>
      <c r="R132" s="2" t="inlineStr">
        <is>
          <t>Ask
Tallticka</t>
        </is>
      </c>
      <c r="S132">
        <f>HYPERLINK("https://klasma.github.io/Logging_0980/artfynd/A 26077-2024 artfynd.xlsx", "A 26077-2024")</f>
        <v/>
      </c>
      <c r="T132">
        <f>HYPERLINK("https://klasma.github.io/Logging_0980/kartor/A 26077-2024 karta.png", "A 26077-2024")</f>
        <v/>
      </c>
      <c r="V132">
        <f>HYPERLINK("https://klasma.github.io/Logging_0980/klagomål/A 26077-2024 FSC-klagomål.docx", "A 26077-2024")</f>
        <v/>
      </c>
      <c r="W132">
        <f>HYPERLINK("https://klasma.github.io/Logging_0980/klagomålsmail/A 26077-2024 FSC-klagomål mail.docx", "A 26077-2024")</f>
        <v/>
      </c>
      <c r="X132">
        <f>HYPERLINK("https://klasma.github.io/Logging_0980/tillsyn/A 26077-2024 tillsynsbegäran.docx", "A 26077-2024")</f>
        <v/>
      </c>
      <c r="Y132">
        <f>HYPERLINK("https://klasma.github.io/Logging_0980/tillsynsmail/A 26077-2024 tillsynsbegäran mail.docx", "A 26077-2024")</f>
        <v/>
      </c>
    </row>
    <row r="133" ht="15" customHeight="1">
      <c r="A133" t="inlineStr">
        <is>
          <t>A 43219-2023</t>
        </is>
      </c>
      <c r="B133" s="1" t="n">
        <v>45183</v>
      </c>
      <c r="C133" s="1" t="n">
        <v>46128</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46128</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46128</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46128</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62760-2025</t>
        </is>
      </c>
      <c r="B137" s="1" t="n">
        <v>46008</v>
      </c>
      <c r="C137" s="1" t="n">
        <v>46128</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63162-2025</t>
        </is>
      </c>
      <c r="B138" s="1" t="n">
        <v>46010.37629629629</v>
      </c>
      <c r="C138" s="1" t="n">
        <v>46128</v>
      </c>
      <c r="D138" t="inlineStr">
        <is>
          <t>GOTLANDS LÄN</t>
        </is>
      </c>
      <c r="E138" t="inlineStr">
        <is>
          <t>GOTLAND</t>
        </is>
      </c>
      <c r="G138" t="n">
        <v>3.5</v>
      </c>
      <c r="H138" t="n">
        <v>0</v>
      </c>
      <c r="I138" t="n">
        <v>1</v>
      </c>
      <c r="J138" t="n">
        <v>0</v>
      </c>
      <c r="K138" t="n">
        <v>1</v>
      </c>
      <c r="L138" t="n">
        <v>0</v>
      </c>
      <c r="M138" t="n">
        <v>0</v>
      </c>
      <c r="N138" t="n">
        <v>0</v>
      </c>
      <c r="O138" t="n">
        <v>1</v>
      </c>
      <c r="P138" t="n">
        <v>1</v>
      </c>
      <c r="Q138" t="n">
        <v>2</v>
      </c>
      <c r="R138" s="2" t="inlineStr">
        <is>
          <t>Gotlandsmåra
Myskmadra</t>
        </is>
      </c>
      <c r="S138">
        <f>HYPERLINK("https://klasma.github.io/Logging_0980/artfynd/A 63162-2025 artfynd.xlsx", "A 63162-2025")</f>
        <v/>
      </c>
      <c r="T138">
        <f>HYPERLINK("https://klasma.github.io/Logging_0980/kartor/A 63162-2025 karta.png", "A 63162-2025")</f>
        <v/>
      </c>
      <c r="V138">
        <f>HYPERLINK("https://klasma.github.io/Logging_0980/klagomål/A 63162-2025 FSC-klagomål.docx", "A 63162-2025")</f>
        <v/>
      </c>
      <c r="W138">
        <f>HYPERLINK("https://klasma.github.io/Logging_0980/klagomålsmail/A 63162-2025 FSC-klagomål mail.docx", "A 63162-2025")</f>
        <v/>
      </c>
      <c r="X138">
        <f>HYPERLINK("https://klasma.github.io/Logging_0980/tillsyn/A 63162-2025 tillsynsbegäran.docx", "A 63162-2025")</f>
        <v/>
      </c>
      <c r="Y138">
        <f>HYPERLINK("https://klasma.github.io/Logging_0980/tillsynsmail/A 63162-2025 tillsynsbegäran mail.docx", "A 63162-2025")</f>
        <v/>
      </c>
    </row>
    <row r="139" ht="15" customHeight="1">
      <c r="A139" t="inlineStr">
        <is>
          <t>A 16997-2026</t>
        </is>
      </c>
      <c r="B139" s="1" t="n">
        <v>46114.42539351852</v>
      </c>
      <c r="C139" s="1" t="n">
        <v>46128</v>
      </c>
      <c r="D139" t="inlineStr">
        <is>
          <t>GOTLANDS LÄN</t>
        </is>
      </c>
      <c r="E139" t="inlineStr">
        <is>
          <t>GOTLAND</t>
        </is>
      </c>
      <c r="G139" t="n">
        <v>0.7</v>
      </c>
      <c r="H139" t="n">
        <v>0</v>
      </c>
      <c r="I139" t="n">
        <v>1</v>
      </c>
      <c r="J139" t="n">
        <v>0</v>
      </c>
      <c r="K139" t="n">
        <v>0</v>
      </c>
      <c r="L139" t="n">
        <v>1</v>
      </c>
      <c r="M139" t="n">
        <v>0</v>
      </c>
      <c r="N139" t="n">
        <v>0</v>
      </c>
      <c r="O139" t="n">
        <v>1</v>
      </c>
      <c r="P139" t="n">
        <v>1</v>
      </c>
      <c r="Q139" t="n">
        <v>2</v>
      </c>
      <c r="R139" s="2" t="inlineStr">
        <is>
          <t>Ask
Hasselticka</t>
        </is>
      </c>
      <c r="S139">
        <f>HYPERLINK("https://klasma.github.io/Logging_0980/artfynd/A 16997-2026 artfynd.xlsx", "A 16997-2026")</f>
        <v/>
      </c>
      <c r="T139">
        <f>HYPERLINK("https://klasma.github.io/Logging_0980/kartor/A 16997-2026 karta.png", "A 16997-2026")</f>
        <v/>
      </c>
      <c r="V139">
        <f>HYPERLINK("https://klasma.github.io/Logging_0980/klagomål/A 16997-2026 FSC-klagomål.docx", "A 16997-2026")</f>
        <v/>
      </c>
      <c r="W139">
        <f>HYPERLINK("https://klasma.github.io/Logging_0980/klagomålsmail/A 16997-2026 FSC-klagomål mail.docx", "A 16997-2026")</f>
        <v/>
      </c>
      <c r="X139">
        <f>HYPERLINK("https://klasma.github.io/Logging_0980/tillsyn/A 16997-2026 tillsynsbegäran.docx", "A 16997-2026")</f>
        <v/>
      </c>
      <c r="Y139">
        <f>HYPERLINK("https://klasma.github.io/Logging_0980/tillsynsmail/A 16997-2026 tillsynsbegäran mail.docx", "A 16997-2026")</f>
        <v/>
      </c>
    </row>
    <row r="140" ht="15" customHeight="1">
      <c r="A140" t="inlineStr">
        <is>
          <t>A 46362-2021</t>
        </is>
      </c>
      <c r="B140" s="1" t="n">
        <v>44442</v>
      </c>
      <c r="C140" s="1" t="n">
        <v>46128</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24245-2022</t>
        </is>
      </c>
      <c r="B141" s="1" t="n">
        <v>44725</v>
      </c>
      <c r="C141" s="1" t="n">
        <v>46128</v>
      </c>
      <c r="D141" t="inlineStr">
        <is>
          <t>GOTLANDS LÄN</t>
        </is>
      </c>
      <c r="E141" t="inlineStr">
        <is>
          <t>GOTLAND</t>
        </is>
      </c>
      <c r="G141" t="n">
        <v>4.9</v>
      </c>
      <c r="H141" t="n">
        <v>0</v>
      </c>
      <c r="I141" t="n">
        <v>0</v>
      </c>
      <c r="J141" t="n">
        <v>0</v>
      </c>
      <c r="K141" t="n">
        <v>0</v>
      </c>
      <c r="L141" t="n">
        <v>1</v>
      </c>
      <c r="M141" t="n">
        <v>0</v>
      </c>
      <c r="N141" t="n">
        <v>0</v>
      </c>
      <c r="O141" t="n">
        <v>1</v>
      </c>
      <c r="P141" t="n">
        <v>1</v>
      </c>
      <c r="Q141" t="n">
        <v>1</v>
      </c>
      <c r="R141" s="2" t="inlineStr">
        <is>
          <t>Slät taggsvamp</t>
        </is>
      </c>
      <c r="S141">
        <f>HYPERLINK("https://klasma.github.io/Logging_0980/artfynd/A 24245-2022 artfynd.xlsx", "A 24245-2022")</f>
        <v/>
      </c>
      <c r="T141">
        <f>HYPERLINK("https://klasma.github.io/Logging_0980/kartor/A 24245-2022 karta.png", "A 24245-2022")</f>
        <v/>
      </c>
      <c r="V141">
        <f>HYPERLINK("https://klasma.github.io/Logging_0980/klagomål/A 24245-2022 FSC-klagomål.docx", "A 24245-2022")</f>
        <v/>
      </c>
      <c r="W141">
        <f>HYPERLINK("https://klasma.github.io/Logging_0980/klagomålsmail/A 24245-2022 FSC-klagomål mail.docx", "A 24245-2022")</f>
        <v/>
      </c>
      <c r="X141">
        <f>HYPERLINK("https://klasma.github.io/Logging_0980/tillsyn/A 24245-2022 tillsynsbegäran.docx", "A 24245-2022")</f>
        <v/>
      </c>
      <c r="Y141">
        <f>HYPERLINK("https://klasma.github.io/Logging_0980/tillsynsmail/A 24245-2022 tillsynsbegäran mail.docx", "A 24245-2022")</f>
        <v/>
      </c>
    </row>
    <row r="142" ht="15" customHeight="1">
      <c r="A142" t="inlineStr">
        <is>
          <t>A 15637-2024</t>
        </is>
      </c>
      <c r="B142" s="1" t="n">
        <v>45403.6684837963</v>
      </c>
      <c r="C142" s="1" t="n">
        <v>46128</v>
      </c>
      <c r="D142" t="inlineStr">
        <is>
          <t>GOTLANDS LÄN</t>
        </is>
      </c>
      <c r="E142" t="inlineStr">
        <is>
          <t>GOTLAND</t>
        </is>
      </c>
      <c r="G142" t="n">
        <v>4.1</v>
      </c>
      <c r="H142" t="n">
        <v>1</v>
      </c>
      <c r="I142" t="n">
        <v>0</v>
      </c>
      <c r="J142" t="n">
        <v>0</v>
      </c>
      <c r="K142" t="n">
        <v>0</v>
      </c>
      <c r="L142" t="n">
        <v>0</v>
      </c>
      <c r="M142" t="n">
        <v>0</v>
      </c>
      <c r="N142" t="n">
        <v>0</v>
      </c>
      <c r="O142" t="n">
        <v>0</v>
      </c>
      <c r="P142" t="n">
        <v>0</v>
      </c>
      <c r="Q142" t="n">
        <v>1</v>
      </c>
      <c r="R142" s="2" t="inlineStr">
        <is>
          <t>Blåsippa</t>
        </is>
      </c>
      <c r="S142">
        <f>HYPERLINK("https://klasma.github.io/Logging_0980/artfynd/A 15637-2024 artfynd.xlsx", "A 15637-2024")</f>
        <v/>
      </c>
      <c r="T142">
        <f>HYPERLINK("https://klasma.github.io/Logging_0980/kartor/A 15637-2024 karta.png", "A 15637-2024")</f>
        <v/>
      </c>
      <c r="V142">
        <f>HYPERLINK("https://klasma.github.io/Logging_0980/klagomål/A 15637-2024 FSC-klagomål.docx", "A 15637-2024")</f>
        <v/>
      </c>
      <c r="W142">
        <f>HYPERLINK("https://klasma.github.io/Logging_0980/klagomålsmail/A 15637-2024 FSC-klagomål mail.docx", "A 15637-2024")</f>
        <v/>
      </c>
      <c r="X142">
        <f>HYPERLINK("https://klasma.github.io/Logging_0980/tillsyn/A 15637-2024 tillsynsbegäran.docx", "A 15637-2024")</f>
        <v/>
      </c>
      <c r="Y142">
        <f>HYPERLINK("https://klasma.github.io/Logging_0980/tillsynsmail/A 15637-2024 tillsynsbegäran mail.docx", "A 15637-2024")</f>
        <v/>
      </c>
    </row>
    <row r="143" ht="15" customHeight="1">
      <c r="A143" t="inlineStr">
        <is>
          <t>A 10218-2025</t>
        </is>
      </c>
      <c r="B143" s="1" t="n">
        <v>45720</v>
      </c>
      <c r="C143" s="1" t="n">
        <v>46128</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49847-2023</t>
        </is>
      </c>
      <c r="B144" s="1" t="n">
        <v>45212</v>
      </c>
      <c r="C144" s="1" t="n">
        <v>46128</v>
      </c>
      <c r="D144" t="inlineStr">
        <is>
          <t>GOTLANDS LÄN</t>
        </is>
      </c>
      <c r="E144" t="inlineStr">
        <is>
          <t>GOTLAND</t>
        </is>
      </c>
      <c r="G144" t="n">
        <v>35.2</v>
      </c>
      <c r="H144" t="n">
        <v>0</v>
      </c>
      <c r="I144" t="n">
        <v>0</v>
      </c>
      <c r="J144" t="n">
        <v>0</v>
      </c>
      <c r="K144" t="n">
        <v>1</v>
      </c>
      <c r="L144" t="n">
        <v>0</v>
      </c>
      <c r="M144" t="n">
        <v>0</v>
      </c>
      <c r="N144" t="n">
        <v>0</v>
      </c>
      <c r="O144" t="n">
        <v>1</v>
      </c>
      <c r="P144" t="n">
        <v>1</v>
      </c>
      <c r="Q144" t="n">
        <v>1</v>
      </c>
      <c r="R144" s="2" t="inlineStr">
        <is>
          <t>Strandviol</t>
        </is>
      </c>
      <c r="S144">
        <f>HYPERLINK("https://klasma.github.io/Logging_0980/artfynd/A 49847-2023 artfynd.xlsx", "A 49847-2023")</f>
        <v/>
      </c>
      <c r="T144">
        <f>HYPERLINK("https://klasma.github.io/Logging_0980/kartor/A 49847-2023 karta.png", "A 49847-2023")</f>
        <v/>
      </c>
      <c r="V144">
        <f>HYPERLINK("https://klasma.github.io/Logging_0980/klagomål/A 49847-2023 FSC-klagomål.docx", "A 49847-2023")</f>
        <v/>
      </c>
      <c r="W144">
        <f>HYPERLINK("https://klasma.github.io/Logging_0980/klagomålsmail/A 49847-2023 FSC-klagomål mail.docx", "A 49847-2023")</f>
        <v/>
      </c>
      <c r="X144">
        <f>HYPERLINK("https://klasma.github.io/Logging_0980/tillsyn/A 49847-2023 tillsynsbegäran.docx", "A 49847-2023")</f>
        <v/>
      </c>
      <c r="Y144">
        <f>HYPERLINK("https://klasma.github.io/Logging_0980/tillsynsmail/A 49847-2023 tillsynsbegäran mail.docx", "A 49847-2023")</f>
        <v/>
      </c>
    </row>
    <row r="145" ht="15" customHeight="1">
      <c r="A145" t="inlineStr">
        <is>
          <t>A 46527-2023</t>
        </is>
      </c>
      <c r="B145" s="1" t="n">
        <v>45197</v>
      </c>
      <c r="C145" s="1" t="n">
        <v>46128</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2476-2025</t>
        </is>
      </c>
      <c r="B146" s="1" t="n">
        <v>45673</v>
      </c>
      <c r="C146" s="1" t="n">
        <v>46128</v>
      </c>
      <c r="D146" t="inlineStr">
        <is>
          <t>GOTLANDS LÄN</t>
        </is>
      </c>
      <c r="E146" t="inlineStr">
        <is>
          <t>GOTLAND</t>
        </is>
      </c>
      <c r="G146" t="n">
        <v>3.1</v>
      </c>
      <c r="H146" t="n">
        <v>0</v>
      </c>
      <c r="I146" t="n">
        <v>1</v>
      </c>
      <c r="J146" t="n">
        <v>0</v>
      </c>
      <c r="K146" t="n">
        <v>0</v>
      </c>
      <c r="L146" t="n">
        <v>0</v>
      </c>
      <c r="M146" t="n">
        <v>0</v>
      </c>
      <c r="N146" t="n">
        <v>0</v>
      </c>
      <c r="O146" t="n">
        <v>0</v>
      </c>
      <c r="P146" t="n">
        <v>0</v>
      </c>
      <c r="Q146" t="n">
        <v>1</v>
      </c>
      <c r="R146" s="2" t="inlineStr">
        <is>
          <t>Kryddspindling</t>
        </is>
      </c>
      <c r="S146">
        <f>HYPERLINK("https://klasma.github.io/Logging_0980/artfynd/A 2476-2025 artfynd.xlsx", "A 2476-2025")</f>
        <v/>
      </c>
      <c r="T146">
        <f>HYPERLINK("https://klasma.github.io/Logging_0980/kartor/A 2476-2025 karta.png", "A 2476-2025")</f>
        <v/>
      </c>
      <c r="V146">
        <f>HYPERLINK("https://klasma.github.io/Logging_0980/klagomål/A 2476-2025 FSC-klagomål.docx", "A 2476-2025")</f>
        <v/>
      </c>
      <c r="W146">
        <f>HYPERLINK("https://klasma.github.io/Logging_0980/klagomålsmail/A 2476-2025 FSC-klagomål mail.docx", "A 2476-2025")</f>
        <v/>
      </c>
      <c r="X146">
        <f>HYPERLINK("https://klasma.github.io/Logging_0980/tillsyn/A 2476-2025 tillsynsbegäran.docx", "A 2476-2025")</f>
        <v/>
      </c>
      <c r="Y146">
        <f>HYPERLINK("https://klasma.github.io/Logging_0980/tillsynsmail/A 2476-2025 tillsynsbegäran mail.docx", "A 2476-2025")</f>
        <v/>
      </c>
    </row>
    <row r="147" ht="15" customHeight="1">
      <c r="A147" t="inlineStr">
        <is>
          <t>A 12324-2025</t>
        </is>
      </c>
      <c r="B147" s="1" t="n">
        <v>45730</v>
      </c>
      <c r="C147" s="1" t="n">
        <v>46128</v>
      </c>
      <c r="D147" t="inlineStr">
        <is>
          <t>GOTLANDS LÄN</t>
        </is>
      </c>
      <c r="E147" t="inlineStr">
        <is>
          <t>GOTLAND</t>
        </is>
      </c>
      <c r="G147" t="n">
        <v>5</v>
      </c>
      <c r="H147" t="n">
        <v>0</v>
      </c>
      <c r="I147" t="n">
        <v>0</v>
      </c>
      <c r="J147" t="n">
        <v>0</v>
      </c>
      <c r="K147" t="n">
        <v>1</v>
      </c>
      <c r="L147" t="n">
        <v>0</v>
      </c>
      <c r="M147" t="n">
        <v>0</v>
      </c>
      <c r="N147" t="n">
        <v>0</v>
      </c>
      <c r="O147" t="n">
        <v>1</v>
      </c>
      <c r="P147" t="n">
        <v>1</v>
      </c>
      <c r="Q147" t="n">
        <v>1</v>
      </c>
      <c r="R147" s="2" t="inlineStr">
        <is>
          <t>Sommarklynne</t>
        </is>
      </c>
      <c r="S147">
        <f>HYPERLINK("https://klasma.github.io/Logging_0980/artfynd/A 12324-2025 artfynd.xlsx", "A 12324-2025")</f>
        <v/>
      </c>
      <c r="T147">
        <f>HYPERLINK("https://klasma.github.io/Logging_0980/kartor/A 12324-2025 karta.png", "A 12324-2025")</f>
        <v/>
      </c>
      <c r="V147">
        <f>HYPERLINK("https://klasma.github.io/Logging_0980/klagomål/A 12324-2025 FSC-klagomål.docx", "A 12324-2025")</f>
        <v/>
      </c>
      <c r="W147">
        <f>HYPERLINK("https://klasma.github.io/Logging_0980/klagomålsmail/A 12324-2025 FSC-klagomål mail.docx", "A 12324-2025")</f>
        <v/>
      </c>
      <c r="X147">
        <f>HYPERLINK("https://klasma.github.io/Logging_0980/tillsyn/A 12324-2025 tillsynsbegäran.docx", "A 12324-2025")</f>
        <v/>
      </c>
      <c r="Y147">
        <f>HYPERLINK("https://klasma.github.io/Logging_0980/tillsynsmail/A 12324-2025 tillsynsbegäran mail.docx", "A 12324-2025")</f>
        <v/>
      </c>
    </row>
    <row r="148" ht="15" customHeight="1">
      <c r="A148" t="inlineStr">
        <is>
          <t>A 39812-2025</t>
        </is>
      </c>
      <c r="B148" s="1" t="n">
        <v>45891</v>
      </c>
      <c r="C148" s="1" t="n">
        <v>46128</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37591-2023</t>
        </is>
      </c>
      <c r="B149" s="1" t="n">
        <v>45159</v>
      </c>
      <c r="C149" s="1" t="n">
        <v>46128</v>
      </c>
      <c r="D149" t="inlineStr">
        <is>
          <t>GOTLANDS LÄN</t>
        </is>
      </c>
      <c r="E149" t="inlineStr">
        <is>
          <t>GOTLAND</t>
        </is>
      </c>
      <c r="G149" t="n">
        <v>8.300000000000001</v>
      </c>
      <c r="H149" t="n">
        <v>0</v>
      </c>
      <c r="I149" t="n">
        <v>0</v>
      </c>
      <c r="J149" t="n">
        <v>1</v>
      </c>
      <c r="K149" t="n">
        <v>0</v>
      </c>
      <c r="L149" t="n">
        <v>0</v>
      </c>
      <c r="M149" t="n">
        <v>0</v>
      </c>
      <c r="N149" t="n">
        <v>0</v>
      </c>
      <c r="O149" t="n">
        <v>1</v>
      </c>
      <c r="P149" t="n">
        <v>0</v>
      </c>
      <c r="Q149" t="n">
        <v>1</v>
      </c>
      <c r="R149" s="2" t="inlineStr">
        <is>
          <t>Ängsstarr</t>
        </is>
      </c>
      <c r="S149">
        <f>HYPERLINK("https://klasma.github.io/Logging_0980/artfynd/A 37591-2023 artfynd.xlsx", "A 37591-2023")</f>
        <v/>
      </c>
      <c r="T149">
        <f>HYPERLINK("https://klasma.github.io/Logging_0980/kartor/A 37591-2023 karta.png", "A 37591-2023")</f>
        <v/>
      </c>
      <c r="V149">
        <f>HYPERLINK("https://klasma.github.io/Logging_0980/klagomål/A 37591-2023 FSC-klagomål.docx", "A 37591-2023")</f>
        <v/>
      </c>
      <c r="W149">
        <f>HYPERLINK("https://klasma.github.io/Logging_0980/klagomålsmail/A 37591-2023 FSC-klagomål mail.docx", "A 37591-2023")</f>
        <v/>
      </c>
      <c r="X149">
        <f>HYPERLINK("https://klasma.github.io/Logging_0980/tillsyn/A 37591-2023 tillsynsbegäran.docx", "A 37591-2023")</f>
        <v/>
      </c>
      <c r="Y149">
        <f>HYPERLINK("https://klasma.github.io/Logging_0980/tillsynsmail/A 37591-2023 tillsynsbegäran mail.docx", "A 37591-2023")</f>
        <v/>
      </c>
    </row>
    <row r="150" ht="15" customHeight="1">
      <c r="A150" t="inlineStr">
        <is>
          <t>A 10995-2023</t>
        </is>
      </c>
      <c r="B150" s="1" t="n">
        <v>44986</v>
      </c>
      <c r="C150" s="1" t="n">
        <v>46128</v>
      </c>
      <c r="D150" t="inlineStr">
        <is>
          <t>GOTLANDS LÄN</t>
        </is>
      </c>
      <c r="E150" t="inlineStr">
        <is>
          <t>GOTLAND</t>
        </is>
      </c>
      <c r="G150" t="n">
        <v>2.8</v>
      </c>
      <c r="H150" t="n">
        <v>0</v>
      </c>
      <c r="I150" t="n">
        <v>0</v>
      </c>
      <c r="J150" t="n">
        <v>0</v>
      </c>
      <c r="K150" t="n">
        <v>1</v>
      </c>
      <c r="L150" t="n">
        <v>0</v>
      </c>
      <c r="M150" t="n">
        <v>0</v>
      </c>
      <c r="N150" t="n">
        <v>0</v>
      </c>
      <c r="O150" t="n">
        <v>1</v>
      </c>
      <c r="P150" t="n">
        <v>1</v>
      </c>
      <c r="Q150" t="n">
        <v>1</v>
      </c>
      <c r="R150" s="2" t="inlineStr">
        <is>
          <t>Violettfläckig spindling</t>
        </is>
      </c>
      <c r="S150">
        <f>HYPERLINK("https://klasma.github.io/Logging_0980/artfynd/A 10995-2023 artfynd.xlsx", "A 10995-2023")</f>
        <v/>
      </c>
      <c r="T150">
        <f>HYPERLINK("https://klasma.github.io/Logging_0980/kartor/A 10995-2023 karta.png", "A 10995-2023")</f>
        <v/>
      </c>
      <c r="V150">
        <f>HYPERLINK("https://klasma.github.io/Logging_0980/klagomål/A 10995-2023 FSC-klagomål.docx", "A 10995-2023")</f>
        <v/>
      </c>
      <c r="W150">
        <f>HYPERLINK("https://klasma.github.io/Logging_0980/klagomålsmail/A 10995-2023 FSC-klagomål mail.docx", "A 10995-2023")</f>
        <v/>
      </c>
      <c r="X150">
        <f>HYPERLINK("https://klasma.github.io/Logging_0980/tillsyn/A 10995-2023 tillsynsbegäran.docx", "A 10995-2023")</f>
        <v/>
      </c>
      <c r="Y150">
        <f>HYPERLINK("https://klasma.github.io/Logging_0980/tillsynsmail/A 10995-2023 tillsynsbegäran mail.docx", "A 10995-2023")</f>
        <v/>
      </c>
    </row>
    <row r="151" ht="15" customHeight="1">
      <c r="A151" t="inlineStr">
        <is>
          <t>A 12379-2024</t>
        </is>
      </c>
      <c r="B151" s="1" t="n">
        <v>45379.28155092592</v>
      </c>
      <c r="C151" s="1" t="n">
        <v>46128</v>
      </c>
      <c r="D151" t="inlineStr">
        <is>
          <t>GOTLANDS LÄN</t>
        </is>
      </c>
      <c r="E151" t="inlineStr">
        <is>
          <t>GOTLAND</t>
        </is>
      </c>
      <c r="G151" t="n">
        <v>4.4</v>
      </c>
      <c r="H151" t="n">
        <v>0</v>
      </c>
      <c r="I151" t="n">
        <v>0</v>
      </c>
      <c r="J151" t="n">
        <v>1</v>
      </c>
      <c r="K151" t="n">
        <v>0</v>
      </c>
      <c r="L151" t="n">
        <v>0</v>
      </c>
      <c r="M151" t="n">
        <v>0</v>
      </c>
      <c r="N151" t="n">
        <v>0</v>
      </c>
      <c r="O151" t="n">
        <v>1</v>
      </c>
      <c r="P151" t="n">
        <v>0</v>
      </c>
      <c r="Q151" t="n">
        <v>1</v>
      </c>
      <c r="R151" s="2" t="inlineStr">
        <is>
          <t>Svinrot</t>
        </is>
      </c>
      <c r="S151">
        <f>HYPERLINK("https://klasma.github.io/Logging_0980/artfynd/A 12379-2024 artfynd.xlsx", "A 12379-2024")</f>
        <v/>
      </c>
      <c r="T151">
        <f>HYPERLINK("https://klasma.github.io/Logging_0980/kartor/A 12379-2024 karta.png", "A 12379-2024")</f>
        <v/>
      </c>
      <c r="V151">
        <f>HYPERLINK("https://klasma.github.io/Logging_0980/klagomål/A 12379-2024 FSC-klagomål.docx", "A 12379-2024")</f>
        <v/>
      </c>
      <c r="W151">
        <f>HYPERLINK("https://klasma.github.io/Logging_0980/klagomålsmail/A 12379-2024 FSC-klagomål mail.docx", "A 12379-2024")</f>
        <v/>
      </c>
      <c r="X151">
        <f>HYPERLINK("https://klasma.github.io/Logging_0980/tillsyn/A 12379-2024 tillsynsbegäran.docx", "A 12379-2024")</f>
        <v/>
      </c>
      <c r="Y151">
        <f>HYPERLINK("https://klasma.github.io/Logging_0980/tillsynsmail/A 12379-2024 tillsynsbegäran mail.docx", "A 12379-2024")</f>
        <v/>
      </c>
    </row>
    <row r="152" ht="15" customHeight="1">
      <c r="A152" t="inlineStr">
        <is>
          <t>A 62552-2022</t>
        </is>
      </c>
      <c r="B152" s="1" t="n">
        <v>44924</v>
      </c>
      <c r="C152" s="1" t="n">
        <v>46128</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21466-2025</t>
        </is>
      </c>
      <c r="B153" s="1" t="n">
        <v>45782</v>
      </c>
      <c r="C153" s="1" t="n">
        <v>46128</v>
      </c>
      <c r="D153" t="inlineStr">
        <is>
          <t>GOTLANDS LÄN</t>
        </is>
      </c>
      <c r="E153" t="inlineStr">
        <is>
          <t>GOTLAND</t>
        </is>
      </c>
      <c r="F153" t="inlineStr">
        <is>
          <t>Övriga statliga verk och myndigheter</t>
        </is>
      </c>
      <c r="G153" t="n">
        <v>1.7</v>
      </c>
      <c r="H153" t="n">
        <v>1</v>
      </c>
      <c r="I153" t="n">
        <v>0</v>
      </c>
      <c r="J153" t="n">
        <v>0</v>
      </c>
      <c r="K153" t="n">
        <v>0</v>
      </c>
      <c r="L153" t="n">
        <v>0</v>
      </c>
      <c r="M153" t="n">
        <v>0</v>
      </c>
      <c r="N153" t="n">
        <v>0</v>
      </c>
      <c r="O153" t="n">
        <v>0</v>
      </c>
      <c r="P153" t="n">
        <v>0</v>
      </c>
      <c r="Q153" t="n">
        <v>1</v>
      </c>
      <c r="R153" s="2" t="inlineStr">
        <is>
          <t>Blåsippa</t>
        </is>
      </c>
      <c r="S153">
        <f>HYPERLINK("https://klasma.github.io/Logging_0980/artfynd/A 21466-2025 artfynd.xlsx", "A 21466-2025")</f>
        <v/>
      </c>
      <c r="T153">
        <f>HYPERLINK("https://klasma.github.io/Logging_0980/kartor/A 21466-2025 karta.png", "A 21466-2025")</f>
        <v/>
      </c>
      <c r="V153">
        <f>HYPERLINK("https://klasma.github.io/Logging_0980/klagomål/A 21466-2025 FSC-klagomål.docx", "A 21466-2025")</f>
        <v/>
      </c>
      <c r="W153">
        <f>HYPERLINK("https://klasma.github.io/Logging_0980/klagomålsmail/A 21466-2025 FSC-klagomål mail.docx", "A 21466-2025")</f>
        <v/>
      </c>
      <c r="X153">
        <f>HYPERLINK("https://klasma.github.io/Logging_0980/tillsyn/A 21466-2025 tillsynsbegäran.docx", "A 21466-2025")</f>
        <v/>
      </c>
      <c r="Y153">
        <f>HYPERLINK("https://klasma.github.io/Logging_0980/tillsynsmail/A 21466-2025 tillsynsbegäran mail.docx", "A 21466-2025")</f>
        <v/>
      </c>
    </row>
    <row r="154" ht="15" customHeight="1">
      <c r="A154" t="inlineStr">
        <is>
          <t>A 44088-2022</t>
        </is>
      </c>
      <c r="B154" s="1" t="n">
        <v>44839</v>
      </c>
      <c r="C154" s="1" t="n">
        <v>46128</v>
      </c>
      <c r="D154" t="inlineStr">
        <is>
          <t>GOTLANDS LÄN</t>
        </is>
      </c>
      <c r="E154" t="inlineStr">
        <is>
          <t>GOTLAND</t>
        </is>
      </c>
      <c r="G154" t="n">
        <v>1.5</v>
      </c>
      <c r="H154" t="n">
        <v>0</v>
      </c>
      <c r="I154" t="n">
        <v>1</v>
      </c>
      <c r="J154" t="n">
        <v>0</v>
      </c>
      <c r="K154" t="n">
        <v>0</v>
      </c>
      <c r="L154" t="n">
        <v>0</v>
      </c>
      <c r="M154" t="n">
        <v>0</v>
      </c>
      <c r="N154" t="n">
        <v>0</v>
      </c>
      <c r="O154" t="n">
        <v>0</v>
      </c>
      <c r="P154" t="n">
        <v>0</v>
      </c>
      <c r="Q154" t="n">
        <v>1</v>
      </c>
      <c r="R154" s="2" t="inlineStr">
        <is>
          <t>Strävlosta</t>
        </is>
      </c>
      <c r="S154">
        <f>HYPERLINK("https://klasma.github.io/Logging_0980/artfynd/A 44088-2022 artfynd.xlsx", "A 44088-2022")</f>
        <v/>
      </c>
      <c r="T154">
        <f>HYPERLINK("https://klasma.github.io/Logging_0980/kartor/A 44088-2022 karta.png", "A 44088-2022")</f>
        <v/>
      </c>
      <c r="V154">
        <f>HYPERLINK("https://klasma.github.io/Logging_0980/klagomål/A 44088-2022 FSC-klagomål.docx", "A 44088-2022")</f>
        <v/>
      </c>
      <c r="W154">
        <f>HYPERLINK("https://klasma.github.io/Logging_0980/klagomålsmail/A 44088-2022 FSC-klagomål mail.docx", "A 44088-2022")</f>
        <v/>
      </c>
      <c r="X154">
        <f>HYPERLINK("https://klasma.github.io/Logging_0980/tillsyn/A 44088-2022 tillsynsbegäran.docx", "A 44088-2022")</f>
        <v/>
      </c>
      <c r="Y154">
        <f>HYPERLINK("https://klasma.github.io/Logging_0980/tillsynsmail/A 44088-2022 tillsynsbegäran mail.docx", "A 44088-2022")</f>
        <v/>
      </c>
    </row>
    <row r="155" ht="15" customHeight="1">
      <c r="A155" t="inlineStr">
        <is>
          <t>A 10440-2024</t>
        </is>
      </c>
      <c r="B155" s="1" t="n">
        <v>45366.32818287037</v>
      </c>
      <c r="C155" s="1" t="n">
        <v>46128</v>
      </c>
      <c r="D155" t="inlineStr">
        <is>
          <t>GOTLANDS LÄN</t>
        </is>
      </c>
      <c r="E155" t="inlineStr">
        <is>
          <t>GOTLAND</t>
        </is>
      </c>
      <c r="G155" t="n">
        <v>2.5</v>
      </c>
      <c r="H155" t="n">
        <v>1</v>
      </c>
      <c r="I155" t="n">
        <v>0</v>
      </c>
      <c r="J155" t="n">
        <v>1</v>
      </c>
      <c r="K155" t="n">
        <v>0</v>
      </c>
      <c r="L155" t="n">
        <v>0</v>
      </c>
      <c r="M155" t="n">
        <v>0</v>
      </c>
      <c r="N155" t="n">
        <v>0</v>
      </c>
      <c r="O155" t="n">
        <v>1</v>
      </c>
      <c r="P155" t="n">
        <v>0</v>
      </c>
      <c r="Q155" t="n">
        <v>1</v>
      </c>
      <c r="R155" s="2" t="inlineStr">
        <is>
          <t>Mindre hackspett</t>
        </is>
      </c>
      <c r="S155">
        <f>HYPERLINK("https://klasma.github.io/Logging_0980/artfynd/A 10440-2024 artfynd.xlsx", "A 10440-2024")</f>
        <v/>
      </c>
      <c r="T155">
        <f>HYPERLINK("https://klasma.github.io/Logging_0980/kartor/A 10440-2024 karta.png", "A 10440-2024")</f>
        <v/>
      </c>
      <c r="V155">
        <f>HYPERLINK("https://klasma.github.io/Logging_0980/klagomål/A 10440-2024 FSC-klagomål.docx", "A 10440-2024")</f>
        <v/>
      </c>
      <c r="W155">
        <f>HYPERLINK("https://klasma.github.io/Logging_0980/klagomålsmail/A 10440-2024 FSC-klagomål mail.docx", "A 10440-2024")</f>
        <v/>
      </c>
      <c r="X155">
        <f>HYPERLINK("https://klasma.github.io/Logging_0980/tillsyn/A 10440-2024 tillsynsbegäran.docx", "A 10440-2024")</f>
        <v/>
      </c>
      <c r="Y155">
        <f>HYPERLINK("https://klasma.github.io/Logging_0980/tillsynsmail/A 10440-2024 tillsynsbegäran mail.docx", "A 10440-2024")</f>
        <v/>
      </c>
      <c r="Z155">
        <f>HYPERLINK("https://klasma.github.io/Logging_0980/fåglar/A 10440-2024 prioriterade fågelarter.docx", "A 10440-2024")</f>
        <v/>
      </c>
    </row>
    <row r="156" ht="15" customHeight="1">
      <c r="A156" t="inlineStr">
        <is>
          <t>A 35467-2021</t>
        </is>
      </c>
      <c r="B156" s="1" t="n">
        <v>44385</v>
      </c>
      <c r="C156" s="1" t="n">
        <v>46128</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44308-2021</t>
        </is>
      </c>
      <c r="B157" s="1" t="n">
        <v>44434</v>
      </c>
      <c r="C157" s="1" t="n">
        <v>46128</v>
      </c>
      <c r="D157" t="inlineStr">
        <is>
          <t>GOTLANDS LÄN</t>
        </is>
      </c>
      <c r="E157" t="inlineStr">
        <is>
          <t>GOTLAND</t>
        </is>
      </c>
      <c r="G157" t="n">
        <v>5.9</v>
      </c>
      <c r="H157" t="n">
        <v>0</v>
      </c>
      <c r="I157" t="n">
        <v>1</v>
      </c>
      <c r="J157" t="n">
        <v>0</v>
      </c>
      <c r="K157" t="n">
        <v>0</v>
      </c>
      <c r="L157" t="n">
        <v>0</v>
      </c>
      <c r="M157" t="n">
        <v>0</v>
      </c>
      <c r="N157" t="n">
        <v>0</v>
      </c>
      <c r="O157" t="n">
        <v>0</v>
      </c>
      <c r="P157" t="n">
        <v>0</v>
      </c>
      <c r="Q157" t="n">
        <v>1</v>
      </c>
      <c r="R157" s="2" t="inlineStr">
        <is>
          <t>Svavelriska</t>
        </is>
      </c>
      <c r="S157">
        <f>HYPERLINK("https://klasma.github.io/Logging_0980/artfynd/A 44308-2021 artfynd.xlsx", "A 44308-2021")</f>
        <v/>
      </c>
      <c r="T157">
        <f>HYPERLINK("https://klasma.github.io/Logging_0980/kartor/A 44308-2021 karta.png", "A 44308-2021")</f>
        <v/>
      </c>
      <c r="V157">
        <f>HYPERLINK("https://klasma.github.io/Logging_0980/klagomål/A 44308-2021 FSC-klagomål.docx", "A 44308-2021")</f>
        <v/>
      </c>
      <c r="W157">
        <f>HYPERLINK("https://klasma.github.io/Logging_0980/klagomålsmail/A 44308-2021 FSC-klagomål mail.docx", "A 44308-2021")</f>
        <v/>
      </c>
      <c r="X157">
        <f>HYPERLINK("https://klasma.github.io/Logging_0980/tillsyn/A 44308-2021 tillsynsbegäran.docx", "A 44308-2021")</f>
        <v/>
      </c>
      <c r="Y157">
        <f>HYPERLINK("https://klasma.github.io/Logging_0980/tillsynsmail/A 44308-2021 tillsynsbegäran mail.docx", "A 44308-2021")</f>
        <v/>
      </c>
    </row>
    <row r="158" ht="15" customHeight="1">
      <c r="A158" t="inlineStr">
        <is>
          <t>A 44619-2025</t>
        </is>
      </c>
      <c r="B158" s="1" t="n">
        <v>45917</v>
      </c>
      <c r="C158" s="1" t="n">
        <v>46128</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447-2023</t>
        </is>
      </c>
      <c r="B159" s="1" t="n">
        <v>44929</v>
      </c>
      <c r="C159" s="1" t="n">
        <v>46128</v>
      </c>
      <c r="D159" t="inlineStr">
        <is>
          <t>GOTLANDS LÄN</t>
        </is>
      </c>
      <c r="E159" t="inlineStr">
        <is>
          <t>GOTLAND</t>
        </is>
      </c>
      <c r="G159" t="n">
        <v>5.1</v>
      </c>
      <c r="H159" t="n">
        <v>0</v>
      </c>
      <c r="I159" t="n">
        <v>0</v>
      </c>
      <c r="J159" t="n">
        <v>1</v>
      </c>
      <c r="K159" t="n">
        <v>0</v>
      </c>
      <c r="L159" t="n">
        <v>0</v>
      </c>
      <c r="M159" t="n">
        <v>0</v>
      </c>
      <c r="N159" t="n">
        <v>0</v>
      </c>
      <c r="O159" t="n">
        <v>1</v>
      </c>
      <c r="P159" t="n">
        <v>0</v>
      </c>
      <c r="Q159" t="n">
        <v>1</v>
      </c>
      <c r="R159" s="2" t="inlineStr">
        <is>
          <t>Äggspindling</t>
        </is>
      </c>
      <c r="S159">
        <f>HYPERLINK("https://klasma.github.io/Logging_0980/artfynd/A 447-2023 artfynd.xlsx", "A 447-2023")</f>
        <v/>
      </c>
      <c r="T159">
        <f>HYPERLINK("https://klasma.github.io/Logging_0980/kartor/A 447-2023 karta.png", "A 447-2023")</f>
        <v/>
      </c>
      <c r="V159">
        <f>HYPERLINK("https://klasma.github.io/Logging_0980/klagomål/A 447-2023 FSC-klagomål.docx", "A 447-2023")</f>
        <v/>
      </c>
      <c r="W159">
        <f>HYPERLINK("https://klasma.github.io/Logging_0980/klagomålsmail/A 447-2023 FSC-klagomål mail.docx", "A 447-2023")</f>
        <v/>
      </c>
      <c r="X159">
        <f>HYPERLINK("https://klasma.github.io/Logging_0980/tillsyn/A 447-2023 tillsynsbegäran.docx", "A 447-2023")</f>
        <v/>
      </c>
      <c r="Y159">
        <f>HYPERLINK("https://klasma.github.io/Logging_0980/tillsynsmail/A 447-2023 tillsynsbegäran mail.docx", "A 447-2023")</f>
        <v/>
      </c>
    </row>
    <row r="160" ht="15" customHeight="1">
      <c r="A160" t="inlineStr">
        <is>
          <t>A 947-2023</t>
        </is>
      </c>
      <c r="B160" s="1" t="n">
        <v>44934</v>
      </c>
      <c r="C160" s="1" t="n">
        <v>46128</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49304-2024</t>
        </is>
      </c>
      <c r="B161" s="1" t="n">
        <v>45595.54996527778</v>
      </c>
      <c r="C161" s="1" t="n">
        <v>46128</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26461-2025</t>
        </is>
      </c>
      <c r="B162" s="1" t="n">
        <v>45807.43337962963</v>
      </c>
      <c r="C162" s="1" t="n">
        <v>46128</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63576-2021</t>
        </is>
      </c>
      <c r="B163" s="1" t="n">
        <v>44508</v>
      </c>
      <c r="C163" s="1" t="n">
        <v>46128</v>
      </c>
      <c r="D163" t="inlineStr">
        <is>
          <t>GOTLANDS LÄN</t>
        </is>
      </c>
      <c r="E163" t="inlineStr">
        <is>
          <t>GOTLAND</t>
        </is>
      </c>
      <c r="F163" t="inlineStr">
        <is>
          <t>Kyrkan</t>
        </is>
      </c>
      <c r="G163" t="n">
        <v>4.1</v>
      </c>
      <c r="H163" t="n">
        <v>1</v>
      </c>
      <c r="I163" t="n">
        <v>0</v>
      </c>
      <c r="J163" t="n">
        <v>1</v>
      </c>
      <c r="K163" t="n">
        <v>0</v>
      </c>
      <c r="L163" t="n">
        <v>0</v>
      </c>
      <c r="M163" t="n">
        <v>0</v>
      </c>
      <c r="N163" t="n">
        <v>0</v>
      </c>
      <c r="O163" t="n">
        <v>1</v>
      </c>
      <c r="P163" t="n">
        <v>0</v>
      </c>
      <c r="Q163" t="n">
        <v>1</v>
      </c>
      <c r="R163" s="2" t="inlineStr">
        <is>
          <t>Dårgräsfjäril</t>
        </is>
      </c>
      <c r="S163">
        <f>HYPERLINK("https://klasma.github.io/Logging_0980/artfynd/A 63576-2021 artfynd.xlsx", "A 63576-2021")</f>
        <v/>
      </c>
      <c r="T163">
        <f>HYPERLINK("https://klasma.github.io/Logging_0980/kartor/A 63576-2021 karta.png", "A 63576-2021")</f>
        <v/>
      </c>
      <c r="V163">
        <f>HYPERLINK("https://klasma.github.io/Logging_0980/klagomål/A 63576-2021 FSC-klagomål.docx", "A 63576-2021")</f>
        <v/>
      </c>
      <c r="W163">
        <f>HYPERLINK("https://klasma.github.io/Logging_0980/klagomålsmail/A 63576-2021 FSC-klagomål mail.docx", "A 63576-2021")</f>
        <v/>
      </c>
      <c r="X163">
        <f>HYPERLINK("https://klasma.github.io/Logging_0980/tillsyn/A 63576-2021 tillsynsbegäran.docx", "A 63576-2021")</f>
        <v/>
      </c>
      <c r="Y163">
        <f>HYPERLINK("https://klasma.github.io/Logging_0980/tillsynsmail/A 63576-2021 tillsynsbegäran mail.docx", "A 63576-2021")</f>
        <v/>
      </c>
    </row>
    <row r="164" ht="15" customHeight="1">
      <c r="A164" t="inlineStr">
        <is>
          <t>A 64700-2021</t>
        </is>
      </c>
      <c r="B164" s="1" t="n">
        <v>44511</v>
      </c>
      <c r="C164" s="1" t="n">
        <v>46128</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49726-2025</t>
        </is>
      </c>
      <c r="B165" s="1" t="n">
        <v>45939.84466435185</v>
      </c>
      <c r="C165" s="1" t="n">
        <v>46128</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27589-2023</t>
        </is>
      </c>
      <c r="B166" s="1" t="n">
        <v>45097</v>
      </c>
      <c r="C166" s="1" t="n">
        <v>46128</v>
      </c>
      <c r="D166" t="inlineStr">
        <is>
          <t>GOTLANDS LÄN</t>
        </is>
      </c>
      <c r="E166" t="inlineStr">
        <is>
          <t>GOTLAND</t>
        </is>
      </c>
      <c r="G166" t="n">
        <v>5.4</v>
      </c>
      <c r="H166" t="n">
        <v>0</v>
      </c>
      <c r="I166" t="n">
        <v>0</v>
      </c>
      <c r="J166" t="n">
        <v>0</v>
      </c>
      <c r="K166" t="n">
        <v>0</v>
      </c>
      <c r="L166" t="n">
        <v>0</v>
      </c>
      <c r="M166" t="n">
        <v>1</v>
      </c>
      <c r="N166" t="n">
        <v>0</v>
      </c>
      <c r="O166" t="n">
        <v>1</v>
      </c>
      <c r="P166" t="n">
        <v>1</v>
      </c>
      <c r="Q166" t="n">
        <v>1</v>
      </c>
      <c r="R166" s="2" t="inlineStr">
        <is>
          <t>Skogsalm</t>
        </is>
      </c>
      <c r="S166">
        <f>HYPERLINK("https://klasma.github.io/Logging_0980/artfynd/A 27589-2023 artfynd.xlsx", "A 27589-2023")</f>
        <v/>
      </c>
      <c r="T166">
        <f>HYPERLINK("https://klasma.github.io/Logging_0980/kartor/A 27589-2023 karta.png", "A 27589-2023")</f>
        <v/>
      </c>
      <c r="V166">
        <f>HYPERLINK("https://klasma.github.io/Logging_0980/klagomål/A 27589-2023 FSC-klagomål.docx", "A 27589-2023")</f>
        <v/>
      </c>
      <c r="W166">
        <f>HYPERLINK("https://klasma.github.io/Logging_0980/klagomålsmail/A 27589-2023 FSC-klagomål mail.docx", "A 27589-2023")</f>
        <v/>
      </c>
      <c r="X166">
        <f>HYPERLINK("https://klasma.github.io/Logging_0980/tillsyn/A 27589-2023 tillsynsbegäran.docx", "A 27589-2023")</f>
        <v/>
      </c>
      <c r="Y166">
        <f>HYPERLINK("https://klasma.github.io/Logging_0980/tillsynsmail/A 27589-2023 tillsynsbegäran mail.docx", "A 27589-2023")</f>
        <v/>
      </c>
    </row>
    <row r="167" ht="15" customHeight="1">
      <c r="A167" t="inlineStr">
        <is>
          <t>A 1477-2024</t>
        </is>
      </c>
      <c r="B167" s="1" t="n">
        <v>45305.37987268518</v>
      </c>
      <c r="C167" s="1" t="n">
        <v>46128</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35574-2024</t>
        </is>
      </c>
      <c r="B168" s="1" t="n">
        <v>45531</v>
      </c>
      <c r="C168" s="1" t="n">
        <v>46128</v>
      </c>
      <c r="D168" t="inlineStr">
        <is>
          <t>GOTLANDS LÄN</t>
        </is>
      </c>
      <c r="E168" t="inlineStr">
        <is>
          <t>GOTLAND</t>
        </is>
      </c>
      <c r="G168" t="n">
        <v>5.7</v>
      </c>
      <c r="H168" t="n">
        <v>0</v>
      </c>
      <c r="I168" t="n">
        <v>1</v>
      </c>
      <c r="J168" t="n">
        <v>0</v>
      </c>
      <c r="K168" t="n">
        <v>0</v>
      </c>
      <c r="L168" t="n">
        <v>0</v>
      </c>
      <c r="M168" t="n">
        <v>0</v>
      </c>
      <c r="N168" t="n">
        <v>0</v>
      </c>
      <c r="O168" t="n">
        <v>0</v>
      </c>
      <c r="P168" t="n">
        <v>0</v>
      </c>
      <c r="Q168" t="n">
        <v>1</v>
      </c>
      <c r="R168" s="2" t="inlineStr">
        <is>
          <t>Murgröna</t>
        </is>
      </c>
      <c r="S168">
        <f>HYPERLINK("https://klasma.github.io/Logging_0980/artfynd/A 35574-2024 artfynd.xlsx", "A 35574-2024")</f>
        <v/>
      </c>
      <c r="T168">
        <f>HYPERLINK("https://klasma.github.io/Logging_0980/kartor/A 35574-2024 karta.png", "A 35574-2024")</f>
        <v/>
      </c>
      <c r="V168">
        <f>HYPERLINK("https://klasma.github.io/Logging_0980/klagomål/A 35574-2024 FSC-klagomål.docx", "A 35574-2024")</f>
        <v/>
      </c>
      <c r="W168">
        <f>HYPERLINK("https://klasma.github.io/Logging_0980/klagomålsmail/A 35574-2024 FSC-klagomål mail.docx", "A 35574-2024")</f>
        <v/>
      </c>
      <c r="X168">
        <f>HYPERLINK("https://klasma.github.io/Logging_0980/tillsyn/A 35574-2024 tillsynsbegäran.docx", "A 35574-2024")</f>
        <v/>
      </c>
      <c r="Y168">
        <f>HYPERLINK("https://klasma.github.io/Logging_0980/tillsynsmail/A 35574-2024 tillsynsbegäran mail.docx", "A 35574-2024")</f>
        <v/>
      </c>
    </row>
    <row r="169" ht="15" customHeight="1">
      <c r="A169" t="inlineStr">
        <is>
          <t>A 7637-2025</t>
        </is>
      </c>
      <c r="B169" s="1" t="n">
        <v>45705.77181712963</v>
      </c>
      <c r="C169" s="1" t="n">
        <v>46128</v>
      </c>
      <c r="D169" t="inlineStr">
        <is>
          <t>GOTLANDS LÄN</t>
        </is>
      </c>
      <c r="E169" t="inlineStr">
        <is>
          <t>GOTLAND</t>
        </is>
      </c>
      <c r="G169" t="n">
        <v>3.7</v>
      </c>
      <c r="H169" t="n">
        <v>0</v>
      </c>
      <c r="I169" t="n">
        <v>0</v>
      </c>
      <c r="J169" t="n">
        <v>0</v>
      </c>
      <c r="K169" t="n">
        <v>0</v>
      </c>
      <c r="L169" t="n">
        <v>0</v>
      </c>
      <c r="M169" t="n">
        <v>1</v>
      </c>
      <c r="N169" t="n">
        <v>0</v>
      </c>
      <c r="O169" t="n">
        <v>1</v>
      </c>
      <c r="P169" t="n">
        <v>1</v>
      </c>
      <c r="Q169" t="n">
        <v>1</v>
      </c>
      <c r="R169" s="2" t="inlineStr">
        <is>
          <t>Skogsalm</t>
        </is>
      </c>
      <c r="S169">
        <f>HYPERLINK("https://klasma.github.io/Logging_0980/artfynd/A 7637-2025 artfynd.xlsx", "A 7637-2025")</f>
        <v/>
      </c>
      <c r="T169">
        <f>HYPERLINK("https://klasma.github.io/Logging_0980/kartor/A 7637-2025 karta.png", "A 7637-2025")</f>
        <v/>
      </c>
      <c r="V169">
        <f>HYPERLINK("https://klasma.github.io/Logging_0980/klagomål/A 7637-2025 FSC-klagomål.docx", "A 7637-2025")</f>
        <v/>
      </c>
      <c r="W169">
        <f>HYPERLINK("https://klasma.github.io/Logging_0980/klagomålsmail/A 7637-2025 FSC-klagomål mail.docx", "A 7637-2025")</f>
        <v/>
      </c>
      <c r="X169">
        <f>HYPERLINK("https://klasma.github.io/Logging_0980/tillsyn/A 7637-2025 tillsynsbegäran.docx", "A 7637-2025")</f>
        <v/>
      </c>
      <c r="Y169">
        <f>HYPERLINK("https://klasma.github.io/Logging_0980/tillsynsmail/A 7637-2025 tillsynsbegäran mail.docx", "A 7637-2025")</f>
        <v/>
      </c>
    </row>
    <row r="170" ht="15" customHeight="1">
      <c r="A170" t="inlineStr">
        <is>
          <t>A 44304-2021</t>
        </is>
      </c>
      <c r="B170" s="1" t="n">
        <v>44434</v>
      </c>
      <c r="C170" s="1" t="n">
        <v>46128</v>
      </c>
      <c r="D170" t="inlineStr">
        <is>
          <t>GOTLANDS LÄN</t>
        </is>
      </c>
      <c r="E170" t="inlineStr">
        <is>
          <t>GOTLAND</t>
        </is>
      </c>
      <c r="G170" t="n">
        <v>5.8</v>
      </c>
      <c r="H170" t="n">
        <v>0</v>
      </c>
      <c r="I170" t="n">
        <v>0</v>
      </c>
      <c r="J170" t="n">
        <v>1</v>
      </c>
      <c r="K170" t="n">
        <v>0</v>
      </c>
      <c r="L170" t="n">
        <v>0</v>
      </c>
      <c r="M170" t="n">
        <v>0</v>
      </c>
      <c r="N170" t="n">
        <v>0</v>
      </c>
      <c r="O170" t="n">
        <v>1</v>
      </c>
      <c r="P170" t="n">
        <v>0</v>
      </c>
      <c r="Q170" t="n">
        <v>1</v>
      </c>
      <c r="R170" s="2" t="inlineStr">
        <is>
          <t>Svinrot</t>
        </is>
      </c>
      <c r="S170">
        <f>HYPERLINK("https://klasma.github.io/Logging_0980/artfynd/A 44304-2021 artfynd.xlsx", "A 44304-2021")</f>
        <v/>
      </c>
      <c r="T170">
        <f>HYPERLINK("https://klasma.github.io/Logging_0980/kartor/A 44304-2021 karta.png", "A 44304-2021")</f>
        <v/>
      </c>
      <c r="V170">
        <f>HYPERLINK("https://klasma.github.io/Logging_0980/klagomål/A 44304-2021 FSC-klagomål.docx", "A 44304-2021")</f>
        <v/>
      </c>
      <c r="W170">
        <f>HYPERLINK("https://klasma.github.io/Logging_0980/klagomålsmail/A 44304-2021 FSC-klagomål mail.docx", "A 44304-2021")</f>
        <v/>
      </c>
      <c r="X170">
        <f>HYPERLINK("https://klasma.github.io/Logging_0980/tillsyn/A 44304-2021 tillsynsbegäran.docx", "A 44304-2021")</f>
        <v/>
      </c>
      <c r="Y170">
        <f>HYPERLINK("https://klasma.github.io/Logging_0980/tillsynsmail/A 44304-2021 tillsynsbegäran mail.docx", "A 44304-2021")</f>
        <v/>
      </c>
    </row>
    <row r="171" ht="15" customHeight="1">
      <c r="A171" t="inlineStr">
        <is>
          <t>A 34141-2024</t>
        </is>
      </c>
      <c r="B171" s="1" t="n">
        <v>45524.36229166666</v>
      </c>
      <c r="C171" s="1" t="n">
        <v>46128</v>
      </c>
      <c r="D171" t="inlineStr">
        <is>
          <t>GOTLANDS LÄN</t>
        </is>
      </c>
      <c r="E171" t="inlineStr">
        <is>
          <t>GOTLAND</t>
        </is>
      </c>
      <c r="G171" t="n">
        <v>0.9</v>
      </c>
      <c r="H171" t="n">
        <v>0</v>
      </c>
      <c r="I171" t="n">
        <v>1</v>
      </c>
      <c r="J171" t="n">
        <v>0</v>
      </c>
      <c r="K171" t="n">
        <v>0</v>
      </c>
      <c r="L171" t="n">
        <v>0</v>
      </c>
      <c r="M171" t="n">
        <v>0</v>
      </c>
      <c r="N171" t="n">
        <v>0</v>
      </c>
      <c r="O171" t="n">
        <v>0</v>
      </c>
      <c r="P171" t="n">
        <v>0</v>
      </c>
      <c r="Q171" t="n">
        <v>1</v>
      </c>
      <c r="R171" s="2" t="inlineStr">
        <is>
          <t>Strävlosta</t>
        </is>
      </c>
      <c r="S171">
        <f>HYPERLINK("https://klasma.github.io/Logging_0980/artfynd/A 34141-2024 artfynd.xlsx", "A 34141-2024")</f>
        <v/>
      </c>
      <c r="T171">
        <f>HYPERLINK("https://klasma.github.io/Logging_0980/kartor/A 34141-2024 karta.png", "A 34141-2024")</f>
        <v/>
      </c>
      <c r="V171">
        <f>HYPERLINK("https://klasma.github.io/Logging_0980/klagomål/A 34141-2024 FSC-klagomål.docx", "A 34141-2024")</f>
        <v/>
      </c>
      <c r="W171">
        <f>HYPERLINK("https://klasma.github.io/Logging_0980/klagomålsmail/A 34141-2024 FSC-klagomål mail.docx", "A 34141-2024")</f>
        <v/>
      </c>
      <c r="X171">
        <f>HYPERLINK("https://klasma.github.io/Logging_0980/tillsyn/A 34141-2024 tillsynsbegäran.docx", "A 34141-2024")</f>
        <v/>
      </c>
      <c r="Y171">
        <f>HYPERLINK("https://klasma.github.io/Logging_0980/tillsynsmail/A 34141-2024 tillsynsbegäran mail.docx", "A 34141-2024")</f>
        <v/>
      </c>
    </row>
    <row r="172" ht="15" customHeight="1">
      <c r="A172" t="inlineStr">
        <is>
          <t>A 9862-2024</t>
        </is>
      </c>
      <c r="B172" s="1" t="n">
        <v>45363</v>
      </c>
      <c r="C172" s="1" t="n">
        <v>46128</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6303-2024</t>
        </is>
      </c>
      <c r="B173" s="1" t="n">
        <v>45338.35376157407</v>
      </c>
      <c r="C173" s="1" t="n">
        <v>46128</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12924-2025</t>
        </is>
      </c>
      <c r="B174" s="1" t="n">
        <v>45734</v>
      </c>
      <c r="C174" s="1" t="n">
        <v>46128</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34809-2024</t>
        </is>
      </c>
      <c r="B175" s="1" t="n">
        <v>45526</v>
      </c>
      <c r="C175" s="1" t="n">
        <v>46128</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25977-2024</t>
        </is>
      </c>
      <c r="B176" s="1" t="n">
        <v>45467.69356481481</v>
      </c>
      <c r="C176" s="1" t="n">
        <v>46128</v>
      </c>
      <c r="D176" t="inlineStr">
        <is>
          <t>GOTLANDS LÄN</t>
        </is>
      </c>
      <c r="E176" t="inlineStr">
        <is>
          <t>GOTLAND</t>
        </is>
      </c>
      <c r="G176" t="n">
        <v>3</v>
      </c>
      <c r="H176" t="n">
        <v>1</v>
      </c>
      <c r="I176" t="n">
        <v>0</v>
      </c>
      <c r="J176" t="n">
        <v>0</v>
      </c>
      <c r="K176" t="n">
        <v>0</v>
      </c>
      <c r="L176" t="n">
        <v>0</v>
      </c>
      <c r="M176" t="n">
        <v>0</v>
      </c>
      <c r="N176" t="n">
        <v>0</v>
      </c>
      <c r="O176" t="n">
        <v>0</v>
      </c>
      <c r="P176" t="n">
        <v>0</v>
      </c>
      <c r="Q176" t="n">
        <v>1</v>
      </c>
      <c r="R176" s="2" t="inlineStr">
        <is>
          <t>Nattviol</t>
        </is>
      </c>
      <c r="S176">
        <f>HYPERLINK("https://klasma.github.io/Logging_0980/artfynd/A 25977-2024 artfynd.xlsx", "A 25977-2024")</f>
        <v/>
      </c>
      <c r="T176">
        <f>HYPERLINK("https://klasma.github.io/Logging_0980/kartor/A 25977-2024 karta.png", "A 25977-2024")</f>
        <v/>
      </c>
      <c r="V176">
        <f>HYPERLINK("https://klasma.github.io/Logging_0980/klagomål/A 25977-2024 FSC-klagomål.docx", "A 25977-2024")</f>
        <v/>
      </c>
      <c r="W176">
        <f>HYPERLINK("https://klasma.github.io/Logging_0980/klagomålsmail/A 25977-2024 FSC-klagomål mail.docx", "A 25977-2024")</f>
        <v/>
      </c>
      <c r="X176">
        <f>HYPERLINK("https://klasma.github.io/Logging_0980/tillsyn/A 25977-2024 tillsynsbegäran.docx", "A 25977-2024")</f>
        <v/>
      </c>
      <c r="Y176">
        <f>HYPERLINK("https://klasma.github.io/Logging_0980/tillsynsmail/A 25977-2024 tillsynsbegäran mail.docx", "A 25977-2024")</f>
        <v/>
      </c>
    </row>
    <row r="177" ht="15" customHeight="1">
      <c r="A177" t="inlineStr">
        <is>
          <t>A 61561-2023</t>
        </is>
      </c>
      <c r="B177" s="1" t="n">
        <v>45265</v>
      </c>
      <c r="C177" s="1" t="n">
        <v>46128</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65927-2021</t>
        </is>
      </c>
      <c r="B178" s="1" t="n">
        <v>44516</v>
      </c>
      <c r="C178" s="1" t="n">
        <v>46128</v>
      </c>
      <c r="D178" t="inlineStr">
        <is>
          <t>GOTLANDS LÄN</t>
        </is>
      </c>
      <c r="E178" t="inlineStr">
        <is>
          <t>GOTLAND</t>
        </is>
      </c>
      <c r="G178" t="n">
        <v>3.1</v>
      </c>
      <c r="H178" t="n">
        <v>1</v>
      </c>
      <c r="I178" t="n">
        <v>0</v>
      </c>
      <c r="J178" t="n">
        <v>0</v>
      </c>
      <c r="K178" t="n">
        <v>1</v>
      </c>
      <c r="L178" t="n">
        <v>0</v>
      </c>
      <c r="M178" t="n">
        <v>0</v>
      </c>
      <c r="N178" t="n">
        <v>0</v>
      </c>
      <c r="O178" t="n">
        <v>1</v>
      </c>
      <c r="P178" t="n">
        <v>1</v>
      </c>
      <c r="Q178" t="n">
        <v>1</v>
      </c>
      <c r="R178" s="2" t="inlineStr">
        <is>
          <t>Grenigt kungsljus</t>
        </is>
      </c>
      <c r="S178">
        <f>HYPERLINK("https://klasma.github.io/Logging_0980/artfynd/A 65927-2021 artfynd.xlsx", "A 65927-2021")</f>
        <v/>
      </c>
      <c r="T178">
        <f>HYPERLINK("https://klasma.github.io/Logging_0980/kartor/A 65927-2021 karta.png", "A 65927-2021")</f>
        <v/>
      </c>
      <c r="V178">
        <f>HYPERLINK("https://klasma.github.io/Logging_0980/klagomål/A 65927-2021 FSC-klagomål.docx", "A 65927-2021")</f>
        <v/>
      </c>
      <c r="W178">
        <f>HYPERLINK("https://klasma.github.io/Logging_0980/klagomålsmail/A 65927-2021 FSC-klagomål mail.docx", "A 65927-2021")</f>
        <v/>
      </c>
      <c r="X178">
        <f>HYPERLINK("https://klasma.github.io/Logging_0980/tillsyn/A 65927-2021 tillsynsbegäran.docx", "A 65927-2021")</f>
        <v/>
      </c>
      <c r="Y178">
        <f>HYPERLINK("https://klasma.github.io/Logging_0980/tillsynsmail/A 65927-2021 tillsynsbegäran mail.docx", "A 65927-2021")</f>
        <v/>
      </c>
    </row>
    <row r="179" ht="15" customHeight="1">
      <c r="A179" t="inlineStr">
        <is>
          <t>A 61796-2022</t>
        </is>
      </c>
      <c r="B179" s="1" t="n">
        <v>44917</v>
      </c>
      <c r="C179" s="1" t="n">
        <v>46128</v>
      </c>
      <c r="D179" t="inlineStr">
        <is>
          <t>GOTLANDS LÄN</t>
        </is>
      </c>
      <c r="E179" t="inlineStr">
        <is>
          <t>GOTLAND</t>
        </is>
      </c>
      <c r="G179" t="n">
        <v>1.5</v>
      </c>
      <c r="H179" t="n">
        <v>1</v>
      </c>
      <c r="I179" t="n">
        <v>0</v>
      </c>
      <c r="J179" t="n">
        <v>0</v>
      </c>
      <c r="K179" t="n">
        <v>0</v>
      </c>
      <c r="L179" t="n">
        <v>0</v>
      </c>
      <c r="M179" t="n">
        <v>0</v>
      </c>
      <c r="N179" t="n">
        <v>0</v>
      </c>
      <c r="O179" t="n">
        <v>0</v>
      </c>
      <c r="P179" t="n">
        <v>0</v>
      </c>
      <c r="Q179" t="n">
        <v>1</v>
      </c>
      <c r="R179" s="2" t="inlineStr">
        <is>
          <t>Skogsduva</t>
        </is>
      </c>
      <c r="S179">
        <f>HYPERLINK("https://klasma.github.io/Logging_0980/artfynd/A 61796-2022 artfynd.xlsx", "A 61796-2022")</f>
        <v/>
      </c>
      <c r="T179">
        <f>HYPERLINK("https://klasma.github.io/Logging_0980/kartor/A 61796-2022 karta.png", "A 61796-2022")</f>
        <v/>
      </c>
      <c r="V179">
        <f>HYPERLINK("https://klasma.github.io/Logging_0980/klagomål/A 61796-2022 FSC-klagomål.docx", "A 61796-2022")</f>
        <v/>
      </c>
      <c r="W179">
        <f>HYPERLINK("https://klasma.github.io/Logging_0980/klagomålsmail/A 61796-2022 FSC-klagomål mail.docx", "A 61796-2022")</f>
        <v/>
      </c>
      <c r="X179">
        <f>HYPERLINK("https://klasma.github.io/Logging_0980/tillsyn/A 61796-2022 tillsynsbegäran.docx", "A 61796-2022")</f>
        <v/>
      </c>
      <c r="Y179">
        <f>HYPERLINK("https://klasma.github.io/Logging_0980/tillsynsmail/A 61796-2022 tillsynsbegäran mail.docx", "A 61796-2022")</f>
        <v/>
      </c>
      <c r="Z179">
        <f>HYPERLINK("https://klasma.github.io/Logging_0980/fåglar/A 61796-2022 prioriterade fågelarter.docx", "A 61796-2022")</f>
        <v/>
      </c>
    </row>
    <row r="180" ht="15" customHeight="1">
      <c r="A180" t="inlineStr">
        <is>
          <t>A 22782-2023</t>
        </is>
      </c>
      <c r="B180" s="1" t="n">
        <v>45072</v>
      </c>
      <c r="C180" s="1" t="n">
        <v>46128</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46128</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13482-2026</t>
        </is>
      </c>
      <c r="B182" s="1" t="n">
        <v>46094</v>
      </c>
      <c r="C182" s="1" t="n">
        <v>46128</v>
      </c>
      <c r="D182" t="inlineStr">
        <is>
          <t>GOTLANDS LÄN</t>
        </is>
      </c>
      <c r="E182" t="inlineStr">
        <is>
          <t>GOTLAND</t>
        </is>
      </c>
      <c r="G182" t="n">
        <v>1.7</v>
      </c>
      <c r="H182" t="n">
        <v>1</v>
      </c>
      <c r="I182" t="n">
        <v>0</v>
      </c>
      <c r="J182" t="n">
        <v>1</v>
      </c>
      <c r="K182" t="n">
        <v>0</v>
      </c>
      <c r="L182" t="n">
        <v>0</v>
      </c>
      <c r="M182" t="n">
        <v>0</v>
      </c>
      <c r="N182" t="n">
        <v>0</v>
      </c>
      <c r="O182" t="n">
        <v>1</v>
      </c>
      <c r="P182" t="n">
        <v>0</v>
      </c>
      <c r="Q182" t="n">
        <v>1</v>
      </c>
      <c r="R182" s="2" t="inlineStr">
        <is>
          <t>Spillkråka</t>
        </is>
      </c>
      <c r="S182">
        <f>HYPERLINK("https://klasma.github.io/Logging_0980/artfynd/A 13482-2026 artfynd.xlsx", "A 13482-2026")</f>
        <v/>
      </c>
      <c r="T182">
        <f>HYPERLINK("https://klasma.github.io/Logging_0980/kartor/A 13482-2026 karta.png", "A 13482-2026")</f>
        <v/>
      </c>
      <c r="V182">
        <f>HYPERLINK("https://klasma.github.io/Logging_0980/klagomål/A 13482-2026 FSC-klagomål.docx", "A 13482-2026")</f>
        <v/>
      </c>
      <c r="W182">
        <f>HYPERLINK("https://klasma.github.io/Logging_0980/klagomålsmail/A 13482-2026 FSC-klagomål mail.docx", "A 13482-2026")</f>
        <v/>
      </c>
      <c r="X182">
        <f>HYPERLINK("https://klasma.github.io/Logging_0980/tillsyn/A 13482-2026 tillsynsbegäran.docx", "A 13482-2026")</f>
        <v/>
      </c>
      <c r="Y182">
        <f>HYPERLINK("https://klasma.github.io/Logging_0980/tillsynsmail/A 13482-2026 tillsynsbegäran mail.docx", "A 13482-2026")</f>
        <v/>
      </c>
      <c r="Z182">
        <f>HYPERLINK("https://klasma.github.io/Logging_0980/fåglar/A 13482-2026 prioriterade fågelarter.docx", "A 13482-2026")</f>
        <v/>
      </c>
    </row>
    <row r="183" ht="15" customHeight="1">
      <c r="A183" t="inlineStr">
        <is>
          <t>A 63149-2025</t>
        </is>
      </c>
      <c r="B183" s="1" t="n">
        <v>46010</v>
      </c>
      <c r="C183" s="1" t="n">
        <v>46128</v>
      </c>
      <c r="D183" t="inlineStr">
        <is>
          <t>GOTLANDS LÄN</t>
        </is>
      </c>
      <c r="E183" t="inlineStr">
        <is>
          <t>GOTLAND</t>
        </is>
      </c>
      <c r="G183" t="n">
        <v>4.3</v>
      </c>
      <c r="H183" t="n">
        <v>0</v>
      </c>
      <c r="I183" t="n">
        <v>1</v>
      </c>
      <c r="J183" t="n">
        <v>0</v>
      </c>
      <c r="K183" t="n">
        <v>0</v>
      </c>
      <c r="L183" t="n">
        <v>0</v>
      </c>
      <c r="M183" t="n">
        <v>0</v>
      </c>
      <c r="N183" t="n">
        <v>0</v>
      </c>
      <c r="O183" t="n">
        <v>0</v>
      </c>
      <c r="P183" t="n">
        <v>0</v>
      </c>
      <c r="Q183" t="n">
        <v>1</v>
      </c>
      <c r="R183" s="2" t="inlineStr">
        <is>
          <t>Anisspindling</t>
        </is>
      </c>
      <c r="S183">
        <f>HYPERLINK("https://klasma.github.io/Logging_0980/artfynd/A 63149-2025 artfynd.xlsx", "A 63149-2025")</f>
        <v/>
      </c>
      <c r="T183">
        <f>HYPERLINK("https://klasma.github.io/Logging_0980/kartor/A 63149-2025 karta.png", "A 63149-2025")</f>
        <v/>
      </c>
      <c r="V183">
        <f>HYPERLINK("https://klasma.github.io/Logging_0980/klagomål/A 63149-2025 FSC-klagomål.docx", "A 63149-2025")</f>
        <v/>
      </c>
      <c r="W183">
        <f>HYPERLINK("https://klasma.github.io/Logging_0980/klagomålsmail/A 63149-2025 FSC-klagomål mail.docx", "A 63149-2025")</f>
        <v/>
      </c>
      <c r="X183">
        <f>HYPERLINK("https://klasma.github.io/Logging_0980/tillsyn/A 63149-2025 tillsynsbegäran.docx", "A 63149-2025")</f>
        <v/>
      </c>
      <c r="Y183">
        <f>HYPERLINK("https://klasma.github.io/Logging_0980/tillsynsmail/A 63149-2025 tillsynsbegäran mail.docx", "A 63149-2025")</f>
        <v/>
      </c>
    </row>
    <row r="184" ht="15" customHeight="1">
      <c r="A184" t="inlineStr">
        <is>
          <t>A 10013-2026</t>
        </is>
      </c>
      <c r="B184" s="1" t="n">
        <v>46073</v>
      </c>
      <c r="C184" s="1" t="n">
        <v>46128</v>
      </c>
      <c r="D184" t="inlineStr">
        <is>
          <t>GOTLANDS LÄN</t>
        </is>
      </c>
      <c r="E184" t="inlineStr">
        <is>
          <t>GOTLAND</t>
        </is>
      </c>
      <c r="G184" t="n">
        <v>10.5</v>
      </c>
      <c r="H184" t="n">
        <v>0</v>
      </c>
      <c r="I184" t="n">
        <v>0</v>
      </c>
      <c r="J184" t="n">
        <v>0</v>
      </c>
      <c r="K184" t="n">
        <v>1</v>
      </c>
      <c r="L184" t="n">
        <v>0</v>
      </c>
      <c r="M184" t="n">
        <v>0</v>
      </c>
      <c r="N184" t="n">
        <v>0</v>
      </c>
      <c r="O184" t="n">
        <v>1</v>
      </c>
      <c r="P184" t="n">
        <v>1</v>
      </c>
      <c r="Q184" t="n">
        <v>1</v>
      </c>
      <c r="R184" s="2" t="inlineStr">
        <is>
          <t>Skogskorn</t>
        </is>
      </c>
      <c r="S184">
        <f>HYPERLINK("https://klasma.github.io/Logging_0980/artfynd/A 10013-2026 artfynd.xlsx", "A 10013-2026")</f>
        <v/>
      </c>
      <c r="T184">
        <f>HYPERLINK("https://klasma.github.io/Logging_0980/kartor/A 10013-2026 karta.png", "A 10013-2026")</f>
        <v/>
      </c>
      <c r="V184">
        <f>HYPERLINK("https://klasma.github.io/Logging_0980/klagomål/A 10013-2026 FSC-klagomål.docx", "A 10013-2026")</f>
        <v/>
      </c>
      <c r="W184">
        <f>HYPERLINK("https://klasma.github.io/Logging_0980/klagomålsmail/A 10013-2026 FSC-klagomål mail.docx", "A 10013-2026")</f>
        <v/>
      </c>
      <c r="X184">
        <f>HYPERLINK("https://klasma.github.io/Logging_0980/tillsyn/A 10013-2026 tillsynsbegäran.docx", "A 10013-2026")</f>
        <v/>
      </c>
      <c r="Y184">
        <f>HYPERLINK("https://klasma.github.io/Logging_0980/tillsynsmail/A 10013-2026 tillsynsbegäran mail.docx", "A 10013-2026")</f>
        <v/>
      </c>
    </row>
    <row r="185" ht="15" customHeight="1">
      <c r="A185" t="inlineStr">
        <is>
          <t>A 17854-2026</t>
        </is>
      </c>
      <c r="B185" s="1" t="n">
        <v>46121</v>
      </c>
      <c r="C185" s="1" t="n">
        <v>46128</v>
      </c>
      <c r="D185" t="inlineStr">
        <is>
          <t>GOTLANDS LÄN</t>
        </is>
      </c>
      <c r="E185" t="inlineStr">
        <is>
          <t>GOTLAND</t>
        </is>
      </c>
      <c r="G185" t="n">
        <v>6.6</v>
      </c>
      <c r="H185" t="n">
        <v>0</v>
      </c>
      <c r="I185" t="n">
        <v>1</v>
      </c>
      <c r="J185" t="n">
        <v>0</v>
      </c>
      <c r="K185" t="n">
        <v>0</v>
      </c>
      <c r="L185" t="n">
        <v>0</v>
      </c>
      <c r="M185" t="n">
        <v>0</v>
      </c>
      <c r="N185" t="n">
        <v>0</v>
      </c>
      <c r="O185" t="n">
        <v>0</v>
      </c>
      <c r="P185" t="n">
        <v>0</v>
      </c>
      <c r="Q185" t="n">
        <v>1</v>
      </c>
      <c r="R185" s="2" t="inlineStr">
        <is>
          <t>Blå slemspindling</t>
        </is>
      </c>
      <c r="S185">
        <f>HYPERLINK("https://klasma.github.io/Logging_0980/artfynd/A 17854-2026 artfynd.xlsx", "A 17854-2026")</f>
        <v/>
      </c>
      <c r="T185">
        <f>HYPERLINK("https://klasma.github.io/Logging_0980/kartor/A 17854-2026 karta.png", "A 17854-2026")</f>
        <v/>
      </c>
      <c r="V185">
        <f>HYPERLINK("https://klasma.github.io/Logging_0980/klagomål/A 17854-2026 FSC-klagomål.docx", "A 17854-2026")</f>
        <v/>
      </c>
      <c r="W185">
        <f>HYPERLINK("https://klasma.github.io/Logging_0980/klagomålsmail/A 17854-2026 FSC-klagomål mail.docx", "A 17854-2026")</f>
        <v/>
      </c>
      <c r="X185">
        <f>HYPERLINK("https://klasma.github.io/Logging_0980/tillsyn/A 17854-2026 tillsynsbegäran.docx", "A 17854-2026")</f>
        <v/>
      </c>
      <c r="Y185">
        <f>HYPERLINK("https://klasma.github.io/Logging_0980/tillsynsmail/A 17854-2026 tillsynsbegäran mail.docx", "A 17854-2026")</f>
        <v/>
      </c>
    </row>
    <row r="186" ht="15" customHeight="1">
      <c r="A186" t="inlineStr">
        <is>
          <t>A 18036-2026</t>
        </is>
      </c>
      <c r="B186" s="1" t="n">
        <v>46125.39576388889</v>
      </c>
      <c r="C186" s="1" t="n">
        <v>46128</v>
      </c>
      <c r="D186" t="inlineStr">
        <is>
          <t>GOTLANDS LÄN</t>
        </is>
      </c>
      <c r="E186" t="inlineStr">
        <is>
          <t>GOTLAND</t>
        </is>
      </c>
      <c r="G186" t="n">
        <v>1.8</v>
      </c>
      <c r="H186" t="n">
        <v>0</v>
      </c>
      <c r="I186" t="n">
        <v>0</v>
      </c>
      <c r="J186" t="n">
        <v>1</v>
      </c>
      <c r="K186" t="n">
        <v>0</v>
      </c>
      <c r="L186" t="n">
        <v>0</v>
      </c>
      <c r="M186" t="n">
        <v>0</v>
      </c>
      <c r="N186" t="n">
        <v>0</v>
      </c>
      <c r="O186" t="n">
        <v>1</v>
      </c>
      <c r="P186" t="n">
        <v>0</v>
      </c>
      <c r="Q186" t="n">
        <v>1</v>
      </c>
      <c r="R186" s="2" t="inlineStr">
        <is>
          <t>Sommarfibbla</t>
        </is>
      </c>
      <c r="S186">
        <f>HYPERLINK("https://klasma.github.io/Logging_0980/artfynd/A 18036-2026 artfynd.xlsx", "A 18036-2026")</f>
        <v/>
      </c>
      <c r="T186">
        <f>HYPERLINK("https://klasma.github.io/Logging_0980/kartor/A 18036-2026 karta.png", "A 18036-2026")</f>
        <v/>
      </c>
      <c r="V186">
        <f>HYPERLINK("https://klasma.github.io/Logging_0980/klagomål/A 18036-2026 FSC-klagomål.docx", "A 18036-2026")</f>
        <v/>
      </c>
      <c r="W186">
        <f>HYPERLINK("https://klasma.github.io/Logging_0980/klagomålsmail/A 18036-2026 FSC-klagomål mail.docx", "A 18036-2026")</f>
        <v/>
      </c>
      <c r="X186">
        <f>HYPERLINK("https://klasma.github.io/Logging_0980/tillsyn/A 18036-2026 tillsynsbegäran.docx", "A 18036-2026")</f>
        <v/>
      </c>
      <c r="Y186">
        <f>HYPERLINK("https://klasma.github.io/Logging_0980/tillsynsmail/A 18036-2026 tillsynsbegäran mail.docx", "A 18036-2026")</f>
        <v/>
      </c>
    </row>
    <row r="187" ht="15" customHeight="1">
      <c r="A187" t="inlineStr">
        <is>
          <t>A 11708-2026</t>
        </is>
      </c>
      <c r="B187" s="1" t="n">
        <v>46084</v>
      </c>
      <c r="C187" s="1" t="n">
        <v>46128</v>
      </c>
      <c r="D187" t="inlineStr">
        <is>
          <t>GOTLANDS LÄN</t>
        </is>
      </c>
      <c r="E187" t="inlineStr">
        <is>
          <t>GOTLAND</t>
        </is>
      </c>
      <c r="G187" t="n">
        <v>8.4</v>
      </c>
      <c r="H187" t="n">
        <v>1</v>
      </c>
      <c r="I187" t="n">
        <v>0</v>
      </c>
      <c r="J187" t="n">
        <v>1</v>
      </c>
      <c r="K187" t="n">
        <v>0</v>
      </c>
      <c r="L187" t="n">
        <v>0</v>
      </c>
      <c r="M187" t="n">
        <v>0</v>
      </c>
      <c r="N187" t="n">
        <v>0</v>
      </c>
      <c r="O187" t="n">
        <v>1</v>
      </c>
      <c r="P187" t="n">
        <v>0</v>
      </c>
      <c r="Q187" t="n">
        <v>1</v>
      </c>
      <c r="R187" s="2" t="inlineStr">
        <is>
          <t>Bredarun</t>
        </is>
      </c>
      <c r="S187">
        <f>HYPERLINK("https://klasma.github.io/Logging_0980/artfynd/A 11708-2026 artfynd.xlsx", "A 11708-2026")</f>
        <v/>
      </c>
      <c r="T187">
        <f>HYPERLINK("https://klasma.github.io/Logging_0980/kartor/A 11708-2026 karta.png", "A 11708-2026")</f>
        <v/>
      </c>
      <c r="V187">
        <f>HYPERLINK("https://klasma.github.io/Logging_0980/klagomål/A 11708-2026 FSC-klagomål.docx", "A 11708-2026")</f>
        <v/>
      </c>
      <c r="W187">
        <f>HYPERLINK("https://klasma.github.io/Logging_0980/klagomålsmail/A 11708-2026 FSC-klagomål mail.docx", "A 11708-2026")</f>
        <v/>
      </c>
      <c r="X187">
        <f>HYPERLINK("https://klasma.github.io/Logging_0980/tillsyn/A 11708-2026 tillsynsbegäran.docx", "A 11708-2026")</f>
        <v/>
      </c>
      <c r="Y187">
        <f>HYPERLINK("https://klasma.github.io/Logging_0980/tillsynsmail/A 11708-2026 tillsynsbegäran mail.docx", "A 11708-2026")</f>
        <v/>
      </c>
    </row>
    <row r="188" ht="15" customHeight="1">
      <c r="A188" t="inlineStr">
        <is>
          <t>A 19901-2021</t>
        </is>
      </c>
      <c r="B188" s="1" t="n">
        <v>44312</v>
      </c>
      <c r="C188" s="1" t="n">
        <v>46128</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46128</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46128</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46128</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46128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46128</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46128</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46128</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46128</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46128</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46128</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46128</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46128</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46128</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46128</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46128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46128</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32691-2021</t>
        </is>
      </c>
      <c r="B205" s="1" t="n">
        <v>44375</v>
      </c>
      <c r="C205" s="1" t="n">
        <v>46128</v>
      </c>
      <c r="D205" t="inlineStr">
        <is>
          <t>GOTLANDS LÄN</t>
        </is>
      </c>
      <c r="E205" t="inlineStr">
        <is>
          <t>GOTLAND</t>
        </is>
      </c>
      <c r="G205" t="n">
        <v>0.8</v>
      </c>
      <c r="H205" t="n">
        <v>0</v>
      </c>
      <c r="I205" t="n">
        <v>0</v>
      </c>
      <c r="J205" t="n">
        <v>0</v>
      </c>
      <c r="K205" t="n">
        <v>0</v>
      </c>
      <c r="L205" t="n">
        <v>0</v>
      </c>
      <c r="M205" t="n">
        <v>0</v>
      </c>
      <c r="N205" t="n">
        <v>0</v>
      </c>
      <c r="O205" t="n">
        <v>0</v>
      </c>
      <c r="P205" t="n">
        <v>0</v>
      </c>
      <c r="Q205" t="n">
        <v>0</v>
      </c>
      <c r="R205" s="2" t="inlineStr"/>
    </row>
    <row r="206" ht="15" customHeight="1">
      <c r="A206" t="inlineStr">
        <is>
          <t>A 60607-2021</t>
        </is>
      </c>
      <c r="B206" s="1" t="n">
        <v>44496.58627314815</v>
      </c>
      <c r="C206" s="1" t="n">
        <v>46128</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47369-2021</t>
        </is>
      </c>
      <c r="B207" s="1" t="n">
        <v>44447</v>
      </c>
      <c r="C207" s="1" t="n">
        <v>46128</v>
      </c>
      <c r="D207" t="inlineStr">
        <is>
          <t>GOTLANDS LÄN</t>
        </is>
      </c>
      <c r="E207" t="inlineStr">
        <is>
          <t>GOTLAND</t>
        </is>
      </c>
      <c r="G207" t="n">
        <v>2.3</v>
      </c>
      <c r="H207" t="n">
        <v>0</v>
      </c>
      <c r="I207" t="n">
        <v>0</v>
      </c>
      <c r="J207" t="n">
        <v>0</v>
      </c>
      <c r="K207" t="n">
        <v>0</v>
      </c>
      <c r="L207" t="n">
        <v>0</v>
      </c>
      <c r="M207" t="n">
        <v>0</v>
      </c>
      <c r="N207" t="n">
        <v>0</v>
      </c>
      <c r="O207" t="n">
        <v>0</v>
      </c>
      <c r="P207" t="n">
        <v>0</v>
      </c>
      <c r="Q207" t="n">
        <v>0</v>
      </c>
      <c r="R207" s="2" t="inlineStr"/>
    </row>
    <row r="208" ht="15" customHeight="1">
      <c r="A208" t="inlineStr">
        <is>
          <t>A 11029-2022</t>
        </is>
      </c>
      <c r="B208" s="1" t="n">
        <v>44628</v>
      </c>
      <c r="C208" s="1" t="n">
        <v>46128</v>
      </c>
      <c r="D208" t="inlineStr">
        <is>
          <t>GOTLANDS LÄN</t>
        </is>
      </c>
      <c r="E208" t="inlineStr">
        <is>
          <t>GOTLAND</t>
        </is>
      </c>
      <c r="G208" t="n">
        <v>1.8</v>
      </c>
      <c r="H208" t="n">
        <v>0</v>
      </c>
      <c r="I208" t="n">
        <v>0</v>
      </c>
      <c r="J208" t="n">
        <v>0</v>
      </c>
      <c r="K208" t="n">
        <v>0</v>
      </c>
      <c r="L208" t="n">
        <v>0</v>
      </c>
      <c r="M208" t="n">
        <v>0</v>
      </c>
      <c r="N208" t="n">
        <v>0</v>
      </c>
      <c r="O208" t="n">
        <v>0</v>
      </c>
      <c r="P208" t="n">
        <v>0</v>
      </c>
      <c r="Q208" t="n">
        <v>0</v>
      </c>
      <c r="R208" s="2" t="inlineStr"/>
    </row>
    <row r="209" ht="15" customHeight="1">
      <c r="A209" t="inlineStr">
        <is>
          <t>A 31239-2022</t>
        </is>
      </c>
      <c r="B209" s="1" t="n">
        <v>44771.49383101852</v>
      </c>
      <c r="C209" s="1" t="n">
        <v>46128</v>
      </c>
      <c r="D209" t="inlineStr">
        <is>
          <t>GOTLANDS LÄN</t>
        </is>
      </c>
      <c r="E209" t="inlineStr">
        <is>
          <t>GOTLAND</t>
        </is>
      </c>
      <c r="G209" t="n">
        <v>1.9</v>
      </c>
      <c r="H209" t="n">
        <v>0</v>
      </c>
      <c r="I209" t="n">
        <v>0</v>
      </c>
      <c r="J209" t="n">
        <v>0</v>
      </c>
      <c r="K209" t="n">
        <v>0</v>
      </c>
      <c r="L209" t="n">
        <v>0</v>
      </c>
      <c r="M209" t="n">
        <v>0</v>
      </c>
      <c r="N209" t="n">
        <v>0</v>
      </c>
      <c r="O209" t="n">
        <v>0</v>
      </c>
      <c r="P209" t="n">
        <v>0</v>
      </c>
      <c r="Q209" t="n">
        <v>0</v>
      </c>
      <c r="R209" s="2" t="inlineStr"/>
    </row>
    <row r="210" ht="15" customHeight="1">
      <c r="A210" t="inlineStr">
        <is>
          <t>A 58224-2021</t>
        </is>
      </c>
      <c r="B210" s="1" t="n">
        <v>44487</v>
      </c>
      <c r="C210" s="1" t="n">
        <v>46128</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58815-2021</t>
        </is>
      </c>
      <c r="B211" s="1" t="n">
        <v>44489</v>
      </c>
      <c r="C211" s="1" t="n">
        <v>46128</v>
      </c>
      <c r="D211" t="inlineStr">
        <is>
          <t>GOTLANDS LÄN</t>
        </is>
      </c>
      <c r="E211" t="inlineStr">
        <is>
          <t>GOTLAND</t>
        </is>
      </c>
      <c r="G211" t="n">
        <v>4.1</v>
      </c>
      <c r="H211" t="n">
        <v>0</v>
      </c>
      <c r="I211" t="n">
        <v>0</v>
      </c>
      <c r="J211" t="n">
        <v>0</v>
      </c>
      <c r="K211" t="n">
        <v>0</v>
      </c>
      <c r="L211" t="n">
        <v>0</v>
      </c>
      <c r="M211" t="n">
        <v>0</v>
      </c>
      <c r="N211" t="n">
        <v>0</v>
      </c>
      <c r="O211" t="n">
        <v>0</v>
      </c>
      <c r="P211" t="n">
        <v>0</v>
      </c>
      <c r="Q211" t="n">
        <v>0</v>
      </c>
      <c r="R211" s="2" t="inlineStr"/>
    </row>
    <row r="212" ht="15" customHeight="1">
      <c r="A212" t="inlineStr">
        <is>
          <t>A 22155-2021</t>
        </is>
      </c>
      <c r="B212" s="1" t="n">
        <v>44325.49369212963</v>
      </c>
      <c r="C212" s="1" t="n">
        <v>46128</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71010-2021</t>
        </is>
      </c>
      <c r="B213" s="1" t="n">
        <v>44538.63775462963</v>
      </c>
      <c r="C213" s="1" t="n">
        <v>46128</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22495-2022</t>
        </is>
      </c>
      <c r="B214" s="1" t="n">
        <v>44713.6452199074</v>
      </c>
      <c r="C214" s="1" t="n">
        <v>46128</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46128</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46128</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46128</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46128</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46128</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46128</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25866-2022</t>
        </is>
      </c>
      <c r="B221" s="1" t="n">
        <v>44733</v>
      </c>
      <c r="C221" s="1" t="n">
        <v>46128</v>
      </c>
      <c r="D221" t="inlineStr">
        <is>
          <t>GOTLANDS LÄN</t>
        </is>
      </c>
      <c r="E221" t="inlineStr">
        <is>
          <t>GOTLAND</t>
        </is>
      </c>
      <c r="G221" t="n">
        <v>2.9</v>
      </c>
      <c r="H221" t="n">
        <v>0</v>
      </c>
      <c r="I221" t="n">
        <v>0</v>
      </c>
      <c r="J221" t="n">
        <v>0</v>
      </c>
      <c r="K221" t="n">
        <v>0</v>
      </c>
      <c r="L221" t="n">
        <v>0</v>
      </c>
      <c r="M221" t="n">
        <v>0</v>
      </c>
      <c r="N221" t="n">
        <v>0</v>
      </c>
      <c r="O221" t="n">
        <v>0</v>
      </c>
      <c r="P221" t="n">
        <v>0</v>
      </c>
      <c r="Q221" t="n">
        <v>0</v>
      </c>
      <c r="R221" s="2" t="inlineStr"/>
    </row>
    <row r="222" ht="15" customHeight="1">
      <c r="A222" t="inlineStr">
        <is>
          <t>A 57652-2023</t>
        </is>
      </c>
      <c r="B222" s="1" t="n">
        <v>45246</v>
      </c>
      <c r="C222" s="1" t="n">
        <v>46128</v>
      </c>
      <c r="D222" t="inlineStr">
        <is>
          <t>GOTLANDS LÄN</t>
        </is>
      </c>
      <c r="E222" t="inlineStr">
        <is>
          <t>GOTLAND</t>
        </is>
      </c>
      <c r="G222" t="n">
        <v>7.2</v>
      </c>
      <c r="H222" t="n">
        <v>0</v>
      </c>
      <c r="I222" t="n">
        <v>0</v>
      </c>
      <c r="J222" t="n">
        <v>0</v>
      </c>
      <c r="K222" t="n">
        <v>0</v>
      </c>
      <c r="L222" t="n">
        <v>0</v>
      </c>
      <c r="M222" t="n">
        <v>0</v>
      </c>
      <c r="N222" t="n">
        <v>0</v>
      </c>
      <c r="O222" t="n">
        <v>0</v>
      </c>
      <c r="P222" t="n">
        <v>0</v>
      </c>
      <c r="Q222" t="n">
        <v>0</v>
      </c>
      <c r="R222" s="2" t="inlineStr"/>
    </row>
    <row r="223" ht="15" customHeight="1">
      <c r="A223" t="inlineStr">
        <is>
          <t>A 43229-2023</t>
        </is>
      </c>
      <c r="B223" s="1" t="n">
        <v>45183.46704861111</v>
      </c>
      <c r="C223" s="1" t="n">
        <v>46128</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1175-2025</t>
        </is>
      </c>
      <c r="B224" s="1" t="n">
        <v>45667.34449074074</v>
      </c>
      <c r="C224" s="1" t="n">
        <v>46128</v>
      </c>
      <c r="D224" t="inlineStr">
        <is>
          <t>GOTLANDS LÄN</t>
        </is>
      </c>
      <c r="E224" t="inlineStr">
        <is>
          <t>GOTLAND</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27095-2022</t>
        </is>
      </c>
      <c r="B225" s="1" t="n">
        <v>44741</v>
      </c>
      <c r="C225" s="1" t="n">
        <v>46128</v>
      </c>
      <c r="D225" t="inlineStr">
        <is>
          <t>GOTLANDS LÄN</t>
        </is>
      </c>
      <c r="E225" t="inlineStr">
        <is>
          <t>GOTLAND</t>
        </is>
      </c>
      <c r="F225" t="inlineStr">
        <is>
          <t>Övriga Aktiebolag</t>
        </is>
      </c>
      <c r="G225" t="n">
        <v>2.9</v>
      </c>
      <c r="H225" t="n">
        <v>0</v>
      </c>
      <c r="I225" t="n">
        <v>0</v>
      </c>
      <c r="J225" t="n">
        <v>0</v>
      </c>
      <c r="K225" t="n">
        <v>0</v>
      </c>
      <c r="L225" t="n">
        <v>0</v>
      </c>
      <c r="M225" t="n">
        <v>0</v>
      </c>
      <c r="N225" t="n">
        <v>0</v>
      </c>
      <c r="O225" t="n">
        <v>0</v>
      </c>
      <c r="P225" t="n">
        <v>0</v>
      </c>
      <c r="Q225" t="n">
        <v>0</v>
      </c>
      <c r="R225" s="2" t="inlineStr"/>
    </row>
    <row r="226" ht="15" customHeight="1">
      <c r="A226" t="inlineStr">
        <is>
          <t>A 22899-2023</t>
        </is>
      </c>
      <c r="B226" s="1" t="n">
        <v>45072</v>
      </c>
      <c r="C226" s="1" t="n">
        <v>46128</v>
      </c>
      <c r="D226" t="inlineStr">
        <is>
          <t>GOTLANDS LÄN</t>
        </is>
      </c>
      <c r="E226" t="inlineStr">
        <is>
          <t>GOTLAND</t>
        </is>
      </c>
      <c r="G226" t="n">
        <v>0.7</v>
      </c>
      <c r="H226" t="n">
        <v>0</v>
      </c>
      <c r="I226" t="n">
        <v>0</v>
      </c>
      <c r="J226" t="n">
        <v>0</v>
      </c>
      <c r="K226" t="n">
        <v>0</v>
      </c>
      <c r="L226" t="n">
        <v>0</v>
      </c>
      <c r="M226" t="n">
        <v>0</v>
      </c>
      <c r="N226" t="n">
        <v>0</v>
      </c>
      <c r="O226" t="n">
        <v>0</v>
      </c>
      <c r="P226" t="n">
        <v>0</v>
      </c>
      <c r="Q226" t="n">
        <v>0</v>
      </c>
      <c r="R226" s="2" t="inlineStr"/>
    </row>
    <row r="227" ht="15" customHeight="1">
      <c r="A227" t="inlineStr">
        <is>
          <t>A 14413-2022</t>
        </is>
      </c>
      <c r="B227" s="1" t="n">
        <v>44652</v>
      </c>
      <c r="C227" s="1" t="n">
        <v>46128</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49315-2024</t>
        </is>
      </c>
      <c r="B228" s="1" t="n">
        <v>45595</v>
      </c>
      <c r="C228" s="1" t="n">
        <v>46128</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23978-2023</t>
        </is>
      </c>
      <c r="B229" s="1" t="n">
        <v>45078</v>
      </c>
      <c r="C229" s="1" t="n">
        <v>46128</v>
      </c>
      <c r="D229" t="inlineStr">
        <is>
          <t>GOTLANDS LÄN</t>
        </is>
      </c>
      <c r="E229" t="inlineStr">
        <is>
          <t>GOTLAND</t>
        </is>
      </c>
      <c r="F229" t="inlineStr">
        <is>
          <t>Naturvårdsverket</t>
        </is>
      </c>
      <c r="G229" t="n">
        <v>1.7</v>
      </c>
      <c r="H229" t="n">
        <v>0</v>
      </c>
      <c r="I229" t="n">
        <v>0</v>
      </c>
      <c r="J229" t="n">
        <v>0</v>
      </c>
      <c r="K229" t="n">
        <v>0</v>
      </c>
      <c r="L229" t="n">
        <v>0</v>
      </c>
      <c r="M229" t="n">
        <v>0</v>
      </c>
      <c r="N229" t="n">
        <v>0</v>
      </c>
      <c r="O229" t="n">
        <v>0</v>
      </c>
      <c r="P229" t="n">
        <v>0</v>
      </c>
      <c r="Q229" t="n">
        <v>0</v>
      </c>
      <c r="R229" s="2" t="inlineStr"/>
    </row>
    <row r="230" ht="15" customHeight="1">
      <c r="A230" t="inlineStr">
        <is>
          <t>A 34407-2023</t>
        </is>
      </c>
      <c r="B230" s="1" t="n">
        <v>45132</v>
      </c>
      <c r="C230" s="1" t="n">
        <v>46128</v>
      </c>
      <c r="D230" t="inlineStr">
        <is>
          <t>GOTLANDS LÄN</t>
        </is>
      </c>
      <c r="E230" t="inlineStr">
        <is>
          <t>GOTLAND</t>
        </is>
      </c>
      <c r="G230" t="n">
        <v>4.4</v>
      </c>
      <c r="H230" t="n">
        <v>0</v>
      </c>
      <c r="I230" t="n">
        <v>0</v>
      </c>
      <c r="J230" t="n">
        <v>0</v>
      </c>
      <c r="K230" t="n">
        <v>0</v>
      </c>
      <c r="L230" t="n">
        <v>0</v>
      </c>
      <c r="M230" t="n">
        <v>0</v>
      </c>
      <c r="N230" t="n">
        <v>0</v>
      </c>
      <c r="O230" t="n">
        <v>0</v>
      </c>
      <c r="P230" t="n">
        <v>0</v>
      </c>
      <c r="Q230" t="n">
        <v>0</v>
      </c>
      <c r="R230" s="2" t="inlineStr"/>
    </row>
    <row r="231" ht="15" customHeight="1">
      <c r="A231" t="inlineStr">
        <is>
          <t>A 11013-2024</t>
        </is>
      </c>
      <c r="B231" s="1" t="n">
        <v>45370</v>
      </c>
      <c r="C231" s="1" t="n">
        <v>46128</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45106-2024</t>
        </is>
      </c>
      <c r="B232" s="1" t="n">
        <v>45575</v>
      </c>
      <c r="C232" s="1" t="n">
        <v>46128</v>
      </c>
      <c r="D232" t="inlineStr">
        <is>
          <t>GOTLANDS LÄN</t>
        </is>
      </c>
      <c r="E232" t="inlineStr">
        <is>
          <t>GOTLAND</t>
        </is>
      </c>
      <c r="G232" t="n">
        <v>10</v>
      </c>
      <c r="H232" t="n">
        <v>0</v>
      </c>
      <c r="I232" t="n">
        <v>0</v>
      </c>
      <c r="J232" t="n">
        <v>0</v>
      </c>
      <c r="K232" t="n">
        <v>0</v>
      </c>
      <c r="L232" t="n">
        <v>0</v>
      </c>
      <c r="M232" t="n">
        <v>0</v>
      </c>
      <c r="N232" t="n">
        <v>0</v>
      </c>
      <c r="O232" t="n">
        <v>0</v>
      </c>
      <c r="P232" t="n">
        <v>0</v>
      </c>
      <c r="Q232" t="n">
        <v>0</v>
      </c>
      <c r="R232" s="2" t="inlineStr"/>
    </row>
    <row r="233" ht="15" customHeight="1">
      <c r="A233" t="inlineStr">
        <is>
          <t>A 45112-2024</t>
        </is>
      </c>
      <c r="B233" s="1" t="n">
        <v>45575</v>
      </c>
      <c r="C233" s="1" t="n">
        <v>46128</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27694-2024</t>
        </is>
      </c>
      <c r="B234" s="1" t="n">
        <v>45475</v>
      </c>
      <c r="C234" s="1" t="n">
        <v>46128</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2676-2023</t>
        </is>
      </c>
      <c r="B235" s="1" t="n">
        <v>44944</v>
      </c>
      <c r="C235" s="1" t="n">
        <v>46128</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15083-2025</t>
        </is>
      </c>
      <c r="B236" s="1" t="n">
        <v>45743</v>
      </c>
      <c r="C236" s="1" t="n">
        <v>46128</v>
      </c>
      <c r="D236" t="inlineStr">
        <is>
          <t>GOTLANDS LÄN</t>
        </is>
      </c>
      <c r="E236" t="inlineStr">
        <is>
          <t>GOTLAND</t>
        </is>
      </c>
      <c r="G236" t="n">
        <v>2.3</v>
      </c>
      <c r="H236" t="n">
        <v>0</v>
      </c>
      <c r="I236" t="n">
        <v>0</v>
      </c>
      <c r="J236" t="n">
        <v>0</v>
      </c>
      <c r="K236" t="n">
        <v>0</v>
      </c>
      <c r="L236" t="n">
        <v>0</v>
      </c>
      <c r="M236" t="n">
        <v>0</v>
      </c>
      <c r="N236" t="n">
        <v>0</v>
      </c>
      <c r="O236" t="n">
        <v>0</v>
      </c>
      <c r="P236" t="n">
        <v>0</v>
      </c>
      <c r="Q236" t="n">
        <v>0</v>
      </c>
      <c r="R236" s="2" t="inlineStr"/>
    </row>
    <row r="237" ht="15" customHeight="1">
      <c r="A237" t="inlineStr">
        <is>
          <t>A 3150-2025</t>
        </is>
      </c>
      <c r="B237" s="1" t="n">
        <v>45679.28974537037</v>
      </c>
      <c r="C237" s="1" t="n">
        <v>46128</v>
      </c>
      <c r="D237" t="inlineStr">
        <is>
          <t>GOTLANDS LÄN</t>
        </is>
      </c>
      <c r="E237" t="inlineStr">
        <is>
          <t>GOTLAND</t>
        </is>
      </c>
      <c r="G237" t="n">
        <v>2.5</v>
      </c>
      <c r="H237" t="n">
        <v>0</v>
      </c>
      <c r="I237" t="n">
        <v>0</v>
      </c>
      <c r="J237" t="n">
        <v>0</v>
      </c>
      <c r="K237" t="n">
        <v>0</v>
      </c>
      <c r="L237" t="n">
        <v>0</v>
      </c>
      <c r="M237" t="n">
        <v>0</v>
      </c>
      <c r="N237" t="n">
        <v>0</v>
      </c>
      <c r="O237" t="n">
        <v>0</v>
      </c>
      <c r="P237" t="n">
        <v>0</v>
      </c>
      <c r="Q237" t="n">
        <v>0</v>
      </c>
      <c r="R237" s="2" t="inlineStr"/>
    </row>
    <row r="238" ht="15" customHeight="1">
      <c r="A238" t="inlineStr">
        <is>
          <t>A 13037-2025</t>
        </is>
      </c>
      <c r="B238" s="1" t="n">
        <v>45734</v>
      </c>
      <c r="C238" s="1" t="n">
        <v>46128</v>
      </c>
      <c r="D238" t="inlineStr">
        <is>
          <t>GOTLANDS LÄN</t>
        </is>
      </c>
      <c r="E238" t="inlineStr">
        <is>
          <t>GOTLAND</t>
        </is>
      </c>
      <c r="G238" t="n">
        <v>9.5</v>
      </c>
      <c r="H238" t="n">
        <v>0</v>
      </c>
      <c r="I238" t="n">
        <v>0</v>
      </c>
      <c r="J238" t="n">
        <v>0</v>
      </c>
      <c r="K238" t="n">
        <v>0</v>
      </c>
      <c r="L238" t="n">
        <v>0</v>
      </c>
      <c r="M238" t="n">
        <v>0</v>
      </c>
      <c r="N238" t="n">
        <v>0</v>
      </c>
      <c r="O238" t="n">
        <v>0</v>
      </c>
      <c r="P238" t="n">
        <v>0</v>
      </c>
      <c r="Q238" t="n">
        <v>0</v>
      </c>
      <c r="R238" s="2" t="inlineStr"/>
    </row>
    <row r="239" ht="15" customHeight="1">
      <c r="A239" t="inlineStr">
        <is>
          <t>A 8484-2025</t>
        </is>
      </c>
      <c r="B239" s="1" t="n">
        <v>45709</v>
      </c>
      <c r="C239" s="1" t="n">
        <v>46128</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7635-2025</t>
        </is>
      </c>
      <c r="B240" s="1" t="n">
        <v>45705</v>
      </c>
      <c r="C240" s="1" t="n">
        <v>46128</v>
      </c>
      <c r="D240" t="inlineStr">
        <is>
          <t>GOTLANDS LÄN</t>
        </is>
      </c>
      <c r="E240" t="inlineStr">
        <is>
          <t>GOTLAND</t>
        </is>
      </c>
      <c r="G240" t="n">
        <v>0.9</v>
      </c>
      <c r="H240" t="n">
        <v>0</v>
      </c>
      <c r="I240" t="n">
        <v>0</v>
      </c>
      <c r="J240" t="n">
        <v>0</v>
      </c>
      <c r="K240" t="n">
        <v>0</v>
      </c>
      <c r="L240" t="n">
        <v>0</v>
      </c>
      <c r="M240" t="n">
        <v>0</v>
      </c>
      <c r="N240" t="n">
        <v>0</v>
      </c>
      <c r="O240" t="n">
        <v>0</v>
      </c>
      <c r="P240" t="n">
        <v>0</v>
      </c>
      <c r="Q240" t="n">
        <v>0</v>
      </c>
      <c r="R240" s="2" t="inlineStr"/>
    </row>
    <row r="241" ht="15" customHeight="1">
      <c r="A241" t="inlineStr">
        <is>
          <t>A 7636-2025</t>
        </is>
      </c>
      <c r="B241" s="1" t="n">
        <v>45705.7687962963</v>
      </c>
      <c r="C241" s="1" t="n">
        <v>46128</v>
      </c>
      <c r="D241" t="inlineStr">
        <is>
          <t>GOTLANDS LÄN</t>
        </is>
      </c>
      <c r="E241" t="inlineStr">
        <is>
          <t>GOTLAND</t>
        </is>
      </c>
      <c r="G241" t="n">
        <v>0.6</v>
      </c>
      <c r="H241" t="n">
        <v>0</v>
      </c>
      <c r="I241" t="n">
        <v>0</v>
      </c>
      <c r="J241" t="n">
        <v>0</v>
      </c>
      <c r="K241" t="n">
        <v>0</v>
      </c>
      <c r="L241" t="n">
        <v>0</v>
      </c>
      <c r="M241" t="n">
        <v>0</v>
      </c>
      <c r="N241" t="n">
        <v>0</v>
      </c>
      <c r="O241" t="n">
        <v>0</v>
      </c>
      <c r="P241" t="n">
        <v>0</v>
      </c>
      <c r="Q241" t="n">
        <v>0</v>
      </c>
      <c r="R241" s="2" t="inlineStr"/>
    </row>
    <row r="242" ht="15" customHeight="1">
      <c r="A242" t="inlineStr">
        <is>
          <t>A 7639-2025</t>
        </is>
      </c>
      <c r="B242" s="1" t="n">
        <v>45705.77465277778</v>
      </c>
      <c r="C242" s="1" t="n">
        <v>46128</v>
      </c>
      <c r="D242" t="inlineStr">
        <is>
          <t>GOTLANDS LÄN</t>
        </is>
      </c>
      <c r="E242" t="inlineStr">
        <is>
          <t>GOTLAND</t>
        </is>
      </c>
      <c r="G242" t="n">
        <v>1</v>
      </c>
      <c r="H242" t="n">
        <v>0</v>
      </c>
      <c r="I242" t="n">
        <v>0</v>
      </c>
      <c r="J242" t="n">
        <v>0</v>
      </c>
      <c r="K242" t="n">
        <v>0</v>
      </c>
      <c r="L242" t="n">
        <v>0</v>
      </c>
      <c r="M242" t="n">
        <v>0</v>
      </c>
      <c r="N242" t="n">
        <v>0</v>
      </c>
      <c r="O242" t="n">
        <v>0</v>
      </c>
      <c r="P242" t="n">
        <v>0</v>
      </c>
      <c r="Q242" t="n">
        <v>0</v>
      </c>
      <c r="R242" s="2" t="inlineStr"/>
    </row>
    <row r="243" ht="15" customHeight="1">
      <c r="A243" t="inlineStr">
        <is>
          <t>A 458-2023</t>
        </is>
      </c>
      <c r="B243" s="1" t="n">
        <v>44929</v>
      </c>
      <c r="C243" s="1" t="n">
        <v>46128</v>
      </c>
      <c r="D243" t="inlineStr">
        <is>
          <t>GOTLANDS LÄN</t>
        </is>
      </c>
      <c r="E243" t="inlineStr">
        <is>
          <t>GOTLAND</t>
        </is>
      </c>
      <c r="G243" t="n">
        <v>3.6</v>
      </c>
      <c r="H243" t="n">
        <v>0</v>
      </c>
      <c r="I243" t="n">
        <v>0</v>
      </c>
      <c r="J243" t="n">
        <v>0</v>
      </c>
      <c r="K243" t="n">
        <v>0</v>
      </c>
      <c r="L243" t="n">
        <v>0</v>
      </c>
      <c r="M243" t="n">
        <v>0</v>
      </c>
      <c r="N243" t="n">
        <v>0</v>
      </c>
      <c r="O243" t="n">
        <v>0</v>
      </c>
      <c r="P243" t="n">
        <v>0</v>
      </c>
      <c r="Q243" t="n">
        <v>0</v>
      </c>
      <c r="R243" s="2" t="inlineStr"/>
    </row>
    <row r="244" ht="15" customHeight="1">
      <c r="A244" t="inlineStr">
        <is>
          <t>A 56951-2021</t>
        </is>
      </c>
      <c r="B244" s="1" t="n">
        <v>44482.37388888889</v>
      </c>
      <c r="C244" s="1" t="n">
        <v>46128</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44228-2022</t>
        </is>
      </c>
      <c r="B245" s="1" t="n">
        <v>44839.51599537037</v>
      </c>
      <c r="C245" s="1" t="n">
        <v>46128</v>
      </c>
      <c r="D245" t="inlineStr">
        <is>
          <t>GOTLANDS LÄN</t>
        </is>
      </c>
      <c r="E245" t="inlineStr">
        <is>
          <t>GOTLAND</t>
        </is>
      </c>
      <c r="G245" t="n">
        <v>2.1</v>
      </c>
      <c r="H245" t="n">
        <v>0</v>
      </c>
      <c r="I245" t="n">
        <v>0</v>
      </c>
      <c r="J245" t="n">
        <v>0</v>
      </c>
      <c r="K245" t="n">
        <v>0</v>
      </c>
      <c r="L245" t="n">
        <v>0</v>
      </c>
      <c r="M245" t="n">
        <v>0</v>
      </c>
      <c r="N245" t="n">
        <v>0</v>
      </c>
      <c r="O245" t="n">
        <v>0</v>
      </c>
      <c r="P245" t="n">
        <v>0</v>
      </c>
      <c r="Q245" t="n">
        <v>0</v>
      </c>
      <c r="R245" s="2" t="inlineStr"/>
    </row>
    <row r="246" ht="15" customHeight="1">
      <c r="A246" t="inlineStr">
        <is>
          <t>A 20356-2022</t>
        </is>
      </c>
      <c r="B246" s="1" t="n">
        <v>44699</v>
      </c>
      <c r="C246" s="1" t="n">
        <v>46128</v>
      </c>
      <c r="D246" t="inlineStr">
        <is>
          <t>GOTLANDS LÄN</t>
        </is>
      </c>
      <c r="E246" t="inlineStr">
        <is>
          <t>GOTLAND</t>
        </is>
      </c>
      <c r="F246" t="inlineStr">
        <is>
          <t>Övriga Aktiebolag</t>
        </is>
      </c>
      <c r="G246" t="n">
        <v>4.4</v>
      </c>
      <c r="H246" t="n">
        <v>0</v>
      </c>
      <c r="I246" t="n">
        <v>0</v>
      </c>
      <c r="J246" t="n">
        <v>0</v>
      </c>
      <c r="K246" t="n">
        <v>0</v>
      </c>
      <c r="L246" t="n">
        <v>0</v>
      </c>
      <c r="M246" t="n">
        <v>0</v>
      </c>
      <c r="N246" t="n">
        <v>0</v>
      </c>
      <c r="O246" t="n">
        <v>0</v>
      </c>
      <c r="P246" t="n">
        <v>0</v>
      </c>
      <c r="Q246" t="n">
        <v>0</v>
      </c>
      <c r="R246" s="2" t="inlineStr"/>
    </row>
    <row r="247" ht="15" customHeight="1">
      <c r="A247" t="inlineStr">
        <is>
          <t>A 48734-2022</t>
        </is>
      </c>
      <c r="B247" s="1" t="n">
        <v>44855</v>
      </c>
      <c r="C247" s="1" t="n">
        <v>46128</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14141-2024</t>
        </is>
      </c>
      <c r="B248" s="1" t="n">
        <v>45392.85193287037</v>
      </c>
      <c r="C248" s="1" t="n">
        <v>46128</v>
      </c>
      <c r="D248" t="inlineStr">
        <is>
          <t>GOTLANDS LÄN</t>
        </is>
      </c>
      <c r="E248" t="inlineStr">
        <is>
          <t>GOTLAND</t>
        </is>
      </c>
      <c r="G248" t="n">
        <v>5.3</v>
      </c>
      <c r="H248" t="n">
        <v>0</v>
      </c>
      <c r="I248" t="n">
        <v>0</v>
      </c>
      <c r="J248" t="n">
        <v>0</v>
      </c>
      <c r="K248" t="n">
        <v>0</v>
      </c>
      <c r="L248" t="n">
        <v>0</v>
      </c>
      <c r="M248" t="n">
        <v>0</v>
      </c>
      <c r="N248" t="n">
        <v>0</v>
      </c>
      <c r="O248" t="n">
        <v>0</v>
      </c>
      <c r="P248" t="n">
        <v>0</v>
      </c>
      <c r="Q248" t="n">
        <v>0</v>
      </c>
      <c r="R248" s="2" t="inlineStr"/>
    </row>
    <row r="249" ht="15" customHeight="1">
      <c r="A249" t="inlineStr">
        <is>
          <t>A 58132-2023</t>
        </is>
      </c>
      <c r="B249" s="1" t="n">
        <v>45250</v>
      </c>
      <c r="C249" s="1" t="n">
        <v>46128</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29809-2022</t>
        </is>
      </c>
      <c r="B250" s="1" t="n">
        <v>44755.8713425926</v>
      </c>
      <c r="C250" s="1" t="n">
        <v>46128</v>
      </c>
      <c r="D250" t="inlineStr">
        <is>
          <t>GOTLANDS LÄN</t>
        </is>
      </c>
      <c r="E250" t="inlineStr">
        <is>
          <t>GOTLAND</t>
        </is>
      </c>
      <c r="G250" t="n">
        <v>11.5</v>
      </c>
      <c r="H250" t="n">
        <v>0</v>
      </c>
      <c r="I250" t="n">
        <v>0</v>
      </c>
      <c r="J250" t="n">
        <v>0</v>
      </c>
      <c r="K250" t="n">
        <v>0</v>
      </c>
      <c r="L250" t="n">
        <v>0</v>
      </c>
      <c r="M250" t="n">
        <v>0</v>
      </c>
      <c r="N250" t="n">
        <v>0</v>
      </c>
      <c r="O250" t="n">
        <v>0</v>
      </c>
      <c r="P250" t="n">
        <v>0</v>
      </c>
      <c r="Q250" t="n">
        <v>0</v>
      </c>
      <c r="R250" s="2" t="inlineStr"/>
    </row>
    <row r="251" ht="15" customHeight="1">
      <c r="A251" t="inlineStr">
        <is>
          <t>A 13498-2022</t>
        </is>
      </c>
      <c r="B251" s="1" t="n">
        <v>44647.78866898148</v>
      </c>
      <c r="C251" s="1" t="n">
        <v>46128</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13500-2022</t>
        </is>
      </c>
      <c r="B252" s="1" t="n">
        <v>44647.79513888889</v>
      </c>
      <c r="C252" s="1" t="n">
        <v>46128</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49884-2023</t>
        </is>
      </c>
      <c r="B253" s="1" t="n">
        <v>45213</v>
      </c>
      <c r="C253" s="1" t="n">
        <v>46128</v>
      </c>
      <c r="D253" t="inlineStr">
        <is>
          <t>GOTLANDS LÄN</t>
        </is>
      </c>
      <c r="E253" t="inlineStr">
        <is>
          <t>GOTLAND</t>
        </is>
      </c>
      <c r="G253" t="n">
        <v>8.9</v>
      </c>
      <c r="H253" t="n">
        <v>0</v>
      </c>
      <c r="I253" t="n">
        <v>0</v>
      </c>
      <c r="J253" t="n">
        <v>0</v>
      </c>
      <c r="K253" t="n">
        <v>0</v>
      </c>
      <c r="L253" t="n">
        <v>0</v>
      </c>
      <c r="M253" t="n">
        <v>0</v>
      </c>
      <c r="N253" t="n">
        <v>0</v>
      </c>
      <c r="O253" t="n">
        <v>0</v>
      </c>
      <c r="P253" t="n">
        <v>0</v>
      </c>
      <c r="Q253" t="n">
        <v>0</v>
      </c>
      <c r="R253" s="2" t="inlineStr"/>
    </row>
    <row r="254" ht="15" customHeight="1">
      <c r="A254" t="inlineStr">
        <is>
          <t>A 57685-2022</t>
        </is>
      </c>
      <c r="B254" s="1" t="n">
        <v>44897.4777662037</v>
      </c>
      <c r="C254" s="1" t="n">
        <v>46128</v>
      </c>
      <c r="D254" t="inlineStr">
        <is>
          <t>GOTLANDS LÄN</t>
        </is>
      </c>
      <c r="E254" t="inlineStr">
        <is>
          <t>GOTLAND</t>
        </is>
      </c>
      <c r="G254" t="n">
        <v>3.7</v>
      </c>
      <c r="H254" t="n">
        <v>0</v>
      </c>
      <c r="I254" t="n">
        <v>0</v>
      </c>
      <c r="J254" t="n">
        <v>0</v>
      </c>
      <c r="K254" t="n">
        <v>0</v>
      </c>
      <c r="L254" t="n">
        <v>0</v>
      </c>
      <c r="M254" t="n">
        <v>0</v>
      </c>
      <c r="N254" t="n">
        <v>0</v>
      </c>
      <c r="O254" t="n">
        <v>0</v>
      </c>
      <c r="P254" t="n">
        <v>0</v>
      </c>
      <c r="Q254" t="n">
        <v>0</v>
      </c>
      <c r="R254" s="2" t="inlineStr"/>
    </row>
    <row r="255" ht="15" customHeight="1">
      <c r="A255" t="inlineStr">
        <is>
          <t>A 21507-2021</t>
        </is>
      </c>
      <c r="B255" s="1" t="n">
        <v>44321</v>
      </c>
      <c r="C255" s="1" t="n">
        <v>46128</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30815-2023</t>
        </is>
      </c>
      <c r="B256" s="1" t="n">
        <v>45112</v>
      </c>
      <c r="C256" s="1" t="n">
        <v>46128</v>
      </c>
      <c r="D256" t="inlineStr">
        <is>
          <t>GOTLANDS LÄN</t>
        </is>
      </c>
      <c r="E256" t="inlineStr">
        <is>
          <t>GOTLAND</t>
        </is>
      </c>
      <c r="G256" t="n">
        <v>6</v>
      </c>
      <c r="H256" t="n">
        <v>0</v>
      </c>
      <c r="I256" t="n">
        <v>0</v>
      </c>
      <c r="J256" t="n">
        <v>0</v>
      </c>
      <c r="K256" t="n">
        <v>0</v>
      </c>
      <c r="L256" t="n">
        <v>0</v>
      </c>
      <c r="M256" t="n">
        <v>0</v>
      </c>
      <c r="N256" t="n">
        <v>0</v>
      </c>
      <c r="O256" t="n">
        <v>0</v>
      </c>
      <c r="P256" t="n">
        <v>0</v>
      </c>
      <c r="Q256" t="n">
        <v>0</v>
      </c>
      <c r="R256" s="2" t="inlineStr"/>
    </row>
    <row r="257" ht="15" customHeight="1">
      <c r="A257" t="inlineStr">
        <is>
          <t>A 876-2024</t>
        </is>
      </c>
      <c r="B257" s="1" t="n">
        <v>45301</v>
      </c>
      <c r="C257" s="1" t="n">
        <v>46128</v>
      </c>
      <c r="D257" t="inlineStr">
        <is>
          <t>GOTLANDS LÄN</t>
        </is>
      </c>
      <c r="E257" t="inlineStr">
        <is>
          <t>GOTLAND</t>
        </is>
      </c>
      <c r="G257" t="n">
        <v>5.3</v>
      </c>
      <c r="H257" t="n">
        <v>0</v>
      </c>
      <c r="I257" t="n">
        <v>0</v>
      </c>
      <c r="J257" t="n">
        <v>0</v>
      </c>
      <c r="K257" t="n">
        <v>0</v>
      </c>
      <c r="L257" t="n">
        <v>0</v>
      </c>
      <c r="M257" t="n">
        <v>0</v>
      </c>
      <c r="N257" t="n">
        <v>0</v>
      </c>
      <c r="O257" t="n">
        <v>0</v>
      </c>
      <c r="P257" t="n">
        <v>0</v>
      </c>
      <c r="Q257" t="n">
        <v>0</v>
      </c>
      <c r="R257" s="2" t="inlineStr"/>
    </row>
    <row r="258" ht="15" customHeight="1">
      <c r="A258" t="inlineStr">
        <is>
          <t>A 57219-2021</t>
        </is>
      </c>
      <c r="B258" s="1" t="n">
        <v>44483</v>
      </c>
      <c r="C258" s="1" t="n">
        <v>46128</v>
      </c>
      <c r="D258" t="inlineStr">
        <is>
          <t>GOTLANDS LÄN</t>
        </is>
      </c>
      <c r="E258" t="inlineStr">
        <is>
          <t>GOTLAND</t>
        </is>
      </c>
      <c r="F258" t="inlineStr">
        <is>
          <t>Kyrkan</t>
        </is>
      </c>
      <c r="G258" t="n">
        <v>4</v>
      </c>
      <c r="H258" t="n">
        <v>0</v>
      </c>
      <c r="I258" t="n">
        <v>0</v>
      </c>
      <c r="J258" t="n">
        <v>0</v>
      </c>
      <c r="K258" t="n">
        <v>0</v>
      </c>
      <c r="L258" t="n">
        <v>0</v>
      </c>
      <c r="M258" t="n">
        <v>0</v>
      </c>
      <c r="N258" t="n">
        <v>0</v>
      </c>
      <c r="O258" t="n">
        <v>0</v>
      </c>
      <c r="P258" t="n">
        <v>0</v>
      </c>
      <c r="Q258" t="n">
        <v>0</v>
      </c>
      <c r="R258" s="2" t="inlineStr"/>
    </row>
    <row r="259" ht="15" customHeight="1">
      <c r="A259" t="inlineStr">
        <is>
          <t>A 7034-2023</t>
        </is>
      </c>
      <c r="B259" s="1" t="n">
        <v>44968.32108796296</v>
      </c>
      <c r="C259" s="1" t="n">
        <v>46128</v>
      </c>
      <c r="D259" t="inlineStr">
        <is>
          <t>GOTLANDS LÄN</t>
        </is>
      </c>
      <c r="E259" t="inlineStr">
        <is>
          <t>GOTLAND</t>
        </is>
      </c>
      <c r="G259" t="n">
        <v>1.6</v>
      </c>
      <c r="H259" t="n">
        <v>0</v>
      </c>
      <c r="I259" t="n">
        <v>0</v>
      </c>
      <c r="J259" t="n">
        <v>0</v>
      </c>
      <c r="K259" t="n">
        <v>0</v>
      </c>
      <c r="L259" t="n">
        <v>0</v>
      </c>
      <c r="M259" t="n">
        <v>0</v>
      </c>
      <c r="N259" t="n">
        <v>0</v>
      </c>
      <c r="O259" t="n">
        <v>0</v>
      </c>
      <c r="P259" t="n">
        <v>0</v>
      </c>
      <c r="Q259" t="n">
        <v>0</v>
      </c>
      <c r="R259" s="2" t="inlineStr"/>
    </row>
    <row r="260" ht="15" customHeight="1">
      <c r="A260" t="inlineStr">
        <is>
          <t>A 7042-2023</t>
        </is>
      </c>
      <c r="B260" s="1" t="n">
        <v>44968</v>
      </c>
      <c r="C260" s="1" t="n">
        <v>46128</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23516-2023</t>
        </is>
      </c>
      <c r="B261" s="1" t="n">
        <v>45076.93391203704</v>
      </c>
      <c r="C261" s="1" t="n">
        <v>46128</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22704-2023</t>
        </is>
      </c>
      <c r="B262" s="1" t="n">
        <v>45071</v>
      </c>
      <c r="C262" s="1" t="n">
        <v>46128</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28425-2023</t>
        </is>
      </c>
      <c r="B263" s="1" t="n">
        <v>45102</v>
      </c>
      <c r="C263" s="1" t="n">
        <v>46128</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64660-2023</t>
        </is>
      </c>
      <c r="B264" s="1" t="n">
        <v>45281.60122685185</v>
      </c>
      <c r="C264" s="1" t="n">
        <v>46128</v>
      </c>
      <c r="D264" t="inlineStr">
        <is>
          <t>GOTLANDS LÄN</t>
        </is>
      </c>
      <c r="E264" t="inlineStr">
        <is>
          <t>GOTLAND</t>
        </is>
      </c>
      <c r="G264" t="n">
        <v>6.3</v>
      </c>
      <c r="H264" t="n">
        <v>0</v>
      </c>
      <c r="I264" t="n">
        <v>0</v>
      </c>
      <c r="J264" t="n">
        <v>0</v>
      </c>
      <c r="K264" t="n">
        <v>0</v>
      </c>
      <c r="L264" t="n">
        <v>0</v>
      </c>
      <c r="M264" t="n">
        <v>0</v>
      </c>
      <c r="N264" t="n">
        <v>0</v>
      </c>
      <c r="O264" t="n">
        <v>0</v>
      </c>
      <c r="P264" t="n">
        <v>0</v>
      </c>
      <c r="Q264" t="n">
        <v>0</v>
      </c>
      <c r="R264" s="2" t="inlineStr"/>
    </row>
    <row r="265" ht="15" customHeight="1">
      <c r="A265" t="inlineStr">
        <is>
          <t>A 58476-2022</t>
        </is>
      </c>
      <c r="B265" s="1" t="n">
        <v>44902</v>
      </c>
      <c r="C265" s="1" t="n">
        <v>46128</v>
      </c>
      <c r="D265" t="inlineStr">
        <is>
          <t>GOTLANDS LÄN</t>
        </is>
      </c>
      <c r="E265" t="inlineStr">
        <is>
          <t>GOTLAND</t>
        </is>
      </c>
      <c r="G265" t="n">
        <v>0.9</v>
      </c>
      <c r="H265" t="n">
        <v>0</v>
      </c>
      <c r="I265" t="n">
        <v>0</v>
      </c>
      <c r="J265" t="n">
        <v>0</v>
      </c>
      <c r="K265" t="n">
        <v>0</v>
      </c>
      <c r="L265" t="n">
        <v>0</v>
      </c>
      <c r="M265" t="n">
        <v>0</v>
      </c>
      <c r="N265" t="n">
        <v>0</v>
      </c>
      <c r="O265" t="n">
        <v>0</v>
      </c>
      <c r="P265" t="n">
        <v>0</v>
      </c>
      <c r="Q265" t="n">
        <v>0</v>
      </c>
      <c r="R265" s="2" t="inlineStr"/>
    </row>
    <row r="266" ht="15" customHeight="1">
      <c r="A266" t="inlineStr">
        <is>
          <t>A 63763-2023</t>
        </is>
      </c>
      <c r="B266" s="1" t="n">
        <v>45278.33944444444</v>
      </c>
      <c r="C266" s="1" t="n">
        <v>46128</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20356-2022</t>
        </is>
      </c>
      <c r="B267" s="1" t="n">
        <v>44699</v>
      </c>
      <c r="C267" s="1" t="n">
        <v>46128</v>
      </c>
      <c r="D267" t="inlineStr">
        <is>
          <t>GOTLANDS LÄN</t>
        </is>
      </c>
      <c r="E267" t="inlineStr">
        <is>
          <t>GOTLAND</t>
        </is>
      </c>
      <c r="F267" t="inlineStr">
        <is>
          <t>Övriga Aktiebolag</t>
        </is>
      </c>
      <c r="G267" t="n">
        <v>4.4</v>
      </c>
      <c r="H267" t="n">
        <v>0</v>
      </c>
      <c r="I267" t="n">
        <v>0</v>
      </c>
      <c r="J267" t="n">
        <v>0</v>
      </c>
      <c r="K267" t="n">
        <v>0</v>
      </c>
      <c r="L267" t="n">
        <v>0</v>
      </c>
      <c r="M267" t="n">
        <v>0</v>
      </c>
      <c r="N267" t="n">
        <v>0</v>
      </c>
      <c r="O267" t="n">
        <v>0</v>
      </c>
      <c r="P267" t="n">
        <v>0</v>
      </c>
      <c r="Q267" t="n">
        <v>0</v>
      </c>
      <c r="R267" s="2" t="inlineStr"/>
    </row>
    <row r="268" ht="15" customHeight="1">
      <c r="A268" t="inlineStr">
        <is>
          <t>A 43200-2023</t>
        </is>
      </c>
      <c r="B268" s="1" t="n">
        <v>45183</v>
      </c>
      <c r="C268" s="1" t="n">
        <v>46128</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43223-2023</t>
        </is>
      </c>
      <c r="B269" s="1" t="n">
        <v>45183.45642361111</v>
      </c>
      <c r="C269" s="1" t="n">
        <v>46128</v>
      </c>
      <c r="D269" t="inlineStr">
        <is>
          <t>GOTLANDS LÄN</t>
        </is>
      </c>
      <c r="E269" t="inlineStr">
        <is>
          <t>GOTLAND</t>
        </is>
      </c>
      <c r="G269" t="n">
        <v>1.8</v>
      </c>
      <c r="H269" t="n">
        <v>0</v>
      </c>
      <c r="I269" t="n">
        <v>0</v>
      </c>
      <c r="J269" t="n">
        <v>0</v>
      </c>
      <c r="K269" t="n">
        <v>0</v>
      </c>
      <c r="L269" t="n">
        <v>0</v>
      </c>
      <c r="M269" t="n">
        <v>0</v>
      </c>
      <c r="N269" t="n">
        <v>0</v>
      </c>
      <c r="O269" t="n">
        <v>0</v>
      </c>
      <c r="P269" t="n">
        <v>0</v>
      </c>
      <c r="Q269" t="n">
        <v>0</v>
      </c>
      <c r="R269" s="2" t="inlineStr"/>
    </row>
    <row r="270" ht="15" customHeight="1">
      <c r="A270" t="inlineStr">
        <is>
          <t>A 12327-2025</t>
        </is>
      </c>
      <c r="B270" s="1" t="n">
        <v>45730</v>
      </c>
      <c r="C270" s="1" t="n">
        <v>46128</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3431-2025</t>
        </is>
      </c>
      <c r="B271" s="1" t="n">
        <v>45680.42935185185</v>
      </c>
      <c r="C271" s="1" t="n">
        <v>46128</v>
      </c>
      <c r="D271" t="inlineStr">
        <is>
          <t>GOTLANDS LÄN</t>
        </is>
      </c>
      <c r="E271" t="inlineStr">
        <is>
          <t>GOTLAND</t>
        </is>
      </c>
      <c r="G271" t="n">
        <v>4.8</v>
      </c>
      <c r="H271" t="n">
        <v>0</v>
      </c>
      <c r="I271" t="n">
        <v>0</v>
      </c>
      <c r="J271" t="n">
        <v>0</v>
      </c>
      <c r="K271" t="n">
        <v>0</v>
      </c>
      <c r="L271" t="n">
        <v>0</v>
      </c>
      <c r="M271" t="n">
        <v>0</v>
      </c>
      <c r="N271" t="n">
        <v>0</v>
      </c>
      <c r="O271" t="n">
        <v>0</v>
      </c>
      <c r="P271" t="n">
        <v>0</v>
      </c>
      <c r="Q271" t="n">
        <v>0</v>
      </c>
      <c r="R271" s="2" t="inlineStr"/>
    </row>
    <row r="272" ht="15" customHeight="1">
      <c r="A272" t="inlineStr">
        <is>
          <t>A 63229-2021</t>
        </is>
      </c>
      <c r="B272" s="1" t="n">
        <v>44508.34518518519</v>
      </c>
      <c r="C272" s="1" t="n">
        <v>46128</v>
      </c>
      <c r="D272" t="inlineStr">
        <is>
          <t>GOTLANDS LÄN</t>
        </is>
      </c>
      <c r="E272" t="inlineStr">
        <is>
          <t>GOTLAND</t>
        </is>
      </c>
      <c r="F272" t="inlineStr">
        <is>
          <t>Kyrkan</t>
        </is>
      </c>
      <c r="G272" t="n">
        <v>3.8</v>
      </c>
      <c r="H272" t="n">
        <v>0</v>
      </c>
      <c r="I272" t="n">
        <v>0</v>
      </c>
      <c r="J272" t="n">
        <v>0</v>
      </c>
      <c r="K272" t="n">
        <v>0</v>
      </c>
      <c r="L272" t="n">
        <v>0</v>
      </c>
      <c r="M272" t="n">
        <v>0</v>
      </c>
      <c r="N272" t="n">
        <v>0</v>
      </c>
      <c r="O272" t="n">
        <v>0</v>
      </c>
      <c r="P272" t="n">
        <v>0</v>
      </c>
      <c r="Q272" t="n">
        <v>0</v>
      </c>
      <c r="R272" s="2" t="inlineStr"/>
    </row>
    <row r="273" ht="15" customHeight="1">
      <c r="A273" t="inlineStr">
        <is>
          <t>A 46375-2024</t>
        </is>
      </c>
      <c r="B273" s="1" t="n">
        <v>45582</v>
      </c>
      <c r="C273" s="1" t="n">
        <v>46128</v>
      </c>
      <c r="D273" t="inlineStr">
        <is>
          <t>GOTLANDS LÄN</t>
        </is>
      </c>
      <c r="E273" t="inlineStr">
        <is>
          <t>GOTLAND</t>
        </is>
      </c>
      <c r="G273" t="n">
        <v>3</v>
      </c>
      <c r="H273" t="n">
        <v>0</v>
      </c>
      <c r="I273" t="n">
        <v>0</v>
      </c>
      <c r="J273" t="n">
        <v>0</v>
      </c>
      <c r="K273" t="n">
        <v>0</v>
      </c>
      <c r="L273" t="n">
        <v>0</v>
      </c>
      <c r="M273" t="n">
        <v>0</v>
      </c>
      <c r="N273" t="n">
        <v>0</v>
      </c>
      <c r="O273" t="n">
        <v>0</v>
      </c>
      <c r="P273" t="n">
        <v>0</v>
      </c>
      <c r="Q273" t="n">
        <v>0</v>
      </c>
      <c r="R273" s="2" t="inlineStr"/>
    </row>
    <row r="274" ht="15" customHeight="1">
      <c r="A274" t="inlineStr">
        <is>
          <t>A 12209-2024</t>
        </is>
      </c>
      <c r="B274" s="1" t="n">
        <v>45378</v>
      </c>
      <c r="C274" s="1" t="n">
        <v>46128</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12210-2024</t>
        </is>
      </c>
      <c r="B275" s="1" t="n">
        <v>45378</v>
      </c>
      <c r="C275" s="1" t="n">
        <v>46128</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1364-2025</t>
        </is>
      </c>
      <c r="B276" s="1" t="n">
        <v>45667.63929398148</v>
      </c>
      <c r="C276" s="1" t="n">
        <v>46128</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15042-2025</t>
        </is>
      </c>
      <c r="B277" s="1" t="n">
        <v>45743</v>
      </c>
      <c r="C277" s="1" t="n">
        <v>46128</v>
      </c>
      <c r="D277" t="inlineStr">
        <is>
          <t>GOTLANDS LÄN</t>
        </is>
      </c>
      <c r="E277" t="inlineStr">
        <is>
          <t>GOTLAND</t>
        </is>
      </c>
      <c r="G277" t="n">
        <v>8.5</v>
      </c>
      <c r="H277" t="n">
        <v>0</v>
      </c>
      <c r="I277" t="n">
        <v>0</v>
      </c>
      <c r="J277" t="n">
        <v>0</v>
      </c>
      <c r="K277" t="n">
        <v>0</v>
      </c>
      <c r="L277" t="n">
        <v>0</v>
      </c>
      <c r="M277" t="n">
        <v>0</v>
      </c>
      <c r="N277" t="n">
        <v>0</v>
      </c>
      <c r="O277" t="n">
        <v>0</v>
      </c>
      <c r="P277" t="n">
        <v>0</v>
      </c>
      <c r="Q277" t="n">
        <v>0</v>
      </c>
      <c r="R277" s="2" t="inlineStr"/>
    </row>
    <row r="278" ht="15" customHeight="1">
      <c r="A278" t="inlineStr">
        <is>
          <t>A 30282-2022</t>
        </is>
      </c>
      <c r="B278" s="1" t="n">
        <v>44760</v>
      </c>
      <c r="C278" s="1" t="n">
        <v>46128</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2180-2025</t>
        </is>
      </c>
      <c r="B279" s="1" t="n">
        <v>45673</v>
      </c>
      <c r="C279" s="1" t="n">
        <v>46128</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15436-2025</t>
        </is>
      </c>
      <c r="B280" s="1" t="n">
        <v>45747.47462962963</v>
      </c>
      <c r="C280" s="1" t="n">
        <v>46128</v>
      </c>
      <c r="D280" t="inlineStr">
        <is>
          <t>GOTLANDS LÄN</t>
        </is>
      </c>
      <c r="E280" t="inlineStr">
        <is>
          <t>GOTLAND</t>
        </is>
      </c>
      <c r="G280" t="n">
        <v>4.1</v>
      </c>
      <c r="H280" t="n">
        <v>0</v>
      </c>
      <c r="I280" t="n">
        <v>0</v>
      </c>
      <c r="J280" t="n">
        <v>0</v>
      </c>
      <c r="K280" t="n">
        <v>0</v>
      </c>
      <c r="L280" t="n">
        <v>0</v>
      </c>
      <c r="M280" t="n">
        <v>0</v>
      </c>
      <c r="N280" t="n">
        <v>0</v>
      </c>
      <c r="O280" t="n">
        <v>0</v>
      </c>
      <c r="P280" t="n">
        <v>0</v>
      </c>
      <c r="Q280" t="n">
        <v>0</v>
      </c>
      <c r="R280" s="2" t="inlineStr"/>
    </row>
    <row r="281" ht="15" customHeight="1">
      <c r="A281" t="inlineStr">
        <is>
          <t>A 4868-2024</t>
        </is>
      </c>
      <c r="B281" s="1" t="n">
        <v>45329</v>
      </c>
      <c r="C281" s="1" t="n">
        <v>46128</v>
      </c>
      <c r="D281" t="inlineStr">
        <is>
          <t>GOTLANDS LÄN</t>
        </is>
      </c>
      <c r="E281" t="inlineStr">
        <is>
          <t>GOTLAND</t>
        </is>
      </c>
      <c r="G281" t="n">
        <v>7.1</v>
      </c>
      <c r="H281" t="n">
        <v>0</v>
      </c>
      <c r="I281" t="n">
        <v>0</v>
      </c>
      <c r="J281" t="n">
        <v>0</v>
      </c>
      <c r="K281" t="n">
        <v>0</v>
      </c>
      <c r="L281" t="n">
        <v>0</v>
      </c>
      <c r="M281" t="n">
        <v>0</v>
      </c>
      <c r="N281" t="n">
        <v>0</v>
      </c>
      <c r="O281" t="n">
        <v>0</v>
      </c>
      <c r="P281" t="n">
        <v>0</v>
      </c>
      <c r="Q281" t="n">
        <v>0</v>
      </c>
      <c r="R281" s="2" t="inlineStr"/>
    </row>
    <row r="282" ht="15" customHeight="1">
      <c r="A282" t="inlineStr">
        <is>
          <t>A 49257-2024</t>
        </is>
      </c>
      <c r="B282" s="1" t="n">
        <v>45595.47627314815</v>
      </c>
      <c r="C282" s="1" t="n">
        <v>46128</v>
      </c>
      <c r="D282" t="inlineStr">
        <is>
          <t>GOTLANDS LÄN</t>
        </is>
      </c>
      <c r="E282" t="inlineStr">
        <is>
          <t>GOTLAND</t>
        </is>
      </c>
      <c r="G282" t="n">
        <v>6.3</v>
      </c>
      <c r="H282" t="n">
        <v>0</v>
      </c>
      <c r="I282" t="n">
        <v>0</v>
      </c>
      <c r="J282" t="n">
        <v>0</v>
      </c>
      <c r="K282" t="n">
        <v>0</v>
      </c>
      <c r="L282" t="n">
        <v>0</v>
      </c>
      <c r="M282" t="n">
        <v>0</v>
      </c>
      <c r="N282" t="n">
        <v>0</v>
      </c>
      <c r="O282" t="n">
        <v>0</v>
      </c>
      <c r="P282" t="n">
        <v>0</v>
      </c>
      <c r="Q282" t="n">
        <v>0</v>
      </c>
      <c r="R282" s="2" t="inlineStr"/>
    </row>
    <row r="283" ht="15" customHeight="1">
      <c r="A283" t="inlineStr">
        <is>
          <t>A 1734-2025</t>
        </is>
      </c>
      <c r="B283" s="1" t="n">
        <v>45671.3840625</v>
      </c>
      <c r="C283" s="1" t="n">
        <v>46128</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37202-2024</t>
        </is>
      </c>
      <c r="B284" s="1" t="n">
        <v>45539.67310185185</v>
      </c>
      <c r="C284" s="1" t="n">
        <v>46128</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18993-2025</t>
        </is>
      </c>
      <c r="B285" s="1" t="n">
        <v>45764</v>
      </c>
      <c r="C285" s="1" t="n">
        <v>46128</v>
      </c>
      <c r="D285" t="inlineStr">
        <is>
          <t>GOTLANDS LÄN</t>
        </is>
      </c>
      <c r="E285" t="inlineStr">
        <is>
          <t>GOTLAND</t>
        </is>
      </c>
      <c r="G285" t="n">
        <v>3</v>
      </c>
      <c r="H285" t="n">
        <v>0</v>
      </c>
      <c r="I285" t="n">
        <v>0</v>
      </c>
      <c r="J285" t="n">
        <v>0</v>
      </c>
      <c r="K285" t="n">
        <v>0</v>
      </c>
      <c r="L285" t="n">
        <v>0</v>
      </c>
      <c r="M285" t="n">
        <v>0</v>
      </c>
      <c r="N285" t="n">
        <v>0</v>
      </c>
      <c r="O285" t="n">
        <v>0</v>
      </c>
      <c r="P285" t="n">
        <v>0</v>
      </c>
      <c r="Q285" t="n">
        <v>0</v>
      </c>
      <c r="R285" s="2" t="inlineStr"/>
    </row>
    <row r="286" ht="15" customHeight="1">
      <c r="A286" t="inlineStr">
        <is>
          <t>A 20993-2023</t>
        </is>
      </c>
      <c r="B286" s="1" t="n">
        <v>45056</v>
      </c>
      <c r="C286" s="1" t="n">
        <v>46128</v>
      </c>
      <c r="D286" t="inlineStr">
        <is>
          <t>GOTLANDS LÄN</t>
        </is>
      </c>
      <c r="E286" t="inlineStr">
        <is>
          <t>GOTLAND</t>
        </is>
      </c>
      <c r="G286" t="n">
        <v>7.1</v>
      </c>
      <c r="H286" t="n">
        <v>0</v>
      </c>
      <c r="I286" t="n">
        <v>0</v>
      </c>
      <c r="J286" t="n">
        <v>0</v>
      </c>
      <c r="K286" t="n">
        <v>0</v>
      </c>
      <c r="L286" t="n">
        <v>0</v>
      </c>
      <c r="M286" t="n">
        <v>0</v>
      </c>
      <c r="N286" t="n">
        <v>0</v>
      </c>
      <c r="O286" t="n">
        <v>0</v>
      </c>
      <c r="P286" t="n">
        <v>0</v>
      </c>
      <c r="Q286" t="n">
        <v>0</v>
      </c>
      <c r="R286" s="2" t="inlineStr"/>
    </row>
    <row r="287" ht="15" customHeight="1">
      <c r="A287" t="inlineStr">
        <is>
          <t>A 56115-2023</t>
        </is>
      </c>
      <c r="B287" s="1" t="n">
        <v>45236</v>
      </c>
      <c r="C287" s="1" t="n">
        <v>46128</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12596-2023</t>
        </is>
      </c>
      <c r="B288" s="1" t="n">
        <v>45000.43310185185</v>
      </c>
      <c r="C288" s="1" t="n">
        <v>46128</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30135-2025</t>
        </is>
      </c>
      <c r="B289" s="1" t="n">
        <v>45826</v>
      </c>
      <c r="C289" s="1" t="n">
        <v>46128</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2125-2025</t>
        </is>
      </c>
      <c r="B290" s="1" t="n">
        <v>45672.64940972222</v>
      </c>
      <c r="C290" s="1" t="n">
        <v>46128</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12599-2025</t>
        </is>
      </c>
      <c r="B291" s="1" t="n">
        <v>45733.29546296296</v>
      </c>
      <c r="C291" s="1" t="n">
        <v>46128</v>
      </c>
      <c r="D291" t="inlineStr">
        <is>
          <t>GOTLANDS LÄN</t>
        </is>
      </c>
      <c r="E291" t="inlineStr">
        <is>
          <t>GOTLAND</t>
        </is>
      </c>
      <c r="G291" t="n">
        <v>4.7</v>
      </c>
      <c r="H291" t="n">
        <v>0</v>
      </c>
      <c r="I291" t="n">
        <v>0</v>
      </c>
      <c r="J291" t="n">
        <v>0</v>
      </c>
      <c r="K291" t="n">
        <v>0</v>
      </c>
      <c r="L291" t="n">
        <v>0</v>
      </c>
      <c r="M291" t="n">
        <v>0</v>
      </c>
      <c r="N291" t="n">
        <v>0</v>
      </c>
      <c r="O291" t="n">
        <v>0</v>
      </c>
      <c r="P291" t="n">
        <v>0</v>
      </c>
      <c r="Q291" t="n">
        <v>0</v>
      </c>
      <c r="R291" s="2" t="inlineStr"/>
    </row>
    <row r="292" ht="15" customHeight="1">
      <c r="A292" t="inlineStr">
        <is>
          <t>A 35141-2025</t>
        </is>
      </c>
      <c r="B292" s="1" t="n">
        <v>45852.65206018519</v>
      </c>
      <c r="C292" s="1" t="n">
        <v>46128</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35142-2025</t>
        </is>
      </c>
      <c r="B293" s="1" t="n">
        <v>45852.65532407408</v>
      </c>
      <c r="C293" s="1" t="n">
        <v>46128</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32330-2024</t>
        </is>
      </c>
      <c r="B294" s="1" t="n">
        <v>45512</v>
      </c>
      <c r="C294" s="1" t="n">
        <v>46128</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2774-2024</t>
        </is>
      </c>
      <c r="B295" s="1" t="n">
        <v>45314.62375</v>
      </c>
      <c r="C295" s="1" t="n">
        <v>46128</v>
      </c>
      <c r="D295" t="inlineStr">
        <is>
          <t>GOTLANDS LÄN</t>
        </is>
      </c>
      <c r="E295" t="inlineStr">
        <is>
          <t>GOTLAND</t>
        </is>
      </c>
      <c r="G295" t="n">
        <v>1</v>
      </c>
      <c r="H295" t="n">
        <v>0</v>
      </c>
      <c r="I295" t="n">
        <v>0</v>
      </c>
      <c r="J295" t="n">
        <v>0</v>
      </c>
      <c r="K295" t="n">
        <v>0</v>
      </c>
      <c r="L295" t="n">
        <v>0</v>
      </c>
      <c r="M295" t="n">
        <v>0</v>
      </c>
      <c r="N295" t="n">
        <v>0</v>
      </c>
      <c r="O295" t="n">
        <v>0</v>
      </c>
      <c r="P295" t="n">
        <v>0</v>
      </c>
      <c r="Q295" t="n">
        <v>0</v>
      </c>
      <c r="R295" s="2" t="inlineStr"/>
    </row>
    <row r="296" ht="15" customHeight="1">
      <c r="A296" t="inlineStr">
        <is>
          <t>A 9613-2025</t>
        </is>
      </c>
      <c r="B296" s="1" t="n">
        <v>45715</v>
      </c>
      <c r="C296" s="1" t="n">
        <v>46128</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12155-2023</t>
        </is>
      </c>
      <c r="B297" s="1" t="n">
        <v>44998.49106481481</v>
      </c>
      <c r="C297" s="1" t="n">
        <v>46128</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457-2023</t>
        </is>
      </c>
      <c r="B298" s="1" t="n">
        <v>44929.87238425926</v>
      </c>
      <c r="C298" s="1" t="n">
        <v>46128</v>
      </c>
      <c r="D298" t="inlineStr">
        <is>
          <t>GOTLANDS LÄN</t>
        </is>
      </c>
      <c r="E298" t="inlineStr">
        <is>
          <t>GOTLAND</t>
        </is>
      </c>
      <c r="G298" t="n">
        <v>2.4</v>
      </c>
      <c r="H298" t="n">
        <v>0</v>
      </c>
      <c r="I298" t="n">
        <v>0</v>
      </c>
      <c r="J298" t="n">
        <v>0</v>
      </c>
      <c r="K298" t="n">
        <v>0</v>
      </c>
      <c r="L298" t="n">
        <v>0</v>
      </c>
      <c r="M298" t="n">
        <v>0</v>
      </c>
      <c r="N298" t="n">
        <v>0</v>
      </c>
      <c r="O298" t="n">
        <v>0</v>
      </c>
      <c r="P298" t="n">
        <v>0</v>
      </c>
      <c r="Q298" t="n">
        <v>0</v>
      </c>
      <c r="R298" s="2" t="inlineStr"/>
    </row>
    <row r="299" ht="15" customHeight="1">
      <c r="A299" t="inlineStr">
        <is>
          <t>A 459-2023</t>
        </is>
      </c>
      <c r="B299" s="1" t="n">
        <v>44929.87423611111</v>
      </c>
      <c r="C299" s="1" t="n">
        <v>46128</v>
      </c>
      <c r="D299" t="inlineStr">
        <is>
          <t>GOTLANDS LÄN</t>
        </is>
      </c>
      <c r="E299" t="inlineStr">
        <is>
          <t>GOTLAND</t>
        </is>
      </c>
      <c r="G299" t="n">
        <v>4.2</v>
      </c>
      <c r="H299" t="n">
        <v>0</v>
      </c>
      <c r="I299" t="n">
        <v>0</v>
      </c>
      <c r="J299" t="n">
        <v>0</v>
      </c>
      <c r="K299" t="n">
        <v>0</v>
      </c>
      <c r="L299" t="n">
        <v>0</v>
      </c>
      <c r="M299" t="n">
        <v>0</v>
      </c>
      <c r="N299" t="n">
        <v>0</v>
      </c>
      <c r="O299" t="n">
        <v>0</v>
      </c>
      <c r="P299" t="n">
        <v>0</v>
      </c>
      <c r="Q299" t="n">
        <v>0</v>
      </c>
      <c r="R299" s="2" t="inlineStr"/>
    </row>
    <row r="300" ht="15" customHeight="1">
      <c r="A300" t="inlineStr">
        <is>
          <t>A 38234-2023</t>
        </is>
      </c>
      <c r="B300" s="1" t="n">
        <v>45161.56663194444</v>
      </c>
      <c r="C300" s="1" t="n">
        <v>46128</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60709-2023</t>
        </is>
      </c>
      <c r="B301" s="1" t="n">
        <v>45260</v>
      </c>
      <c r="C301" s="1" t="n">
        <v>46128</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50744-2024</t>
        </is>
      </c>
      <c r="B302" s="1" t="n">
        <v>45602.4187037037</v>
      </c>
      <c r="C302" s="1" t="n">
        <v>46128</v>
      </c>
      <c r="D302" t="inlineStr">
        <is>
          <t>GOTLANDS LÄN</t>
        </is>
      </c>
      <c r="E302" t="inlineStr">
        <is>
          <t>GOTLAND</t>
        </is>
      </c>
      <c r="G302" t="n">
        <v>3.2</v>
      </c>
      <c r="H302" t="n">
        <v>0</v>
      </c>
      <c r="I302" t="n">
        <v>0</v>
      </c>
      <c r="J302" t="n">
        <v>0</v>
      </c>
      <c r="K302" t="n">
        <v>0</v>
      </c>
      <c r="L302" t="n">
        <v>0</v>
      </c>
      <c r="M302" t="n">
        <v>0</v>
      </c>
      <c r="N302" t="n">
        <v>0</v>
      </c>
      <c r="O302" t="n">
        <v>0</v>
      </c>
      <c r="P302" t="n">
        <v>0</v>
      </c>
      <c r="Q302" t="n">
        <v>0</v>
      </c>
      <c r="R302" s="2" t="inlineStr"/>
    </row>
    <row r="303" ht="15" customHeight="1">
      <c r="A303" t="inlineStr">
        <is>
          <t>A 15595-2024</t>
        </is>
      </c>
      <c r="B303" s="1" t="n">
        <v>45401.81480324074</v>
      </c>
      <c r="C303" s="1" t="n">
        <v>46128</v>
      </c>
      <c r="D303" t="inlineStr">
        <is>
          <t>GOTLANDS LÄN</t>
        </is>
      </c>
      <c r="E303" t="inlineStr">
        <is>
          <t>GOTLAND</t>
        </is>
      </c>
      <c r="G303" t="n">
        <v>6.4</v>
      </c>
      <c r="H303" t="n">
        <v>0</v>
      </c>
      <c r="I303" t="n">
        <v>0</v>
      </c>
      <c r="J303" t="n">
        <v>0</v>
      </c>
      <c r="K303" t="n">
        <v>0</v>
      </c>
      <c r="L303" t="n">
        <v>0</v>
      </c>
      <c r="M303" t="n">
        <v>0</v>
      </c>
      <c r="N303" t="n">
        <v>0</v>
      </c>
      <c r="O303" t="n">
        <v>0</v>
      </c>
      <c r="P303" t="n">
        <v>0</v>
      </c>
      <c r="Q303" t="n">
        <v>0</v>
      </c>
      <c r="R303" s="2" t="inlineStr"/>
    </row>
    <row r="304" ht="15" customHeight="1">
      <c r="A304" t="inlineStr">
        <is>
          <t>A 64208-2021</t>
        </is>
      </c>
      <c r="B304" s="1" t="n">
        <v>44510</v>
      </c>
      <c r="C304" s="1" t="n">
        <v>46128</v>
      </c>
      <c r="D304" t="inlineStr">
        <is>
          <t>GOTLANDS LÄN</t>
        </is>
      </c>
      <c r="E304" t="inlineStr">
        <is>
          <t>GOTLAND</t>
        </is>
      </c>
      <c r="G304" t="n">
        <v>4.7</v>
      </c>
      <c r="H304" t="n">
        <v>0</v>
      </c>
      <c r="I304" t="n">
        <v>0</v>
      </c>
      <c r="J304" t="n">
        <v>0</v>
      </c>
      <c r="K304" t="n">
        <v>0</v>
      </c>
      <c r="L304" t="n">
        <v>0</v>
      </c>
      <c r="M304" t="n">
        <v>0</v>
      </c>
      <c r="N304" t="n">
        <v>0</v>
      </c>
      <c r="O304" t="n">
        <v>0</v>
      </c>
      <c r="P304" t="n">
        <v>0</v>
      </c>
      <c r="Q304" t="n">
        <v>0</v>
      </c>
      <c r="R304" s="2" t="inlineStr"/>
    </row>
    <row r="305" ht="15" customHeight="1">
      <c r="A305" t="inlineStr">
        <is>
          <t>A 39764-2022</t>
        </is>
      </c>
      <c r="B305" s="1" t="n">
        <v>44819</v>
      </c>
      <c r="C305" s="1" t="n">
        <v>46128</v>
      </c>
      <c r="D305" t="inlineStr">
        <is>
          <t>GOTLANDS LÄN</t>
        </is>
      </c>
      <c r="E305" t="inlineStr">
        <is>
          <t>GOTLAND</t>
        </is>
      </c>
      <c r="F305" t="inlineStr">
        <is>
          <t>Kyrkan</t>
        </is>
      </c>
      <c r="G305" t="n">
        <v>3.7</v>
      </c>
      <c r="H305" t="n">
        <v>0</v>
      </c>
      <c r="I305" t="n">
        <v>0</v>
      </c>
      <c r="J305" t="n">
        <v>0</v>
      </c>
      <c r="K305" t="n">
        <v>0</v>
      </c>
      <c r="L305" t="n">
        <v>0</v>
      </c>
      <c r="M305" t="n">
        <v>0</v>
      </c>
      <c r="N305" t="n">
        <v>0</v>
      </c>
      <c r="O305" t="n">
        <v>0</v>
      </c>
      <c r="P305" t="n">
        <v>0</v>
      </c>
      <c r="Q305" t="n">
        <v>0</v>
      </c>
      <c r="R305" s="2" t="inlineStr"/>
    </row>
    <row r="306" ht="15" customHeight="1">
      <c r="A306" t="inlineStr">
        <is>
          <t>A 39819-2025</t>
        </is>
      </c>
      <c r="B306" s="1" t="n">
        <v>45891.53418981482</v>
      </c>
      <c r="C306" s="1" t="n">
        <v>46128</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53934-2024</t>
        </is>
      </c>
      <c r="B307" s="1" t="n">
        <v>45615</v>
      </c>
      <c r="C307" s="1" t="n">
        <v>46128</v>
      </c>
      <c r="D307" t="inlineStr">
        <is>
          <t>GOTLANDS LÄN</t>
        </is>
      </c>
      <c r="E307" t="inlineStr">
        <is>
          <t>GOTLAND</t>
        </is>
      </c>
      <c r="G307" t="n">
        <v>5</v>
      </c>
      <c r="H307" t="n">
        <v>0</v>
      </c>
      <c r="I307" t="n">
        <v>0</v>
      </c>
      <c r="J307" t="n">
        <v>0</v>
      </c>
      <c r="K307" t="n">
        <v>0</v>
      </c>
      <c r="L307" t="n">
        <v>0</v>
      </c>
      <c r="M307" t="n">
        <v>0</v>
      </c>
      <c r="N307" t="n">
        <v>0</v>
      </c>
      <c r="O307" t="n">
        <v>0</v>
      </c>
      <c r="P307" t="n">
        <v>0</v>
      </c>
      <c r="Q307" t="n">
        <v>0</v>
      </c>
      <c r="R307" s="2" t="inlineStr"/>
    </row>
    <row r="308" ht="15" customHeight="1">
      <c r="A308" t="inlineStr">
        <is>
          <t>A 39814-2025</t>
        </is>
      </c>
      <c r="B308" s="1" t="n">
        <v>45891.52694444444</v>
      </c>
      <c r="C308" s="1" t="n">
        <v>46128</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39849-2025</t>
        </is>
      </c>
      <c r="B309" s="1" t="n">
        <v>45891.58502314815</v>
      </c>
      <c r="C309" s="1" t="n">
        <v>46128</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58211-2024</t>
        </is>
      </c>
      <c r="B310" s="1" t="n">
        <v>45632.49292824074</v>
      </c>
      <c r="C310" s="1" t="n">
        <v>46128</v>
      </c>
      <c r="D310" t="inlineStr">
        <is>
          <t>GOTLANDS LÄN</t>
        </is>
      </c>
      <c r="E310" t="inlineStr">
        <is>
          <t>GOTLAND</t>
        </is>
      </c>
      <c r="G310" t="n">
        <v>5.4</v>
      </c>
      <c r="H310" t="n">
        <v>0</v>
      </c>
      <c r="I310" t="n">
        <v>0</v>
      </c>
      <c r="J310" t="n">
        <v>0</v>
      </c>
      <c r="K310" t="n">
        <v>0</v>
      </c>
      <c r="L310" t="n">
        <v>0</v>
      </c>
      <c r="M310" t="n">
        <v>0</v>
      </c>
      <c r="N310" t="n">
        <v>0</v>
      </c>
      <c r="O310" t="n">
        <v>0</v>
      </c>
      <c r="P310" t="n">
        <v>0</v>
      </c>
      <c r="Q310" t="n">
        <v>0</v>
      </c>
      <c r="R310" s="2" t="inlineStr"/>
    </row>
    <row r="311" ht="15" customHeight="1">
      <c r="A311" t="inlineStr">
        <is>
          <t>A 30956-2024</t>
        </is>
      </c>
      <c r="B311" s="1" t="n">
        <v>45499.42527777778</v>
      </c>
      <c r="C311" s="1" t="n">
        <v>46128</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30892-2024</t>
        </is>
      </c>
      <c r="B312" s="1" t="n">
        <v>45491</v>
      </c>
      <c r="C312" s="1" t="n">
        <v>46128</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39752-2025</t>
        </is>
      </c>
      <c r="B313" s="1" t="n">
        <v>45891</v>
      </c>
      <c r="C313" s="1" t="n">
        <v>46128</v>
      </c>
      <c r="D313" t="inlineStr">
        <is>
          <t>GOTLANDS LÄN</t>
        </is>
      </c>
      <c r="E313" t="inlineStr">
        <is>
          <t>GOTLAND</t>
        </is>
      </c>
      <c r="G313" t="n">
        <v>5.3</v>
      </c>
      <c r="H313" t="n">
        <v>0</v>
      </c>
      <c r="I313" t="n">
        <v>0</v>
      </c>
      <c r="J313" t="n">
        <v>0</v>
      </c>
      <c r="K313" t="n">
        <v>0</v>
      </c>
      <c r="L313" t="n">
        <v>0</v>
      </c>
      <c r="M313" t="n">
        <v>0</v>
      </c>
      <c r="N313" t="n">
        <v>0</v>
      </c>
      <c r="O313" t="n">
        <v>0</v>
      </c>
      <c r="P313" t="n">
        <v>0</v>
      </c>
      <c r="Q313" t="n">
        <v>0</v>
      </c>
      <c r="R313" s="2" t="inlineStr"/>
    </row>
    <row r="314" ht="15" customHeight="1">
      <c r="A314" t="inlineStr">
        <is>
          <t>A 14635-2023</t>
        </is>
      </c>
      <c r="B314" s="1" t="n">
        <v>45013.69365740741</v>
      </c>
      <c r="C314" s="1" t="n">
        <v>46128</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39816-2025</t>
        </is>
      </c>
      <c r="B315" s="1" t="n">
        <v>45891</v>
      </c>
      <c r="C315" s="1" t="n">
        <v>46128</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40103-2025</t>
        </is>
      </c>
      <c r="B316" s="1" t="n">
        <v>45894.4880324074</v>
      </c>
      <c r="C316" s="1" t="n">
        <v>46128</v>
      </c>
      <c r="D316" t="inlineStr">
        <is>
          <t>GOTLANDS LÄN</t>
        </is>
      </c>
      <c r="E316" t="inlineStr">
        <is>
          <t>GOTLAND</t>
        </is>
      </c>
      <c r="G316" t="n">
        <v>0.9</v>
      </c>
      <c r="H316" t="n">
        <v>0</v>
      </c>
      <c r="I316" t="n">
        <v>0</v>
      </c>
      <c r="J316" t="n">
        <v>0</v>
      </c>
      <c r="K316" t="n">
        <v>0</v>
      </c>
      <c r="L316" t="n">
        <v>0</v>
      </c>
      <c r="M316" t="n">
        <v>0</v>
      </c>
      <c r="N316" t="n">
        <v>0</v>
      </c>
      <c r="O316" t="n">
        <v>0</v>
      </c>
      <c r="P316" t="n">
        <v>0</v>
      </c>
      <c r="Q316" t="n">
        <v>0</v>
      </c>
      <c r="R316" s="2" t="inlineStr"/>
    </row>
    <row r="317" ht="15" customHeight="1">
      <c r="A317" t="inlineStr">
        <is>
          <t>A 40373-2025</t>
        </is>
      </c>
      <c r="B317" s="1" t="n">
        <v>45895.51821759259</v>
      </c>
      <c r="C317" s="1" t="n">
        <v>46128</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59469-2024</t>
        </is>
      </c>
      <c r="B318" s="1" t="n">
        <v>45638</v>
      </c>
      <c r="C318" s="1" t="n">
        <v>46128</v>
      </c>
      <c r="D318" t="inlineStr">
        <is>
          <t>GOTLANDS LÄN</t>
        </is>
      </c>
      <c r="E318" t="inlineStr">
        <is>
          <t>GOTLAND</t>
        </is>
      </c>
      <c r="G318" t="n">
        <v>0.4</v>
      </c>
      <c r="H318" t="n">
        <v>0</v>
      </c>
      <c r="I318" t="n">
        <v>0</v>
      </c>
      <c r="J318" t="n">
        <v>0</v>
      </c>
      <c r="K318" t="n">
        <v>0</v>
      </c>
      <c r="L318" t="n">
        <v>0</v>
      </c>
      <c r="M318" t="n">
        <v>0</v>
      </c>
      <c r="N318" t="n">
        <v>0</v>
      </c>
      <c r="O318" t="n">
        <v>0</v>
      </c>
      <c r="P318" t="n">
        <v>0</v>
      </c>
      <c r="Q318" t="n">
        <v>0</v>
      </c>
      <c r="R318" s="2" t="inlineStr"/>
    </row>
    <row r="319" ht="15" customHeight="1">
      <c r="A319" t="inlineStr">
        <is>
          <t>A 7858-2025</t>
        </is>
      </c>
      <c r="B319" s="1" t="n">
        <v>45706.68633101852</v>
      </c>
      <c r="C319" s="1" t="n">
        <v>46128</v>
      </c>
      <c r="D319" t="inlineStr">
        <is>
          <t>GOTLANDS LÄN</t>
        </is>
      </c>
      <c r="E319" t="inlineStr">
        <is>
          <t>GOTLAND</t>
        </is>
      </c>
      <c r="G319" t="n">
        <v>3</v>
      </c>
      <c r="H319" t="n">
        <v>0</v>
      </c>
      <c r="I319" t="n">
        <v>0</v>
      </c>
      <c r="J319" t="n">
        <v>0</v>
      </c>
      <c r="K319" t="n">
        <v>0</v>
      </c>
      <c r="L319" t="n">
        <v>0</v>
      </c>
      <c r="M319" t="n">
        <v>0</v>
      </c>
      <c r="N319" t="n">
        <v>0</v>
      </c>
      <c r="O319" t="n">
        <v>0</v>
      </c>
      <c r="P319" t="n">
        <v>0</v>
      </c>
      <c r="Q319" t="n">
        <v>0</v>
      </c>
      <c r="R319" s="2" t="inlineStr"/>
    </row>
    <row r="320" ht="15" customHeight="1">
      <c r="A320" t="inlineStr">
        <is>
          <t>A 40499-2025</t>
        </is>
      </c>
      <c r="B320" s="1" t="n">
        <v>45896.32517361111</v>
      </c>
      <c r="C320" s="1" t="n">
        <v>46128</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40372-2025</t>
        </is>
      </c>
      <c r="B321" s="1" t="n">
        <v>45895.5162037037</v>
      </c>
      <c r="C321" s="1" t="n">
        <v>46128</v>
      </c>
      <c r="D321" t="inlineStr">
        <is>
          <t>GOTLANDS LÄN</t>
        </is>
      </c>
      <c r="E321" t="inlineStr">
        <is>
          <t>GOTLAND</t>
        </is>
      </c>
      <c r="G321" t="n">
        <v>3.3</v>
      </c>
      <c r="H321" t="n">
        <v>0</v>
      </c>
      <c r="I321" t="n">
        <v>0</v>
      </c>
      <c r="J321" t="n">
        <v>0</v>
      </c>
      <c r="K321" t="n">
        <v>0</v>
      </c>
      <c r="L321" t="n">
        <v>0</v>
      </c>
      <c r="M321" t="n">
        <v>0</v>
      </c>
      <c r="N321" t="n">
        <v>0</v>
      </c>
      <c r="O321" t="n">
        <v>0</v>
      </c>
      <c r="P321" t="n">
        <v>0</v>
      </c>
      <c r="Q321" t="n">
        <v>0</v>
      </c>
      <c r="R321" s="2" t="inlineStr"/>
    </row>
    <row r="322" ht="15" customHeight="1">
      <c r="A322" t="inlineStr">
        <is>
          <t>A 53935-2024</t>
        </is>
      </c>
      <c r="B322" s="1" t="n">
        <v>45615</v>
      </c>
      <c r="C322" s="1" t="n">
        <v>46128</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18223-2025</t>
        </is>
      </c>
      <c r="B323" s="1" t="n">
        <v>45761</v>
      </c>
      <c r="C323" s="1" t="n">
        <v>46128</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4420-2025</t>
        </is>
      </c>
      <c r="B324" s="1" t="n">
        <v>45686.47157407407</v>
      </c>
      <c r="C324" s="1" t="n">
        <v>46128</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5751-2024</t>
        </is>
      </c>
      <c r="B325" s="1" t="n">
        <v>45335.32702546296</v>
      </c>
      <c r="C325" s="1" t="n">
        <v>46128</v>
      </c>
      <c r="D325" t="inlineStr">
        <is>
          <t>GOTLANDS LÄN</t>
        </is>
      </c>
      <c r="E325" t="inlineStr">
        <is>
          <t>GOTLAND</t>
        </is>
      </c>
      <c r="G325" t="n">
        <v>4.2</v>
      </c>
      <c r="H325" t="n">
        <v>0</v>
      </c>
      <c r="I325" t="n">
        <v>0</v>
      </c>
      <c r="J325" t="n">
        <v>0</v>
      </c>
      <c r="K325" t="n">
        <v>0</v>
      </c>
      <c r="L325" t="n">
        <v>0</v>
      </c>
      <c r="M325" t="n">
        <v>0</v>
      </c>
      <c r="N325" t="n">
        <v>0</v>
      </c>
      <c r="O325" t="n">
        <v>0</v>
      </c>
      <c r="P325" t="n">
        <v>0</v>
      </c>
      <c r="Q325" t="n">
        <v>0</v>
      </c>
      <c r="R325" s="2" t="inlineStr"/>
    </row>
    <row r="326" ht="15" customHeight="1">
      <c r="A326" t="inlineStr">
        <is>
          <t>A 1446-2025</t>
        </is>
      </c>
      <c r="B326" s="1" t="n">
        <v>45669.86035879629</v>
      </c>
      <c r="C326" s="1" t="n">
        <v>46128</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39278-2025</t>
        </is>
      </c>
      <c r="B327" s="1" t="n">
        <v>45889</v>
      </c>
      <c r="C327" s="1" t="n">
        <v>46128</v>
      </c>
      <c r="D327" t="inlineStr">
        <is>
          <t>GOTLANDS LÄN</t>
        </is>
      </c>
      <c r="E327" t="inlineStr">
        <is>
          <t>GOTLAND</t>
        </is>
      </c>
      <c r="G327" t="n">
        <v>3.7</v>
      </c>
      <c r="H327" t="n">
        <v>0</v>
      </c>
      <c r="I327" t="n">
        <v>0</v>
      </c>
      <c r="J327" t="n">
        <v>0</v>
      </c>
      <c r="K327" t="n">
        <v>0</v>
      </c>
      <c r="L327" t="n">
        <v>0</v>
      </c>
      <c r="M327" t="n">
        <v>0</v>
      </c>
      <c r="N327" t="n">
        <v>0</v>
      </c>
      <c r="O327" t="n">
        <v>0</v>
      </c>
      <c r="P327" t="n">
        <v>0</v>
      </c>
      <c r="Q327" t="n">
        <v>0</v>
      </c>
      <c r="R327" s="2" t="inlineStr"/>
    </row>
    <row r="328" ht="15" customHeight="1">
      <c r="A328" t="inlineStr">
        <is>
          <t>A 5891-2025</t>
        </is>
      </c>
      <c r="B328" s="1" t="n">
        <v>45695.38327546296</v>
      </c>
      <c r="C328" s="1" t="n">
        <v>46128</v>
      </c>
      <c r="D328" t="inlineStr">
        <is>
          <t>GOTLANDS LÄN</t>
        </is>
      </c>
      <c r="E328" t="inlineStr">
        <is>
          <t>GOTLAND</t>
        </is>
      </c>
      <c r="G328" t="n">
        <v>0.8</v>
      </c>
      <c r="H328" t="n">
        <v>0</v>
      </c>
      <c r="I328" t="n">
        <v>0</v>
      </c>
      <c r="J328" t="n">
        <v>0</v>
      </c>
      <c r="K328" t="n">
        <v>0</v>
      </c>
      <c r="L328" t="n">
        <v>0</v>
      </c>
      <c r="M328" t="n">
        <v>0</v>
      </c>
      <c r="N328" t="n">
        <v>0</v>
      </c>
      <c r="O328" t="n">
        <v>0</v>
      </c>
      <c r="P328" t="n">
        <v>0</v>
      </c>
      <c r="Q328" t="n">
        <v>0</v>
      </c>
      <c r="R328" s="2" t="inlineStr"/>
    </row>
    <row r="329" ht="15" customHeight="1">
      <c r="A329" t="inlineStr">
        <is>
          <t>A 31264-2021</t>
        </is>
      </c>
      <c r="B329" s="1" t="n">
        <v>44368</v>
      </c>
      <c r="C329" s="1" t="n">
        <v>46128</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43901-2023</t>
        </is>
      </c>
      <c r="B330" s="1" t="n">
        <v>45187</v>
      </c>
      <c r="C330" s="1" t="n">
        <v>46128</v>
      </c>
      <c r="D330" t="inlineStr">
        <is>
          <t>GOTLANDS LÄN</t>
        </is>
      </c>
      <c r="E330" t="inlineStr">
        <is>
          <t>GOTLAND</t>
        </is>
      </c>
      <c r="G330" t="n">
        <v>5.4</v>
      </c>
      <c r="H330" t="n">
        <v>0</v>
      </c>
      <c r="I330" t="n">
        <v>0</v>
      </c>
      <c r="J330" t="n">
        <v>0</v>
      </c>
      <c r="K330" t="n">
        <v>0</v>
      </c>
      <c r="L330" t="n">
        <v>0</v>
      </c>
      <c r="M330" t="n">
        <v>0</v>
      </c>
      <c r="N330" t="n">
        <v>0</v>
      </c>
      <c r="O330" t="n">
        <v>0</v>
      </c>
      <c r="P330" t="n">
        <v>0</v>
      </c>
      <c r="Q330" t="n">
        <v>0</v>
      </c>
      <c r="R330" s="2" t="inlineStr"/>
    </row>
    <row r="331" ht="15" customHeight="1">
      <c r="A331" t="inlineStr">
        <is>
          <t>A 10746-2025</t>
        </is>
      </c>
      <c r="B331" s="1" t="n">
        <v>45722.42766203704</v>
      </c>
      <c r="C331" s="1" t="n">
        <v>46128</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16501-2023</t>
        </is>
      </c>
      <c r="B332" s="1" t="n">
        <v>45029</v>
      </c>
      <c r="C332" s="1" t="n">
        <v>46128</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7835-2024</t>
        </is>
      </c>
      <c r="B333" s="1" t="n">
        <v>45349.83138888889</v>
      </c>
      <c r="C333" s="1" t="n">
        <v>46128</v>
      </c>
      <c r="D333" t="inlineStr">
        <is>
          <t>GOTLANDS LÄN</t>
        </is>
      </c>
      <c r="E333" t="inlineStr">
        <is>
          <t>GOTLAND</t>
        </is>
      </c>
      <c r="G333" t="n">
        <v>3.8</v>
      </c>
      <c r="H333" t="n">
        <v>0</v>
      </c>
      <c r="I333" t="n">
        <v>0</v>
      </c>
      <c r="J333" t="n">
        <v>0</v>
      </c>
      <c r="K333" t="n">
        <v>0</v>
      </c>
      <c r="L333" t="n">
        <v>0</v>
      </c>
      <c r="M333" t="n">
        <v>0</v>
      </c>
      <c r="N333" t="n">
        <v>0</v>
      </c>
      <c r="O333" t="n">
        <v>0</v>
      </c>
      <c r="P333" t="n">
        <v>0</v>
      </c>
      <c r="Q333" t="n">
        <v>0</v>
      </c>
      <c r="R333" s="2" t="inlineStr"/>
    </row>
    <row r="334" ht="15" customHeight="1">
      <c r="A334" t="inlineStr">
        <is>
          <t>A 20794-2025</t>
        </is>
      </c>
      <c r="B334" s="1" t="n">
        <v>45776</v>
      </c>
      <c r="C334" s="1" t="n">
        <v>46128</v>
      </c>
      <c r="D334" t="inlineStr">
        <is>
          <t>GOTLANDS LÄN</t>
        </is>
      </c>
      <c r="E334" t="inlineStr">
        <is>
          <t>GOTLAND</t>
        </is>
      </c>
      <c r="G334" t="n">
        <v>6</v>
      </c>
      <c r="H334" t="n">
        <v>0</v>
      </c>
      <c r="I334" t="n">
        <v>0</v>
      </c>
      <c r="J334" t="n">
        <v>0</v>
      </c>
      <c r="K334" t="n">
        <v>0</v>
      </c>
      <c r="L334" t="n">
        <v>0</v>
      </c>
      <c r="M334" t="n">
        <v>0</v>
      </c>
      <c r="N334" t="n">
        <v>0</v>
      </c>
      <c r="O334" t="n">
        <v>0</v>
      </c>
      <c r="P334" t="n">
        <v>0</v>
      </c>
      <c r="Q334" t="n">
        <v>0</v>
      </c>
      <c r="R334" s="2" t="inlineStr"/>
    </row>
    <row r="335" ht="15" customHeight="1">
      <c r="A335" t="inlineStr">
        <is>
          <t>A 20805-2025</t>
        </is>
      </c>
      <c r="B335" s="1" t="n">
        <v>45776</v>
      </c>
      <c r="C335" s="1" t="n">
        <v>46128</v>
      </c>
      <c r="D335" t="inlineStr">
        <is>
          <t>GOTLANDS LÄN</t>
        </is>
      </c>
      <c r="E335" t="inlineStr">
        <is>
          <t>GOTLAND</t>
        </is>
      </c>
      <c r="G335" t="n">
        <v>3.1</v>
      </c>
      <c r="H335" t="n">
        <v>0</v>
      </c>
      <c r="I335" t="n">
        <v>0</v>
      </c>
      <c r="J335" t="n">
        <v>0</v>
      </c>
      <c r="K335" t="n">
        <v>0</v>
      </c>
      <c r="L335" t="n">
        <v>0</v>
      </c>
      <c r="M335" t="n">
        <v>0</v>
      </c>
      <c r="N335" t="n">
        <v>0</v>
      </c>
      <c r="O335" t="n">
        <v>0</v>
      </c>
      <c r="P335" t="n">
        <v>0</v>
      </c>
      <c r="Q335" t="n">
        <v>0</v>
      </c>
      <c r="R335" s="2" t="inlineStr"/>
    </row>
    <row r="336" ht="15" customHeight="1">
      <c r="A336" t="inlineStr">
        <is>
          <t>A 41435-2025</t>
        </is>
      </c>
      <c r="B336" s="1" t="n">
        <v>45901.39974537037</v>
      </c>
      <c r="C336" s="1" t="n">
        <v>46128</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27930-2021</t>
        </is>
      </c>
      <c r="B337" s="1" t="n">
        <v>44354</v>
      </c>
      <c r="C337" s="1" t="n">
        <v>46128</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61962-2024</t>
        </is>
      </c>
      <c r="B338" s="1" t="n">
        <v>45653.54340277778</v>
      </c>
      <c r="C338" s="1" t="n">
        <v>46128</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10492-2023</t>
        </is>
      </c>
      <c r="B339" s="1" t="n">
        <v>44987</v>
      </c>
      <c r="C339" s="1" t="n">
        <v>46128</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41551-2025</t>
        </is>
      </c>
      <c r="B340" s="1" t="n">
        <v>45901.58854166666</v>
      </c>
      <c r="C340" s="1" t="n">
        <v>46128</v>
      </c>
      <c r="D340" t="inlineStr">
        <is>
          <t>GOTLANDS LÄN</t>
        </is>
      </c>
      <c r="E340" t="inlineStr">
        <is>
          <t>GOTLAND</t>
        </is>
      </c>
      <c r="G340" t="n">
        <v>5.6</v>
      </c>
      <c r="H340" t="n">
        <v>0</v>
      </c>
      <c r="I340" t="n">
        <v>0</v>
      </c>
      <c r="J340" t="n">
        <v>0</v>
      </c>
      <c r="K340" t="n">
        <v>0</v>
      </c>
      <c r="L340" t="n">
        <v>0</v>
      </c>
      <c r="M340" t="n">
        <v>0</v>
      </c>
      <c r="N340" t="n">
        <v>0</v>
      </c>
      <c r="O340" t="n">
        <v>0</v>
      </c>
      <c r="P340" t="n">
        <v>0</v>
      </c>
      <c r="Q340" t="n">
        <v>0</v>
      </c>
      <c r="R340" s="2" t="inlineStr"/>
    </row>
    <row r="341" ht="15" customHeight="1">
      <c r="A341" t="inlineStr">
        <is>
          <t>A 21389-2025</t>
        </is>
      </c>
      <c r="B341" s="1" t="n">
        <v>45782</v>
      </c>
      <c r="C341" s="1" t="n">
        <v>46128</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5909-2025</t>
        </is>
      </c>
      <c r="B342" s="1" t="n">
        <v>45695.40634259259</v>
      </c>
      <c r="C342" s="1" t="n">
        <v>46128</v>
      </c>
      <c r="D342" t="inlineStr">
        <is>
          <t>GOTLANDS LÄN</t>
        </is>
      </c>
      <c r="E342" t="inlineStr">
        <is>
          <t>GOTLAND</t>
        </is>
      </c>
      <c r="G342" t="n">
        <v>2.9</v>
      </c>
      <c r="H342" t="n">
        <v>0</v>
      </c>
      <c r="I342" t="n">
        <v>0</v>
      </c>
      <c r="J342" t="n">
        <v>0</v>
      </c>
      <c r="K342" t="n">
        <v>0</v>
      </c>
      <c r="L342" t="n">
        <v>0</v>
      </c>
      <c r="M342" t="n">
        <v>0</v>
      </c>
      <c r="N342" t="n">
        <v>0</v>
      </c>
      <c r="O342" t="n">
        <v>0</v>
      </c>
      <c r="P342" t="n">
        <v>0</v>
      </c>
      <c r="Q342" t="n">
        <v>0</v>
      </c>
      <c r="R342" s="2" t="inlineStr"/>
    </row>
    <row r="343" ht="15" customHeight="1">
      <c r="A343" t="inlineStr">
        <is>
          <t>A 10653-2023</t>
        </is>
      </c>
      <c r="B343" s="1" t="n">
        <v>44988.48859953704</v>
      </c>
      <c r="C343" s="1" t="n">
        <v>46128</v>
      </c>
      <c r="D343" t="inlineStr">
        <is>
          <t>GOTLANDS LÄN</t>
        </is>
      </c>
      <c r="E343" t="inlineStr">
        <is>
          <t>GOTLAND</t>
        </is>
      </c>
      <c r="F343" t="inlineStr">
        <is>
          <t>Kyrkan</t>
        </is>
      </c>
      <c r="G343" t="n">
        <v>3</v>
      </c>
      <c r="H343" t="n">
        <v>0</v>
      </c>
      <c r="I343" t="n">
        <v>0</v>
      </c>
      <c r="J343" t="n">
        <v>0</v>
      </c>
      <c r="K343" t="n">
        <v>0</v>
      </c>
      <c r="L343" t="n">
        <v>0</v>
      </c>
      <c r="M343" t="n">
        <v>0</v>
      </c>
      <c r="N343" t="n">
        <v>0</v>
      </c>
      <c r="O343" t="n">
        <v>0</v>
      </c>
      <c r="P343" t="n">
        <v>0</v>
      </c>
      <c r="Q343" t="n">
        <v>0</v>
      </c>
      <c r="R343" s="2" t="inlineStr"/>
    </row>
    <row r="344" ht="15" customHeight="1">
      <c r="A344" t="inlineStr">
        <is>
          <t>A 21651-2025</t>
        </is>
      </c>
      <c r="B344" s="1" t="n">
        <v>45783</v>
      </c>
      <c r="C344" s="1" t="n">
        <v>46128</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4990-2025</t>
        </is>
      </c>
      <c r="B345" s="1" t="n">
        <v>45691</v>
      </c>
      <c r="C345" s="1" t="n">
        <v>46128</v>
      </c>
      <c r="D345" t="inlineStr">
        <is>
          <t>GOTLANDS LÄN</t>
        </is>
      </c>
      <c r="E345" t="inlineStr">
        <is>
          <t>GOTLAND</t>
        </is>
      </c>
      <c r="G345" t="n">
        <v>7.7</v>
      </c>
      <c r="H345" t="n">
        <v>0</v>
      </c>
      <c r="I345" t="n">
        <v>0</v>
      </c>
      <c r="J345" t="n">
        <v>0</v>
      </c>
      <c r="K345" t="n">
        <v>0</v>
      </c>
      <c r="L345" t="n">
        <v>0</v>
      </c>
      <c r="M345" t="n">
        <v>0</v>
      </c>
      <c r="N345" t="n">
        <v>0</v>
      </c>
      <c r="O345" t="n">
        <v>0</v>
      </c>
      <c r="P345" t="n">
        <v>0</v>
      </c>
      <c r="Q345" t="n">
        <v>0</v>
      </c>
      <c r="R345" s="2" t="inlineStr"/>
    </row>
    <row r="346" ht="15" customHeight="1">
      <c r="A346" t="inlineStr">
        <is>
          <t>A 43081-2022</t>
        </is>
      </c>
      <c r="B346" s="1" t="n">
        <v>44833</v>
      </c>
      <c r="C346" s="1" t="n">
        <v>46128</v>
      </c>
      <c r="D346" t="inlineStr">
        <is>
          <t>GOTLANDS LÄN</t>
        </is>
      </c>
      <c r="E346" t="inlineStr">
        <is>
          <t>GOTLAND</t>
        </is>
      </c>
      <c r="G346" t="n">
        <v>6.8</v>
      </c>
      <c r="H346" t="n">
        <v>0</v>
      </c>
      <c r="I346" t="n">
        <v>0</v>
      </c>
      <c r="J346" t="n">
        <v>0</v>
      </c>
      <c r="K346" t="n">
        <v>0</v>
      </c>
      <c r="L346" t="n">
        <v>0</v>
      </c>
      <c r="M346" t="n">
        <v>0</v>
      </c>
      <c r="N346" t="n">
        <v>0</v>
      </c>
      <c r="O346" t="n">
        <v>0</v>
      </c>
      <c r="P346" t="n">
        <v>0</v>
      </c>
      <c r="Q346" t="n">
        <v>0</v>
      </c>
      <c r="R346" s="2" t="inlineStr"/>
    </row>
    <row r="347" ht="15" customHeight="1">
      <c r="A347" t="inlineStr">
        <is>
          <t>A 32958-2021</t>
        </is>
      </c>
      <c r="B347" s="1" t="n">
        <v>44376</v>
      </c>
      <c r="C347" s="1" t="n">
        <v>46128</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5884-2025</t>
        </is>
      </c>
      <c r="B348" s="1" t="n">
        <v>45695.37482638889</v>
      </c>
      <c r="C348" s="1" t="n">
        <v>46128</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5897-2025</t>
        </is>
      </c>
      <c r="B349" s="1" t="n">
        <v>45695.39273148148</v>
      </c>
      <c r="C349" s="1" t="n">
        <v>46128</v>
      </c>
      <c r="D349" t="inlineStr">
        <is>
          <t>GOTLANDS LÄN</t>
        </is>
      </c>
      <c r="E349" t="inlineStr">
        <is>
          <t>GOTLAND</t>
        </is>
      </c>
      <c r="G349" t="n">
        <v>3.7</v>
      </c>
      <c r="H349" t="n">
        <v>0</v>
      </c>
      <c r="I349" t="n">
        <v>0</v>
      </c>
      <c r="J349" t="n">
        <v>0</v>
      </c>
      <c r="K349" t="n">
        <v>0</v>
      </c>
      <c r="L349" t="n">
        <v>0</v>
      </c>
      <c r="M349" t="n">
        <v>0</v>
      </c>
      <c r="N349" t="n">
        <v>0</v>
      </c>
      <c r="O349" t="n">
        <v>0</v>
      </c>
      <c r="P349" t="n">
        <v>0</v>
      </c>
      <c r="Q349" t="n">
        <v>0</v>
      </c>
      <c r="R349" s="2" t="inlineStr"/>
    </row>
    <row r="350" ht="15" customHeight="1">
      <c r="A350" t="inlineStr">
        <is>
          <t>A 42608-2025</t>
        </is>
      </c>
      <c r="B350" s="1" t="n">
        <v>45905</v>
      </c>
      <c r="C350" s="1" t="n">
        <v>46128</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49693-2023</t>
        </is>
      </c>
      <c r="B351" s="1" t="n">
        <v>45212.38138888889</v>
      </c>
      <c r="C351" s="1" t="n">
        <v>46128</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49697-2023</t>
        </is>
      </c>
      <c r="B352" s="1" t="n">
        <v>45212.38909722222</v>
      </c>
      <c r="C352" s="1" t="n">
        <v>46128</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16373-2025</t>
        </is>
      </c>
      <c r="B353" s="1" t="n">
        <v>45751</v>
      </c>
      <c r="C353" s="1" t="n">
        <v>46128</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17901-2023</t>
        </is>
      </c>
      <c r="B354" s="1" t="n">
        <v>45039</v>
      </c>
      <c r="C354" s="1" t="n">
        <v>46128</v>
      </c>
      <c r="D354" t="inlineStr">
        <is>
          <t>GOTLANDS LÄN</t>
        </is>
      </c>
      <c r="E354" t="inlineStr">
        <is>
          <t>GOTLAND</t>
        </is>
      </c>
      <c r="F354" t="inlineStr">
        <is>
          <t>Kyrkan</t>
        </is>
      </c>
      <c r="G354" t="n">
        <v>0.6</v>
      </c>
      <c r="H354" t="n">
        <v>0</v>
      </c>
      <c r="I354" t="n">
        <v>0</v>
      </c>
      <c r="J354" t="n">
        <v>0</v>
      </c>
      <c r="K354" t="n">
        <v>0</v>
      </c>
      <c r="L354" t="n">
        <v>0</v>
      </c>
      <c r="M354" t="n">
        <v>0</v>
      </c>
      <c r="N354" t="n">
        <v>0</v>
      </c>
      <c r="O354" t="n">
        <v>0</v>
      </c>
      <c r="P354" t="n">
        <v>0</v>
      </c>
      <c r="Q354" t="n">
        <v>0</v>
      </c>
      <c r="R354" s="2" t="inlineStr"/>
    </row>
    <row r="355" ht="15" customHeight="1">
      <c r="A355" t="inlineStr">
        <is>
          <t>A 57356-2023</t>
        </is>
      </c>
      <c r="B355" s="1" t="n">
        <v>45240</v>
      </c>
      <c r="C355" s="1" t="n">
        <v>46128</v>
      </c>
      <c r="D355" t="inlineStr">
        <is>
          <t>GOTLANDS LÄN</t>
        </is>
      </c>
      <c r="E355" t="inlineStr">
        <is>
          <t>GOTLAND</t>
        </is>
      </c>
      <c r="G355" t="n">
        <v>6.4</v>
      </c>
      <c r="H355" t="n">
        <v>0</v>
      </c>
      <c r="I355" t="n">
        <v>0</v>
      </c>
      <c r="J355" t="n">
        <v>0</v>
      </c>
      <c r="K355" t="n">
        <v>0</v>
      </c>
      <c r="L355" t="n">
        <v>0</v>
      </c>
      <c r="M355" t="n">
        <v>0</v>
      </c>
      <c r="N355" t="n">
        <v>0</v>
      </c>
      <c r="O355" t="n">
        <v>0</v>
      </c>
      <c r="P355" t="n">
        <v>0</v>
      </c>
      <c r="Q355" t="n">
        <v>0</v>
      </c>
      <c r="R355" s="2" t="inlineStr"/>
    </row>
    <row r="356" ht="15" customHeight="1">
      <c r="A356" t="inlineStr">
        <is>
          <t>A 10656-2024</t>
        </is>
      </c>
      <c r="B356" s="1" t="n">
        <v>45368</v>
      </c>
      <c r="C356" s="1" t="n">
        <v>46128</v>
      </c>
      <c r="D356" t="inlineStr">
        <is>
          <t>GOTLANDS LÄN</t>
        </is>
      </c>
      <c r="E356" t="inlineStr">
        <is>
          <t>GOTLAND</t>
        </is>
      </c>
      <c r="G356" t="n">
        <v>1.5</v>
      </c>
      <c r="H356" t="n">
        <v>0</v>
      </c>
      <c r="I356" t="n">
        <v>0</v>
      </c>
      <c r="J356" t="n">
        <v>0</v>
      </c>
      <c r="K356" t="n">
        <v>0</v>
      </c>
      <c r="L356" t="n">
        <v>0</v>
      </c>
      <c r="M356" t="n">
        <v>0</v>
      </c>
      <c r="N356" t="n">
        <v>0</v>
      </c>
      <c r="O356" t="n">
        <v>0</v>
      </c>
      <c r="P356" t="n">
        <v>0</v>
      </c>
      <c r="Q356" t="n">
        <v>0</v>
      </c>
      <c r="R356" s="2" t="inlineStr"/>
    </row>
    <row r="357" ht="15" customHeight="1">
      <c r="A357" t="inlineStr">
        <is>
          <t>A 24966-2023</t>
        </is>
      </c>
      <c r="B357" s="1" t="n">
        <v>45085</v>
      </c>
      <c r="C357" s="1" t="n">
        <v>46128</v>
      </c>
      <c r="D357" t="inlineStr">
        <is>
          <t>GOTLANDS LÄN</t>
        </is>
      </c>
      <c r="E357" t="inlineStr">
        <is>
          <t>GOTLAND</t>
        </is>
      </c>
      <c r="G357" t="n">
        <v>7</v>
      </c>
      <c r="H357" t="n">
        <v>0</v>
      </c>
      <c r="I357" t="n">
        <v>0</v>
      </c>
      <c r="J357" t="n">
        <v>0</v>
      </c>
      <c r="K357" t="n">
        <v>0</v>
      </c>
      <c r="L357" t="n">
        <v>0</v>
      </c>
      <c r="M357" t="n">
        <v>0</v>
      </c>
      <c r="N357" t="n">
        <v>0</v>
      </c>
      <c r="O357" t="n">
        <v>0</v>
      </c>
      <c r="P357" t="n">
        <v>0</v>
      </c>
      <c r="Q357" t="n">
        <v>0</v>
      </c>
      <c r="R357" s="2" t="inlineStr"/>
    </row>
    <row r="358" ht="15" customHeight="1">
      <c r="A358" t="inlineStr">
        <is>
          <t>A 46189-2022</t>
        </is>
      </c>
      <c r="B358" s="1" t="n">
        <v>44847</v>
      </c>
      <c r="C358" s="1" t="n">
        <v>46128</v>
      </c>
      <c r="D358" t="inlineStr">
        <is>
          <t>GOTLANDS LÄN</t>
        </is>
      </c>
      <c r="E358" t="inlineStr">
        <is>
          <t>GOTLAND</t>
        </is>
      </c>
      <c r="G358" t="n">
        <v>0.4</v>
      </c>
      <c r="H358" t="n">
        <v>0</v>
      </c>
      <c r="I358" t="n">
        <v>0</v>
      </c>
      <c r="J358" t="n">
        <v>0</v>
      </c>
      <c r="K358" t="n">
        <v>0</v>
      </c>
      <c r="L358" t="n">
        <v>0</v>
      </c>
      <c r="M358" t="n">
        <v>0</v>
      </c>
      <c r="N358" t="n">
        <v>0</v>
      </c>
      <c r="O358" t="n">
        <v>0</v>
      </c>
      <c r="P358" t="n">
        <v>0</v>
      </c>
      <c r="Q358" t="n">
        <v>0</v>
      </c>
      <c r="R358" s="2" t="inlineStr"/>
    </row>
    <row r="359" ht="15" customHeight="1">
      <c r="A359" t="inlineStr">
        <is>
          <t>A 28506-2023</t>
        </is>
      </c>
      <c r="B359" s="1" t="n">
        <v>45103</v>
      </c>
      <c r="C359" s="1" t="n">
        <v>46128</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21420-2024</t>
        </is>
      </c>
      <c r="B360" s="1" t="n">
        <v>45441.38293981482</v>
      </c>
      <c r="C360" s="1" t="n">
        <v>46128</v>
      </c>
      <c r="D360" t="inlineStr">
        <is>
          <t>GOTLANDS LÄN</t>
        </is>
      </c>
      <c r="E360" t="inlineStr">
        <is>
          <t>GOTLAND</t>
        </is>
      </c>
      <c r="G360" t="n">
        <v>4.1</v>
      </c>
      <c r="H360" t="n">
        <v>0</v>
      </c>
      <c r="I360" t="n">
        <v>0</v>
      </c>
      <c r="J360" t="n">
        <v>0</v>
      </c>
      <c r="K360" t="n">
        <v>0</v>
      </c>
      <c r="L360" t="n">
        <v>0</v>
      </c>
      <c r="M360" t="n">
        <v>0</v>
      </c>
      <c r="N360" t="n">
        <v>0</v>
      </c>
      <c r="O360" t="n">
        <v>0</v>
      </c>
      <c r="P360" t="n">
        <v>0</v>
      </c>
      <c r="Q360" t="n">
        <v>0</v>
      </c>
      <c r="R360" s="2" t="inlineStr"/>
    </row>
    <row r="361" ht="15" customHeight="1">
      <c r="A361" t="inlineStr">
        <is>
          <t>A 10158-2025</t>
        </is>
      </c>
      <c r="B361" s="1" t="n">
        <v>45719</v>
      </c>
      <c r="C361" s="1" t="n">
        <v>46128</v>
      </c>
      <c r="D361" t="inlineStr">
        <is>
          <t>GOTLANDS LÄN</t>
        </is>
      </c>
      <c r="E361" t="inlineStr">
        <is>
          <t>GOTLAND</t>
        </is>
      </c>
      <c r="G361" t="n">
        <v>3.5</v>
      </c>
      <c r="H361" t="n">
        <v>0</v>
      </c>
      <c r="I361" t="n">
        <v>0</v>
      </c>
      <c r="J361" t="n">
        <v>0</v>
      </c>
      <c r="K361" t="n">
        <v>0</v>
      </c>
      <c r="L361" t="n">
        <v>0</v>
      </c>
      <c r="M361" t="n">
        <v>0</v>
      </c>
      <c r="N361" t="n">
        <v>0</v>
      </c>
      <c r="O361" t="n">
        <v>0</v>
      </c>
      <c r="P361" t="n">
        <v>0</v>
      </c>
      <c r="Q361" t="n">
        <v>0</v>
      </c>
      <c r="R361" s="2" t="inlineStr"/>
    </row>
    <row r="362" ht="15" customHeight="1">
      <c r="A362" t="inlineStr">
        <is>
          <t>A 23188-2025</t>
        </is>
      </c>
      <c r="B362" s="1" t="n">
        <v>45791</v>
      </c>
      <c r="C362" s="1" t="n">
        <v>46128</v>
      </c>
      <c r="D362" t="inlineStr">
        <is>
          <t>GOTLANDS LÄN</t>
        </is>
      </c>
      <c r="E362" t="inlineStr">
        <is>
          <t>GOTLAND</t>
        </is>
      </c>
      <c r="G362" t="n">
        <v>6.2</v>
      </c>
      <c r="H362" t="n">
        <v>0</v>
      </c>
      <c r="I362" t="n">
        <v>0</v>
      </c>
      <c r="J362" t="n">
        <v>0</v>
      </c>
      <c r="K362" t="n">
        <v>0</v>
      </c>
      <c r="L362" t="n">
        <v>0</v>
      </c>
      <c r="M362" t="n">
        <v>0</v>
      </c>
      <c r="N362" t="n">
        <v>0</v>
      </c>
      <c r="O362" t="n">
        <v>0</v>
      </c>
      <c r="P362" t="n">
        <v>0</v>
      </c>
      <c r="Q362" t="n">
        <v>0</v>
      </c>
      <c r="R362" s="2" t="inlineStr"/>
    </row>
    <row r="363" ht="15" customHeight="1">
      <c r="A363" t="inlineStr">
        <is>
          <t>A 52892-2021</t>
        </is>
      </c>
      <c r="B363" s="1" t="n">
        <v>44467.49048611111</v>
      </c>
      <c r="C363" s="1" t="n">
        <v>46128</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43911-2025</t>
        </is>
      </c>
      <c r="B364" s="1" t="n">
        <v>45914.3881712963</v>
      </c>
      <c r="C364" s="1" t="n">
        <v>46128</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44410-2025</t>
        </is>
      </c>
      <c r="B365" s="1" t="n">
        <v>45916.53699074074</v>
      </c>
      <c r="C365" s="1" t="n">
        <v>46128</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46396-2023</t>
        </is>
      </c>
      <c r="B366" s="1" t="n">
        <v>45197</v>
      </c>
      <c r="C366" s="1" t="n">
        <v>46128</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43951-2025</t>
        </is>
      </c>
      <c r="B367" s="1" t="n">
        <v>45915.38119212963</v>
      </c>
      <c r="C367" s="1" t="n">
        <v>46128</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23473-2025</t>
        </is>
      </c>
      <c r="B368" s="1" t="n">
        <v>45792</v>
      </c>
      <c r="C368" s="1" t="n">
        <v>46128</v>
      </c>
      <c r="D368" t="inlineStr">
        <is>
          <t>GOTLANDS LÄN</t>
        </is>
      </c>
      <c r="E368" t="inlineStr">
        <is>
          <t>GOTLAND</t>
        </is>
      </c>
      <c r="G368" t="n">
        <v>3.6</v>
      </c>
      <c r="H368" t="n">
        <v>0</v>
      </c>
      <c r="I368" t="n">
        <v>0</v>
      </c>
      <c r="J368" t="n">
        <v>0</v>
      </c>
      <c r="K368" t="n">
        <v>0</v>
      </c>
      <c r="L368" t="n">
        <v>0</v>
      </c>
      <c r="M368" t="n">
        <v>0</v>
      </c>
      <c r="N368" t="n">
        <v>0</v>
      </c>
      <c r="O368" t="n">
        <v>0</v>
      </c>
      <c r="P368" t="n">
        <v>0</v>
      </c>
      <c r="Q368" t="n">
        <v>0</v>
      </c>
      <c r="R368" s="2" t="inlineStr"/>
    </row>
    <row r="369" ht="15" customHeight="1">
      <c r="A369" t="inlineStr">
        <is>
          <t>A 44405-2025</t>
        </is>
      </c>
      <c r="B369" s="1" t="n">
        <v>45916.52405092592</v>
      </c>
      <c r="C369" s="1" t="n">
        <v>46128</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17724-2024</t>
        </is>
      </c>
      <c r="B370" s="1" t="n">
        <v>45418.55096064815</v>
      </c>
      <c r="C370" s="1" t="n">
        <v>46128</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23856-2025</t>
        </is>
      </c>
      <c r="B371" s="1" t="n">
        <v>45793</v>
      </c>
      <c r="C371" s="1" t="n">
        <v>46128</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34312-2024</t>
        </is>
      </c>
      <c r="B372" s="1" t="n">
        <v>45524.69703703704</v>
      </c>
      <c r="C372" s="1" t="n">
        <v>46128</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15073-2025</t>
        </is>
      </c>
      <c r="B373" s="1" t="n">
        <v>45743</v>
      </c>
      <c r="C373" s="1" t="n">
        <v>46128</v>
      </c>
      <c r="D373" t="inlineStr">
        <is>
          <t>GOTLANDS LÄN</t>
        </is>
      </c>
      <c r="E373" t="inlineStr">
        <is>
          <t>GOTLAND</t>
        </is>
      </c>
      <c r="G373" t="n">
        <v>12.1</v>
      </c>
      <c r="H373" t="n">
        <v>0</v>
      </c>
      <c r="I373" t="n">
        <v>0</v>
      </c>
      <c r="J373" t="n">
        <v>0</v>
      </c>
      <c r="K373" t="n">
        <v>0</v>
      </c>
      <c r="L373" t="n">
        <v>0</v>
      </c>
      <c r="M373" t="n">
        <v>0</v>
      </c>
      <c r="N373" t="n">
        <v>0</v>
      </c>
      <c r="O373" t="n">
        <v>0</v>
      </c>
      <c r="P373" t="n">
        <v>0</v>
      </c>
      <c r="Q373" t="n">
        <v>0</v>
      </c>
      <c r="R373" s="2" t="inlineStr"/>
    </row>
    <row r="374" ht="15" customHeight="1">
      <c r="A374" t="inlineStr">
        <is>
          <t>A 6749-2025</t>
        </is>
      </c>
      <c r="B374" s="1" t="n">
        <v>45700</v>
      </c>
      <c r="C374" s="1" t="n">
        <v>46128</v>
      </c>
      <c r="D374" t="inlineStr">
        <is>
          <t>GOTLANDS LÄN</t>
        </is>
      </c>
      <c r="E374" t="inlineStr">
        <is>
          <t>GOTLAND</t>
        </is>
      </c>
      <c r="G374" t="n">
        <v>4.5</v>
      </c>
      <c r="H374" t="n">
        <v>0</v>
      </c>
      <c r="I374" t="n">
        <v>0</v>
      </c>
      <c r="J374" t="n">
        <v>0</v>
      </c>
      <c r="K374" t="n">
        <v>0</v>
      </c>
      <c r="L374" t="n">
        <v>0</v>
      </c>
      <c r="M374" t="n">
        <v>0</v>
      </c>
      <c r="N374" t="n">
        <v>0</v>
      </c>
      <c r="O374" t="n">
        <v>0</v>
      </c>
      <c r="P374" t="n">
        <v>0</v>
      </c>
      <c r="Q374" t="n">
        <v>0</v>
      </c>
      <c r="R374" s="2" t="inlineStr"/>
    </row>
    <row r="375" ht="15" customHeight="1">
      <c r="A375" t="inlineStr">
        <is>
          <t>A 23698-2025</t>
        </is>
      </c>
      <c r="B375" s="1" t="n">
        <v>45793</v>
      </c>
      <c r="C375" s="1" t="n">
        <v>46128</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69112-2021</t>
        </is>
      </c>
      <c r="B376" s="1" t="n">
        <v>44530</v>
      </c>
      <c r="C376" s="1" t="n">
        <v>46128</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22031-2024</t>
        </is>
      </c>
      <c r="B377" s="1" t="n">
        <v>45443.60075231481</v>
      </c>
      <c r="C377" s="1" t="n">
        <v>46128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7638-2025</t>
        </is>
      </c>
      <c r="B378" s="1" t="n">
        <v>45705.77306712963</v>
      </c>
      <c r="C378" s="1" t="n">
        <v>46128</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50482-2024</t>
        </is>
      </c>
      <c r="B379" s="1" t="n">
        <v>45601.48114583334</v>
      </c>
      <c r="C379" s="1" t="n">
        <v>46128</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1394-2023</t>
        </is>
      </c>
      <c r="B380" s="1" t="n">
        <v>44936.72997685185</v>
      </c>
      <c r="C380" s="1" t="n">
        <v>46128</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49314-2024</t>
        </is>
      </c>
      <c r="B381" s="1" t="n">
        <v>45595.55893518519</v>
      </c>
      <c r="C381" s="1" t="n">
        <v>46128</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58230-2024</t>
        </is>
      </c>
      <c r="B382" s="1" t="n">
        <v>45632.51625</v>
      </c>
      <c r="C382" s="1" t="n">
        <v>46128</v>
      </c>
      <c r="D382" t="inlineStr">
        <is>
          <t>GOTLANDS LÄN</t>
        </is>
      </c>
      <c r="E382" t="inlineStr">
        <is>
          <t>GOTLAND</t>
        </is>
      </c>
      <c r="G382" t="n">
        <v>7.3</v>
      </c>
      <c r="H382" t="n">
        <v>0</v>
      </c>
      <c r="I382" t="n">
        <v>0</v>
      </c>
      <c r="J382" t="n">
        <v>0</v>
      </c>
      <c r="K382" t="n">
        <v>0</v>
      </c>
      <c r="L382" t="n">
        <v>0</v>
      </c>
      <c r="M382" t="n">
        <v>0</v>
      </c>
      <c r="N382" t="n">
        <v>0</v>
      </c>
      <c r="O382" t="n">
        <v>0</v>
      </c>
      <c r="P382" t="n">
        <v>0</v>
      </c>
      <c r="Q382" t="n">
        <v>0</v>
      </c>
      <c r="R382" s="2" t="inlineStr"/>
    </row>
    <row r="383" ht="15" customHeight="1">
      <c r="A383" t="inlineStr">
        <is>
          <t>A 1462-2025</t>
        </is>
      </c>
      <c r="B383" s="1" t="n">
        <v>45670.36319444444</v>
      </c>
      <c r="C383" s="1" t="n">
        <v>46128</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5462-2025</t>
        </is>
      </c>
      <c r="B384" s="1" t="n">
        <v>45693.29331018519</v>
      </c>
      <c r="C384" s="1" t="n">
        <v>46128</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26391-2025</t>
        </is>
      </c>
      <c r="B385" s="1" t="n">
        <v>45806</v>
      </c>
      <c r="C385" s="1" t="n">
        <v>46128</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25129-2023</t>
        </is>
      </c>
      <c r="B386" s="1" t="n">
        <v>45086.44261574074</v>
      </c>
      <c r="C386" s="1" t="n">
        <v>46128</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24192-2023</t>
        </is>
      </c>
      <c r="B387" s="1" t="n">
        <v>45079</v>
      </c>
      <c r="C387" s="1" t="n">
        <v>46128</v>
      </c>
      <c r="D387" t="inlineStr">
        <is>
          <t>GOTLANDS LÄN</t>
        </is>
      </c>
      <c r="E387" t="inlineStr">
        <is>
          <t>GOTLAND</t>
        </is>
      </c>
      <c r="G387" t="n">
        <v>2.1</v>
      </c>
      <c r="H387" t="n">
        <v>0</v>
      </c>
      <c r="I387" t="n">
        <v>0</v>
      </c>
      <c r="J387" t="n">
        <v>0</v>
      </c>
      <c r="K387" t="n">
        <v>0</v>
      </c>
      <c r="L387" t="n">
        <v>0</v>
      </c>
      <c r="M387" t="n">
        <v>0</v>
      </c>
      <c r="N387" t="n">
        <v>0</v>
      </c>
      <c r="O387" t="n">
        <v>0</v>
      </c>
      <c r="P387" t="n">
        <v>0</v>
      </c>
      <c r="Q387" t="n">
        <v>0</v>
      </c>
      <c r="R387" s="2" t="inlineStr"/>
    </row>
    <row r="388" ht="15" customHeight="1">
      <c r="A388" t="inlineStr">
        <is>
          <t>A 25796-2025</t>
        </is>
      </c>
      <c r="B388" s="1" t="n">
        <v>45804.39543981481</v>
      </c>
      <c r="C388" s="1" t="n">
        <v>46128</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5386-2023</t>
        </is>
      </c>
      <c r="B389" s="1" t="n">
        <v>44959</v>
      </c>
      <c r="C389" s="1" t="n">
        <v>46128</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7026-2023</t>
        </is>
      </c>
      <c r="B390" s="1" t="n">
        <v>44968.30340277778</v>
      </c>
      <c r="C390" s="1" t="n">
        <v>46128</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20855-2023</t>
        </is>
      </c>
      <c r="B391" s="1" t="n">
        <v>45058.82172453704</v>
      </c>
      <c r="C391" s="1" t="n">
        <v>46128</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46836-2025</t>
        </is>
      </c>
      <c r="B392" s="1" t="n">
        <v>45928.31511574074</v>
      </c>
      <c r="C392" s="1" t="n">
        <v>46128</v>
      </c>
      <c r="D392" t="inlineStr">
        <is>
          <t>GOTLANDS LÄN</t>
        </is>
      </c>
      <c r="E392" t="inlineStr">
        <is>
          <t>GOTLAND</t>
        </is>
      </c>
      <c r="G392" t="n">
        <v>2.8</v>
      </c>
      <c r="H392" t="n">
        <v>0</v>
      </c>
      <c r="I392" t="n">
        <v>0</v>
      </c>
      <c r="J392" t="n">
        <v>0</v>
      </c>
      <c r="K392" t="n">
        <v>0</v>
      </c>
      <c r="L392" t="n">
        <v>0</v>
      </c>
      <c r="M392" t="n">
        <v>0</v>
      </c>
      <c r="N392" t="n">
        <v>0</v>
      </c>
      <c r="O392" t="n">
        <v>0</v>
      </c>
      <c r="P392" t="n">
        <v>0</v>
      </c>
      <c r="Q392" t="n">
        <v>0</v>
      </c>
      <c r="R392" s="2" t="inlineStr"/>
    </row>
    <row r="393" ht="15" customHeight="1">
      <c r="A393" t="inlineStr">
        <is>
          <t>A 44919-2022</t>
        </is>
      </c>
      <c r="B393" s="1" t="n">
        <v>44841</v>
      </c>
      <c r="C393" s="1" t="n">
        <v>46128</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1000-2024</t>
        </is>
      </c>
      <c r="B394" s="1" t="n">
        <v>45301.63371527778</v>
      </c>
      <c r="C394" s="1" t="n">
        <v>46128</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1010-2024</t>
        </is>
      </c>
      <c r="B395" s="1" t="n">
        <v>45301</v>
      </c>
      <c r="C395" s="1" t="n">
        <v>46128</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26457-2025</t>
        </is>
      </c>
      <c r="B396" s="1" t="n">
        <v>45807.42773148148</v>
      </c>
      <c r="C396" s="1" t="n">
        <v>46128</v>
      </c>
      <c r="D396" t="inlineStr">
        <is>
          <t>GOTLANDS LÄN</t>
        </is>
      </c>
      <c r="E396" t="inlineStr">
        <is>
          <t>GOTLAND</t>
        </is>
      </c>
      <c r="G396" t="n">
        <v>5.7</v>
      </c>
      <c r="H396" t="n">
        <v>0</v>
      </c>
      <c r="I396" t="n">
        <v>0</v>
      </c>
      <c r="J396" t="n">
        <v>0</v>
      </c>
      <c r="K396" t="n">
        <v>0</v>
      </c>
      <c r="L396" t="n">
        <v>0</v>
      </c>
      <c r="M396" t="n">
        <v>0</v>
      </c>
      <c r="N396" t="n">
        <v>0</v>
      </c>
      <c r="O396" t="n">
        <v>0</v>
      </c>
      <c r="P396" t="n">
        <v>0</v>
      </c>
      <c r="Q396" t="n">
        <v>0</v>
      </c>
      <c r="R396" s="2" t="inlineStr"/>
    </row>
    <row r="397" ht="15" customHeight="1">
      <c r="A397" t="inlineStr">
        <is>
          <t>A 26467-2025</t>
        </is>
      </c>
      <c r="B397" s="1" t="n">
        <v>45807.44640046296</v>
      </c>
      <c r="C397" s="1" t="n">
        <v>46128</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47762-2023</t>
        </is>
      </c>
      <c r="B398" s="1" t="n">
        <v>45203.86256944444</v>
      </c>
      <c r="C398" s="1" t="n">
        <v>46128</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26465-2025</t>
        </is>
      </c>
      <c r="B399" s="1" t="n">
        <v>45807.44377314814</v>
      </c>
      <c r="C399" s="1" t="n">
        <v>46128</v>
      </c>
      <c r="D399" t="inlineStr">
        <is>
          <t>GOTLANDS LÄN</t>
        </is>
      </c>
      <c r="E399" t="inlineStr">
        <is>
          <t>GOTLAND</t>
        </is>
      </c>
      <c r="G399" t="n">
        <v>4.5</v>
      </c>
      <c r="H399" t="n">
        <v>0</v>
      </c>
      <c r="I399" t="n">
        <v>0</v>
      </c>
      <c r="J399" t="n">
        <v>0</v>
      </c>
      <c r="K399" t="n">
        <v>0</v>
      </c>
      <c r="L399" t="n">
        <v>0</v>
      </c>
      <c r="M399" t="n">
        <v>0</v>
      </c>
      <c r="N399" t="n">
        <v>0</v>
      </c>
      <c r="O399" t="n">
        <v>0</v>
      </c>
      <c r="P399" t="n">
        <v>0</v>
      </c>
      <c r="Q399" t="n">
        <v>0</v>
      </c>
      <c r="R399" s="2" t="inlineStr"/>
    </row>
    <row r="400" ht="15" customHeight="1">
      <c r="A400" t="inlineStr">
        <is>
          <t>A 47637-2025</t>
        </is>
      </c>
      <c r="B400" s="1" t="n">
        <v>45931.49753472222</v>
      </c>
      <c r="C400" s="1" t="n">
        <v>46128</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26660-2025</t>
        </is>
      </c>
      <c r="B401" s="1" t="n">
        <v>45810.39737268518</v>
      </c>
      <c r="C401" s="1" t="n">
        <v>46128</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46545-2024</t>
        </is>
      </c>
      <c r="B402" s="1" t="n">
        <v>45582.65831018519</v>
      </c>
      <c r="C402" s="1" t="n">
        <v>46128</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60086-2022</t>
        </is>
      </c>
      <c r="B403" s="1" t="n">
        <v>44909</v>
      </c>
      <c r="C403" s="1" t="n">
        <v>46128</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28480-2023</t>
        </is>
      </c>
      <c r="B404" s="1" t="n">
        <v>45103</v>
      </c>
      <c r="C404" s="1" t="n">
        <v>46128</v>
      </c>
      <c r="D404" t="inlineStr">
        <is>
          <t>GOTLANDS LÄN</t>
        </is>
      </c>
      <c r="E404" t="inlineStr">
        <is>
          <t>GOTLAND</t>
        </is>
      </c>
      <c r="G404" t="n">
        <v>5.7</v>
      </c>
      <c r="H404" t="n">
        <v>0</v>
      </c>
      <c r="I404" t="n">
        <v>0</v>
      </c>
      <c r="J404" t="n">
        <v>0</v>
      </c>
      <c r="K404" t="n">
        <v>0</v>
      </c>
      <c r="L404" t="n">
        <v>0</v>
      </c>
      <c r="M404" t="n">
        <v>0</v>
      </c>
      <c r="N404" t="n">
        <v>0</v>
      </c>
      <c r="O404" t="n">
        <v>0</v>
      </c>
      <c r="P404" t="n">
        <v>0</v>
      </c>
      <c r="Q404" t="n">
        <v>0</v>
      </c>
      <c r="R404" s="2" t="inlineStr"/>
    </row>
    <row r="405" ht="15" customHeight="1">
      <c r="A405" t="inlineStr">
        <is>
          <t>A 28485-2023</t>
        </is>
      </c>
      <c r="B405" s="1" t="n">
        <v>45103.43731481482</v>
      </c>
      <c r="C405" s="1" t="n">
        <v>46128</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62915-2021</t>
        </is>
      </c>
      <c r="B406" s="1" t="n">
        <v>44504</v>
      </c>
      <c r="C406" s="1" t="n">
        <v>46128</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32378-2025</t>
        </is>
      </c>
      <c r="B407" s="1" t="n">
        <v>45837</v>
      </c>
      <c r="C407" s="1" t="n">
        <v>46128</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27371-2025</t>
        </is>
      </c>
      <c r="B408" s="1" t="n">
        <v>45812</v>
      </c>
      <c r="C408" s="1" t="n">
        <v>46128</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44949-2023</t>
        </is>
      </c>
      <c r="B409" s="1" t="n">
        <v>45190.69520833333</v>
      </c>
      <c r="C409" s="1" t="n">
        <v>46128</v>
      </c>
      <c r="D409" t="inlineStr">
        <is>
          <t>GOTLANDS LÄN</t>
        </is>
      </c>
      <c r="E409" t="inlineStr">
        <is>
          <t>GOTLAND</t>
        </is>
      </c>
      <c r="G409" t="n">
        <v>1.4</v>
      </c>
      <c r="H409" t="n">
        <v>0</v>
      </c>
      <c r="I409" t="n">
        <v>0</v>
      </c>
      <c r="J409" t="n">
        <v>0</v>
      </c>
      <c r="K409" t="n">
        <v>0</v>
      </c>
      <c r="L409" t="n">
        <v>0</v>
      </c>
      <c r="M409" t="n">
        <v>0</v>
      </c>
      <c r="N409" t="n">
        <v>0</v>
      </c>
      <c r="O409" t="n">
        <v>0</v>
      </c>
      <c r="P409" t="n">
        <v>0</v>
      </c>
      <c r="Q409" t="n">
        <v>0</v>
      </c>
      <c r="R409" s="2" t="inlineStr"/>
    </row>
    <row r="410" ht="15" customHeight="1">
      <c r="A410" t="inlineStr">
        <is>
          <t>A 27355-2025</t>
        </is>
      </c>
      <c r="B410" s="1" t="n">
        <v>45812</v>
      </c>
      <c r="C410" s="1" t="n">
        <v>46128</v>
      </c>
      <c r="D410" t="inlineStr">
        <is>
          <t>GOTLANDS LÄN</t>
        </is>
      </c>
      <c r="E410" t="inlineStr">
        <is>
          <t>GOTLAND</t>
        </is>
      </c>
      <c r="G410" t="n">
        <v>1.1</v>
      </c>
      <c r="H410" t="n">
        <v>0</v>
      </c>
      <c r="I410" t="n">
        <v>0</v>
      </c>
      <c r="J410" t="n">
        <v>0</v>
      </c>
      <c r="K410" t="n">
        <v>0</v>
      </c>
      <c r="L410" t="n">
        <v>0</v>
      </c>
      <c r="M410" t="n">
        <v>0</v>
      </c>
      <c r="N410" t="n">
        <v>0</v>
      </c>
      <c r="O410" t="n">
        <v>0</v>
      </c>
      <c r="P410" t="n">
        <v>0</v>
      </c>
      <c r="Q410" t="n">
        <v>0</v>
      </c>
      <c r="R410" s="2" t="inlineStr"/>
    </row>
    <row r="411" ht="15" customHeight="1">
      <c r="A411" t="inlineStr">
        <is>
          <t>A 6739-2025</t>
        </is>
      </c>
      <c r="B411" s="1" t="n">
        <v>45700</v>
      </c>
      <c r="C411" s="1" t="n">
        <v>46128</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7850-2025</t>
        </is>
      </c>
      <c r="B412" s="1" t="n">
        <v>45706</v>
      </c>
      <c r="C412" s="1" t="n">
        <v>46128</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35550-2025</t>
        </is>
      </c>
      <c r="B413" s="1" t="n">
        <v>45856.49324074074</v>
      </c>
      <c r="C413" s="1" t="n">
        <v>46128</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37222-2021</t>
        </is>
      </c>
      <c r="B414" s="1" t="n">
        <v>44396</v>
      </c>
      <c r="C414" s="1" t="n">
        <v>46128</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8444-2025</t>
        </is>
      </c>
      <c r="B415" s="1" t="n">
        <v>45709</v>
      </c>
      <c r="C415" s="1" t="n">
        <v>46128</v>
      </c>
      <c r="D415" t="inlineStr">
        <is>
          <t>GOTLANDS LÄN</t>
        </is>
      </c>
      <c r="E415" t="inlineStr">
        <is>
          <t>GOTLAND</t>
        </is>
      </c>
      <c r="G415" t="n">
        <v>5.2</v>
      </c>
      <c r="H415" t="n">
        <v>0</v>
      </c>
      <c r="I415" t="n">
        <v>0</v>
      </c>
      <c r="J415" t="n">
        <v>0</v>
      </c>
      <c r="K415" t="n">
        <v>0</v>
      </c>
      <c r="L415" t="n">
        <v>0</v>
      </c>
      <c r="M415" t="n">
        <v>0</v>
      </c>
      <c r="N415" t="n">
        <v>0</v>
      </c>
      <c r="O415" t="n">
        <v>0</v>
      </c>
      <c r="P415" t="n">
        <v>0</v>
      </c>
      <c r="Q415" t="n">
        <v>0</v>
      </c>
      <c r="R415" s="2" t="inlineStr"/>
    </row>
    <row r="416" ht="15" customHeight="1">
      <c r="A416" t="inlineStr">
        <is>
          <t>A 47578-2025</t>
        </is>
      </c>
      <c r="B416" s="1" t="n">
        <v>45931</v>
      </c>
      <c r="C416" s="1" t="n">
        <v>46128</v>
      </c>
      <c r="D416" t="inlineStr">
        <is>
          <t>GOTLANDS LÄN</t>
        </is>
      </c>
      <c r="E416" t="inlineStr">
        <is>
          <t>GOTLAND</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3964-2024</t>
        </is>
      </c>
      <c r="B417" s="1" t="n">
        <v>45322</v>
      </c>
      <c r="C417" s="1" t="n">
        <v>46128</v>
      </c>
      <c r="D417" t="inlineStr">
        <is>
          <t>GOTLANDS LÄN</t>
        </is>
      </c>
      <c r="E417" t="inlineStr">
        <is>
          <t>GOTLAND</t>
        </is>
      </c>
      <c r="G417" t="n">
        <v>1.4</v>
      </c>
      <c r="H417" t="n">
        <v>0</v>
      </c>
      <c r="I417" t="n">
        <v>0</v>
      </c>
      <c r="J417" t="n">
        <v>0</v>
      </c>
      <c r="K417" t="n">
        <v>0</v>
      </c>
      <c r="L417" t="n">
        <v>0</v>
      </c>
      <c r="M417" t="n">
        <v>0</v>
      </c>
      <c r="N417" t="n">
        <v>0</v>
      </c>
      <c r="O417" t="n">
        <v>0</v>
      </c>
      <c r="P417" t="n">
        <v>0</v>
      </c>
      <c r="Q417" t="n">
        <v>0</v>
      </c>
      <c r="R417" s="2" t="inlineStr"/>
    </row>
    <row r="418" ht="15" customHeight="1">
      <c r="A418" t="inlineStr">
        <is>
          <t>A 45084-2024</t>
        </is>
      </c>
      <c r="B418" s="1" t="n">
        <v>45575</v>
      </c>
      <c r="C418" s="1" t="n">
        <v>46128</v>
      </c>
      <c r="D418" t="inlineStr">
        <is>
          <t>GOTLANDS LÄN</t>
        </is>
      </c>
      <c r="E418" t="inlineStr">
        <is>
          <t>GOTLAND</t>
        </is>
      </c>
      <c r="G418" t="n">
        <v>6.8</v>
      </c>
      <c r="H418" t="n">
        <v>0</v>
      </c>
      <c r="I418" t="n">
        <v>0</v>
      </c>
      <c r="J418" t="n">
        <v>0</v>
      </c>
      <c r="K418" t="n">
        <v>0</v>
      </c>
      <c r="L418" t="n">
        <v>0</v>
      </c>
      <c r="M418" t="n">
        <v>0</v>
      </c>
      <c r="N418" t="n">
        <v>0</v>
      </c>
      <c r="O418" t="n">
        <v>0</v>
      </c>
      <c r="P418" t="n">
        <v>0</v>
      </c>
      <c r="Q418" t="n">
        <v>0</v>
      </c>
      <c r="R418" s="2" t="inlineStr"/>
    </row>
    <row r="419" ht="15" customHeight="1">
      <c r="A419" t="inlineStr">
        <is>
          <t>A 49724-2025</t>
        </is>
      </c>
      <c r="B419" s="1" t="n">
        <v>45939.83730324074</v>
      </c>
      <c r="C419" s="1" t="n">
        <v>46128</v>
      </c>
      <c r="D419" t="inlineStr">
        <is>
          <t>GOTLANDS LÄN</t>
        </is>
      </c>
      <c r="E419" t="inlineStr">
        <is>
          <t>GOTLAND</t>
        </is>
      </c>
      <c r="F419" t="inlineStr">
        <is>
          <t>Kyrkan</t>
        </is>
      </c>
      <c r="G419" t="n">
        <v>3.1</v>
      </c>
      <c r="H419" t="n">
        <v>0</v>
      </c>
      <c r="I419" t="n">
        <v>0</v>
      </c>
      <c r="J419" t="n">
        <v>0</v>
      </c>
      <c r="K419" t="n">
        <v>0</v>
      </c>
      <c r="L419" t="n">
        <v>0</v>
      </c>
      <c r="M419" t="n">
        <v>0</v>
      </c>
      <c r="N419" t="n">
        <v>0</v>
      </c>
      <c r="O419" t="n">
        <v>0</v>
      </c>
      <c r="P419" t="n">
        <v>0</v>
      </c>
      <c r="Q419" t="n">
        <v>0</v>
      </c>
      <c r="R419" s="2" t="inlineStr"/>
    </row>
    <row r="420" ht="15" customHeight="1">
      <c r="A420" t="inlineStr">
        <is>
          <t>A 49730-2025</t>
        </is>
      </c>
      <c r="B420" s="1" t="n">
        <v>45939.87613425926</v>
      </c>
      <c r="C420" s="1" t="n">
        <v>46128</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48503-2023</t>
        </is>
      </c>
      <c r="B421" s="1" t="n">
        <v>45207</v>
      </c>
      <c r="C421" s="1" t="n">
        <v>46128</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19905-2025</t>
        </is>
      </c>
      <c r="B422" s="1" t="n">
        <v>45771</v>
      </c>
      <c r="C422" s="1" t="n">
        <v>46128</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49690-2025</t>
        </is>
      </c>
      <c r="B423" s="1" t="n">
        <v>45939.66730324074</v>
      </c>
      <c r="C423" s="1" t="n">
        <v>46128</v>
      </c>
      <c r="D423" t="inlineStr">
        <is>
          <t>GOTLANDS LÄN</t>
        </is>
      </c>
      <c r="E423" t="inlineStr">
        <is>
          <t>GOTLAND</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33011-2025</t>
        </is>
      </c>
      <c r="B424" s="1" t="n">
        <v>45840</v>
      </c>
      <c r="C424" s="1" t="n">
        <v>46128</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29196-2025</t>
        </is>
      </c>
      <c r="B425" s="1" t="n">
        <v>45822</v>
      </c>
      <c r="C425" s="1" t="n">
        <v>46128</v>
      </c>
      <c r="D425" t="inlineStr">
        <is>
          <t>GOTLANDS LÄN</t>
        </is>
      </c>
      <c r="E425" t="inlineStr">
        <is>
          <t>GOTLAND</t>
        </is>
      </c>
      <c r="G425" t="n">
        <v>0.5</v>
      </c>
      <c r="H425" t="n">
        <v>0</v>
      </c>
      <c r="I425" t="n">
        <v>0</v>
      </c>
      <c r="J425" t="n">
        <v>0</v>
      </c>
      <c r="K425" t="n">
        <v>0</v>
      </c>
      <c r="L425" t="n">
        <v>0</v>
      </c>
      <c r="M425" t="n">
        <v>0</v>
      </c>
      <c r="N425" t="n">
        <v>0</v>
      </c>
      <c r="O425" t="n">
        <v>0</v>
      </c>
      <c r="P425" t="n">
        <v>0</v>
      </c>
      <c r="Q425" t="n">
        <v>0</v>
      </c>
      <c r="R425" s="2" t="inlineStr"/>
    </row>
    <row r="426" ht="15" customHeight="1">
      <c r="A426" t="inlineStr">
        <is>
          <t>A 65901-2021</t>
        </is>
      </c>
      <c r="B426" s="1" t="n">
        <v>44516</v>
      </c>
      <c r="C426" s="1" t="n">
        <v>46128</v>
      </c>
      <c r="D426" t="inlineStr">
        <is>
          <t>GOTLANDS LÄN</t>
        </is>
      </c>
      <c r="E426" t="inlineStr">
        <is>
          <t>GOTLAND</t>
        </is>
      </c>
      <c r="G426" t="n">
        <v>4.9</v>
      </c>
      <c r="H426" t="n">
        <v>0</v>
      </c>
      <c r="I426" t="n">
        <v>0</v>
      </c>
      <c r="J426" t="n">
        <v>0</v>
      </c>
      <c r="K426" t="n">
        <v>0</v>
      </c>
      <c r="L426" t="n">
        <v>0</v>
      </c>
      <c r="M426" t="n">
        <v>0</v>
      </c>
      <c r="N426" t="n">
        <v>0</v>
      </c>
      <c r="O426" t="n">
        <v>0</v>
      </c>
      <c r="P426" t="n">
        <v>0</v>
      </c>
      <c r="Q426" t="n">
        <v>0</v>
      </c>
      <c r="R426" s="2" t="inlineStr"/>
    </row>
    <row r="427" ht="15" customHeight="1">
      <c r="A427" t="inlineStr">
        <is>
          <t>A 50421-2025</t>
        </is>
      </c>
      <c r="B427" s="1" t="n">
        <v>45944.66049768519</v>
      </c>
      <c r="C427" s="1" t="n">
        <v>46128</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29207-2025</t>
        </is>
      </c>
      <c r="B428" s="1" t="n">
        <v>45823</v>
      </c>
      <c r="C428" s="1" t="n">
        <v>46128</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5217-2023</t>
        </is>
      </c>
      <c r="B429" s="1" t="n">
        <v>44959.39582175926</v>
      </c>
      <c r="C429" s="1" t="n">
        <v>46128</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50431-2025</t>
        </is>
      </c>
      <c r="B430" s="1" t="n">
        <v>45944.68453703704</v>
      </c>
      <c r="C430" s="1" t="n">
        <v>46128</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50928-2025</t>
        </is>
      </c>
      <c r="B431" s="1" t="n">
        <v>45946.67896990741</v>
      </c>
      <c r="C431" s="1" t="n">
        <v>46128</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30061-2025</t>
        </is>
      </c>
      <c r="B432" s="1" t="n">
        <v>45826.61488425926</v>
      </c>
      <c r="C432" s="1" t="n">
        <v>46128</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1677-2023</t>
        </is>
      </c>
      <c r="B433" s="1" t="n">
        <v>44938</v>
      </c>
      <c r="C433" s="1" t="n">
        <v>46128</v>
      </c>
      <c r="D433" t="inlineStr">
        <is>
          <t>GOTLANDS LÄN</t>
        </is>
      </c>
      <c r="E433" t="inlineStr">
        <is>
          <t>GOTLAND</t>
        </is>
      </c>
      <c r="G433" t="n">
        <v>1.6</v>
      </c>
      <c r="H433" t="n">
        <v>0</v>
      </c>
      <c r="I433" t="n">
        <v>0</v>
      </c>
      <c r="J433" t="n">
        <v>0</v>
      </c>
      <c r="K433" t="n">
        <v>0</v>
      </c>
      <c r="L433" t="n">
        <v>0</v>
      </c>
      <c r="M433" t="n">
        <v>0</v>
      </c>
      <c r="N433" t="n">
        <v>0</v>
      </c>
      <c r="O433" t="n">
        <v>0</v>
      </c>
      <c r="P433" t="n">
        <v>0</v>
      </c>
      <c r="Q433" t="n">
        <v>0</v>
      </c>
      <c r="R433" s="2" t="inlineStr"/>
    </row>
    <row r="434" ht="15" customHeight="1">
      <c r="A434" t="inlineStr">
        <is>
          <t>A 58160-2024</t>
        </is>
      </c>
      <c r="B434" s="1" t="n">
        <v>45632.44927083333</v>
      </c>
      <c r="C434" s="1" t="n">
        <v>46128</v>
      </c>
      <c r="D434" t="inlineStr">
        <is>
          <t>GOTLANDS LÄN</t>
        </is>
      </c>
      <c r="E434" t="inlineStr">
        <is>
          <t>GOTLAND</t>
        </is>
      </c>
      <c r="G434" t="n">
        <v>5.6</v>
      </c>
      <c r="H434" t="n">
        <v>0</v>
      </c>
      <c r="I434" t="n">
        <v>0</v>
      </c>
      <c r="J434" t="n">
        <v>0</v>
      </c>
      <c r="K434" t="n">
        <v>0</v>
      </c>
      <c r="L434" t="n">
        <v>0</v>
      </c>
      <c r="M434" t="n">
        <v>0</v>
      </c>
      <c r="N434" t="n">
        <v>0</v>
      </c>
      <c r="O434" t="n">
        <v>0</v>
      </c>
      <c r="P434" t="n">
        <v>0</v>
      </c>
      <c r="Q434" t="n">
        <v>0</v>
      </c>
      <c r="R434" s="2" t="inlineStr"/>
    </row>
    <row r="435" ht="15" customHeight="1">
      <c r="A435" t="inlineStr">
        <is>
          <t>A 45244-2024</t>
        </is>
      </c>
      <c r="B435" s="1" t="n">
        <v>45576</v>
      </c>
      <c r="C435" s="1" t="n">
        <v>46128</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8260-2023</t>
        </is>
      </c>
      <c r="B436" s="1" t="n">
        <v>44974.61608796296</v>
      </c>
      <c r="C436" s="1" t="n">
        <v>46128</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44649-2021</t>
        </is>
      </c>
      <c r="B437" s="1" t="n">
        <v>44437</v>
      </c>
      <c r="C437" s="1" t="n">
        <v>46128</v>
      </c>
      <c r="D437" t="inlineStr">
        <is>
          <t>GOTLANDS LÄN</t>
        </is>
      </c>
      <c r="E437" t="inlineStr">
        <is>
          <t>GOTLAND</t>
        </is>
      </c>
      <c r="G437" t="n">
        <v>8.1</v>
      </c>
      <c r="H437" t="n">
        <v>0</v>
      </c>
      <c r="I437" t="n">
        <v>0</v>
      </c>
      <c r="J437" t="n">
        <v>0</v>
      </c>
      <c r="K437" t="n">
        <v>0</v>
      </c>
      <c r="L437" t="n">
        <v>0</v>
      </c>
      <c r="M437" t="n">
        <v>0</v>
      </c>
      <c r="N437" t="n">
        <v>0</v>
      </c>
      <c r="O437" t="n">
        <v>0</v>
      </c>
      <c r="P437" t="n">
        <v>0</v>
      </c>
      <c r="Q437" t="n">
        <v>0</v>
      </c>
      <c r="R437" s="2" t="inlineStr"/>
    </row>
    <row r="438" ht="15" customHeight="1">
      <c r="A438" t="inlineStr">
        <is>
          <t>A 64969-2023</t>
        </is>
      </c>
      <c r="B438" s="1" t="n">
        <v>45284.54009259259</v>
      </c>
      <c r="C438" s="1" t="n">
        <v>46128</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51262-2025</t>
        </is>
      </c>
      <c r="B439" s="1" t="n">
        <v>45949.49872685185</v>
      </c>
      <c r="C439" s="1" t="n">
        <v>46128</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48843-2024</t>
        </is>
      </c>
      <c r="B440" s="1" t="n">
        <v>45593</v>
      </c>
      <c r="C440" s="1" t="n">
        <v>46128</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17541-2024</t>
        </is>
      </c>
      <c r="B441" s="1" t="n">
        <v>45415</v>
      </c>
      <c r="C441" s="1" t="n">
        <v>46128</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2241-2025</t>
        </is>
      </c>
      <c r="B442" s="1" t="n">
        <v>45673.48710648148</v>
      </c>
      <c r="C442" s="1" t="n">
        <v>46128</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9947-2024</t>
        </is>
      </c>
      <c r="B443" s="1" t="n">
        <v>45363</v>
      </c>
      <c r="C443" s="1" t="n">
        <v>46128</v>
      </c>
      <c r="D443" t="inlineStr">
        <is>
          <t>GOTLANDS LÄN</t>
        </is>
      </c>
      <c r="E443" t="inlineStr">
        <is>
          <t>GOTLAND</t>
        </is>
      </c>
      <c r="G443" t="n">
        <v>2</v>
      </c>
      <c r="H443" t="n">
        <v>0</v>
      </c>
      <c r="I443" t="n">
        <v>0</v>
      </c>
      <c r="J443" t="n">
        <v>0</v>
      </c>
      <c r="K443" t="n">
        <v>0</v>
      </c>
      <c r="L443" t="n">
        <v>0</v>
      </c>
      <c r="M443" t="n">
        <v>0</v>
      </c>
      <c r="N443" t="n">
        <v>0</v>
      </c>
      <c r="O443" t="n">
        <v>0</v>
      </c>
      <c r="P443" t="n">
        <v>0</v>
      </c>
      <c r="Q443" t="n">
        <v>0</v>
      </c>
      <c r="R443" s="2" t="inlineStr"/>
    </row>
    <row r="444" ht="15" customHeight="1">
      <c r="A444" t="inlineStr">
        <is>
          <t>A 52249-2025</t>
        </is>
      </c>
      <c r="B444" s="1" t="n">
        <v>45953.48637731482</v>
      </c>
      <c r="C444" s="1" t="n">
        <v>46128</v>
      </c>
      <c r="D444" t="inlineStr">
        <is>
          <t>GOTLANDS LÄN</t>
        </is>
      </c>
      <c r="E444" t="inlineStr">
        <is>
          <t>GOTLAND</t>
        </is>
      </c>
      <c r="F444" t="inlineStr">
        <is>
          <t>Övriga Aktiebolag</t>
        </is>
      </c>
      <c r="G444" t="n">
        <v>1</v>
      </c>
      <c r="H444" t="n">
        <v>0</v>
      </c>
      <c r="I444" t="n">
        <v>0</v>
      </c>
      <c r="J444" t="n">
        <v>0</v>
      </c>
      <c r="K444" t="n">
        <v>0</v>
      </c>
      <c r="L444" t="n">
        <v>0</v>
      </c>
      <c r="M444" t="n">
        <v>0</v>
      </c>
      <c r="N444" t="n">
        <v>0</v>
      </c>
      <c r="O444" t="n">
        <v>0</v>
      </c>
      <c r="P444" t="n">
        <v>0</v>
      </c>
      <c r="Q444" t="n">
        <v>0</v>
      </c>
      <c r="R444" s="2" t="inlineStr"/>
    </row>
    <row r="445" ht="15" customHeight="1">
      <c r="A445" t="inlineStr">
        <is>
          <t>A 15434-2024</t>
        </is>
      </c>
      <c r="B445" s="1" t="n">
        <v>45401.38836805556</v>
      </c>
      <c r="C445" s="1" t="n">
        <v>46128</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5943-2024</t>
        </is>
      </c>
      <c r="B446" s="1" t="n">
        <v>45336</v>
      </c>
      <c r="C446" s="1" t="n">
        <v>46128</v>
      </c>
      <c r="D446" t="inlineStr">
        <is>
          <t>GOTLANDS LÄN</t>
        </is>
      </c>
      <c r="E446" t="inlineStr">
        <is>
          <t>GOTLAND</t>
        </is>
      </c>
      <c r="G446" t="n">
        <v>4.3</v>
      </c>
      <c r="H446" t="n">
        <v>0</v>
      </c>
      <c r="I446" t="n">
        <v>0</v>
      </c>
      <c r="J446" t="n">
        <v>0</v>
      </c>
      <c r="K446" t="n">
        <v>0</v>
      </c>
      <c r="L446" t="n">
        <v>0</v>
      </c>
      <c r="M446" t="n">
        <v>0</v>
      </c>
      <c r="N446" t="n">
        <v>0</v>
      </c>
      <c r="O446" t="n">
        <v>0</v>
      </c>
      <c r="P446" t="n">
        <v>0</v>
      </c>
      <c r="Q446" t="n">
        <v>0</v>
      </c>
      <c r="R446" s="2" t="inlineStr"/>
    </row>
    <row r="447" ht="15" customHeight="1">
      <c r="A447" t="inlineStr">
        <is>
          <t>A 54073-2022</t>
        </is>
      </c>
      <c r="B447" s="1" t="n">
        <v>44881.50380787037</v>
      </c>
      <c r="C447" s="1" t="n">
        <v>46128</v>
      </c>
      <c r="D447" t="inlineStr">
        <is>
          <t>GOTLANDS LÄN</t>
        </is>
      </c>
      <c r="E447" t="inlineStr">
        <is>
          <t>GOTLAND</t>
        </is>
      </c>
      <c r="G447" t="n">
        <v>3.8</v>
      </c>
      <c r="H447" t="n">
        <v>0</v>
      </c>
      <c r="I447" t="n">
        <v>0</v>
      </c>
      <c r="J447" t="n">
        <v>0</v>
      </c>
      <c r="K447" t="n">
        <v>0</v>
      </c>
      <c r="L447" t="n">
        <v>0</v>
      </c>
      <c r="M447" t="n">
        <v>0</v>
      </c>
      <c r="N447" t="n">
        <v>0</v>
      </c>
      <c r="O447" t="n">
        <v>0</v>
      </c>
      <c r="P447" t="n">
        <v>0</v>
      </c>
      <c r="Q447" t="n">
        <v>0</v>
      </c>
      <c r="R447" s="2" t="inlineStr"/>
    </row>
    <row r="448" ht="15" customHeight="1">
      <c r="A448" t="inlineStr">
        <is>
          <t>A 16361-2024</t>
        </is>
      </c>
      <c r="B448" s="1" t="n">
        <v>45407</v>
      </c>
      <c r="C448" s="1" t="n">
        <v>46128</v>
      </c>
      <c r="D448" t="inlineStr">
        <is>
          <t>GOTLANDS LÄN</t>
        </is>
      </c>
      <c r="E448" t="inlineStr">
        <is>
          <t>GOTLAND</t>
        </is>
      </c>
      <c r="G448" t="n">
        <v>6</v>
      </c>
      <c r="H448" t="n">
        <v>0</v>
      </c>
      <c r="I448" t="n">
        <v>0</v>
      </c>
      <c r="J448" t="n">
        <v>0</v>
      </c>
      <c r="K448" t="n">
        <v>0</v>
      </c>
      <c r="L448" t="n">
        <v>0</v>
      </c>
      <c r="M448" t="n">
        <v>0</v>
      </c>
      <c r="N448" t="n">
        <v>0</v>
      </c>
      <c r="O448" t="n">
        <v>0</v>
      </c>
      <c r="P448" t="n">
        <v>0</v>
      </c>
      <c r="Q448" t="n">
        <v>0</v>
      </c>
      <c r="R448" s="2" t="inlineStr"/>
    </row>
    <row r="449" ht="15" customHeight="1">
      <c r="A449" t="inlineStr">
        <is>
          <t>A 52637-2025</t>
        </is>
      </c>
      <c r="B449" s="1" t="n">
        <v>45954.75099537037</v>
      </c>
      <c r="C449" s="1" t="n">
        <v>46128</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41038-2023</t>
        </is>
      </c>
      <c r="B450" s="1" t="n">
        <v>45173.60959490741</v>
      </c>
      <c r="C450" s="1" t="n">
        <v>46128</v>
      </c>
      <c r="D450" t="inlineStr">
        <is>
          <t>GOTLANDS LÄN</t>
        </is>
      </c>
      <c r="E450" t="inlineStr">
        <is>
          <t>GOTLAND</t>
        </is>
      </c>
      <c r="G450" t="n">
        <v>2.7</v>
      </c>
      <c r="H450" t="n">
        <v>0</v>
      </c>
      <c r="I450" t="n">
        <v>0</v>
      </c>
      <c r="J450" t="n">
        <v>0</v>
      </c>
      <c r="K450" t="n">
        <v>0</v>
      </c>
      <c r="L450" t="n">
        <v>0</v>
      </c>
      <c r="M450" t="n">
        <v>0</v>
      </c>
      <c r="N450" t="n">
        <v>0</v>
      </c>
      <c r="O450" t="n">
        <v>0</v>
      </c>
      <c r="P450" t="n">
        <v>0</v>
      </c>
      <c r="Q450" t="n">
        <v>0</v>
      </c>
      <c r="R450" s="2" t="inlineStr"/>
    </row>
    <row r="451" ht="15" customHeight="1">
      <c r="A451" t="inlineStr">
        <is>
          <t>A 32379-2025</t>
        </is>
      </c>
      <c r="B451" s="1" t="n">
        <v>45837</v>
      </c>
      <c r="C451" s="1" t="n">
        <v>46128</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32467-2025</t>
        </is>
      </c>
      <c r="B452" s="1" t="n">
        <v>45838.42111111111</v>
      </c>
      <c r="C452" s="1" t="n">
        <v>46128</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17682-2024</t>
        </is>
      </c>
      <c r="B453" s="1" t="n">
        <v>45418.42966435185</v>
      </c>
      <c r="C453" s="1" t="n">
        <v>46128</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16109-2025</t>
        </is>
      </c>
      <c r="B454" s="1" t="n">
        <v>45750</v>
      </c>
      <c r="C454" s="1" t="n">
        <v>46128</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57522-2022</t>
        </is>
      </c>
      <c r="B455" s="1" t="n">
        <v>44896</v>
      </c>
      <c r="C455" s="1" t="n">
        <v>46128</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53569-2025</t>
        </is>
      </c>
      <c r="B456" s="1" t="n">
        <v>45960.41155092593</v>
      </c>
      <c r="C456" s="1" t="n">
        <v>46128</v>
      </c>
      <c r="D456" t="inlineStr">
        <is>
          <t>GOTLANDS LÄN</t>
        </is>
      </c>
      <c r="E456" t="inlineStr">
        <is>
          <t>GOTLAND</t>
        </is>
      </c>
      <c r="F456" t="inlineStr">
        <is>
          <t>Övriga Aktiebolag</t>
        </is>
      </c>
      <c r="G456" t="n">
        <v>11.3</v>
      </c>
      <c r="H456" t="n">
        <v>0</v>
      </c>
      <c r="I456" t="n">
        <v>0</v>
      </c>
      <c r="J456" t="n">
        <v>0</v>
      </c>
      <c r="K456" t="n">
        <v>0</v>
      </c>
      <c r="L456" t="n">
        <v>0</v>
      </c>
      <c r="M456" t="n">
        <v>0</v>
      </c>
      <c r="N456" t="n">
        <v>0</v>
      </c>
      <c r="O456" t="n">
        <v>0</v>
      </c>
      <c r="P456" t="n">
        <v>0</v>
      </c>
      <c r="Q456" t="n">
        <v>0</v>
      </c>
      <c r="R456" s="2" t="inlineStr"/>
    </row>
    <row r="457" ht="15" customHeight="1">
      <c r="A457" t="inlineStr">
        <is>
          <t>A 53577-2025</t>
        </is>
      </c>
      <c r="B457" s="1" t="n">
        <v>45960.42224537037</v>
      </c>
      <c r="C457" s="1" t="n">
        <v>46128</v>
      </c>
      <c r="D457" t="inlineStr">
        <is>
          <t>GOTLANDS LÄN</t>
        </is>
      </c>
      <c r="E457" t="inlineStr">
        <is>
          <t>GOTLAND</t>
        </is>
      </c>
      <c r="F457" t="inlineStr">
        <is>
          <t>Övriga Aktiebolag</t>
        </is>
      </c>
      <c r="G457" t="n">
        <v>3.3</v>
      </c>
      <c r="H457" t="n">
        <v>0</v>
      </c>
      <c r="I457" t="n">
        <v>0</v>
      </c>
      <c r="J457" t="n">
        <v>0</v>
      </c>
      <c r="K457" t="n">
        <v>0</v>
      </c>
      <c r="L457" t="n">
        <v>0</v>
      </c>
      <c r="M457" t="n">
        <v>0</v>
      </c>
      <c r="N457" t="n">
        <v>0</v>
      </c>
      <c r="O457" t="n">
        <v>0</v>
      </c>
      <c r="P457" t="n">
        <v>0</v>
      </c>
      <c r="Q457" t="n">
        <v>0</v>
      </c>
      <c r="R457" s="2" t="inlineStr"/>
    </row>
    <row r="458" ht="15" customHeight="1">
      <c r="A458" t="inlineStr">
        <is>
          <t>A 14427-2024</t>
        </is>
      </c>
      <c r="B458" s="1" t="n">
        <v>45394</v>
      </c>
      <c r="C458" s="1" t="n">
        <v>46128</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33007-2025</t>
        </is>
      </c>
      <c r="B459" s="1" t="n">
        <v>45840</v>
      </c>
      <c r="C459" s="1" t="n">
        <v>46128</v>
      </c>
      <c r="D459" t="inlineStr">
        <is>
          <t>GOTLANDS LÄN</t>
        </is>
      </c>
      <c r="E459" t="inlineStr">
        <is>
          <t>GOTLAND</t>
        </is>
      </c>
      <c r="G459" t="n">
        <v>4.9</v>
      </c>
      <c r="H459" t="n">
        <v>0</v>
      </c>
      <c r="I459" t="n">
        <v>0</v>
      </c>
      <c r="J459" t="n">
        <v>0</v>
      </c>
      <c r="K459" t="n">
        <v>0</v>
      </c>
      <c r="L459" t="n">
        <v>0</v>
      </c>
      <c r="M459" t="n">
        <v>0</v>
      </c>
      <c r="N459" t="n">
        <v>0</v>
      </c>
      <c r="O459" t="n">
        <v>0</v>
      </c>
      <c r="P459" t="n">
        <v>0</v>
      </c>
      <c r="Q459" t="n">
        <v>0</v>
      </c>
      <c r="R459" s="2" t="inlineStr"/>
    </row>
    <row r="460" ht="15" customHeight="1">
      <c r="A460" t="inlineStr">
        <is>
          <t>A 31802-2024</t>
        </is>
      </c>
      <c r="B460" s="1" t="n">
        <v>45509</v>
      </c>
      <c r="C460" s="1" t="n">
        <v>46128</v>
      </c>
      <c r="D460" t="inlineStr">
        <is>
          <t>GOTLANDS LÄN</t>
        </is>
      </c>
      <c r="E460" t="inlineStr">
        <is>
          <t>GOTLAND</t>
        </is>
      </c>
      <c r="G460" t="n">
        <v>2.8</v>
      </c>
      <c r="H460" t="n">
        <v>0</v>
      </c>
      <c r="I460" t="n">
        <v>0</v>
      </c>
      <c r="J460" t="n">
        <v>0</v>
      </c>
      <c r="K460" t="n">
        <v>0</v>
      </c>
      <c r="L460" t="n">
        <v>0</v>
      </c>
      <c r="M460" t="n">
        <v>0</v>
      </c>
      <c r="N460" t="n">
        <v>0</v>
      </c>
      <c r="O460" t="n">
        <v>0</v>
      </c>
      <c r="P460" t="n">
        <v>0</v>
      </c>
      <c r="Q460" t="n">
        <v>0</v>
      </c>
      <c r="R460" s="2" t="inlineStr"/>
    </row>
    <row r="461" ht="15" customHeight="1">
      <c r="A461" t="inlineStr">
        <is>
          <t>A 8036-2022</t>
        </is>
      </c>
      <c r="B461" s="1" t="n">
        <v>44609.44362268518</v>
      </c>
      <c r="C461" s="1" t="n">
        <v>46128</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12846-2025</t>
        </is>
      </c>
      <c r="B462" s="1" t="n">
        <v>45733.65049768519</v>
      </c>
      <c r="C462" s="1" t="n">
        <v>46128</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27593-2023</t>
        </is>
      </c>
      <c r="B463" s="1" t="n">
        <v>45097</v>
      </c>
      <c r="C463" s="1" t="n">
        <v>46128</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46949-2024</t>
        </is>
      </c>
      <c r="B464" s="1" t="n">
        <v>45585</v>
      </c>
      <c r="C464" s="1" t="n">
        <v>46128</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15413-2025</t>
        </is>
      </c>
      <c r="B465" s="1" t="n">
        <v>45747.451875</v>
      </c>
      <c r="C465" s="1" t="n">
        <v>46128</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10650-2022</t>
        </is>
      </c>
      <c r="B466" s="1" t="n">
        <v>44624.57945601852</v>
      </c>
      <c r="C466" s="1" t="n">
        <v>46128</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35123-2025</t>
        </is>
      </c>
      <c r="B467" s="1" t="n">
        <v>45852.614375</v>
      </c>
      <c r="C467" s="1" t="n">
        <v>46128</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35096-2025</t>
        </is>
      </c>
      <c r="B468" s="1" t="n">
        <v>45852.54356481481</v>
      </c>
      <c r="C468" s="1" t="n">
        <v>46128</v>
      </c>
      <c r="D468" t="inlineStr">
        <is>
          <t>GOTLANDS LÄN</t>
        </is>
      </c>
      <c r="E468" t="inlineStr">
        <is>
          <t>GOTLAND</t>
        </is>
      </c>
      <c r="F468" t="inlineStr">
        <is>
          <t>Kyrkan</t>
        </is>
      </c>
      <c r="G468" t="n">
        <v>1</v>
      </c>
      <c r="H468" t="n">
        <v>0</v>
      </c>
      <c r="I468" t="n">
        <v>0</v>
      </c>
      <c r="J468" t="n">
        <v>0</v>
      </c>
      <c r="K468" t="n">
        <v>0</v>
      </c>
      <c r="L468" t="n">
        <v>0</v>
      </c>
      <c r="M468" t="n">
        <v>0</v>
      </c>
      <c r="N468" t="n">
        <v>0</v>
      </c>
      <c r="O468" t="n">
        <v>0</v>
      </c>
      <c r="P468" t="n">
        <v>0</v>
      </c>
      <c r="Q468" t="n">
        <v>0</v>
      </c>
      <c r="R468" s="2" t="inlineStr"/>
    </row>
    <row r="469" ht="15" customHeight="1">
      <c r="A469" t="inlineStr">
        <is>
          <t>A 30104-2025</t>
        </is>
      </c>
      <c r="B469" s="1" t="n">
        <v>45826.68806712963</v>
      </c>
      <c r="C469" s="1" t="n">
        <v>46128</v>
      </c>
      <c r="D469" t="inlineStr">
        <is>
          <t>GOTLANDS LÄN</t>
        </is>
      </c>
      <c r="E469" t="inlineStr">
        <is>
          <t>GOTLAND</t>
        </is>
      </c>
      <c r="G469" t="n">
        <v>15.4</v>
      </c>
      <c r="H469" t="n">
        <v>0</v>
      </c>
      <c r="I469" t="n">
        <v>0</v>
      </c>
      <c r="J469" t="n">
        <v>0</v>
      </c>
      <c r="K469" t="n">
        <v>0</v>
      </c>
      <c r="L469" t="n">
        <v>0</v>
      </c>
      <c r="M469" t="n">
        <v>0</v>
      </c>
      <c r="N469" t="n">
        <v>0</v>
      </c>
      <c r="O469" t="n">
        <v>0</v>
      </c>
      <c r="P469" t="n">
        <v>0</v>
      </c>
      <c r="Q469" t="n">
        <v>0</v>
      </c>
      <c r="R469" s="2" t="inlineStr"/>
    </row>
    <row r="470" ht="15" customHeight="1">
      <c r="A470" t="inlineStr">
        <is>
          <t>A 35290-2025</t>
        </is>
      </c>
      <c r="B470" s="1" t="n">
        <v>45854.38502314815</v>
      </c>
      <c r="C470" s="1" t="n">
        <v>46128</v>
      </c>
      <c r="D470" t="inlineStr">
        <is>
          <t>GOTLANDS LÄN</t>
        </is>
      </c>
      <c r="E470" t="inlineStr">
        <is>
          <t>GOTLAND</t>
        </is>
      </c>
      <c r="G470" t="n">
        <v>5.4</v>
      </c>
      <c r="H470" t="n">
        <v>0</v>
      </c>
      <c r="I470" t="n">
        <v>0</v>
      </c>
      <c r="J470" t="n">
        <v>0</v>
      </c>
      <c r="K470" t="n">
        <v>0</v>
      </c>
      <c r="L470" t="n">
        <v>0</v>
      </c>
      <c r="M470" t="n">
        <v>0</v>
      </c>
      <c r="N470" t="n">
        <v>0</v>
      </c>
      <c r="O470" t="n">
        <v>0</v>
      </c>
      <c r="P470" t="n">
        <v>0</v>
      </c>
      <c r="Q470" t="n">
        <v>0</v>
      </c>
      <c r="R470" s="2" t="inlineStr"/>
    </row>
    <row r="471" ht="15" customHeight="1">
      <c r="A471" t="inlineStr">
        <is>
          <t>A 32669-2024</t>
        </is>
      </c>
      <c r="B471" s="1" t="n">
        <v>45514</v>
      </c>
      <c r="C471" s="1" t="n">
        <v>46128</v>
      </c>
      <c r="D471" t="inlineStr">
        <is>
          <t>GOTLANDS LÄN</t>
        </is>
      </c>
      <c r="E471" t="inlineStr">
        <is>
          <t>GOTLAND</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35537-2025</t>
        </is>
      </c>
      <c r="B472" s="1" t="n">
        <v>45856</v>
      </c>
      <c r="C472" s="1" t="n">
        <v>46128</v>
      </c>
      <c r="D472" t="inlineStr">
        <is>
          <t>GOTLANDS LÄN</t>
        </is>
      </c>
      <c r="E472" t="inlineStr">
        <is>
          <t>GOTLAND</t>
        </is>
      </c>
      <c r="G472" t="n">
        <v>16.8</v>
      </c>
      <c r="H472" t="n">
        <v>0</v>
      </c>
      <c r="I472" t="n">
        <v>0</v>
      </c>
      <c r="J472" t="n">
        <v>0</v>
      </c>
      <c r="K472" t="n">
        <v>0</v>
      </c>
      <c r="L472" t="n">
        <v>0</v>
      </c>
      <c r="M472" t="n">
        <v>0</v>
      </c>
      <c r="N472" t="n">
        <v>0</v>
      </c>
      <c r="O472" t="n">
        <v>0</v>
      </c>
      <c r="P472" t="n">
        <v>0</v>
      </c>
      <c r="Q472" t="n">
        <v>0</v>
      </c>
      <c r="R472" s="2" t="inlineStr"/>
    </row>
    <row r="473" ht="15" customHeight="1">
      <c r="A473" t="inlineStr">
        <is>
          <t>A 11634-2024</t>
        </is>
      </c>
      <c r="B473" s="1" t="n">
        <v>45373</v>
      </c>
      <c r="C473" s="1" t="n">
        <v>46128</v>
      </c>
      <c r="D473" t="inlineStr">
        <is>
          <t>GOTLANDS LÄN</t>
        </is>
      </c>
      <c r="E473" t="inlineStr">
        <is>
          <t>GOTLAND</t>
        </is>
      </c>
      <c r="G473" t="n">
        <v>3</v>
      </c>
      <c r="H473" t="n">
        <v>0</v>
      </c>
      <c r="I473" t="n">
        <v>0</v>
      </c>
      <c r="J473" t="n">
        <v>0</v>
      </c>
      <c r="K473" t="n">
        <v>0</v>
      </c>
      <c r="L473" t="n">
        <v>0</v>
      </c>
      <c r="M473" t="n">
        <v>0</v>
      </c>
      <c r="N473" t="n">
        <v>0</v>
      </c>
      <c r="O473" t="n">
        <v>0</v>
      </c>
      <c r="P473" t="n">
        <v>0</v>
      </c>
      <c r="Q473" t="n">
        <v>0</v>
      </c>
      <c r="R473" s="2" t="inlineStr"/>
    </row>
    <row r="474" ht="15" customHeight="1">
      <c r="A474" t="inlineStr">
        <is>
          <t>A 1351-2025</t>
        </is>
      </c>
      <c r="B474" s="1" t="n">
        <v>45667.62246527777</v>
      </c>
      <c r="C474" s="1" t="n">
        <v>46128</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15216-2025</t>
        </is>
      </c>
      <c r="B475" s="1" t="n">
        <v>45744</v>
      </c>
      <c r="C475" s="1" t="n">
        <v>46128</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39496-2022</t>
        </is>
      </c>
      <c r="B476" s="1" t="n">
        <v>44818</v>
      </c>
      <c r="C476" s="1" t="n">
        <v>46128</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43790-2024</t>
        </is>
      </c>
      <c r="B477" s="1" t="n">
        <v>45571</v>
      </c>
      <c r="C477" s="1" t="n">
        <v>46128</v>
      </c>
      <c r="D477" t="inlineStr">
        <is>
          <t>GOTLANDS LÄN</t>
        </is>
      </c>
      <c r="E477" t="inlineStr">
        <is>
          <t>GOTLAND</t>
        </is>
      </c>
      <c r="G477" t="n">
        <v>3.5</v>
      </c>
      <c r="H477" t="n">
        <v>0</v>
      </c>
      <c r="I477" t="n">
        <v>0</v>
      </c>
      <c r="J477" t="n">
        <v>0</v>
      </c>
      <c r="K477" t="n">
        <v>0</v>
      </c>
      <c r="L477" t="n">
        <v>0</v>
      </c>
      <c r="M477" t="n">
        <v>0</v>
      </c>
      <c r="N477" t="n">
        <v>0</v>
      </c>
      <c r="O477" t="n">
        <v>0</v>
      </c>
      <c r="P477" t="n">
        <v>0</v>
      </c>
      <c r="Q477" t="n">
        <v>0</v>
      </c>
      <c r="R477" s="2" t="inlineStr"/>
    </row>
    <row r="478" ht="15" customHeight="1">
      <c r="A478" t="inlineStr">
        <is>
          <t>A 15001-2025</t>
        </is>
      </c>
      <c r="B478" s="1" t="n">
        <v>45743</v>
      </c>
      <c r="C478" s="1" t="n">
        <v>46128</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30488-2025</t>
        </is>
      </c>
      <c r="B479" s="1" t="n">
        <v>45830</v>
      </c>
      <c r="C479" s="1" t="n">
        <v>46128</v>
      </c>
      <c r="D479" t="inlineStr">
        <is>
          <t>GOTLANDS LÄN</t>
        </is>
      </c>
      <c r="E479" t="inlineStr">
        <is>
          <t>GOTLAND</t>
        </is>
      </c>
      <c r="F479" t="inlineStr">
        <is>
          <t>Kyrkan</t>
        </is>
      </c>
      <c r="G479" t="n">
        <v>3.9</v>
      </c>
      <c r="H479" t="n">
        <v>0</v>
      </c>
      <c r="I479" t="n">
        <v>0</v>
      </c>
      <c r="J479" t="n">
        <v>0</v>
      </c>
      <c r="K479" t="n">
        <v>0</v>
      </c>
      <c r="L479" t="n">
        <v>0</v>
      </c>
      <c r="M479" t="n">
        <v>0</v>
      </c>
      <c r="N479" t="n">
        <v>0</v>
      </c>
      <c r="O479" t="n">
        <v>0</v>
      </c>
      <c r="P479" t="n">
        <v>0</v>
      </c>
      <c r="Q479" t="n">
        <v>0</v>
      </c>
      <c r="R479" s="2" t="inlineStr"/>
    </row>
    <row r="480" ht="15" customHeight="1">
      <c r="A480" t="inlineStr">
        <is>
          <t>A 17847-2025</t>
        </is>
      </c>
      <c r="B480" s="1" t="n">
        <v>45758</v>
      </c>
      <c r="C480" s="1" t="n">
        <v>46128</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49874-2024</t>
        </is>
      </c>
      <c r="B481" s="1" t="n">
        <v>45597.49274305555</v>
      </c>
      <c r="C481" s="1" t="n">
        <v>46128</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56799-2025</t>
        </is>
      </c>
      <c r="B482" s="1" t="n">
        <v>45978.43392361111</v>
      </c>
      <c r="C482" s="1" t="n">
        <v>46128</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18742-2025</t>
        </is>
      </c>
      <c r="B483" s="1" t="n">
        <v>45763</v>
      </c>
      <c r="C483" s="1" t="n">
        <v>46128</v>
      </c>
      <c r="D483" t="inlineStr">
        <is>
          <t>GOTLANDS LÄN</t>
        </is>
      </c>
      <c r="E483" t="inlineStr">
        <is>
          <t>GOTLAND</t>
        </is>
      </c>
      <c r="G483" t="n">
        <v>3.4</v>
      </c>
      <c r="H483" t="n">
        <v>0</v>
      </c>
      <c r="I483" t="n">
        <v>0</v>
      </c>
      <c r="J483" t="n">
        <v>0</v>
      </c>
      <c r="K483" t="n">
        <v>0</v>
      </c>
      <c r="L483" t="n">
        <v>0</v>
      </c>
      <c r="M483" t="n">
        <v>0</v>
      </c>
      <c r="N483" t="n">
        <v>0</v>
      </c>
      <c r="O483" t="n">
        <v>0</v>
      </c>
      <c r="P483" t="n">
        <v>0</v>
      </c>
      <c r="Q483" t="n">
        <v>0</v>
      </c>
      <c r="R483" s="2" t="inlineStr"/>
    </row>
    <row r="484" ht="15" customHeight="1">
      <c r="A484" t="inlineStr">
        <is>
          <t>A 35129-2025</t>
        </is>
      </c>
      <c r="B484" s="1" t="n">
        <v>45852.63224537037</v>
      </c>
      <c r="C484" s="1" t="n">
        <v>46128</v>
      </c>
      <c r="D484" t="inlineStr">
        <is>
          <t>GOTLANDS LÄN</t>
        </is>
      </c>
      <c r="E484" t="inlineStr">
        <is>
          <t>GOTLAND</t>
        </is>
      </c>
      <c r="G484" t="n">
        <v>3.2</v>
      </c>
      <c r="H484" t="n">
        <v>0</v>
      </c>
      <c r="I484" t="n">
        <v>0</v>
      </c>
      <c r="J484" t="n">
        <v>0</v>
      </c>
      <c r="K484" t="n">
        <v>0</v>
      </c>
      <c r="L484" t="n">
        <v>0</v>
      </c>
      <c r="M484" t="n">
        <v>0</v>
      </c>
      <c r="N484" t="n">
        <v>0</v>
      </c>
      <c r="O484" t="n">
        <v>0</v>
      </c>
      <c r="P484" t="n">
        <v>0</v>
      </c>
      <c r="Q484" t="n">
        <v>0</v>
      </c>
      <c r="R484" s="2" t="inlineStr"/>
    </row>
    <row r="485" ht="15" customHeight="1">
      <c r="A485" t="inlineStr">
        <is>
          <t>A 42201-2023</t>
        </is>
      </c>
      <c r="B485" s="1" t="n">
        <v>45179</v>
      </c>
      <c r="C485" s="1" t="n">
        <v>46128</v>
      </c>
      <c r="D485" t="inlineStr">
        <is>
          <t>GOTLANDS LÄN</t>
        </is>
      </c>
      <c r="E485" t="inlineStr">
        <is>
          <t>GOTLAND</t>
        </is>
      </c>
      <c r="G485" t="n">
        <v>11.9</v>
      </c>
      <c r="H485" t="n">
        <v>0</v>
      </c>
      <c r="I485" t="n">
        <v>0</v>
      </c>
      <c r="J485" t="n">
        <v>0</v>
      </c>
      <c r="K485" t="n">
        <v>0</v>
      </c>
      <c r="L485" t="n">
        <v>0</v>
      </c>
      <c r="M485" t="n">
        <v>0</v>
      </c>
      <c r="N485" t="n">
        <v>0</v>
      </c>
      <c r="O485" t="n">
        <v>0</v>
      </c>
      <c r="P485" t="n">
        <v>0</v>
      </c>
      <c r="Q485" t="n">
        <v>0</v>
      </c>
      <c r="R485" s="2" t="inlineStr"/>
    </row>
    <row r="486" ht="15" customHeight="1">
      <c r="A486" t="inlineStr">
        <is>
          <t>A 56688-2025</t>
        </is>
      </c>
      <c r="B486" s="1" t="n">
        <v>45975.84331018518</v>
      </c>
      <c r="C486" s="1" t="n">
        <v>46128</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46128</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9875-2025</t>
        </is>
      </c>
      <c r="B488" s="1" t="n">
        <v>45716</v>
      </c>
      <c r="C488" s="1" t="n">
        <v>46128</v>
      </c>
      <c r="D488" t="inlineStr">
        <is>
          <t>GOTLANDS LÄN</t>
        </is>
      </c>
      <c r="E488" t="inlineStr">
        <is>
          <t>GOTLAND</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21164-2024</t>
        </is>
      </c>
      <c r="B489" s="1" t="n">
        <v>45440</v>
      </c>
      <c r="C489" s="1" t="n">
        <v>46128</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46128</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22897-2023</t>
        </is>
      </c>
      <c r="B491" s="1" t="n">
        <v>45072.55239583334</v>
      </c>
      <c r="C491" s="1" t="n">
        <v>46128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61897-2024</t>
        </is>
      </c>
      <c r="B492" s="1" t="n">
        <v>45652.75685185185</v>
      </c>
      <c r="C492" s="1" t="n">
        <v>46128</v>
      </c>
      <c r="D492" t="inlineStr">
        <is>
          <t>GOTLANDS LÄN</t>
        </is>
      </c>
      <c r="E492" t="inlineStr">
        <is>
          <t>GOTLAND</t>
        </is>
      </c>
      <c r="G492" t="n">
        <v>6.4</v>
      </c>
      <c r="H492" t="n">
        <v>0</v>
      </c>
      <c r="I492" t="n">
        <v>0</v>
      </c>
      <c r="J492" t="n">
        <v>0</v>
      </c>
      <c r="K492" t="n">
        <v>0</v>
      </c>
      <c r="L492" t="n">
        <v>0</v>
      </c>
      <c r="M492" t="n">
        <v>0</v>
      </c>
      <c r="N492" t="n">
        <v>0</v>
      </c>
      <c r="O492" t="n">
        <v>0</v>
      </c>
      <c r="P492" t="n">
        <v>0</v>
      </c>
      <c r="Q492" t="n">
        <v>0</v>
      </c>
      <c r="R492" s="2" t="inlineStr"/>
    </row>
    <row r="493" ht="15" customHeight="1">
      <c r="A493" t="inlineStr">
        <is>
          <t>A 49962-2023</t>
        </is>
      </c>
      <c r="B493" s="1" t="n">
        <v>45215.38775462963</v>
      </c>
      <c r="C493" s="1" t="n">
        <v>46128</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63516-2023</t>
        </is>
      </c>
      <c r="B494" s="1" t="n">
        <v>45274</v>
      </c>
      <c r="C494" s="1" t="n">
        <v>46128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6108-2025</t>
        </is>
      </c>
      <c r="B495" s="1" t="n">
        <v>45698.29880787037</v>
      </c>
      <c r="C495" s="1" t="n">
        <v>46128</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21142-2025</t>
        </is>
      </c>
      <c r="B496" s="1" t="n">
        <v>45779</v>
      </c>
      <c r="C496" s="1" t="n">
        <v>46128</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20165-2022</t>
        </is>
      </c>
      <c r="B497" s="1" t="n">
        <v>44698.49854166667</v>
      </c>
      <c r="C497" s="1" t="n">
        <v>46128</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17343-2025</t>
        </is>
      </c>
      <c r="B498" s="1" t="n">
        <v>45756.6687037037</v>
      </c>
      <c r="C498" s="1" t="n">
        <v>46128</v>
      </c>
      <c r="D498" t="inlineStr">
        <is>
          <t>GOTLANDS LÄN</t>
        </is>
      </c>
      <c r="E498" t="inlineStr">
        <is>
          <t>GOTLAND</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18938-2025</t>
        </is>
      </c>
      <c r="B499" s="1" t="n">
        <v>45764.49172453704</v>
      </c>
      <c r="C499" s="1" t="n">
        <v>46128</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40294-2022</t>
        </is>
      </c>
      <c r="B500" s="1" t="n">
        <v>44821</v>
      </c>
      <c r="C500" s="1" t="n">
        <v>46128</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30489-2025</t>
        </is>
      </c>
      <c r="B501" s="1" t="n">
        <v>45830</v>
      </c>
      <c r="C501" s="1" t="n">
        <v>46128</v>
      </c>
      <c r="D501" t="inlineStr">
        <is>
          <t>GOTLANDS LÄN</t>
        </is>
      </c>
      <c r="E501" t="inlineStr">
        <is>
          <t>GOTLAND</t>
        </is>
      </c>
      <c r="G501" t="n">
        <v>4.6</v>
      </c>
      <c r="H501" t="n">
        <v>0</v>
      </c>
      <c r="I501" t="n">
        <v>0</v>
      </c>
      <c r="J501" t="n">
        <v>0</v>
      </c>
      <c r="K501" t="n">
        <v>0</v>
      </c>
      <c r="L501" t="n">
        <v>0</v>
      </c>
      <c r="M501" t="n">
        <v>0</v>
      </c>
      <c r="N501" t="n">
        <v>0</v>
      </c>
      <c r="O501" t="n">
        <v>0</v>
      </c>
      <c r="P501" t="n">
        <v>0</v>
      </c>
      <c r="Q501" t="n">
        <v>0</v>
      </c>
      <c r="R501" s="2" t="inlineStr"/>
    </row>
    <row r="502" ht="15" customHeight="1">
      <c r="A502" t="inlineStr">
        <is>
          <t>A 12032-2025</t>
        </is>
      </c>
      <c r="B502" s="1" t="n">
        <v>45728.64472222222</v>
      </c>
      <c r="C502" s="1" t="n">
        <v>46128</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38787-2023</t>
        </is>
      </c>
      <c r="B503" s="1" t="n">
        <v>45163</v>
      </c>
      <c r="C503" s="1" t="n">
        <v>46128</v>
      </c>
      <c r="D503" t="inlineStr">
        <is>
          <t>GOTLANDS LÄN</t>
        </is>
      </c>
      <c r="E503" t="inlineStr">
        <is>
          <t>GOTLAND</t>
        </is>
      </c>
      <c r="G503" t="n">
        <v>0.4</v>
      </c>
      <c r="H503" t="n">
        <v>0</v>
      </c>
      <c r="I503" t="n">
        <v>0</v>
      </c>
      <c r="J503" t="n">
        <v>0</v>
      </c>
      <c r="K503" t="n">
        <v>0</v>
      </c>
      <c r="L503" t="n">
        <v>0</v>
      </c>
      <c r="M503" t="n">
        <v>0</v>
      </c>
      <c r="N503" t="n">
        <v>0</v>
      </c>
      <c r="O503" t="n">
        <v>0</v>
      </c>
      <c r="P503" t="n">
        <v>0</v>
      </c>
      <c r="Q503" t="n">
        <v>0</v>
      </c>
      <c r="R503" s="2" t="inlineStr"/>
    </row>
    <row r="504" ht="15" customHeight="1">
      <c r="A504" t="inlineStr">
        <is>
          <t>A 20307-2025</t>
        </is>
      </c>
      <c r="B504" s="1" t="n">
        <v>45774.95546296296</v>
      </c>
      <c r="C504" s="1" t="n">
        <v>46128</v>
      </c>
      <c r="D504" t="inlineStr">
        <is>
          <t>GOTLANDS LÄN</t>
        </is>
      </c>
      <c r="E504" t="inlineStr">
        <is>
          <t>GOTLAND</t>
        </is>
      </c>
      <c r="G504" t="n">
        <v>6.8</v>
      </c>
      <c r="H504" t="n">
        <v>0</v>
      </c>
      <c r="I504" t="n">
        <v>0</v>
      </c>
      <c r="J504" t="n">
        <v>0</v>
      </c>
      <c r="K504" t="n">
        <v>0</v>
      </c>
      <c r="L504" t="n">
        <v>0</v>
      </c>
      <c r="M504" t="n">
        <v>0</v>
      </c>
      <c r="N504" t="n">
        <v>0</v>
      </c>
      <c r="O504" t="n">
        <v>0</v>
      </c>
      <c r="P504" t="n">
        <v>0</v>
      </c>
      <c r="Q504" t="n">
        <v>0</v>
      </c>
      <c r="R504" s="2" t="inlineStr"/>
    </row>
    <row r="505" ht="15" customHeight="1">
      <c r="A505" t="inlineStr">
        <is>
          <t>A 59197-2025</t>
        </is>
      </c>
      <c r="B505" s="1" t="n">
        <v>45988.59846064815</v>
      </c>
      <c r="C505" s="1" t="n">
        <v>46128</v>
      </c>
      <c r="D505" t="inlineStr">
        <is>
          <t>GOTLANDS LÄN</t>
        </is>
      </c>
      <c r="E505" t="inlineStr">
        <is>
          <t>GOTLAND</t>
        </is>
      </c>
      <c r="G505" t="n">
        <v>2.3</v>
      </c>
      <c r="H505" t="n">
        <v>0</v>
      </c>
      <c r="I505" t="n">
        <v>0</v>
      </c>
      <c r="J505" t="n">
        <v>0</v>
      </c>
      <c r="K505" t="n">
        <v>0</v>
      </c>
      <c r="L505" t="n">
        <v>0</v>
      </c>
      <c r="M505" t="n">
        <v>0</v>
      </c>
      <c r="N505" t="n">
        <v>0</v>
      </c>
      <c r="O505" t="n">
        <v>0</v>
      </c>
      <c r="P505" t="n">
        <v>0</v>
      </c>
      <c r="Q505" t="n">
        <v>0</v>
      </c>
      <c r="R505" s="2" t="inlineStr"/>
    </row>
    <row r="506" ht="15" customHeight="1">
      <c r="A506" t="inlineStr">
        <is>
          <t>A 43231-2023</t>
        </is>
      </c>
      <c r="B506" s="1" t="n">
        <v>45183.47025462963</v>
      </c>
      <c r="C506" s="1" t="n">
        <v>46128</v>
      </c>
      <c r="D506" t="inlineStr">
        <is>
          <t>GOTLANDS LÄN</t>
        </is>
      </c>
      <c r="E506" t="inlineStr">
        <is>
          <t>GOTLAND</t>
        </is>
      </c>
      <c r="G506" t="n">
        <v>3.6</v>
      </c>
      <c r="H506" t="n">
        <v>0</v>
      </c>
      <c r="I506" t="n">
        <v>0</v>
      </c>
      <c r="J506" t="n">
        <v>0</v>
      </c>
      <c r="K506" t="n">
        <v>0</v>
      </c>
      <c r="L506" t="n">
        <v>0</v>
      </c>
      <c r="M506" t="n">
        <v>0</v>
      </c>
      <c r="N506" t="n">
        <v>0</v>
      </c>
      <c r="O506" t="n">
        <v>0</v>
      </c>
      <c r="P506" t="n">
        <v>0</v>
      </c>
      <c r="Q506" t="n">
        <v>0</v>
      </c>
      <c r="R506" s="2" t="inlineStr"/>
    </row>
    <row r="507" ht="15" customHeight="1">
      <c r="A507" t="inlineStr">
        <is>
          <t>A 17532-2024</t>
        </is>
      </c>
      <c r="B507" s="1" t="n">
        <v>45415</v>
      </c>
      <c r="C507" s="1" t="n">
        <v>46128</v>
      </c>
      <c r="D507" t="inlineStr">
        <is>
          <t>GOTLANDS LÄN</t>
        </is>
      </c>
      <c r="E507" t="inlineStr">
        <is>
          <t>GOTLAND</t>
        </is>
      </c>
      <c r="G507" t="n">
        <v>4.3</v>
      </c>
      <c r="H507" t="n">
        <v>0</v>
      </c>
      <c r="I507" t="n">
        <v>0</v>
      </c>
      <c r="J507" t="n">
        <v>0</v>
      </c>
      <c r="K507" t="n">
        <v>0</v>
      </c>
      <c r="L507" t="n">
        <v>0</v>
      </c>
      <c r="M507" t="n">
        <v>0</v>
      </c>
      <c r="N507" t="n">
        <v>0</v>
      </c>
      <c r="O507" t="n">
        <v>0</v>
      </c>
      <c r="P507" t="n">
        <v>0</v>
      </c>
      <c r="Q507" t="n">
        <v>0</v>
      </c>
      <c r="R507" s="2" t="inlineStr"/>
    </row>
    <row r="508" ht="15" customHeight="1">
      <c r="A508" t="inlineStr">
        <is>
          <t>A 24001-2021</t>
        </is>
      </c>
      <c r="B508" s="1" t="n">
        <v>44335</v>
      </c>
      <c r="C508" s="1" t="n">
        <v>46128</v>
      </c>
      <c r="D508" t="inlineStr">
        <is>
          <t>GOTLANDS LÄN</t>
        </is>
      </c>
      <c r="E508" t="inlineStr">
        <is>
          <t>GOTLAND</t>
        </is>
      </c>
      <c r="G508" t="n">
        <v>3.4</v>
      </c>
      <c r="H508" t="n">
        <v>0</v>
      </c>
      <c r="I508" t="n">
        <v>0</v>
      </c>
      <c r="J508" t="n">
        <v>0</v>
      </c>
      <c r="K508" t="n">
        <v>0</v>
      </c>
      <c r="L508" t="n">
        <v>0</v>
      </c>
      <c r="M508" t="n">
        <v>0</v>
      </c>
      <c r="N508" t="n">
        <v>0</v>
      </c>
      <c r="O508" t="n">
        <v>0</v>
      </c>
      <c r="P508" t="n">
        <v>0</v>
      </c>
      <c r="Q508" t="n">
        <v>0</v>
      </c>
      <c r="R508" s="2" t="inlineStr"/>
    </row>
    <row r="509" ht="15" customHeight="1">
      <c r="A509" t="inlineStr">
        <is>
          <t>A 3935-2025</t>
        </is>
      </c>
      <c r="B509" s="1" t="n">
        <v>45684.46070601852</v>
      </c>
      <c r="C509" s="1" t="n">
        <v>46128</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36319-2025</t>
        </is>
      </c>
      <c r="B510" s="1" t="n">
        <v>45868</v>
      </c>
      <c r="C510" s="1" t="n">
        <v>46128</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20225-2025</t>
        </is>
      </c>
      <c r="B511" s="1" t="n">
        <v>45772.65802083333</v>
      </c>
      <c r="C511" s="1" t="n">
        <v>46128</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883-2025</t>
        </is>
      </c>
      <c r="B512" s="1" t="n">
        <v>45665</v>
      </c>
      <c r="C512" s="1" t="n">
        <v>46128</v>
      </c>
      <c r="D512" t="inlineStr">
        <is>
          <t>GOTLANDS LÄN</t>
        </is>
      </c>
      <c r="E512" t="inlineStr">
        <is>
          <t>GOTLAND</t>
        </is>
      </c>
      <c r="G512" t="n">
        <v>1.3</v>
      </c>
      <c r="H512" t="n">
        <v>0</v>
      </c>
      <c r="I512" t="n">
        <v>0</v>
      </c>
      <c r="J512" t="n">
        <v>0</v>
      </c>
      <c r="K512" t="n">
        <v>0</v>
      </c>
      <c r="L512" t="n">
        <v>0</v>
      </c>
      <c r="M512" t="n">
        <v>0</v>
      </c>
      <c r="N512" t="n">
        <v>0</v>
      </c>
      <c r="O512" t="n">
        <v>0</v>
      </c>
      <c r="P512" t="n">
        <v>0</v>
      </c>
      <c r="Q512" t="n">
        <v>0</v>
      </c>
      <c r="R512" s="2" t="inlineStr"/>
    </row>
    <row r="513" ht="15" customHeight="1">
      <c r="A513" t="inlineStr">
        <is>
          <t>A 30365-2024</t>
        </is>
      </c>
      <c r="B513" s="1" t="n">
        <v>45491.3716087963</v>
      </c>
      <c r="C513" s="1" t="n">
        <v>46128</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1066-2024</t>
        </is>
      </c>
      <c r="B514" s="1" t="n">
        <v>45302.285</v>
      </c>
      <c r="C514" s="1" t="n">
        <v>46128</v>
      </c>
      <c r="D514" t="inlineStr">
        <is>
          <t>GOTLANDS LÄN</t>
        </is>
      </c>
      <c r="E514" t="inlineStr">
        <is>
          <t>GOTLAND</t>
        </is>
      </c>
      <c r="G514" t="n">
        <v>1.4</v>
      </c>
      <c r="H514" t="n">
        <v>0</v>
      </c>
      <c r="I514" t="n">
        <v>0</v>
      </c>
      <c r="J514" t="n">
        <v>0</v>
      </c>
      <c r="K514" t="n">
        <v>0</v>
      </c>
      <c r="L514" t="n">
        <v>0</v>
      </c>
      <c r="M514" t="n">
        <v>0</v>
      </c>
      <c r="N514" t="n">
        <v>0</v>
      </c>
      <c r="O514" t="n">
        <v>0</v>
      </c>
      <c r="P514" t="n">
        <v>0</v>
      </c>
      <c r="Q514" t="n">
        <v>0</v>
      </c>
      <c r="R514" s="2" t="inlineStr"/>
    </row>
    <row r="515" ht="15" customHeight="1">
      <c r="A515" t="inlineStr">
        <is>
          <t>A 17144-2025</t>
        </is>
      </c>
      <c r="B515" s="1" t="n">
        <v>45755.9499537037</v>
      </c>
      <c r="C515" s="1" t="n">
        <v>46128</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1681-2023</t>
        </is>
      </c>
      <c r="B516" s="1" t="n">
        <v>44938.39715277778</v>
      </c>
      <c r="C516" s="1" t="n">
        <v>46128</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56009-2024</t>
        </is>
      </c>
      <c r="B517" s="1" t="n">
        <v>45623.80864583333</v>
      </c>
      <c r="C517" s="1" t="n">
        <v>46128</v>
      </c>
      <c r="D517" t="inlineStr">
        <is>
          <t>GOTLANDS LÄN</t>
        </is>
      </c>
      <c r="E517" t="inlineStr">
        <is>
          <t>GOTLAND</t>
        </is>
      </c>
      <c r="G517" t="n">
        <v>2.8</v>
      </c>
      <c r="H517" t="n">
        <v>0</v>
      </c>
      <c r="I517" t="n">
        <v>0</v>
      </c>
      <c r="J517" t="n">
        <v>0</v>
      </c>
      <c r="K517" t="n">
        <v>0</v>
      </c>
      <c r="L517" t="n">
        <v>0</v>
      </c>
      <c r="M517" t="n">
        <v>0</v>
      </c>
      <c r="N517" t="n">
        <v>0</v>
      </c>
      <c r="O517" t="n">
        <v>0</v>
      </c>
      <c r="P517" t="n">
        <v>0</v>
      </c>
      <c r="Q517" t="n">
        <v>0</v>
      </c>
      <c r="R517" s="2" t="inlineStr"/>
    </row>
    <row r="518" ht="15" customHeight="1">
      <c r="A518" t="inlineStr">
        <is>
          <t>A 62066-2025</t>
        </is>
      </c>
      <c r="B518" s="1" t="n">
        <v>46006.34738425926</v>
      </c>
      <c r="C518" s="1" t="n">
        <v>46128</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46128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62103-2025</t>
        </is>
      </c>
      <c r="B520" s="1" t="n">
        <v>46006</v>
      </c>
      <c r="C520" s="1" t="n">
        <v>46128</v>
      </c>
      <c r="D520" t="inlineStr">
        <is>
          <t>GOTLANDS LÄN</t>
        </is>
      </c>
      <c r="E520" t="inlineStr">
        <is>
          <t>GOTLAND</t>
        </is>
      </c>
      <c r="F520" t="inlineStr">
        <is>
          <t>Övriga Aktiebolag</t>
        </is>
      </c>
      <c r="G520" t="n">
        <v>1.7</v>
      </c>
      <c r="H520" t="n">
        <v>0</v>
      </c>
      <c r="I520" t="n">
        <v>0</v>
      </c>
      <c r="J520" t="n">
        <v>0</v>
      </c>
      <c r="K520" t="n">
        <v>0</v>
      </c>
      <c r="L520" t="n">
        <v>0</v>
      </c>
      <c r="M520" t="n">
        <v>0</v>
      </c>
      <c r="N520" t="n">
        <v>0</v>
      </c>
      <c r="O520" t="n">
        <v>0</v>
      </c>
      <c r="P520" t="n">
        <v>0</v>
      </c>
      <c r="Q520" t="n">
        <v>0</v>
      </c>
      <c r="R520" s="2" t="inlineStr"/>
    </row>
    <row r="521" ht="15" customHeight="1">
      <c r="A521" t="inlineStr">
        <is>
          <t>A 6099-2024</t>
        </is>
      </c>
      <c r="B521" s="1" t="n">
        <v>45337</v>
      </c>
      <c r="C521" s="1" t="n">
        <v>46128</v>
      </c>
      <c r="D521" t="inlineStr">
        <is>
          <t>GOTLANDS LÄN</t>
        </is>
      </c>
      <c r="E521" t="inlineStr">
        <is>
          <t>GOTLAND</t>
        </is>
      </c>
      <c r="G521" t="n">
        <v>12.6</v>
      </c>
      <c r="H521" t="n">
        <v>0</v>
      </c>
      <c r="I521" t="n">
        <v>0</v>
      </c>
      <c r="J521" t="n">
        <v>0</v>
      </c>
      <c r="K521" t="n">
        <v>0</v>
      </c>
      <c r="L521" t="n">
        <v>0</v>
      </c>
      <c r="M521" t="n">
        <v>0</v>
      </c>
      <c r="N521" t="n">
        <v>0</v>
      </c>
      <c r="O521" t="n">
        <v>0</v>
      </c>
      <c r="P521" t="n">
        <v>0</v>
      </c>
      <c r="Q521" t="n">
        <v>0</v>
      </c>
      <c r="R521" s="2" t="inlineStr"/>
    </row>
    <row r="522" ht="15" customHeight="1">
      <c r="A522" t="inlineStr">
        <is>
          <t>A 1273-2023</t>
        </is>
      </c>
      <c r="B522" s="1" t="n">
        <v>44936</v>
      </c>
      <c r="C522" s="1" t="n">
        <v>46128</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63002-2025</t>
        </is>
      </c>
      <c r="B523" s="1" t="n">
        <v>46009.56564814815</v>
      </c>
      <c r="C523" s="1" t="n">
        <v>46128</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581-2023</t>
        </is>
      </c>
      <c r="B524" s="1" t="n">
        <v>44930</v>
      </c>
      <c r="C524" s="1" t="n">
        <v>46128</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61386-2023</t>
        </is>
      </c>
      <c r="B525" s="1" t="n">
        <v>45264</v>
      </c>
      <c r="C525" s="1" t="n">
        <v>46128</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58780-2024</t>
        </is>
      </c>
      <c r="B526" s="1" t="n">
        <v>45635.84113425926</v>
      </c>
      <c r="C526" s="1" t="n">
        <v>46128</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873-2024</t>
        </is>
      </c>
      <c r="B527" s="1" t="n">
        <v>45301</v>
      </c>
      <c r="C527" s="1" t="n">
        <v>46128</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45692-2023</t>
        </is>
      </c>
      <c r="B528" s="1" t="n">
        <v>45195</v>
      </c>
      <c r="C528" s="1" t="n">
        <v>46128</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38649-2025</t>
        </is>
      </c>
      <c r="B529" s="1" t="n">
        <v>45884</v>
      </c>
      <c r="C529" s="1" t="n">
        <v>46128</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49411-2023</t>
        </is>
      </c>
      <c r="B530" s="1" t="n">
        <v>45205</v>
      </c>
      <c r="C530" s="1" t="n">
        <v>46128</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61078-2025</t>
        </is>
      </c>
      <c r="B531" s="1" t="n">
        <v>46000</v>
      </c>
      <c r="C531" s="1" t="n">
        <v>46128</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22275-2023</t>
        </is>
      </c>
      <c r="B532" s="1" t="n">
        <v>45070.39875</v>
      </c>
      <c r="C532" s="1" t="n">
        <v>46128</v>
      </c>
      <c r="D532" t="inlineStr">
        <is>
          <t>GOTLANDS LÄN</t>
        </is>
      </c>
      <c r="E532" t="inlineStr">
        <is>
          <t>GOTLAND</t>
        </is>
      </c>
      <c r="G532" t="n">
        <v>7.2</v>
      </c>
      <c r="H532" t="n">
        <v>0</v>
      </c>
      <c r="I532" t="n">
        <v>0</v>
      </c>
      <c r="J532" t="n">
        <v>0</v>
      </c>
      <c r="K532" t="n">
        <v>0</v>
      </c>
      <c r="L532" t="n">
        <v>0</v>
      </c>
      <c r="M532" t="n">
        <v>0</v>
      </c>
      <c r="N532" t="n">
        <v>0</v>
      </c>
      <c r="O532" t="n">
        <v>0</v>
      </c>
      <c r="P532" t="n">
        <v>0</v>
      </c>
      <c r="Q532" t="n">
        <v>0</v>
      </c>
      <c r="R532" s="2" t="inlineStr"/>
    </row>
    <row r="533" ht="15" customHeight="1">
      <c r="A533" t="inlineStr">
        <is>
          <t>A 12322-2025</t>
        </is>
      </c>
      <c r="B533" s="1" t="n">
        <v>45730</v>
      </c>
      <c r="C533" s="1" t="n">
        <v>46128</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33876-2024</t>
        </is>
      </c>
      <c r="B534" s="1" t="n">
        <v>45521.87988425926</v>
      </c>
      <c r="C534" s="1" t="n">
        <v>46128</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14797-2024</t>
        </is>
      </c>
      <c r="B535" s="1" t="n">
        <v>45397.87030092593</v>
      </c>
      <c r="C535" s="1" t="n">
        <v>46128</v>
      </c>
      <c r="D535" t="inlineStr">
        <is>
          <t>GOTLANDS LÄN</t>
        </is>
      </c>
      <c r="E535" t="inlineStr">
        <is>
          <t>GOTLAND</t>
        </is>
      </c>
      <c r="G535" t="n">
        <v>8.1</v>
      </c>
      <c r="H535" t="n">
        <v>0</v>
      </c>
      <c r="I535" t="n">
        <v>0</v>
      </c>
      <c r="J535" t="n">
        <v>0</v>
      </c>
      <c r="K535" t="n">
        <v>0</v>
      </c>
      <c r="L535" t="n">
        <v>0</v>
      </c>
      <c r="M535" t="n">
        <v>0</v>
      </c>
      <c r="N535" t="n">
        <v>0</v>
      </c>
      <c r="O535" t="n">
        <v>0</v>
      </c>
      <c r="P535" t="n">
        <v>0</v>
      </c>
      <c r="Q535" t="n">
        <v>0</v>
      </c>
      <c r="R535" s="2" t="inlineStr"/>
    </row>
    <row r="536" ht="15" customHeight="1">
      <c r="A536" t="inlineStr">
        <is>
          <t>A 999-2024</t>
        </is>
      </c>
      <c r="B536" s="1" t="n">
        <v>45301</v>
      </c>
      <c r="C536" s="1" t="n">
        <v>46128</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61596-2023</t>
        </is>
      </c>
      <c r="B537" s="1" t="n">
        <v>45265</v>
      </c>
      <c r="C537" s="1" t="n">
        <v>46128</v>
      </c>
      <c r="D537" t="inlineStr">
        <is>
          <t>GOTLANDS LÄN</t>
        </is>
      </c>
      <c r="E537" t="inlineStr">
        <is>
          <t>GOTLAND</t>
        </is>
      </c>
      <c r="G537" t="n">
        <v>1.7</v>
      </c>
      <c r="H537" t="n">
        <v>0</v>
      </c>
      <c r="I537" t="n">
        <v>0</v>
      </c>
      <c r="J537" t="n">
        <v>0</v>
      </c>
      <c r="K537" t="n">
        <v>0</v>
      </c>
      <c r="L537" t="n">
        <v>0</v>
      </c>
      <c r="M537" t="n">
        <v>0</v>
      </c>
      <c r="N537" t="n">
        <v>0</v>
      </c>
      <c r="O537" t="n">
        <v>0</v>
      </c>
      <c r="P537" t="n">
        <v>0</v>
      </c>
      <c r="Q537" t="n">
        <v>0</v>
      </c>
      <c r="R537" s="2" t="inlineStr"/>
    </row>
    <row r="538" ht="15" customHeight="1">
      <c r="A538" t="inlineStr">
        <is>
          <t>A 36-2026</t>
        </is>
      </c>
      <c r="B538" s="1" t="n">
        <v>46024.38886574074</v>
      </c>
      <c r="C538" s="1" t="n">
        <v>46128</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row r="539" ht="15" customHeight="1">
      <c r="A539" t="inlineStr">
        <is>
          <t>A 62674-2025</t>
        </is>
      </c>
      <c r="B539" s="1" t="n">
        <v>46008</v>
      </c>
      <c r="C539" s="1" t="n">
        <v>46128</v>
      </c>
      <c r="D539" t="inlineStr">
        <is>
          <t>GOTLANDS LÄN</t>
        </is>
      </c>
      <c r="E539" t="inlineStr">
        <is>
          <t>GOTLAND</t>
        </is>
      </c>
      <c r="G539" t="n">
        <v>5</v>
      </c>
      <c r="H539" t="n">
        <v>0</v>
      </c>
      <c r="I539" t="n">
        <v>0</v>
      </c>
      <c r="J539" t="n">
        <v>0</v>
      </c>
      <c r="K539" t="n">
        <v>0</v>
      </c>
      <c r="L539" t="n">
        <v>0</v>
      </c>
      <c r="M539" t="n">
        <v>0</v>
      </c>
      <c r="N539" t="n">
        <v>0</v>
      </c>
      <c r="O539" t="n">
        <v>0</v>
      </c>
      <c r="P539" t="n">
        <v>0</v>
      </c>
      <c r="Q539" t="n">
        <v>0</v>
      </c>
      <c r="R539" s="2" t="inlineStr"/>
    </row>
    <row r="540" ht="15" customHeight="1">
      <c r="A540" t="inlineStr">
        <is>
          <t>A 14638-2025</t>
        </is>
      </c>
      <c r="B540" s="1" t="n">
        <v>45742</v>
      </c>
      <c r="C540" s="1" t="n">
        <v>46128</v>
      </c>
      <c r="D540" t="inlineStr">
        <is>
          <t>GOTLANDS LÄN</t>
        </is>
      </c>
      <c r="E540" t="inlineStr">
        <is>
          <t>GOTLAND</t>
        </is>
      </c>
      <c r="G540" t="n">
        <v>13.4</v>
      </c>
      <c r="H540" t="n">
        <v>0</v>
      </c>
      <c r="I540" t="n">
        <v>0</v>
      </c>
      <c r="J540" t="n">
        <v>0</v>
      </c>
      <c r="K540" t="n">
        <v>0</v>
      </c>
      <c r="L540" t="n">
        <v>0</v>
      </c>
      <c r="M540" t="n">
        <v>0</v>
      </c>
      <c r="N540" t="n">
        <v>0</v>
      </c>
      <c r="O540" t="n">
        <v>0</v>
      </c>
      <c r="P540" t="n">
        <v>0</v>
      </c>
      <c r="Q540" t="n">
        <v>0</v>
      </c>
      <c r="R540" s="2" t="inlineStr"/>
    </row>
    <row r="541" ht="15" customHeight="1">
      <c r="A541" t="inlineStr">
        <is>
          <t>A 28285-2024</t>
        </is>
      </c>
      <c r="B541" s="1" t="n">
        <v>45477</v>
      </c>
      <c r="C541" s="1" t="n">
        <v>46128</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61100-2022</t>
        </is>
      </c>
      <c r="B542" s="1" t="n">
        <v>44915</v>
      </c>
      <c r="C542" s="1" t="n">
        <v>46128</v>
      </c>
      <c r="D542" t="inlineStr">
        <is>
          <t>GOTLANDS LÄN</t>
        </is>
      </c>
      <c r="E542" t="inlineStr">
        <is>
          <t>GOTLAND</t>
        </is>
      </c>
      <c r="G542" t="n">
        <v>1.4</v>
      </c>
      <c r="H542" t="n">
        <v>0</v>
      </c>
      <c r="I542" t="n">
        <v>0</v>
      </c>
      <c r="J542" t="n">
        <v>0</v>
      </c>
      <c r="K542" t="n">
        <v>0</v>
      </c>
      <c r="L542" t="n">
        <v>0</v>
      </c>
      <c r="M542" t="n">
        <v>0</v>
      </c>
      <c r="N542" t="n">
        <v>0</v>
      </c>
      <c r="O542" t="n">
        <v>0</v>
      </c>
      <c r="P542" t="n">
        <v>0</v>
      </c>
      <c r="Q542" t="n">
        <v>0</v>
      </c>
      <c r="R542" s="2" t="inlineStr"/>
    </row>
    <row r="543" ht="15" customHeight="1">
      <c r="A543" t="inlineStr">
        <is>
          <t>A 60675-2021</t>
        </is>
      </c>
      <c r="B543" s="1" t="n">
        <v>44496.64855324074</v>
      </c>
      <c r="C543" s="1" t="n">
        <v>46128</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37728-2024</t>
        </is>
      </c>
      <c r="B544" s="1" t="n">
        <v>45541</v>
      </c>
      <c r="C544" s="1" t="n">
        <v>46128</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61682-2024</t>
        </is>
      </c>
      <c r="B545" s="1" t="n">
        <v>45647.48824074074</v>
      </c>
      <c r="C545" s="1" t="n">
        <v>46128</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22287-2022</t>
        </is>
      </c>
      <c r="B546" s="1" t="n">
        <v>44712</v>
      </c>
      <c r="C546" s="1" t="n">
        <v>46128</v>
      </c>
      <c r="D546" t="inlineStr">
        <is>
          <t>GOTLANDS LÄN</t>
        </is>
      </c>
      <c r="E546" t="inlineStr">
        <is>
          <t>GOTLAND</t>
        </is>
      </c>
      <c r="G546" t="n">
        <v>6.1</v>
      </c>
      <c r="H546" t="n">
        <v>0</v>
      </c>
      <c r="I546" t="n">
        <v>0</v>
      </c>
      <c r="J546" t="n">
        <v>0</v>
      </c>
      <c r="K546" t="n">
        <v>0</v>
      </c>
      <c r="L546" t="n">
        <v>0</v>
      </c>
      <c r="M546" t="n">
        <v>0</v>
      </c>
      <c r="N546" t="n">
        <v>0</v>
      </c>
      <c r="O546" t="n">
        <v>0</v>
      </c>
      <c r="P546" t="n">
        <v>0</v>
      </c>
      <c r="Q546" t="n">
        <v>0</v>
      </c>
      <c r="R546" s="2" t="inlineStr"/>
    </row>
    <row r="547" ht="15" customHeight="1">
      <c r="A547" t="inlineStr">
        <is>
          <t>A 1355-2026</t>
        </is>
      </c>
      <c r="B547" s="1" t="n">
        <v>46031.59909722222</v>
      </c>
      <c r="C547" s="1" t="n">
        <v>46128</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46128</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65249-2023</t>
        </is>
      </c>
      <c r="B549" s="1" t="n">
        <v>45290</v>
      </c>
      <c r="C549" s="1" t="n">
        <v>46128</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1898-2026</t>
        </is>
      </c>
      <c r="B550" s="1" t="n">
        <v>46035.52024305556</v>
      </c>
      <c r="C550" s="1" t="n">
        <v>46128</v>
      </c>
      <c r="D550" t="inlineStr">
        <is>
          <t>GOTLANDS LÄN</t>
        </is>
      </c>
      <c r="E550" t="inlineStr">
        <is>
          <t>GOTLAND</t>
        </is>
      </c>
      <c r="G550" t="n">
        <v>3.7</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46128</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2415-2026</t>
        </is>
      </c>
      <c r="B552" s="1" t="n">
        <v>46036.76203703704</v>
      </c>
      <c r="C552" s="1" t="n">
        <v>46128</v>
      </c>
      <c r="D552" t="inlineStr">
        <is>
          <t>GOTLANDS LÄN</t>
        </is>
      </c>
      <c r="E552" t="inlineStr">
        <is>
          <t>GOTLAND</t>
        </is>
      </c>
      <c r="G552" t="n">
        <v>6.9</v>
      </c>
      <c r="H552" t="n">
        <v>0</v>
      </c>
      <c r="I552" t="n">
        <v>0</v>
      </c>
      <c r="J552" t="n">
        <v>0</v>
      </c>
      <c r="K552" t="n">
        <v>0</v>
      </c>
      <c r="L552" t="n">
        <v>0</v>
      </c>
      <c r="M552" t="n">
        <v>0</v>
      </c>
      <c r="N552" t="n">
        <v>0</v>
      </c>
      <c r="O552" t="n">
        <v>0</v>
      </c>
      <c r="P552" t="n">
        <v>0</v>
      </c>
      <c r="Q552" t="n">
        <v>0</v>
      </c>
      <c r="R552" s="2" t="inlineStr"/>
    </row>
    <row r="553" ht="15" customHeight="1">
      <c r="A553" t="inlineStr">
        <is>
          <t>A 13910-2025</t>
        </is>
      </c>
      <c r="B553" s="1" t="n">
        <v>45737</v>
      </c>
      <c r="C553" s="1" t="n">
        <v>46128</v>
      </c>
      <c r="D553" t="inlineStr">
        <is>
          <t>GOTLANDS LÄN</t>
        </is>
      </c>
      <c r="E553" t="inlineStr">
        <is>
          <t>GOTLAND</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21792-2024</t>
        </is>
      </c>
      <c r="B554" s="1" t="n">
        <v>45442.64326388889</v>
      </c>
      <c r="C554" s="1" t="n">
        <v>46128</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17780-2022</t>
        </is>
      </c>
      <c r="B555" s="1" t="n">
        <v>44682.82622685185</v>
      </c>
      <c r="C555" s="1" t="n">
        <v>46128</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59986-2022</t>
        </is>
      </c>
      <c r="B556" s="1" t="n">
        <v>44909</v>
      </c>
      <c r="C556" s="1" t="n">
        <v>46128</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3253-2026</t>
        </is>
      </c>
      <c r="B557" s="1" t="n">
        <v>46041.58902777778</v>
      </c>
      <c r="C557" s="1" t="n">
        <v>46128</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17688-2024</t>
        </is>
      </c>
      <c r="B558" s="1" t="n">
        <v>45418.43575231481</v>
      </c>
      <c r="C558" s="1" t="n">
        <v>46128</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12135-2026</t>
        </is>
      </c>
      <c r="B559" s="1" t="n">
        <v>46086</v>
      </c>
      <c r="C559" s="1" t="n">
        <v>46128</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11874-2024</t>
        </is>
      </c>
      <c r="B560" s="1" t="n">
        <v>45376.46956018519</v>
      </c>
      <c r="C560" s="1" t="n">
        <v>46128</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7837-2024</t>
        </is>
      </c>
      <c r="B561" s="1" t="n">
        <v>45349.83787037037</v>
      </c>
      <c r="C561" s="1" t="n">
        <v>46128</v>
      </c>
      <c r="D561" t="inlineStr">
        <is>
          <t>GOTLANDS LÄN</t>
        </is>
      </c>
      <c r="E561" t="inlineStr">
        <is>
          <t>GOTLAND</t>
        </is>
      </c>
      <c r="G561" t="n">
        <v>5</v>
      </c>
      <c r="H561" t="n">
        <v>0</v>
      </c>
      <c r="I561" t="n">
        <v>0</v>
      </c>
      <c r="J561" t="n">
        <v>0</v>
      </c>
      <c r="K561" t="n">
        <v>0</v>
      </c>
      <c r="L561" t="n">
        <v>0</v>
      </c>
      <c r="M561" t="n">
        <v>0</v>
      </c>
      <c r="N561" t="n">
        <v>0</v>
      </c>
      <c r="O561" t="n">
        <v>0</v>
      </c>
      <c r="P561" t="n">
        <v>0</v>
      </c>
      <c r="Q561" t="n">
        <v>0</v>
      </c>
      <c r="R561" s="2" t="inlineStr"/>
    </row>
    <row r="562" ht="15" customHeight="1">
      <c r="A562" t="inlineStr">
        <is>
          <t>A 4646-2026</t>
        </is>
      </c>
      <c r="B562" s="1" t="n">
        <v>46048.40357638889</v>
      </c>
      <c r="C562" s="1" t="n">
        <v>46128</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42041-2024</t>
        </is>
      </c>
      <c r="B563" s="1" t="n">
        <v>45561</v>
      </c>
      <c r="C563" s="1" t="n">
        <v>46128</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4662-2026</t>
        </is>
      </c>
      <c r="B564" s="1" t="n">
        <v>46048.40949074074</v>
      </c>
      <c r="C564" s="1" t="n">
        <v>46128</v>
      </c>
      <c r="D564" t="inlineStr">
        <is>
          <t>GOTLANDS LÄN</t>
        </is>
      </c>
      <c r="E564" t="inlineStr">
        <is>
          <t>GOTLAND</t>
        </is>
      </c>
      <c r="G564" t="n">
        <v>7.6</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46128</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4639-2026</t>
        </is>
      </c>
      <c r="B566" s="1" t="n">
        <v>46048.39880787037</v>
      </c>
      <c r="C566" s="1" t="n">
        <v>46128</v>
      </c>
      <c r="D566" t="inlineStr">
        <is>
          <t>GOTLANDS LÄN</t>
        </is>
      </c>
      <c r="E566" t="inlineStr">
        <is>
          <t>GOTLAND</t>
        </is>
      </c>
      <c r="G566" t="n">
        <v>0.8</v>
      </c>
      <c r="H566" t="n">
        <v>0</v>
      </c>
      <c r="I566" t="n">
        <v>0</v>
      </c>
      <c r="J566" t="n">
        <v>0</v>
      </c>
      <c r="K566" t="n">
        <v>0</v>
      </c>
      <c r="L566" t="n">
        <v>0</v>
      </c>
      <c r="M566" t="n">
        <v>0</v>
      </c>
      <c r="N566" t="n">
        <v>0</v>
      </c>
      <c r="O566" t="n">
        <v>0</v>
      </c>
      <c r="P566" t="n">
        <v>0</v>
      </c>
      <c r="Q566" t="n">
        <v>0</v>
      </c>
      <c r="R566" s="2" t="inlineStr"/>
    </row>
    <row r="567" ht="15" customHeight="1">
      <c r="A567" t="inlineStr">
        <is>
          <t>A 1839-2026</t>
        </is>
      </c>
      <c r="B567" s="1" t="n">
        <v>46035.3942824074</v>
      </c>
      <c r="C567" s="1" t="n">
        <v>46128</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4634-2026</t>
        </is>
      </c>
      <c r="B568" s="1" t="n">
        <v>46048.39304398148</v>
      </c>
      <c r="C568" s="1" t="n">
        <v>46128</v>
      </c>
      <c r="D568" t="inlineStr">
        <is>
          <t>GOTLANDS LÄN</t>
        </is>
      </c>
      <c r="E568" t="inlineStr">
        <is>
          <t>GOTLAND</t>
        </is>
      </c>
      <c r="G568" t="n">
        <v>7.8</v>
      </c>
      <c r="H568" t="n">
        <v>0</v>
      </c>
      <c r="I568" t="n">
        <v>0</v>
      </c>
      <c r="J568" t="n">
        <v>0</v>
      </c>
      <c r="K568" t="n">
        <v>0</v>
      </c>
      <c r="L568" t="n">
        <v>0</v>
      </c>
      <c r="M568" t="n">
        <v>0</v>
      </c>
      <c r="N568" t="n">
        <v>0</v>
      </c>
      <c r="O568" t="n">
        <v>0</v>
      </c>
      <c r="P568" t="n">
        <v>0</v>
      </c>
      <c r="Q568" t="n">
        <v>0</v>
      </c>
      <c r="R568" s="2" t="inlineStr"/>
    </row>
    <row r="569" ht="15" customHeight="1">
      <c r="A569" t="inlineStr">
        <is>
          <t>A 4670-2026</t>
        </is>
      </c>
      <c r="B569" s="1" t="n">
        <v>46048.41733796296</v>
      </c>
      <c r="C569" s="1" t="n">
        <v>46128</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4568-2025</t>
        </is>
      </c>
      <c r="B570" s="1" t="n">
        <v>45687</v>
      </c>
      <c r="C570" s="1" t="n">
        <v>46128</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64555-2023</t>
        </is>
      </c>
      <c r="B571" s="1" t="n">
        <v>45281</v>
      </c>
      <c r="C571" s="1" t="n">
        <v>46128</v>
      </c>
      <c r="D571" t="inlineStr">
        <is>
          <t>GOTLANDS LÄN</t>
        </is>
      </c>
      <c r="E571" t="inlineStr">
        <is>
          <t>GOTLAND</t>
        </is>
      </c>
      <c r="G571" t="n">
        <v>3.5</v>
      </c>
      <c r="H571" t="n">
        <v>0</v>
      </c>
      <c r="I571" t="n">
        <v>0</v>
      </c>
      <c r="J571" t="n">
        <v>0</v>
      </c>
      <c r="K571" t="n">
        <v>0</v>
      </c>
      <c r="L571" t="n">
        <v>0</v>
      </c>
      <c r="M571" t="n">
        <v>0</v>
      </c>
      <c r="N571" t="n">
        <v>0</v>
      </c>
      <c r="O571" t="n">
        <v>0</v>
      </c>
      <c r="P571" t="n">
        <v>0</v>
      </c>
      <c r="Q571" t="n">
        <v>0</v>
      </c>
      <c r="R571" s="2" t="inlineStr"/>
    </row>
    <row r="572" ht="15" customHeight="1">
      <c r="A572" t="inlineStr">
        <is>
          <t>A 64831-2023</t>
        </is>
      </c>
      <c r="B572" s="1" t="n">
        <v>45282.44924768519</v>
      </c>
      <c r="C572" s="1" t="n">
        <v>46128</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46128</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27602-2023</t>
        </is>
      </c>
      <c r="B574" s="1" t="n">
        <v>45097</v>
      </c>
      <c r="C574" s="1" t="n">
        <v>46128</v>
      </c>
      <c r="D574" t="inlineStr">
        <is>
          <t>GOTLANDS LÄN</t>
        </is>
      </c>
      <c r="E574" t="inlineStr">
        <is>
          <t>GOTLAND</t>
        </is>
      </c>
      <c r="G574" t="n">
        <v>2.7</v>
      </c>
      <c r="H574" t="n">
        <v>0</v>
      </c>
      <c r="I574" t="n">
        <v>0</v>
      </c>
      <c r="J574" t="n">
        <v>0</v>
      </c>
      <c r="K574" t="n">
        <v>0</v>
      </c>
      <c r="L574" t="n">
        <v>0</v>
      </c>
      <c r="M574" t="n">
        <v>0</v>
      </c>
      <c r="N574" t="n">
        <v>0</v>
      </c>
      <c r="O574" t="n">
        <v>0</v>
      </c>
      <c r="P574" t="n">
        <v>0</v>
      </c>
      <c r="Q574" t="n">
        <v>0</v>
      </c>
      <c r="R574" s="2" t="inlineStr"/>
    </row>
    <row r="575" ht="15" customHeight="1">
      <c r="A575" t="inlineStr">
        <is>
          <t>A 35512-2023</t>
        </is>
      </c>
      <c r="B575" s="1" t="n">
        <v>45147.25623842593</v>
      </c>
      <c r="C575" s="1" t="n">
        <v>46128</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5905-2024</t>
        </is>
      </c>
      <c r="B576" s="1" t="n">
        <v>45335.88993055555</v>
      </c>
      <c r="C576" s="1" t="n">
        <v>46128</v>
      </c>
      <c r="D576" t="inlineStr">
        <is>
          <t>GOTLANDS LÄN</t>
        </is>
      </c>
      <c r="E576" t="inlineStr">
        <is>
          <t>GOTLAND</t>
        </is>
      </c>
      <c r="G576" t="n">
        <v>3</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44955.5502662037</v>
      </c>
      <c r="C577" s="1" t="n">
        <v>46128</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44955.73359953704</v>
      </c>
      <c r="C578" s="1" t="n">
        <v>46128</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39479-2022</t>
        </is>
      </c>
      <c r="B579" s="1" t="n">
        <v>44818</v>
      </c>
      <c r="C579" s="1" t="n">
        <v>46128</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44936.47561342592</v>
      </c>
      <c r="C580" s="1" t="n">
        <v>46128</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51963-2024</t>
        </is>
      </c>
      <c r="B581" s="1" t="n">
        <v>45607.64833333333</v>
      </c>
      <c r="C581" s="1" t="n">
        <v>46128</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1854-2026</t>
        </is>
      </c>
      <c r="B582" s="1" t="n">
        <v>46035.4171875</v>
      </c>
      <c r="C582" s="1" t="n">
        <v>46128</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811-2023</t>
        </is>
      </c>
      <c r="B583" s="1" t="n">
        <v>44931</v>
      </c>
      <c r="C583" s="1" t="n">
        <v>46128</v>
      </c>
      <c r="D583" t="inlineStr">
        <is>
          <t>GOTLANDS LÄN</t>
        </is>
      </c>
      <c r="E583" t="inlineStr">
        <is>
          <t>GOTLAND</t>
        </is>
      </c>
      <c r="G583" t="n">
        <v>0.6</v>
      </c>
      <c r="H583" t="n">
        <v>0</v>
      </c>
      <c r="I583" t="n">
        <v>0</v>
      </c>
      <c r="J583" t="n">
        <v>0</v>
      </c>
      <c r="K583" t="n">
        <v>0</v>
      </c>
      <c r="L583" t="n">
        <v>0</v>
      </c>
      <c r="M583" t="n">
        <v>0</v>
      </c>
      <c r="N583" t="n">
        <v>0</v>
      </c>
      <c r="O583" t="n">
        <v>0</v>
      </c>
      <c r="P583" t="n">
        <v>0</v>
      </c>
      <c r="Q583" t="n">
        <v>0</v>
      </c>
      <c r="R583" s="2" t="inlineStr"/>
    </row>
    <row r="584" ht="15" customHeight="1">
      <c r="A584" t="inlineStr">
        <is>
          <t>A 46389-2021</t>
        </is>
      </c>
      <c r="B584" s="1" t="n">
        <v>44443</v>
      </c>
      <c r="C584" s="1" t="n">
        <v>46128</v>
      </c>
      <c r="D584" t="inlineStr">
        <is>
          <t>GOTLANDS LÄN</t>
        </is>
      </c>
      <c r="E584" t="inlineStr">
        <is>
          <t>GOTLAND</t>
        </is>
      </c>
      <c r="F584" t="inlineStr">
        <is>
          <t>Kyrkan</t>
        </is>
      </c>
      <c r="G584" t="n">
        <v>2.1</v>
      </c>
      <c r="H584" t="n">
        <v>0</v>
      </c>
      <c r="I584" t="n">
        <v>0</v>
      </c>
      <c r="J584" t="n">
        <v>0</v>
      </c>
      <c r="K584" t="n">
        <v>0</v>
      </c>
      <c r="L584" t="n">
        <v>0</v>
      </c>
      <c r="M584" t="n">
        <v>0</v>
      </c>
      <c r="N584" t="n">
        <v>0</v>
      </c>
      <c r="O584" t="n">
        <v>0</v>
      </c>
      <c r="P584" t="n">
        <v>0</v>
      </c>
      <c r="Q584" t="n">
        <v>0</v>
      </c>
      <c r="R584" s="2" t="inlineStr"/>
    </row>
    <row r="585" ht="15" customHeight="1">
      <c r="A585" t="inlineStr">
        <is>
          <t>A 26810-2021</t>
        </is>
      </c>
      <c r="B585" s="1" t="n">
        <v>44349.55087962963</v>
      </c>
      <c r="C585" s="1" t="n">
        <v>46128</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13486-2026</t>
        </is>
      </c>
      <c r="B586" s="1" t="n">
        <v>46094</v>
      </c>
      <c r="C586" s="1" t="n">
        <v>46128</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5923-2023</t>
        </is>
      </c>
      <c r="B587" s="1" t="n">
        <v>44963.69503472222</v>
      </c>
      <c r="C587" s="1" t="n">
        <v>46128</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33853-2024</t>
        </is>
      </c>
      <c r="B588" s="1" t="n">
        <v>45520.64298611111</v>
      </c>
      <c r="C588" s="1" t="n">
        <v>46128</v>
      </c>
      <c r="D588" t="inlineStr">
        <is>
          <t>GOTLANDS LÄN</t>
        </is>
      </c>
      <c r="E588" t="inlineStr">
        <is>
          <t>GOTLAND</t>
        </is>
      </c>
      <c r="G588" t="n">
        <v>3.9</v>
      </c>
      <c r="H588" t="n">
        <v>0</v>
      </c>
      <c r="I588" t="n">
        <v>0</v>
      </c>
      <c r="J588" t="n">
        <v>0</v>
      </c>
      <c r="K588" t="n">
        <v>0</v>
      </c>
      <c r="L588" t="n">
        <v>0</v>
      </c>
      <c r="M588" t="n">
        <v>0</v>
      </c>
      <c r="N588" t="n">
        <v>0</v>
      </c>
      <c r="O588" t="n">
        <v>0</v>
      </c>
      <c r="P588" t="n">
        <v>0</v>
      </c>
      <c r="Q588" t="n">
        <v>0</v>
      </c>
      <c r="R588" s="2" t="inlineStr"/>
    </row>
    <row r="589" ht="15" customHeight="1">
      <c r="A589" t="inlineStr">
        <is>
          <t>A 18918-2025</t>
        </is>
      </c>
      <c r="B589" s="1" t="n">
        <v>45764</v>
      </c>
      <c r="C589" s="1" t="n">
        <v>46128</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6218-2026</t>
        </is>
      </c>
      <c r="B590" s="1" t="n">
        <v>46055.42859953704</v>
      </c>
      <c r="C590" s="1" t="n">
        <v>46128</v>
      </c>
      <c r="D590" t="inlineStr">
        <is>
          <t>GOTLANDS LÄN</t>
        </is>
      </c>
      <c r="E590" t="inlineStr">
        <is>
          <t>GOTLAND</t>
        </is>
      </c>
      <c r="G590" t="n">
        <v>4.3</v>
      </c>
      <c r="H590" t="n">
        <v>0</v>
      </c>
      <c r="I590" t="n">
        <v>0</v>
      </c>
      <c r="J590" t="n">
        <v>0</v>
      </c>
      <c r="K590" t="n">
        <v>0</v>
      </c>
      <c r="L590" t="n">
        <v>0</v>
      </c>
      <c r="M590" t="n">
        <v>0</v>
      </c>
      <c r="N590" t="n">
        <v>0</v>
      </c>
      <c r="O590" t="n">
        <v>0</v>
      </c>
      <c r="P590" t="n">
        <v>0</v>
      </c>
      <c r="Q590" t="n">
        <v>0</v>
      </c>
      <c r="R590" s="2" t="inlineStr"/>
    </row>
    <row r="591" ht="15" customHeight="1">
      <c r="A591" t="inlineStr">
        <is>
          <t>A 2674-2023</t>
        </is>
      </c>
      <c r="B591" s="1" t="n">
        <v>44944</v>
      </c>
      <c r="C591" s="1" t="n">
        <v>46128</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6207-2026</t>
        </is>
      </c>
      <c r="B592" s="1" t="n">
        <v>46055.42083333333</v>
      </c>
      <c r="C592" s="1" t="n">
        <v>46128</v>
      </c>
      <c r="D592" t="inlineStr">
        <is>
          <t>GOTLANDS LÄN</t>
        </is>
      </c>
      <c r="E592" t="inlineStr">
        <is>
          <t>GOTLAND</t>
        </is>
      </c>
      <c r="G592" t="n">
        <v>7.6</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44988.49543981482</v>
      </c>
      <c r="C593" s="1" t="n">
        <v>46128</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6959-2026</t>
        </is>
      </c>
      <c r="B594" s="1" t="n">
        <v>46057.580625</v>
      </c>
      <c r="C594" s="1" t="n">
        <v>46128</v>
      </c>
      <c r="D594" t="inlineStr">
        <is>
          <t>GOTLANDS LÄN</t>
        </is>
      </c>
      <c r="E594" t="inlineStr">
        <is>
          <t>GOTLAND</t>
        </is>
      </c>
      <c r="F594" t="inlineStr">
        <is>
          <t>Kyrkan</t>
        </is>
      </c>
      <c r="G594" t="n">
        <v>1.2</v>
      </c>
      <c r="H594" t="n">
        <v>0</v>
      </c>
      <c r="I594" t="n">
        <v>0</v>
      </c>
      <c r="J594" t="n">
        <v>0</v>
      </c>
      <c r="K594" t="n">
        <v>0</v>
      </c>
      <c r="L594" t="n">
        <v>0</v>
      </c>
      <c r="M594" t="n">
        <v>0</v>
      </c>
      <c r="N594" t="n">
        <v>0</v>
      </c>
      <c r="O594" t="n">
        <v>0</v>
      </c>
      <c r="P594" t="n">
        <v>0</v>
      </c>
      <c r="Q594" t="n">
        <v>0</v>
      </c>
      <c r="R594" s="2" t="inlineStr"/>
    </row>
    <row r="595" ht="15" customHeight="1">
      <c r="A595" t="inlineStr">
        <is>
          <t>A 2719-2023</t>
        </is>
      </c>
      <c r="B595" s="1" t="n">
        <v>44944.55361111111</v>
      </c>
      <c r="C595" s="1" t="n">
        <v>46128</v>
      </c>
      <c r="D595" t="inlineStr">
        <is>
          <t>GOTLANDS LÄN</t>
        </is>
      </c>
      <c r="E595" t="inlineStr">
        <is>
          <t>GOTLAND</t>
        </is>
      </c>
      <c r="G595" t="n">
        <v>0.5</v>
      </c>
      <c r="H595" t="n">
        <v>0</v>
      </c>
      <c r="I595" t="n">
        <v>0</v>
      </c>
      <c r="J595" t="n">
        <v>0</v>
      </c>
      <c r="K595" t="n">
        <v>0</v>
      </c>
      <c r="L595" t="n">
        <v>0</v>
      </c>
      <c r="M595" t="n">
        <v>0</v>
      </c>
      <c r="N595" t="n">
        <v>0</v>
      </c>
      <c r="O595" t="n">
        <v>0</v>
      </c>
      <c r="P595" t="n">
        <v>0</v>
      </c>
      <c r="Q595" t="n">
        <v>0</v>
      </c>
      <c r="R595" s="2" t="inlineStr"/>
    </row>
    <row r="596" ht="15" customHeight="1">
      <c r="A596" t="inlineStr">
        <is>
          <t>A 26891-2024</t>
        </is>
      </c>
      <c r="B596" s="1" t="n">
        <v>45470.65540509259</v>
      </c>
      <c r="C596" s="1" t="n">
        <v>46128</v>
      </c>
      <c r="D596" t="inlineStr">
        <is>
          <t>GOTLANDS LÄN</t>
        </is>
      </c>
      <c r="E596" t="inlineStr">
        <is>
          <t>GOTLAND</t>
        </is>
      </c>
      <c r="G596" t="n">
        <v>0.8</v>
      </c>
      <c r="H596" t="n">
        <v>0</v>
      </c>
      <c r="I596" t="n">
        <v>0</v>
      </c>
      <c r="J596" t="n">
        <v>0</v>
      </c>
      <c r="K596" t="n">
        <v>0</v>
      </c>
      <c r="L596" t="n">
        <v>0</v>
      </c>
      <c r="M596" t="n">
        <v>0</v>
      </c>
      <c r="N596" t="n">
        <v>0</v>
      </c>
      <c r="O596" t="n">
        <v>0</v>
      </c>
      <c r="P596" t="n">
        <v>0</v>
      </c>
      <c r="Q596" t="n">
        <v>0</v>
      </c>
      <c r="R596" s="2" t="inlineStr"/>
    </row>
    <row r="597" ht="15" customHeight="1">
      <c r="A597" t="inlineStr">
        <is>
          <t>A 42007-2023</t>
        </is>
      </c>
      <c r="B597" s="1" t="n">
        <v>45177</v>
      </c>
      <c r="C597" s="1" t="n">
        <v>46128</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9887-2025</t>
        </is>
      </c>
      <c r="B598" s="1" t="n">
        <v>45716</v>
      </c>
      <c r="C598" s="1" t="n">
        <v>46128</v>
      </c>
      <c r="D598" t="inlineStr">
        <is>
          <t>GOTLANDS LÄN</t>
        </is>
      </c>
      <c r="E598" t="inlineStr">
        <is>
          <t>GOTLAND</t>
        </is>
      </c>
      <c r="G598" t="n">
        <v>7.5</v>
      </c>
      <c r="H598" t="n">
        <v>0</v>
      </c>
      <c r="I598" t="n">
        <v>0</v>
      </c>
      <c r="J598" t="n">
        <v>0</v>
      </c>
      <c r="K598" t="n">
        <v>0</v>
      </c>
      <c r="L598" t="n">
        <v>0</v>
      </c>
      <c r="M598" t="n">
        <v>0</v>
      </c>
      <c r="N598" t="n">
        <v>0</v>
      </c>
      <c r="O598" t="n">
        <v>0</v>
      </c>
      <c r="P598" t="n">
        <v>0</v>
      </c>
      <c r="Q598" t="n">
        <v>0</v>
      </c>
      <c r="R598" s="2" t="inlineStr"/>
    </row>
    <row r="599" ht="15" customHeight="1">
      <c r="A599" t="inlineStr">
        <is>
          <t>A 38165-2023</t>
        </is>
      </c>
      <c r="B599" s="1" t="n">
        <v>45161</v>
      </c>
      <c r="C599" s="1" t="n">
        <v>46128</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6960-2026</t>
        </is>
      </c>
      <c r="B600" s="1" t="n">
        <v>46057.58105324074</v>
      </c>
      <c r="C600" s="1" t="n">
        <v>46128</v>
      </c>
      <c r="D600" t="inlineStr">
        <is>
          <t>GOTLANDS LÄN</t>
        </is>
      </c>
      <c r="E600" t="inlineStr">
        <is>
          <t>GOTLAND</t>
        </is>
      </c>
      <c r="F600" t="inlineStr">
        <is>
          <t>Kyrkan</t>
        </is>
      </c>
      <c r="G600" t="n">
        <v>2.4</v>
      </c>
      <c r="H600" t="n">
        <v>0</v>
      </c>
      <c r="I600" t="n">
        <v>0</v>
      </c>
      <c r="J600" t="n">
        <v>0</v>
      </c>
      <c r="K600" t="n">
        <v>0</v>
      </c>
      <c r="L600" t="n">
        <v>0</v>
      </c>
      <c r="M600" t="n">
        <v>0</v>
      </c>
      <c r="N600" t="n">
        <v>0</v>
      </c>
      <c r="O600" t="n">
        <v>0</v>
      </c>
      <c r="P600" t="n">
        <v>0</v>
      </c>
      <c r="Q600" t="n">
        <v>0</v>
      </c>
      <c r="R600" s="2" t="inlineStr"/>
    </row>
    <row r="601" ht="15" customHeight="1">
      <c r="A601" t="inlineStr">
        <is>
          <t>A 27596-2023</t>
        </is>
      </c>
      <c r="B601" s="1" t="n">
        <v>45097</v>
      </c>
      <c r="C601" s="1" t="n">
        <v>46128</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24825-2024</t>
        </is>
      </c>
      <c r="B602" s="1" t="n">
        <v>45461</v>
      </c>
      <c r="C602" s="1" t="n">
        <v>46128</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6696-2023</t>
        </is>
      </c>
      <c r="B603" s="1" t="n">
        <v>44966.66425925926</v>
      </c>
      <c r="C603" s="1" t="n">
        <v>46128</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21247-2022</t>
        </is>
      </c>
      <c r="B604" s="1" t="n">
        <v>44705.38832175926</v>
      </c>
      <c r="C604" s="1" t="n">
        <v>46128</v>
      </c>
      <c r="D604" t="inlineStr">
        <is>
          <t>GOTLANDS LÄN</t>
        </is>
      </c>
      <c r="E604" t="inlineStr">
        <is>
          <t>GOTLAND</t>
        </is>
      </c>
      <c r="G604" t="n">
        <v>16.2</v>
      </c>
      <c r="H604" t="n">
        <v>0</v>
      </c>
      <c r="I604" t="n">
        <v>0</v>
      </c>
      <c r="J604" t="n">
        <v>0</v>
      </c>
      <c r="K604" t="n">
        <v>0</v>
      </c>
      <c r="L604" t="n">
        <v>0</v>
      </c>
      <c r="M604" t="n">
        <v>0</v>
      </c>
      <c r="N604" t="n">
        <v>0</v>
      </c>
      <c r="O604" t="n">
        <v>0</v>
      </c>
      <c r="P604" t="n">
        <v>0</v>
      </c>
      <c r="Q604" t="n">
        <v>0</v>
      </c>
      <c r="R604" s="2" t="inlineStr"/>
    </row>
    <row r="605" ht="15" customHeight="1">
      <c r="A605" t="inlineStr">
        <is>
          <t>A 456-2023</t>
        </is>
      </c>
      <c r="B605" s="1" t="n">
        <v>44929.87122685185</v>
      </c>
      <c r="C605" s="1" t="n">
        <v>46128</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14840-2026</t>
        </is>
      </c>
      <c r="B606" s="1" t="n">
        <v>46104.39498842593</v>
      </c>
      <c r="C606" s="1" t="n">
        <v>46128</v>
      </c>
      <c r="D606" t="inlineStr">
        <is>
          <t>GOTLANDS LÄN</t>
        </is>
      </c>
      <c r="E606" t="inlineStr">
        <is>
          <t>GOTLAND</t>
        </is>
      </c>
      <c r="G606" t="n">
        <v>2.5</v>
      </c>
      <c r="H606" t="n">
        <v>0</v>
      </c>
      <c r="I606" t="n">
        <v>0</v>
      </c>
      <c r="J606" t="n">
        <v>0</v>
      </c>
      <c r="K606" t="n">
        <v>0</v>
      </c>
      <c r="L606" t="n">
        <v>0</v>
      </c>
      <c r="M606" t="n">
        <v>0</v>
      </c>
      <c r="N606" t="n">
        <v>0</v>
      </c>
      <c r="O606" t="n">
        <v>0</v>
      </c>
      <c r="P606" t="n">
        <v>0</v>
      </c>
      <c r="Q606" t="n">
        <v>0</v>
      </c>
      <c r="R606" s="2" t="inlineStr"/>
    </row>
    <row r="607" ht="15" customHeight="1">
      <c r="A607" t="inlineStr">
        <is>
          <t>A 2714-2023</t>
        </is>
      </c>
      <c r="B607" s="1" t="n">
        <v>44944.54896990741</v>
      </c>
      <c r="C607" s="1" t="n">
        <v>46128</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7625-2026</t>
        </is>
      </c>
      <c r="B608" s="1" t="n">
        <v>46062.35135416667</v>
      </c>
      <c r="C608" s="1" t="n">
        <v>46128</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7627-2026</t>
        </is>
      </c>
      <c r="B609" s="1" t="n">
        <v>46062.35465277778</v>
      </c>
      <c r="C609" s="1" t="n">
        <v>46128</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4421-2024</t>
        </is>
      </c>
      <c r="B610" s="1" t="n">
        <v>45327.45173611111</v>
      </c>
      <c r="C610" s="1" t="n">
        <v>46128</v>
      </c>
      <c r="D610" t="inlineStr">
        <is>
          <t>GOTLANDS LÄN</t>
        </is>
      </c>
      <c r="E610" t="inlineStr">
        <is>
          <t>GOTLAND</t>
        </is>
      </c>
      <c r="G610" t="n">
        <v>5.1</v>
      </c>
      <c r="H610" t="n">
        <v>0</v>
      </c>
      <c r="I610" t="n">
        <v>0</v>
      </c>
      <c r="J610" t="n">
        <v>0</v>
      </c>
      <c r="K610" t="n">
        <v>0</v>
      </c>
      <c r="L610" t="n">
        <v>0</v>
      </c>
      <c r="M610" t="n">
        <v>0</v>
      </c>
      <c r="N610" t="n">
        <v>0</v>
      </c>
      <c r="O610" t="n">
        <v>0</v>
      </c>
      <c r="P610" t="n">
        <v>0</v>
      </c>
      <c r="Q610" t="n">
        <v>0</v>
      </c>
      <c r="R610" s="2" t="inlineStr"/>
    </row>
    <row r="611" ht="15" customHeight="1">
      <c r="A611" t="inlineStr">
        <is>
          <t>A 62836-2025</t>
        </is>
      </c>
      <c r="B611" s="1" t="n">
        <v>46008</v>
      </c>
      <c r="C611" s="1" t="n">
        <v>46128</v>
      </c>
      <c r="D611" t="inlineStr">
        <is>
          <t>GOTLANDS LÄN</t>
        </is>
      </c>
      <c r="E611" t="inlineStr">
        <is>
          <t>GOTLAND</t>
        </is>
      </c>
      <c r="G611" t="n">
        <v>6.5</v>
      </c>
      <c r="H611" t="n">
        <v>0</v>
      </c>
      <c r="I611" t="n">
        <v>0</v>
      </c>
      <c r="J611" t="n">
        <v>0</v>
      </c>
      <c r="K611" t="n">
        <v>0</v>
      </c>
      <c r="L611" t="n">
        <v>0</v>
      </c>
      <c r="M611" t="n">
        <v>0</v>
      </c>
      <c r="N611" t="n">
        <v>0</v>
      </c>
      <c r="O611" t="n">
        <v>0</v>
      </c>
      <c r="P611" t="n">
        <v>0</v>
      </c>
      <c r="Q611" t="n">
        <v>0</v>
      </c>
      <c r="R611" s="2" t="inlineStr"/>
    </row>
    <row r="612" ht="15" customHeight="1">
      <c r="A612" t="inlineStr">
        <is>
          <t>A 63105-2025</t>
        </is>
      </c>
      <c r="B612" s="1" t="n">
        <v>46009</v>
      </c>
      <c r="C612" s="1" t="n">
        <v>46128</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51782-2023</t>
        </is>
      </c>
      <c r="B613" s="1" t="n">
        <v>45222.80952546297</v>
      </c>
      <c r="C613" s="1" t="n">
        <v>46128</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54268-2022</t>
        </is>
      </c>
      <c r="B614" s="1" t="n">
        <v>44882</v>
      </c>
      <c r="C614" s="1" t="n">
        <v>46128</v>
      </c>
      <c r="D614" t="inlineStr">
        <is>
          <t>GOTLANDS LÄN</t>
        </is>
      </c>
      <c r="E614" t="inlineStr">
        <is>
          <t>GOTLAND</t>
        </is>
      </c>
      <c r="G614" t="n">
        <v>2.7</v>
      </c>
      <c r="H614" t="n">
        <v>0</v>
      </c>
      <c r="I614" t="n">
        <v>0</v>
      </c>
      <c r="J614" t="n">
        <v>0</v>
      </c>
      <c r="K614" t="n">
        <v>0</v>
      </c>
      <c r="L614" t="n">
        <v>0</v>
      </c>
      <c r="M614" t="n">
        <v>0</v>
      </c>
      <c r="N614" t="n">
        <v>0</v>
      </c>
      <c r="O614" t="n">
        <v>0</v>
      </c>
      <c r="P614" t="n">
        <v>0</v>
      </c>
      <c r="Q614" t="n">
        <v>0</v>
      </c>
      <c r="R614" s="2" t="inlineStr"/>
    </row>
    <row r="615" ht="15" customHeight="1">
      <c r="A615" t="inlineStr">
        <is>
          <t>A 57534-2022</t>
        </is>
      </c>
      <c r="B615" s="1" t="n">
        <v>44896</v>
      </c>
      <c r="C615" s="1" t="n">
        <v>46128</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5863-2026</t>
        </is>
      </c>
      <c r="B616" s="1" t="n">
        <v>46052.36697916667</v>
      </c>
      <c r="C616" s="1" t="n">
        <v>46128</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2135-2026</t>
        </is>
      </c>
      <c r="B617" s="1" t="n">
        <v>46036</v>
      </c>
      <c r="C617" s="1" t="n">
        <v>46128</v>
      </c>
      <c r="D617" t="inlineStr">
        <is>
          <t>GOTLANDS LÄN</t>
        </is>
      </c>
      <c r="E617" t="inlineStr">
        <is>
          <t>GOTLAND</t>
        </is>
      </c>
      <c r="G617" t="n">
        <v>0.5</v>
      </c>
      <c r="H617" t="n">
        <v>0</v>
      </c>
      <c r="I617" t="n">
        <v>0</v>
      </c>
      <c r="J617" t="n">
        <v>0</v>
      </c>
      <c r="K617" t="n">
        <v>0</v>
      </c>
      <c r="L617" t="n">
        <v>0</v>
      </c>
      <c r="M617" t="n">
        <v>0</v>
      </c>
      <c r="N617" t="n">
        <v>0</v>
      </c>
      <c r="O617" t="n">
        <v>0</v>
      </c>
      <c r="P617" t="n">
        <v>0</v>
      </c>
      <c r="Q617" t="n">
        <v>0</v>
      </c>
      <c r="R617" s="2" t="inlineStr"/>
    </row>
    <row r="618" ht="15" customHeight="1">
      <c r="A618" t="inlineStr">
        <is>
          <t>A 2134-2026</t>
        </is>
      </c>
      <c r="B618" s="1" t="n">
        <v>46036</v>
      </c>
      <c r="C618" s="1" t="n">
        <v>46128</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63000-2025</t>
        </is>
      </c>
      <c r="B619" s="1" t="n">
        <v>46009</v>
      </c>
      <c r="C619" s="1" t="n">
        <v>46128</v>
      </c>
      <c r="D619" t="inlineStr">
        <is>
          <t>GOTLANDS LÄN</t>
        </is>
      </c>
      <c r="E619" t="inlineStr">
        <is>
          <t>GOTLAND</t>
        </is>
      </c>
      <c r="F619" t="inlineStr">
        <is>
          <t>Övriga Aktiebolag</t>
        </is>
      </c>
      <c r="G619" t="n">
        <v>1.7</v>
      </c>
      <c r="H619" t="n">
        <v>0</v>
      </c>
      <c r="I619" t="n">
        <v>0</v>
      </c>
      <c r="J619" t="n">
        <v>0</v>
      </c>
      <c r="K619" t="n">
        <v>0</v>
      </c>
      <c r="L619" t="n">
        <v>0</v>
      </c>
      <c r="M619" t="n">
        <v>0</v>
      </c>
      <c r="N619" t="n">
        <v>0</v>
      </c>
      <c r="O619" t="n">
        <v>0</v>
      </c>
      <c r="P619" t="n">
        <v>0</v>
      </c>
      <c r="Q619" t="n">
        <v>0</v>
      </c>
      <c r="R619" s="2" t="inlineStr"/>
    </row>
    <row r="620" ht="15" customHeight="1">
      <c r="A620" t="inlineStr">
        <is>
          <t>A 53561-2025</t>
        </is>
      </c>
      <c r="B620" s="1" t="n">
        <v>45960.4059375</v>
      </c>
      <c r="C620" s="1" t="n">
        <v>46128</v>
      </c>
      <c r="D620" t="inlineStr">
        <is>
          <t>GOTLANDS LÄN</t>
        </is>
      </c>
      <c r="E620" t="inlineStr">
        <is>
          <t>GOTLAND</t>
        </is>
      </c>
      <c r="F620" t="inlineStr">
        <is>
          <t>Övriga Aktiebolag</t>
        </is>
      </c>
      <c r="G620" t="n">
        <v>2.4</v>
      </c>
      <c r="H620" t="n">
        <v>0</v>
      </c>
      <c r="I620" t="n">
        <v>0</v>
      </c>
      <c r="J620" t="n">
        <v>0</v>
      </c>
      <c r="K620" t="n">
        <v>0</v>
      </c>
      <c r="L620" t="n">
        <v>0</v>
      </c>
      <c r="M620" t="n">
        <v>0</v>
      </c>
      <c r="N620" t="n">
        <v>0</v>
      </c>
      <c r="O620" t="n">
        <v>0</v>
      </c>
      <c r="P620" t="n">
        <v>0</v>
      </c>
      <c r="Q620" t="n">
        <v>0</v>
      </c>
      <c r="R620" s="2" t="inlineStr"/>
    </row>
    <row r="621" ht="15" customHeight="1">
      <c r="A621" t="inlineStr">
        <is>
          <t>A 62751-2025</t>
        </is>
      </c>
      <c r="B621" s="1" t="n">
        <v>46008</v>
      </c>
      <c r="C621" s="1" t="n">
        <v>46128</v>
      </c>
      <c r="D621" t="inlineStr">
        <is>
          <t>GOTLANDS LÄN</t>
        </is>
      </c>
      <c r="E621" t="inlineStr">
        <is>
          <t>GOTLAND</t>
        </is>
      </c>
      <c r="F621" t="inlineStr">
        <is>
          <t>Övriga Aktiebolag</t>
        </is>
      </c>
      <c r="G621" t="n">
        <v>7.8</v>
      </c>
      <c r="H621" t="n">
        <v>0</v>
      </c>
      <c r="I621" t="n">
        <v>0</v>
      </c>
      <c r="J621" t="n">
        <v>0</v>
      </c>
      <c r="K621" t="n">
        <v>0</v>
      </c>
      <c r="L621" t="n">
        <v>0</v>
      </c>
      <c r="M621" t="n">
        <v>0</v>
      </c>
      <c r="N621" t="n">
        <v>0</v>
      </c>
      <c r="O621" t="n">
        <v>0</v>
      </c>
      <c r="P621" t="n">
        <v>0</v>
      </c>
      <c r="Q621" t="n">
        <v>0</v>
      </c>
      <c r="R621" s="2" t="inlineStr"/>
    </row>
    <row r="622" ht="15" customHeight="1">
      <c r="A622" t="inlineStr">
        <is>
          <t>A 62754-2025</t>
        </is>
      </c>
      <c r="B622" s="1" t="n">
        <v>46008</v>
      </c>
      <c r="C622" s="1" t="n">
        <v>46128</v>
      </c>
      <c r="D622" t="inlineStr">
        <is>
          <t>GOTLANDS LÄN</t>
        </is>
      </c>
      <c r="E622" t="inlineStr">
        <is>
          <t>GOTLAND</t>
        </is>
      </c>
      <c r="F622" t="inlineStr">
        <is>
          <t>Övriga Aktiebolag</t>
        </is>
      </c>
      <c r="G622" t="n">
        <v>2.9</v>
      </c>
      <c r="H622" t="n">
        <v>0</v>
      </c>
      <c r="I622" t="n">
        <v>0</v>
      </c>
      <c r="J622" t="n">
        <v>0</v>
      </c>
      <c r="K622" t="n">
        <v>0</v>
      </c>
      <c r="L622" t="n">
        <v>0</v>
      </c>
      <c r="M622" t="n">
        <v>0</v>
      </c>
      <c r="N622" t="n">
        <v>0</v>
      </c>
      <c r="O622" t="n">
        <v>0</v>
      </c>
      <c r="P622" t="n">
        <v>0</v>
      </c>
      <c r="Q622" t="n">
        <v>0</v>
      </c>
      <c r="R622" s="2" t="inlineStr"/>
    </row>
    <row r="623" ht="15" customHeight="1">
      <c r="A623" t="inlineStr">
        <is>
          <t>A 53587-2025</t>
        </is>
      </c>
      <c r="B623" s="1" t="n">
        <v>45960.43681712963</v>
      </c>
      <c r="C623" s="1" t="n">
        <v>46128</v>
      </c>
      <c r="D623" t="inlineStr">
        <is>
          <t>GOTLANDS LÄN</t>
        </is>
      </c>
      <c r="E623" t="inlineStr">
        <is>
          <t>GOTLAND</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9504-2026</t>
        </is>
      </c>
      <c r="B624" s="1" t="n">
        <v>46071.57730324074</v>
      </c>
      <c r="C624" s="1" t="n">
        <v>46128</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9518-2026</t>
        </is>
      </c>
      <c r="B625" s="1" t="n">
        <v>46071.59653935185</v>
      </c>
      <c r="C625" s="1" t="n">
        <v>46128</v>
      </c>
      <c r="D625" t="inlineStr">
        <is>
          <t>GOTLANDS LÄN</t>
        </is>
      </c>
      <c r="E625" t="inlineStr">
        <is>
          <t>GOTLAND</t>
        </is>
      </c>
      <c r="G625" t="n">
        <v>6.2</v>
      </c>
      <c r="H625" t="n">
        <v>0</v>
      </c>
      <c r="I625" t="n">
        <v>0</v>
      </c>
      <c r="J625" t="n">
        <v>0</v>
      </c>
      <c r="K625" t="n">
        <v>0</v>
      </c>
      <c r="L625" t="n">
        <v>0</v>
      </c>
      <c r="M625" t="n">
        <v>0</v>
      </c>
      <c r="N625" t="n">
        <v>0</v>
      </c>
      <c r="O625" t="n">
        <v>0</v>
      </c>
      <c r="P625" t="n">
        <v>0</v>
      </c>
      <c r="Q625" t="n">
        <v>0</v>
      </c>
      <c r="R625" s="2" t="inlineStr"/>
    </row>
    <row r="626" ht="15" customHeight="1">
      <c r="A626" t="inlineStr">
        <is>
          <t>A 9519-2026</t>
        </is>
      </c>
      <c r="B626" s="1" t="n">
        <v>46071.59820601852</v>
      </c>
      <c r="C626" s="1" t="n">
        <v>46128</v>
      </c>
      <c r="D626" t="inlineStr">
        <is>
          <t>GOTLANDS LÄN</t>
        </is>
      </c>
      <c r="E626" t="inlineStr">
        <is>
          <t>GOTLAND</t>
        </is>
      </c>
      <c r="G626" t="n">
        <v>4</v>
      </c>
      <c r="H626" t="n">
        <v>0</v>
      </c>
      <c r="I626" t="n">
        <v>0</v>
      </c>
      <c r="J626" t="n">
        <v>0</v>
      </c>
      <c r="K626" t="n">
        <v>0</v>
      </c>
      <c r="L626" t="n">
        <v>0</v>
      </c>
      <c r="M626" t="n">
        <v>0</v>
      </c>
      <c r="N626" t="n">
        <v>0</v>
      </c>
      <c r="O626" t="n">
        <v>0</v>
      </c>
      <c r="P626" t="n">
        <v>0</v>
      </c>
      <c r="Q626" t="n">
        <v>0</v>
      </c>
      <c r="R626" s="2" t="inlineStr"/>
    </row>
    <row r="627" ht="15" customHeight="1">
      <c r="A627" t="inlineStr">
        <is>
          <t>A 9540-2026</t>
        </is>
      </c>
      <c r="B627" s="1" t="n">
        <v>46071.61961805556</v>
      </c>
      <c r="C627" s="1" t="n">
        <v>46128</v>
      </c>
      <c r="D627" t="inlineStr">
        <is>
          <t>GOTLANDS LÄN</t>
        </is>
      </c>
      <c r="E627" t="inlineStr">
        <is>
          <t>GOTLAND</t>
        </is>
      </c>
      <c r="G627" t="n">
        <v>2.8</v>
      </c>
      <c r="H627" t="n">
        <v>0</v>
      </c>
      <c r="I627" t="n">
        <v>0</v>
      </c>
      <c r="J627" t="n">
        <v>0</v>
      </c>
      <c r="K627" t="n">
        <v>0</v>
      </c>
      <c r="L627" t="n">
        <v>0</v>
      </c>
      <c r="M627" t="n">
        <v>0</v>
      </c>
      <c r="N627" t="n">
        <v>0</v>
      </c>
      <c r="O627" t="n">
        <v>0</v>
      </c>
      <c r="P627" t="n">
        <v>0</v>
      </c>
      <c r="Q627" t="n">
        <v>0</v>
      </c>
      <c r="R627" s="2" t="inlineStr"/>
    </row>
    <row r="628" ht="15" customHeight="1">
      <c r="A628" t="inlineStr">
        <is>
          <t>A 9521-2026</t>
        </is>
      </c>
      <c r="B628" s="1" t="n">
        <v>46071.59969907408</v>
      </c>
      <c r="C628" s="1" t="n">
        <v>46128</v>
      </c>
      <c r="D628" t="inlineStr">
        <is>
          <t>GOTLANDS LÄN</t>
        </is>
      </c>
      <c r="E628" t="inlineStr">
        <is>
          <t>GOTLAND</t>
        </is>
      </c>
      <c r="G628" t="n">
        <v>3.9</v>
      </c>
      <c r="H628" t="n">
        <v>0</v>
      </c>
      <c r="I628" t="n">
        <v>0</v>
      </c>
      <c r="J628" t="n">
        <v>0</v>
      </c>
      <c r="K628" t="n">
        <v>0</v>
      </c>
      <c r="L628" t="n">
        <v>0</v>
      </c>
      <c r="M628" t="n">
        <v>0</v>
      </c>
      <c r="N628" t="n">
        <v>0</v>
      </c>
      <c r="O628" t="n">
        <v>0</v>
      </c>
      <c r="P628" t="n">
        <v>0</v>
      </c>
      <c r="Q628" t="n">
        <v>0</v>
      </c>
      <c r="R628" s="2" t="inlineStr"/>
    </row>
    <row r="629" ht="15" customHeight="1">
      <c r="A629" t="inlineStr">
        <is>
          <t>A 9524-2026</t>
        </is>
      </c>
      <c r="B629" s="1" t="n">
        <v>46071.60108796296</v>
      </c>
      <c r="C629" s="1" t="n">
        <v>46128</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9543-2026</t>
        </is>
      </c>
      <c r="B630" s="1" t="n">
        <v>46071.62486111111</v>
      </c>
      <c r="C630" s="1" t="n">
        <v>46128</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16993-2026</t>
        </is>
      </c>
      <c r="B631" s="1" t="n">
        <v>46114.41918981481</v>
      </c>
      <c r="C631" s="1" t="n">
        <v>46128</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17000-2026</t>
        </is>
      </c>
      <c r="B632" s="1" t="n">
        <v>46114.42690972222</v>
      </c>
      <c r="C632" s="1" t="n">
        <v>46128</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63152-2025</t>
        </is>
      </c>
      <c r="B633" s="1" t="n">
        <v>46010</v>
      </c>
      <c r="C633" s="1" t="n">
        <v>46128</v>
      </c>
      <c r="D633" t="inlineStr">
        <is>
          <t>GOTLANDS LÄN</t>
        </is>
      </c>
      <c r="E633" t="inlineStr">
        <is>
          <t>GOTLAND</t>
        </is>
      </c>
      <c r="G633" t="n">
        <v>1.5</v>
      </c>
      <c r="H633" t="n">
        <v>0</v>
      </c>
      <c r="I633" t="n">
        <v>0</v>
      </c>
      <c r="J633" t="n">
        <v>0</v>
      </c>
      <c r="K633" t="n">
        <v>0</v>
      </c>
      <c r="L633" t="n">
        <v>0</v>
      </c>
      <c r="M633" t="n">
        <v>0</v>
      </c>
      <c r="N633" t="n">
        <v>0</v>
      </c>
      <c r="O633" t="n">
        <v>0</v>
      </c>
      <c r="P633" t="n">
        <v>0</v>
      </c>
      <c r="Q633" t="n">
        <v>0</v>
      </c>
      <c r="R633" s="2" t="inlineStr"/>
    </row>
    <row r="634" ht="15" customHeight="1">
      <c r="A634" t="inlineStr">
        <is>
          <t>A 10486-2026</t>
        </is>
      </c>
      <c r="B634" s="1" t="n">
        <v>46077.51425925926</v>
      </c>
      <c r="C634" s="1" t="n">
        <v>46128</v>
      </c>
      <c r="D634" t="inlineStr">
        <is>
          <t>GOTLANDS LÄN</t>
        </is>
      </c>
      <c r="E634" t="inlineStr">
        <is>
          <t>GOTLAND</t>
        </is>
      </c>
      <c r="G634" t="n">
        <v>3.5</v>
      </c>
      <c r="H634" t="n">
        <v>0</v>
      </c>
      <c r="I634" t="n">
        <v>0</v>
      </c>
      <c r="J634" t="n">
        <v>0</v>
      </c>
      <c r="K634" t="n">
        <v>0</v>
      </c>
      <c r="L634" t="n">
        <v>0</v>
      </c>
      <c r="M634" t="n">
        <v>0</v>
      </c>
      <c r="N634" t="n">
        <v>0</v>
      </c>
      <c r="O634" t="n">
        <v>0</v>
      </c>
      <c r="P634" t="n">
        <v>0</v>
      </c>
      <c r="Q634" t="n">
        <v>0</v>
      </c>
      <c r="R634" s="2" t="inlineStr"/>
    </row>
    <row r="635" ht="15" customHeight="1">
      <c r="A635" t="inlineStr">
        <is>
          <t>A 9901-2026</t>
        </is>
      </c>
      <c r="B635" s="1" t="n">
        <v>46073.40391203704</v>
      </c>
      <c r="C635" s="1" t="n">
        <v>46128</v>
      </c>
      <c r="D635" t="inlineStr">
        <is>
          <t>GOTLANDS LÄN</t>
        </is>
      </c>
      <c r="E635" t="inlineStr">
        <is>
          <t>GOTLAND</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17328-2026</t>
        </is>
      </c>
      <c r="B636" s="1" t="n">
        <v>46119.61216435185</v>
      </c>
      <c r="C636" s="1" t="n">
        <v>46128</v>
      </c>
      <c r="D636" t="inlineStr">
        <is>
          <t>GOTLANDS LÄN</t>
        </is>
      </c>
      <c r="E636" t="inlineStr">
        <is>
          <t>GOTLAND</t>
        </is>
      </c>
      <c r="F636" t="inlineStr">
        <is>
          <t>Kyrkan</t>
        </is>
      </c>
      <c r="G636" t="n">
        <v>4</v>
      </c>
      <c r="H636" t="n">
        <v>0</v>
      </c>
      <c r="I636" t="n">
        <v>0</v>
      </c>
      <c r="J636" t="n">
        <v>0</v>
      </c>
      <c r="K636" t="n">
        <v>0</v>
      </c>
      <c r="L636" t="n">
        <v>0</v>
      </c>
      <c r="M636" t="n">
        <v>0</v>
      </c>
      <c r="N636" t="n">
        <v>0</v>
      </c>
      <c r="O636" t="n">
        <v>0</v>
      </c>
      <c r="P636" t="n">
        <v>0</v>
      </c>
      <c r="Q636" t="n">
        <v>0</v>
      </c>
      <c r="R636" s="2" t="inlineStr"/>
    </row>
    <row r="637" ht="15" customHeight="1">
      <c r="A637" t="inlineStr">
        <is>
          <t>A 10284-2026</t>
        </is>
      </c>
      <c r="B637" s="1" t="n">
        <v>46076</v>
      </c>
      <c r="C637" s="1" t="n">
        <v>46128</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60384-2025</t>
        </is>
      </c>
      <c r="B638" s="1" t="n">
        <v>45995</v>
      </c>
      <c r="C638" s="1" t="n">
        <v>46128</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17935-2026</t>
        </is>
      </c>
      <c r="B639" s="1" t="n">
        <v>46122</v>
      </c>
      <c r="C639" s="1" t="n">
        <v>46128</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11424-2026</t>
        </is>
      </c>
      <c r="B640" s="1" t="n">
        <v>46083.48068287037</v>
      </c>
      <c r="C640" s="1" t="n">
        <v>46128</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11414-2026</t>
        </is>
      </c>
      <c r="B641" s="1" t="n">
        <v>46083.46336805556</v>
      </c>
      <c r="C641" s="1" t="n">
        <v>46128</v>
      </c>
      <c r="D641" t="inlineStr">
        <is>
          <t>GOTLANDS LÄN</t>
        </is>
      </c>
      <c r="E641" t="inlineStr">
        <is>
          <t>GOTLAND</t>
        </is>
      </c>
      <c r="G641" t="n">
        <v>4.9</v>
      </c>
      <c r="H641" t="n">
        <v>0</v>
      </c>
      <c r="I641" t="n">
        <v>0</v>
      </c>
      <c r="J641" t="n">
        <v>0</v>
      </c>
      <c r="K641" t="n">
        <v>0</v>
      </c>
      <c r="L641" t="n">
        <v>0</v>
      </c>
      <c r="M641" t="n">
        <v>0</v>
      </c>
      <c r="N641" t="n">
        <v>0</v>
      </c>
      <c r="O641" t="n">
        <v>0</v>
      </c>
      <c r="P641" t="n">
        <v>0</v>
      </c>
      <c r="Q641" t="n">
        <v>0</v>
      </c>
      <c r="R641" s="2" t="inlineStr"/>
    </row>
    <row r="642" ht="15" customHeight="1">
      <c r="A642" t="inlineStr">
        <is>
          <t>A 17943-2026</t>
        </is>
      </c>
      <c r="B642" s="1" t="n">
        <v>46122</v>
      </c>
      <c r="C642" s="1" t="n">
        <v>46128</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54584-2025</t>
        </is>
      </c>
      <c r="B643" s="1" t="n">
        <v>45965.71788194445</v>
      </c>
      <c r="C643" s="1" t="n">
        <v>46128</v>
      </c>
      <c r="D643" t="inlineStr">
        <is>
          <t>GOTLANDS LÄN</t>
        </is>
      </c>
      <c r="E643" t="inlineStr">
        <is>
          <t>GOTLAND</t>
        </is>
      </c>
      <c r="G643" t="n">
        <v>3.5</v>
      </c>
      <c r="H643" t="n">
        <v>0</v>
      </c>
      <c r="I643" t="n">
        <v>0</v>
      </c>
      <c r="J643" t="n">
        <v>0</v>
      </c>
      <c r="K643" t="n">
        <v>0</v>
      </c>
      <c r="L643" t="n">
        <v>0</v>
      </c>
      <c r="M643" t="n">
        <v>0</v>
      </c>
      <c r="N643" t="n">
        <v>0</v>
      </c>
      <c r="O643" t="n">
        <v>0</v>
      </c>
      <c r="P643" t="n">
        <v>0</v>
      </c>
      <c r="Q643" t="n">
        <v>0</v>
      </c>
      <c r="R643" s="2" t="inlineStr"/>
    </row>
    <row r="644" ht="15" customHeight="1">
      <c r="A644" t="inlineStr">
        <is>
          <t>A 3067-2026</t>
        </is>
      </c>
      <c r="B644" s="1" t="n">
        <v>46040.59025462963</v>
      </c>
      <c r="C644" s="1" t="n">
        <v>46128</v>
      </c>
      <c r="D644" t="inlineStr">
        <is>
          <t>GOTLANDS LÄN</t>
        </is>
      </c>
      <c r="E644" t="inlineStr">
        <is>
          <t>GOTLAND</t>
        </is>
      </c>
      <c r="G644" t="n">
        <v>7.8</v>
      </c>
      <c r="H644" t="n">
        <v>0</v>
      </c>
      <c r="I644" t="n">
        <v>0</v>
      </c>
      <c r="J644" t="n">
        <v>0</v>
      </c>
      <c r="K644" t="n">
        <v>0</v>
      </c>
      <c r="L644" t="n">
        <v>0</v>
      </c>
      <c r="M644" t="n">
        <v>0</v>
      </c>
      <c r="N644" t="n">
        <v>0</v>
      </c>
      <c r="O644" t="n">
        <v>0</v>
      </c>
      <c r="P644" t="n">
        <v>0</v>
      </c>
      <c r="Q644" t="n">
        <v>0</v>
      </c>
      <c r="R644" s="2" t="inlineStr"/>
    </row>
    <row r="645">
      <c r="A645" t="inlineStr">
        <is>
          <t>A 11982-2026</t>
        </is>
      </c>
      <c r="B645" s="1" t="n">
        <v>46085.6434375</v>
      </c>
      <c r="C645" s="1" t="n">
        <v>46128</v>
      </c>
      <c r="D645" t="inlineStr">
        <is>
          <t>GOTLANDS LÄN</t>
        </is>
      </c>
      <c r="E645" t="inlineStr">
        <is>
          <t>GOTLAND</t>
        </is>
      </c>
      <c r="G645" t="n">
        <v>2.2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2026-04-16T10:24:52Z</dcterms:created>
  <dcterms:modified xmlns:dcterms="http://purl.org/dc/terms/" xmlns:xsi="http://www.w3.org/2001/XMLSchema-instance" xsi:type="dcterms:W3CDTF">2026-04-16T10:24:52Z</dcterms:modified>
</cp:coreProperties>
</file>