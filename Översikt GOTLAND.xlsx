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46241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46241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46241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46241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46241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46241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46241</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46241</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46241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46241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46241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46241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46241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46241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46241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46241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46241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46241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46241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46241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46241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15850-2025</t>
        </is>
      </c>
      <c r="B23" t="inlineStr">
        <is>
          <t>avverkningsanmälan</t>
        </is>
      </c>
      <c r="C23" t="inlineStr">
        <is>
          <t>Föryngringsavverkning</t>
        </is>
      </c>
      <c r="D23" s="1" t="n">
        <v>45748</v>
      </c>
      <c r="E23" s="1" t="n">
        <v>46241</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62551-2022</t>
        </is>
      </c>
      <c r="B24" t="inlineStr">
        <is>
          <t>avverkningsanmälan</t>
        </is>
      </c>
      <c r="C24" t="inlineStr">
        <is>
          <t>Föryngringsavverkning</t>
        </is>
      </c>
      <c r="D24" s="1" t="n">
        <v>44924</v>
      </c>
      <c r="E24" s="1" t="n">
        <v>46241</v>
      </c>
      <c r="F24" t="inlineStr">
        <is>
          <t>GOTLANDS LÄN</t>
        </is>
      </c>
      <c r="G24" t="inlineStr">
        <is>
          <t>GOTLAND</t>
        </is>
      </c>
      <c r="I24" t="n">
        <v>7.9</v>
      </c>
      <c r="J24" t="n">
        <v>4</v>
      </c>
      <c r="K24" t="n">
        <v>7</v>
      </c>
      <c r="L24" t="n">
        <v>9</v>
      </c>
      <c r="M24" t="n">
        <v>4</v>
      </c>
      <c r="N24" t="n">
        <v>0</v>
      </c>
      <c r="O24" t="n">
        <v>0</v>
      </c>
      <c r="P24" t="n">
        <v>0</v>
      </c>
      <c r="Q24" t="n">
        <v>13</v>
      </c>
      <c r="R24" t="n">
        <v>4</v>
      </c>
      <c r="S24" t="n">
        <v>21</v>
      </c>
      <c r="T24" t="n">
        <v>68</v>
      </c>
      <c r="U24" t="n">
        <v>40</v>
      </c>
      <c r="V24"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4">
        <f>HYPERLINK("https://klasma.github.io/Logging_0980/artfynd/A 62551-2022 artfynd.xlsx", "A 62551-2022")</f>
        <v/>
      </c>
      <c r="X24">
        <f>HYPERLINK("https://klasma.github.io/Logging_0980/kartor/A 62551-2022 karta.png", "A 62551-2022")</f>
        <v/>
      </c>
      <c r="Y24">
        <f>HYPERLINK("https://klasma.github.io/Logging_0980/kartor_geotiff/A 62551-2022 georefererad karta.tif", "A 62551-2022")</f>
        <v/>
      </c>
      <c r="AA24">
        <f>HYPERLINK("https://klasma.github.io/Logging_0980/klagomål/A 62551-2022 FSC-klagomål.docx", "A 62551-2022")</f>
        <v/>
      </c>
      <c r="AB24">
        <f>HYPERLINK("https://klasma.github.io/Logging_0980/klagomålsmail/A 62551-2022 FSC-klagomål mail.docx", "A 62551-2022")</f>
        <v/>
      </c>
      <c r="AC24">
        <f>HYPERLINK("https://klasma.github.io/Logging_0980/tillsyn/A 62551-2022 tillsynsbegäran.docx", "A 62551-2022")</f>
        <v/>
      </c>
      <c r="AD24">
        <f>HYPERLINK("https://klasma.github.io/Logging_0980/tillsynsmail/A 62551-2022 tillsynsbegäran mail.docx", "A 62551-2022")</f>
        <v/>
      </c>
    </row>
    <row r="25" ht="15" customHeight="1">
      <c r="A25" t="inlineStr">
        <is>
          <t>A 15068-2025</t>
        </is>
      </c>
      <c r="B25" t="inlineStr">
        <is>
          <t>avverkningsanmälan</t>
        </is>
      </c>
      <c r="C25" t="inlineStr">
        <is>
          <t>Avverkning för annat ändamål</t>
        </is>
      </c>
      <c r="D25" s="1" t="n">
        <v>45743</v>
      </c>
      <c r="E25" s="1" t="n">
        <v>46241</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46241</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46241</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46241</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46241</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46241</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46241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63872-2021</t>
        </is>
      </c>
      <c r="B32" t="inlineStr">
        <is>
          <t>avverkningsanmälan</t>
        </is>
      </c>
      <c r="C32" t="inlineStr">
        <is>
          <t>Föryngringsavverkning</t>
        </is>
      </c>
      <c r="D32" s="1" t="n">
        <v>44509</v>
      </c>
      <c r="E32" s="1" t="n">
        <v>46241</v>
      </c>
      <c r="F32" t="inlineStr">
        <is>
          <t>GOTLANDS LÄN</t>
        </is>
      </c>
      <c r="G32" t="inlineStr">
        <is>
          <t>GOTLAND</t>
        </is>
      </c>
      <c r="I32" t="n">
        <v>20.5</v>
      </c>
      <c r="J32" t="n">
        <v>4</v>
      </c>
      <c r="K32" t="n">
        <v>1</v>
      </c>
      <c r="L32" t="n">
        <v>7</v>
      </c>
      <c r="M32" t="n">
        <v>7</v>
      </c>
      <c r="N32" t="n">
        <v>0</v>
      </c>
      <c r="O32" t="n">
        <v>0</v>
      </c>
      <c r="P32" t="n">
        <v>0</v>
      </c>
      <c r="Q32" t="n">
        <v>14</v>
      </c>
      <c r="R32" t="n">
        <v>7</v>
      </c>
      <c r="S32" t="n">
        <v>18</v>
      </c>
      <c r="T32" t="n">
        <v>47</v>
      </c>
      <c r="U32" t="n">
        <v>36</v>
      </c>
      <c r="V32"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2">
        <f>HYPERLINK("https://klasma.github.io/Logging_0980/artfynd/A 63872-2021 artfynd.xlsx", "A 63872-2021")</f>
        <v/>
      </c>
      <c r="X32">
        <f>HYPERLINK("https://klasma.github.io/Logging_0980/kartor/A 63872-2021 karta.png", "A 63872-2021")</f>
        <v/>
      </c>
      <c r="Y32">
        <f>HYPERLINK("https://klasma.github.io/Logging_0980/kartor_geotiff/A 63872-2021 georefererad karta.tif", "A 63872-2021")</f>
        <v/>
      </c>
      <c r="AA32">
        <f>HYPERLINK("https://klasma.github.io/Logging_0980/klagomål/A 63872-2021 FSC-klagomål.docx", "A 63872-2021")</f>
        <v/>
      </c>
      <c r="AB32">
        <f>HYPERLINK("https://klasma.github.io/Logging_0980/klagomålsmail/A 63872-2021 FSC-klagomål mail.docx", "A 63872-2021")</f>
        <v/>
      </c>
      <c r="AC32">
        <f>HYPERLINK("https://klasma.github.io/Logging_0980/tillsyn/A 63872-2021 tillsynsbegäran.docx", "A 63872-2021")</f>
        <v/>
      </c>
      <c r="AD32">
        <f>HYPERLINK("https://klasma.github.io/Logging_0980/tillsynsmail/A 63872-2021 tillsynsbegäran mail.docx", "A 63872-2021")</f>
        <v/>
      </c>
      <c r="AE32">
        <f>HYPERLINK("https://klasma.github.io/Logging_0980/fåglar/A 63872-2021 prioriterade fågelarter.docx", "A 63872-2021")</f>
        <v/>
      </c>
    </row>
    <row r="33" ht="15" customHeight="1">
      <c r="A33" t="inlineStr">
        <is>
          <t>A 62132-2023</t>
        </is>
      </c>
      <c r="B33" t="inlineStr">
        <is>
          <t>avverkningsanmälan</t>
        </is>
      </c>
      <c r="C33" t="inlineStr">
        <is>
          <t>Föryngringsavverkning</t>
        </is>
      </c>
      <c r="D33" s="1" t="n">
        <v>45267</v>
      </c>
      <c r="E33" s="1" t="n">
        <v>46241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A 61697-2023</t>
        </is>
      </c>
      <c r="B34" t="inlineStr">
        <is>
          <t>avverkningsanmälan</t>
        </is>
      </c>
      <c r="C34" t="inlineStr">
        <is>
          <t>Föryngringsavverkning</t>
        </is>
      </c>
      <c r="D34" s="1" t="n">
        <v>45265</v>
      </c>
      <c r="E34" s="1" t="n">
        <v>46241</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S 7747-2021</t>
        </is>
      </c>
      <c r="B35" t="inlineStr">
        <is>
          <t>samrådsanmälan</t>
        </is>
      </c>
      <c r="C35" t="inlineStr">
        <is>
          <t>Annan skogsbruksåtgärd</t>
        </is>
      </c>
      <c r="D35" s="1" t="n">
        <v>44480</v>
      </c>
      <c r="E35" s="1" t="n">
        <v>46241</v>
      </c>
      <c r="F35" t="inlineStr">
        <is>
          <t>GOTLANDS LÄN</t>
        </is>
      </c>
      <c r="G35" t="inlineStr">
        <is>
          <t>GOTLAND</t>
        </is>
      </c>
      <c r="I35" t="n">
        <v>0.8</v>
      </c>
      <c r="J35" t="n">
        <v>8</v>
      </c>
      <c r="K35" t="n">
        <v>7</v>
      </c>
      <c r="L35" t="n">
        <v>4</v>
      </c>
      <c r="M35" t="n">
        <v>0</v>
      </c>
      <c r="N35" t="n">
        <v>0</v>
      </c>
      <c r="O35" t="n">
        <v>0</v>
      </c>
      <c r="P35" t="n">
        <v>0</v>
      </c>
      <c r="Q35" t="n">
        <v>4</v>
      </c>
      <c r="R35" t="n">
        <v>0</v>
      </c>
      <c r="S35" t="n">
        <v>17</v>
      </c>
      <c r="T35" t="n">
        <v>45</v>
      </c>
      <c r="U35" t="n">
        <v>33</v>
      </c>
      <c r="V35" s="2" t="inlineStr">
        <is>
          <t>Loppstarr
Luktsporre
Majviva
Ängsstarr
Axag
Flugblomster
Gräsull
Kalkkällmossa
Kamtuffmossa
Klotuffmossa
Kärrlilja
Brudsporre
Dubbelnycklar
Fläcknycklar
Kärrknipprot
Vanliga ängsnycklar
Äkta ängsnycklar × sumpnycklar</t>
        </is>
      </c>
      <c r="W35">
        <f>HYPERLINK("https://klasma.github.io/Logging_0980/artfynd/S 7747-2021 artfynd.xlsx", "S 7747-2021")</f>
        <v/>
      </c>
      <c r="X35">
        <f>HYPERLINK("https://klasma.github.io/Logging_0980/kartor/S 7747-2021 karta.png", "S 7747-2021")</f>
        <v/>
      </c>
      <c r="Y35">
        <f>HYPERLINK("https://klasma.github.io/Logging_0980/kartor_geotiff/S 7747-2021 georefererad karta.tif", "S 7747-2021")</f>
        <v/>
      </c>
      <c r="AA35">
        <f>HYPERLINK("https://klasma.github.io/Logging_0980/klagomål/S 7747-2021 FSC-klagomål.docx", "S 7747-2021")</f>
        <v/>
      </c>
      <c r="AB35">
        <f>HYPERLINK("https://klasma.github.io/Logging_0980/klagomålsmail/S 7747-2021 FSC-klagomål mail.docx", "S 7747-2021")</f>
        <v/>
      </c>
      <c r="AC35">
        <f>HYPERLINK("https://klasma.github.io/Logging_0980/tillsyn/S 7747-2021 tillsynsbegäran.docx", "S 7747-2021")</f>
        <v/>
      </c>
      <c r="AD35">
        <f>HYPERLINK("https://klasma.github.io/Logging_0980/tillsynsmail/S 7747-2021 tillsynsbegäran mail.docx", "S 7747-2021")</f>
        <v/>
      </c>
    </row>
    <row r="36" ht="15" customHeight="1">
      <c r="A36" t="inlineStr">
        <is>
          <t>A 44204-2022</t>
        </is>
      </c>
      <c r="B36" t="inlineStr">
        <is>
          <t>avverkningsanmälan</t>
        </is>
      </c>
      <c r="C36" t="inlineStr">
        <is>
          <t>Föryngringsavverkning</t>
        </is>
      </c>
      <c r="D36" s="1" t="n">
        <v>44839</v>
      </c>
      <c r="E36" s="1" t="n">
        <v>46241</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35141-2022</t>
        </is>
      </c>
      <c r="B37" t="inlineStr">
        <is>
          <t>avverkningsanmälan</t>
        </is>
      </c>
      <c r="C37" t="inlineStr">
        <is>
          <t>Föryngringsavverkning</t>
        </is>
      </c>
      <c r="D37" s="1" t="n">
        <v>44797</v>
      </c>
      <c r="E37" s="1" t="n">
        <v>46241</v>
      </c>
      <c r="F37" t="inlineStr">
        <is>
          <t>GOTLANDS LÄN</t>
        </is>
      </c>
      <c r="G37" t="inlineStr">
        <is>
          <t>GOTLAND</t>
        </is>
      </c>
      <c r="I37" t="n">
        <v>1.8</v>
      </c>
      <c r="J37" t="n">
        <v>1</v>
      </c>
      <c r="K37" t="n">
        <v>8</v>
      </c>
      <c r="L37" t="n">
        <v>4</v>
      </c>
      <c r="M37" t="n">
        <v>4</v>
      </c>
      <c r="N37" t="n">
        <v>0</v>
      </c>
      <c r="O37" t="n">
        <v>0</v>
      </c>
      <c r="P37" t="n">
        <v>0</v>
      </c>
      <c r="Q37" t="n">
        <v>8</v>
      </c>
      <c r="R37" t="n">
        <v>4</v>
      </c>
      <c r="S37" t="n">
        <v>16</v>
      </c>
      <c r="T37" t="n">
        <v>24</v>
      </c>
      <c r="U37" t="n">
        <v>24</v>
      </c>
      <c r="V37"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7">
        <f>HYPERLINK("https://klasma.github.io/Logging_0980/artfynd/A 35141-2022 artfynd.xlsx", "A 35141-2022")</f>
        <v/>
      </c>
      <c r="X37">
        <f>HYPERLINK("https://klasma.github.io/Logging_0980/kartor/A 35141-2022 karta.png", "A 35141-2022")</f>
        <v/>
      </c>
      <c r="Y37">
        <f>HYPERLINK("https://klasma.github.io/Logging_0980/kartor_geotiff/A 35141-2022 georefererad karta.tif", "A 35141-2022")</f>
        <v/>
      </c>
      <c r="AA37">
        <f>HYPERLINK("https://klasma.github.io/Logging_0980/klagomål/A 35141-2022 FSC-klagomål.docx", "A 35141-2022")</f>
        <v/>
      </c>
      <c r="AB37">
        <f>HYPERLINK("https://klasma.github.io/Logging_0980/klagomålsmail/A 35141-2022 FSC-klagomål mail.docx", "A 35141-2022")</f>
        <v/>
      </c>
      <c r="AC37">
        <f>HYPERLINK("https://klasma.github.io/Logging_0980/tillsyn/A 35141-2022 tillsynsbegäran.docx", "A 35141-2022")</f>
        <v/>
      </c>
      <c r="AD37">
        <f>HYPERLINK("https://klasma.github.io/Logging_0980/tillsynsmail/A 35141-2022 tillsynsbegäran mail.docx", "A 35141-2022")</f>
        <v/>
      </c>
    </row>
    <row r="38" ht="15" customHeight="1">
      <c r="A38" t="inlineStr">
        <is>
          <t>A 2213-2023</t>
        </is>
      </c>
      <c r="B38" t="inlineStr">
        <is>
          <t>avverkningsanmälan</t>
        </is>
      </c>
      <c r="C38" t="inlineStr">
        <is>
          <t>Föryngringsavverkning</t>
        </is>
      </c>
      <c r="D38" s="1" t="n">
        <v>44942</v>
      </c>
      <c r="E38" s="1" t="n">
        <v>46241</v>
      </c>
      <c r="F38" t="inlineStr">
        <is>
          <t>GOTLANDS LÄN</t>
        </is>
      </c>
      <c r="G38" t="inlineStr">
        <is>
          <t>GOTLAND</t>
        </is>
      </c>
      <c r="I38" t="n">
        <v>2.7</v>
      </c>
      <c r="J38" t="n">
        <v>1</v>
      </c>
      <c r="K38" t="n">
        <v>2</v>
      </c>
      <c r="L38" t="n">
        <v>10</v>
      </c>
      <c r="M38" t="n">
        <v>4</v>
      </c>
      <c r="N38" t="n">
        <v>0</v>
      </c>
      <c r="O38" t="n">
        <v>0</v>
      </c>
      <c r="P38" t="n">
        <v>0</v>
      </c>
      <c r="Q38" t="n">
        <v>14</v>
      </c>
      <c r="R38" t="n">
        <v>4</v>
      </c>
      <c r="S38" t="n">
        <v>16</v>
      </c>
      <c r="T38" t="n">
        <v>35</v>
      </c>
      <c r="U38" t="n">
        <v>18</v>
      </c>
      <c r="V38"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8">
        <f>HYPERLINK("https://klasma.github.io/Logging_0980/artfynd/A 2213-2023 artfynd.xlsx", "A 2213-2023")</f>
        <v/>
      </c>
      <c r="X38">
        <f>HYPERLINK("https://klasma.github.io/Logging_0980/kartor/A 2213-2023 karta.png", "A 2213-2023")</f>
        <v/>
      </c>
      <c r="Y38">
        <f>HYPERLINK("https://klasma.github.io/Logging_0980/kartor_geotiff/A 2213-2023 georefererad karta.tif", "A 2213-2023")</f>
        <v/>
      </c>
      <c r="AA38">
        <f>HYPERLINK("https://klasma.github.io/Logging_0980/klagomål/A 2213-2023 FSC-klagomål.docx", "A 2213-2023")</f>
        <v/>
      </c>
      <c r="AB38">
        <f>HYPERLINK("https://klasma.github.io/Logging_0980/klagomålsmail/A 2213-2023 FSC-klagomål mail.docx", "A 2213-2023")</f>
        <v/>
      </c>
      <c r="AC38">
        <f>HYPERLINK("https://klasma.github.io/Logging_0980/tillsyn/A 2213-2023 tillsynsbegäran.docx", "A 2213-2023")</f>
        <v/>
      </c>
      <c r="AD38">
        <f>HYPERLINK("https://klasma.github.io/Logging_0980/tillsynsmail/A 2213-2023 tillsynsbegäran mail.docx", "A 2213-2023")</f>
        <v/>
      </c>
    </row>
    <row r="39" ht="15" customHeight="1">
      <c r="A39" t="inlineStr">
        <is>
          <t>A 25779-2022</t>
        </is>
      </c>
      <c r="B39" t="inlineStr">
        <is>
          <t>avverkningsanmälan</t>
        </is>
      </c>
      <c r="C39" t="inlineStr">
        <is>
          <t>Föryngringsavverkning</t>
        </is>
      </c>
      <c r="D39" s="1" t="n">
        <v>44733</v>
      </c>
      <c r="E39" s="1" t="n">
        <v>46241</v>
      </c>
      <c r="F39" t="inlineStr">
        <is>
          <t>GOTLANDS LÄN</t>
        </is>
      </c>
      <c r="G39" t="inlineStr">
        <is>
          <t>GOTLAND</t>
        </is>
      </c>
      <c r="I39" t="n">
        <v>12.6</v>
      </c>
      <c r="J39" t="n">
        <v>4</v>
      </c>
      <c r="K39" t="n">
        <v>8</v>
      </c>
      <c r="L39" t="n">
        <v>5</v>
      </c>
      <c r="M39" t="n">
        <v>2</v>
      </c>
      <c r="N39" t="n">
        <v>1</v>
      </c>
      <c r="O39" t="n">
        <v>0</v>
      </c>
      <c r="P39" t="n">
        <v>0</v>
      </c>
      <c r="Q39" t="n">
        <v>8</v>
      </c>
      <c r="R39" t="n">
        <v>3</v>
      </c>
      <c r="S39" t="n">
        <v>16</v>
      </c>
      <c r="T39" t="n">
        <v>30</v>
      </c>
      <c r="U39" t="n">
        <v>5</v>
      </c>
      <c r="V39" s="2" t="inlineStr">
        <is>
          <t>Ruttaggsvamp
Duvspindling
Knärot
Blå slemspindling
Flattoppad klubbsvamp
Jordtistel
Odörspindling
Solvända
Nästrot
Rödgul trumpetsvamp
Skogsknipprot
Strimspindling
Strävlosta
Svavelriska
Vit skogslilja
Zontaggsvamp</t>
        </is>
      </c>
      <c r="W39">
        <f>HYPERLINK("https://klasma.github.io/Logging_0980/artfynd/A 25779-2022 artfynd.xlsx", "A 25779-2022")</f>
        <v/>
      </c>
      <c r="X39">
        <f>HYPERLINK("https://klasma.github.io/Logging_0980/kartor/A 25779-2022 karta.png", "A 25779-2022")</f>
        <v/>
      </c>
      <c r="Y39">
        <f>HYPERLINK("https://klasma.github.io/Logging_0980/kartor_geotiff/A 25779-2022 georefererad karta.tif", "A 25779-2022")</f>
        <v/>
      </c>
      <c r="Z39">
        <f>HYPERLINK("https://klasma.github.io/Logging_0980/knärot/A 25779-2022 karta knärot.png", "A 25779-2022")</f>
        <v/>
      </c>
      <c r="AA39">
        <f>HYPERLINK("https://klasma.github.io/Logging_0980/klagomål/A 25779-2022 FSC-klagomål.docx", "A 25779-2022")</f>
        <v/>
      </c>
      <c r="AB39">
        <f>HYPERLINK("https://klasma.github.io/Logging_0980/klagomålsmail/A 25779-2022 FSC-klagomål mail.docx", "A 25779-2022")</f>
        <v/>
      </c>
      <c r="AC39">
        <f>HYPERLINK("https://klasma.github.io/Logging_0980/tillsyn/A 25779-2022 tillsynsbegäran.docx", "A 25779-2022")</f>
        <v/>
      </c>
      <c r="AD39">
        <f>HYPERLINK("https://klasma.github.io/Logging_0980/tillsynsmail/A 25779-2022 tillsynsbegäran mail.docx", "A 25779-2022")</f>
        <v/>
      </c>
    </row>
    <row r="40" ht="15" customHeight="1">
      <c r="A40" t="inlineStr">
        <is>
          <t>A 43201-2023</t>
        </is>
      </c>
      <c r="B40" t="inlineStr">
        <is>
          <t>avverkningsanmälan</t>
        </is>
      </c>
      <c r="C40" t="inlineStr">
        <is>
          <t>Avverkning för annat ändamål</t>
        </is>
      </c>
      <c r="D40" s="1" t="n">
        <v>45183</v>
      </c>
      <c r="E40" s="1" t="n">
        <v>46241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46241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46241</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46241</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46241</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46241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46241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46241</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46241</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46241</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46241</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46241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46241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46241</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46241</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46241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46241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46241</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46241</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46241</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46241</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55649-2024</t>
        </is>
      </c>
      <c r="B61" t="inlineStr">
        <is>
          <t>avverkningsanmälan</t>
        </is>
      </c>
      <c r="C61" t="inlineStr">
        <is>
          <t>Föryngringsavverkning</t>
        </is>
      </c>
      <c r="D61" s="1" t="n">
        <v>45622</v>
      </c>
      <c r="E61" s="1" t="n">
        <v>46241</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46241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46241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46241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46241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46241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46241</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46241</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A 17328-2026</t>
        </is>
      </c>
      <c r="B69" t="inlineStr">
        <is>
          <t>avverkningsanmälan</t>
        </is>
      </c>
      <c r="C69" t="inlineStr">
        <is>
          <t>Föryngringsavverkning</t>
        </is>
      </c>
      <c r="D69" s="1" t="n">
        <v>46119</v>
      </c>
      <c r="E69" s="1" t="n">
        <v>46241</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46241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46241</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46241</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46241</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46241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46241</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46241</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446-2023</t>
        </is>
      </c>
      <c r="B77" t="inlineStr">
        <is>
          <t>avverkningsanmälan</t>
        </is>
      </c>
      <c r="C77" t="inlineStr">
        <is>
          <t>Föryngringsavverkning</t>
        </is>
      </c>
      <c r="D77" s="1" t="n">
        <v>44929</v>
      </c>
      <c r="E77" s="1" t="n">
        <v>46241</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7038-2023</t>
        </is>
      </c>
      <c r="B78" t="inlineStr">
        <is>
          <t>avverkningsanmälan</t>
        </is>
      </c>
      <c r="C78" t="inlineStr">
        <is>
          <t>Föryngringsavverkning</t>
        </is>
      </c>
      <c r="D78" s="1" t="n">
        <v>44968</v>
      </c>
      <c r="E78" s="1" t="n">
        <v>46241</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27170-2026</t>
        </is>
      </c>
      <c r="B79" t="inlineStr">
        <is>
          <t>avverkningsanmälan</t>
        </is>
      </c>
      <c r="C79" t="inlineStr">
        <is>
          <t>Föryngringsavverkning</t>
        </is>
      </c>
      <c r="D79" s="1" t="n">
        <v>46188</v>
      </c>
      <c r="E79" s="1" t="n">
        <v>46241</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46241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46241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46241</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46241</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34142-2024</t>
        </is>
      </c>
      <c r="B84" t="inlineStr">
        <is>
          <t>avverkningsanmälan</t>
        </is>
      </c>
      <c r="C84" t="inlineStr">
        <is>
          <t>Föryngringsavverkning</t>
        </is>
      </c>
      <c r="D84" s="1" t="n">
        <v>45524</v>
      </c>
      <c r="E84" s="1" t="n">
        <v>46241</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999-2023</t>
        </is>
      </c>
      <c r="B85" t="inlineStr">
        <is>
          <t>avverkningsanmälan</t>
        </is>
      </c>
      <c r="C85" t="inlineStr">
        <is>
          <t>Föryngringsavverkning</t>
        </is>
      </c>
      <c r="D85" s="1" t="n">
        <v>44935</v>
      </c>
      <c r="E85" s="1" t="n">
        <v>46241</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10419-2025</t>
        </is>
      </c>
      <c r="B86" t="inlineStr">
        <is>
          <t>avverkningsanmälan</t>
        </is>
      </c>
      <c r="C86" t="inlineStr">
        <is>
          <t>Avverkning för att bevara och utveckla /försöksver</t>
        </is>
      </c>
      <c r="D86" s="1" t="n">
        <v>45720</v>
      </c>
      <c r="E86" s="1" t="n">
        <v>46241</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A 35293-2025</t>
        </is>
      </c>
      <c r="B87" t="inlineStr">
        <is>
          <t>avverkningsanmälan</t>
        </is>
      </c>
      <c r="C87" t="inlineStr">
        <is>
          <t>Föryngringsavverkning</t>
        </is>
      </c>
      <c r="D87" s="1" t="n">
        <v>45854</v>
      </c>
      <c r="E87" s="1" t="n">
        <v>46241</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46241</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46241</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46241</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46241</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46241</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46241</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A 16823-2024</t>
        </is>
      </c>
      <c r="B94" t="inlineStr">
        <is>
          <t>avverkningsanmälan</t>
        </is>
      </c>
      <c r="C94" t="inlineStr">
        <is>
          <t>Avverkning för annat ändamål</t>
        </is>
      </c>
      <c r="D94" s="1" t="n">
        <v>45411</v>
      </c>
      <c r="E94" s="1" t="n">
        <v>46241</v>
      </c>
      <c r="F94" t="inlineStr">
        <is>
          <t>GOTLANDS LÄN</t>
        </is>
      </c>
      <c r="G94" t="inlineStr">
        <is>
          <t>GOTLAND</t>
        </is>
      </c>
      <c r="I94" t="n">
        <v>25.4</v>
      </c>
      <c r="J94" t="n">
        <v>5</v>
      </c>
      <c r="K94" t="n">
        <v>1</v>
      </c>
      <c r="L94" t="n">
        <v>2</v>
      </c>
      <c r="M94" t="n">
        <v>0</v>
      </c>
      <c r="N94" t="n">
        <v>0</v>
      </c>
      <c r="O94" t="n">
        <v>0</v>
      </c>
      <c r="P94" t="n">
        <v>0</v>
      </c>
      <c r="Q94" t="n">
        <v>2</v>
      </c>
      <c r="R94" t="n">
        <v>0</v>
      </c>
      <c r="S94" t="n">
        <v>6</v>
      </c>
      <c r="T94" t="n">
        <v>8</v>
      </c>
      <c r="U94" t="n">
        <v>7</v>
      </c>
      <c r="V94" s="2" t="inlineStr">
        <is>
          <t>Gulsparv
Jordtistel
Flugblomster
Brudsporre
Johannesnycklar
Sankt pers nycklar</t>
        </is>
      </c>
      <c r="W94">
        <f>HYPERLINK("https://klasma.github.io/Logging_0980/artfynd/A 16823-2024 artfynd.xlsx", "A 16823-2024")</f>
        <v/>
      </c>
      <c r="X94">
        <f>HYPERLINK("https://klasma.github.io/Logging_0980/kartor/A 16823-2024 karta.png", "A 16823-2024")</f>
        <v/>
      </c>
      <c r="Y94">
        <f>HYPERLINK("https://klasma.github.io/Logging_0980/kartor_geotiff/A 16823-2024 georefererad karta.tif", "A 16823-2024")</f>
        <v/>
      </c>
      <c r="AA94">
        <f>HYPERLINK("https://klasma.github.io/Logging_0980/klagomål/A 16823-2024 FSC-klagomål.docx", "A 16823-2024")</f>
        <v/>
      </c>
      <c r="AB94">
        <f>HYPERLINK("https://klasma.github.io/Logging_0980/klagomålsmail/A 16823-2024 FSC-klagomål mail.docx", "A 16823-2024")</f>
        <v/>
      </c>
      <c r="AC94">
        <f>HYPERLINK("https://klasma.github.io/Logging_0980/tillsyn/A 16823-2024 tillsynsbegäran.docx", "A 16823-2024")</f>
        <v/>
      </c>
      <c r="AD94">
        <f>HYPERLINK("https://klasma.github.io/Logging_0980/tillsynsmail/A 16823-2024 tillsynsbegäran mail.docx", "A 16823-2024")</f>
        <v/>
      </c>
      <c r="AE94">
        <f>HYPERLINK("https://klasma.github.io/Logging_0980/fåglar/A 16823-2024 prioriterade fågelarter.docx", "A 16823-2024")</f>
        <v/>
      </c>
    </row>
    <row r="95" ht="15" customHeight="1">
      <c r="A95" t="inlineStr">
        <is>
          <t>S 452-2025</t>
        </is>
      </c>
      <c r="B95" t="inlineStr">
        <is>
          <t>samrådsanmälan</t>
        </is>
      </c>
      <c r="C95" t="inlineStr">
        <is>
          <t>Askåterföring</t>
        </is>
      </c>
      <c r="D95" s="1" t="n">
        <v>45701</v>
      </c>
      <c r="E95" s="1" t="n">
        <v>46241</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46241</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46241</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46241</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46241</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57463-2025</t>
        </is>
      </c>
      <c r="B100" t="inlineStr">
        <is>
          <t>avverkningsanmälan</t>
        </is>
      </c>
      <c r="C100" t="inlineStr">
        <is>
          <t>Föryngringsavverkning</t>
        </is>
      </c>
      <c r="D100" s="1" t="n">
        <v>45980</v>
      </c>
      <c r="E100" s="1" t="n">
        <v>46241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39425-2023</t>
        </is>
      </c>
      <c r="B101" t="inlineStr">
        <is>
          <t>avverkningsanmälan</t>
        </is>
      </c>
      <c r="C101" t="inlineStr">
        <is>
          <t>Avverkning för annat ändamål</t>
        </is>
      </c>
      <c r="D101" s="1" t="n">
        <v>45166</v>
      </c>
      <c r="E101" s="1" t="n">
        <v>46241</v>
      </c>
      <c r="F101" t="inlineStr">
        <is>
          <t>GOTLANDS LÄN</t>
        </is>
      </c>
      <c r="G101" t="inlineStr">
        <is>
          <t>GOTLAND</t>
        </is>
      </c>
      <c r="I101" t="n">
        <v>3.9</v>
      </c>
      <c r="J101" t="n">
        <v>1</v>
      </c>
      <c r="K101" t="n">
        <v>3</v>
      </c>
      <c r="L101" t="n">
        <v>0</v>
      </c>
      <c r="M101" t="n">
        <v>1</v>
      </c>
      <c r="N101" t="n">
        <v>1</v>
      </c>
      <c r="O101" t="n">
        <v>0</v>
      </c>
      <c r="P101" t="n">
        <v>0</v>
      </c>
      <c r="Q101" t="n">
        <v>2</v>
      </c>
      <c r="R101" t="n">
        <v>2</v>
      </c>
      <c r="S101" t="n">
        <v>5</v>
      </c>
      <c r="T101" t="n">
        <v>7</v>
      </c>
      <c r="U101" t="n">
        <v>7</v>
      </c>
      <c r="V101" s="2" t="inlineStr">
        <is>
          <t>Violgubbe
Knärot
Anisspindling
Rödgul trumpetsvamp
Svavelriska</t>
        </is>
      </c>
      <c r="W101">
        <f>HYPERLINK("https://klasma.github.io/Logging_0980/artfynd/A 39425-2023 artfynd.xlsx", "A 39425-2023")</f>
        <v/>
      </c>
      <c r="X101">
        <f>HYPERLINK("https://klasma.github.io/Logging_0980/kartor/A 39425-2023 karta.png", "A 39425-2023")</f>
        <v/>
      </c>
      <c r="Y101">
        <f>HYPERLINK("https://klasma.github.io/Logging_0980/kartor_geotiff/A 39425-2023 georefererad karta.tif", "A 39425-2023")</f>
        <v/>
      </c>
      <c r="Z101">
        <f>HYPERLINK("https://klasma.github.io/Logging_0980/knärot/A 39425-2023 karta knärot.png", "A 39425-2023")</f>
        <v/>
      </c>
      <c r="AA101">
        <f>HYPERLINK("https://klasma.github.io/Logging_0980/klagomål/A 39425-2023 FSC-klagomål.docx", "A 39425-2023")</f>
        <v/>
      </c>
      <c r="AB101">
        <f>HYPERLINK("https://klasma.github.io/Logging_0980/klagomålsmail/A 39425-2023 FSC-klagomål mail.docx", "A 39425-2023")</f>
        <v/>
      </c>
      <c r="AC101">
        <f>HYPERLINK("https://klasma.github.io/Logging_0980/tillsyn/A 39425-2023 tillsynsbegäran.docx", "A 39425-2023")</f>
        <v/>
      </c>
      <c r="AD101">
        <f>HYPERLINK("https://klasma.github.io/Logging_0980/tillsynsmail/A 39425-2023 tillsynsbegäran mail.docx", "A 39425-2023")</f>
        <v/>
      </c>
    </row>
    <row r="102" ht="15" customHeight="1">
      <c r="A102" t="inlineStr">
        <is>
          <t>A 8265-2023</t>
        </is>
      </c>
      <c r="B102" t="inlineStr">
        <is>
          <t>avverkningsanmälan</t>
        </is>
      </c>
      <c r="C102" t="inlineStr">
        <is>
          <t>Föryngringsavverkning</t>
        </is>
      </c>
      <c r="D102" s="1" t="n">
        <v>44974</v>
      </c>
      <c r="E102" s="1" t="n">
        <v>46241</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46241</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46241</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46241</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46241</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46241</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46241</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16997-2026</t>
        </is>
      </c>
      <c r="B109" t="inlineStr">
        <is>
          <t>avverkningsanmälan</t>
        </is>
      </c>
      <c r="C109" t="inlineStr">
        <is>
          <t>Föryngringsavverkning</t>
        </is>
      </c>
      <c r="D109" s="1" t="n">
        <v>46114</v>
      </c>
      <c r="E109" s="1" t="n">
        <v>46241</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46241</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5235-2025</t>
        </is>
      </c>
      <c r="B111" t="inlineStr">
        <is>
          <t>avverkningsanmälan</t>
        </is>
      </c>
      <c r="C111" t="inlineStr">
        <is>
          <t>Föryngringsavverkning</t>
        </is>
      </c>
      <c r="D111" s="1" t="n">
        <v>45692</v>
      </c>
      <c r="E111" s="1" t="n">
        <v>46241</v>
      </c>
      <c r="F111" t="inlineStr">
        <is>
          <t>GOTLANDS LÄN</t>
        </is>
      </c>
      <c r="G111" t="inlineStr">
        <is>
          <t>GOTLAND</t>
        </is>
      </c>
      <c r="I111" t="n">
        <v>7.6</v>
      </c>
      <c r="J111" t="n">
        <v>2</v>
      </c>
      <c r="K111" t="n">
        <v>2</v>
      </c>
      <c r="L111" t="n">
        <v>2</v>
      </c>
      <c r="M111" t="n">
        <v>0</v>
      </c>
      <c r="N111" t="n">
        <v>0</v>
      </c>
      <c r="O111" t="n">
        <v>0</v>
      </c>
      <c r="P111" t="n">
        <v>0</v>
      </c>
      <c r="Q111" t="n">
        <v>2</v>
      </c>
      <c r="R111" t="n">
        <v>0</v>
      </c>
      <c r="S111" t="n">
        <v>4</v>
      </c>
      <c r="T111" t="n">
        <v>8</v>
      </c>
      <c r="U111" t="n">
        <v>8</v>
      </c>
      <c r="V111" s="2" t="inlineStr">
        <is>
          <t>Dårgräsfjäril
Svinrot
Blåmossa
Tvåblad</t>
        </is>
      </c>
      <c r="W111">
        <f>HYPERLINK("https://klasma.github.io/Logging_0980/artfynd/A 5235-2025 artfynd.xlsx", "A 5235-2025")</f>
        <v/>
      </c>
      <c r="X111">
        <f>HYPERLINK("https://klasma.github.io/Logging_0980/kartor/A 5235-2025 karta.png", "A 5235-2025")</f>
        <v/>
      </c>
      <c r="Y111">
        <f>HYPERLINK("https://klasma.github.io/Logging_0980/kartor_geotiff/A 5235-2025 georefererad karta.tif", "A 5235-2025")</f>
        <v/>
      </c>
      <c r="AA111">
        <f>HYPERLINK("https://klasma.github.io/Logging_0980/klagomål/A 5235-2025 FSC-klagomål.docx", "A 5235-2025")</f>
        <v/>
      </c>
      <c r="AB111">
        <f>HYPERLINK("https://klasma.github.io/Logging_0980/klagomålsmail/A 5235-2025 FSC-klagomål mail.docx", "A 5235-2025")</f>
        <v/>
      </c>
      <c r="AC111">
        <f>HYPERLINK("https://klasma.github.io/Logging_0980/tillsyn/A 5235-2025 tillsynsbegäran.docx", "A 5235-2025")</f>
        <v/>
      </c>
      <c r="AD111">
        <f>HYPERLINK("https://klasma.github.io/Logging_0980/tillsynsmail/A 5235-2025 tillsynsbegäran mail.docx", "A 5235-2025")</f>
        <v/>
      </c>
    </row>
    <row r="112" ht="15" customHeight="1">
      <c r="A112" t="inlineStr">
        <is>
          <t>A 54523-2023</t>
        </is>
      </c>
      <c r="B112" t="inlineStr">
        <is>
          <t>avverkningsanmälan</t>
        </is>
      </c>
      <c r="C112" t="inlineStr">
        <is>
          <t>Föryngringsavverkning</t>
        </is>
      </c>
      <c r="D112" s="1" t="n">
        <v>45233</v>
      </c>
      <c r="E112" s="1" t="n">
        <v>46241</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2485-2025</t>
        </is>
      </c>
      <c r="B113" t="inlineStr">
        <is>
          <t>avverkningsanmälan</t>
        </is>
      </c>
      <c r="C113" t="inlineStr">
        <is>
          <t>Föryngringsavverkning</t>
        </is>
      </c>
      <c r="D113" s="1" t="n">
        <v>45673</v>
      </c>
      <c r="E113" s="1" t="n">
        <v>46241</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46241</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7625-2026</t>
        </is>
      </c>
      <c r="B115" t="inlineStr">
        <is>
          <t>avverkningsanmälan</t>
        </is>
      </c>
      <c r="C115" t="inlineStr">
        <is>
          <t>Föryngringsavverkning</t>
        </is>
      </c>
      <c r="D115" s="1" t="n">
        <v>46062</v>
      </c>
      <c r="E115" s="1" t="n">
        <v>46241</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32550-2026</t>
        </is>
      </c>
      <c r="B116" t="inlineStr">
        <is>
          <t>avverkningsanmälan</t>
        </is>
      </c>
      <c r="C116" t="inlineStr">
        <is>
          <t>Föryngringsavverkning</t>
        </is>
      </c>
      <c r="D116" s="1" t="n">
        <v>46239</v>
      </c>
      <c r="E116" s="1" t="n">
        <v>46241</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6218-2026</t>
        </is>
      </c>
      <c r="B117" t="inlineStr">
        <is>
          <t>avverkningsanmälan</t>
        </is>
      </c>
      <c r="C117" t="inlineStr">
        <is>
          <t>Föryngringsavverkning</t>
        </is>
      </c>
      <c r="D117" s="1" t="n">
        <v>46055</v>
      </c>
      <c r="E117" s="1" t="n">
        <v>46241</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56717-2024</t>
        </is>
      </c>
      <c r="B118" t="inlineStr">
        <is>
          <t>avverkningsanmälan</t>
        </is>
      </c>
      <c r="C118" t="inlineStr">
        <is>
          <t>Föryngringsavverkning</t>
        </is>
      </c>
      <c r="D118" s="1" t="n">
        <v>45628</v>
      </c>
      <c r="E118" s="1" t="n">
        <v>46241</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37591-2023</t>
        </is>
      </c>
      <c r="B119" t="inlineStr">
        <is>
          <t>avverkningsanmälan</t>
        </is>
      </c>
      <c r="C119" t="inlineStr">
        <is>
          <t>Föryngringsavverkning</t>
        </is>
      </c>
      <c r="D119" s="1" t="n">
        <v>45159</v>
      </c>
      <c r="E119" s="1" t="n">
        <v>46241</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65927-2021</t>
        </is>
      </c>
      <c r="B120" t="inlineStr">
        <is>
          <t>avverkningsanmälan</t>
        </is>
      </c>
      <c r="C120" t="inlineStr">
        <is>
          <t>Föryngringsavverkning</t>
        </is>
      </c>
      <c r="D120" s="1" t="n">
        <v>44516</v>
      </c>
      <c r="E120" s="1" t="n">
        <v>46241</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2476-2025</t>
        </is>
      </c>
      <c r="B121" t="inlineStr">
        <is>
          <t>avverkningsanmälan</t>
        </is>
      </c>
      <c r="C121" t="inlineStr">
        <is>
          <t>Föryngringsavverkning</t>
        </is>
      </c>
      <c r="D121" s="1" t="n">
        <v>45673</v>
      </c>
      <c r="E121" s="1" t="n">
        <v>46241</v>
      </c>
      <c r="F121" t="inlineStr">
        <is>
          <t>GOTLANDS LÄN</t>
        </is>
      </c>
      <c r="G121" t="inlineStr">
        <is>
          <t>GOTLAND</t>
        </is>
      </c>
      <c r="I121" t="n">
        <v>3.1</v>
      </c>
      <c r="J121" t="n">
        <v>0</v>
      </c>
      <c r="K121" t="n">
        <v>1</v>
      </c>
      <c r="L121" t="n">
        <v>2</v>
      </c>
      <c r="M121" t="n">
        <v>0</v>
      </c>
      <c r="N121" t="n">
        <v>0</v>
      </c>
      <c r="O121" t="n">
        <v>0</v>
      </c>
      <c r="P121" t="n">
        <v>0</v>
      </c>
      <c r="Q121" t="n">
        <v>2</v>
      </c>
      <c r="R121" t="n">
        <v>0</v>
      </c>
      <c r="S121" t="n">
        <v>3</v>
      </c>
      <c r="T121" t="n">
        <v>3</v>
      </c>
      <c r="U121" t="n">
        <v>0</v>
      </c>
      <c r="V121" s="2" t="inlineStr">
        <is>
          <t>Barrviolspindling
Kryddspindling
Strimspindling</t>
        </is>
      </c>
      <c r="W121">
        <f>HYPERLINK("https://klasma.github.io/Logging_0980/artfynd/A 2476-2025 artfynd.xlsx", "A 2476-2025")</f>
        <v/>
      </c>
      <c r="X121">
        <f>HYPERLINK("https://klasma.github.io/Logging_0980/kartor/A 2476-2025 karta.png", "A 2476-2025")</f>
        <v/>
      </c>
      <c r="Y121">
        <f>HYPERLINK("https://klasma.github.io/Logging_0980/kartor_geotiff/A 2476-2025 georefererad karta.tif", "A 2476-2025")</f>
        <v/>
      </c>
      <c r="AA121">
        <f>HYPERLINK("https://klasma.github.io/Logging_0980/klagomål/A 2476-2025 FSC-klagomål.docx", "A 2476-2025")</f>
        <v/>
      </c>
      <c r="AB121">
        <f>HYPERLINK("https://klasma.github.io/Logging_0980/klagomålsmail/A 2476-2025 FSC-klagomål mail.docx", "A 2476-2025")</f>
        <v/>
      </c>
      <c r="AC121">
        <f>HYPERLINK("https://klasma.github.io/Logging_0980/tillsyn/A 2476-2025 tillsynsbegäran.docx", "A 2476-2025")</f>
        <v/>
      </c>
      <c r="AD121">
        <f>HYPERLINK("https://klasma.github.io/Logging_0980/tillsynsmail/A 2476-2025 tillsynsbegäran mail.docx", "A 2476-2025")</f>
        <v/>
      </c>
    </row>
    <row r="122" ht="15" customHeight="1">
      <c r="A122" t="inlineStr">
        <is>
          <t>A 19322-2026</t>
        </is>
      </c>
      <c r="B122" t="inlineStr">
        <is>
          <t>avverkningsanmälan</t>
        </is>
      </c>
      <c r="C122" t="inlineStr">
        <is>
          <t>Avverkning för annat ändamål</t>
        </is>
      </c>
      <c r="D122" s="1" t="n">
        <v>46129</v>
      </c>
      <c r="E122" s="1" t="n">
        <v>46241</v>
      </c>
      <c r="F122" t="inlineStr">
        <is>
          <t>GOTLANDS LÄN</t>
        </is>
      </c>
      <c r="G122" t="inlineStr">
        <is>
          <t>GOTLAND</t>
        </is>
      </c>
      <c r="I122" t="n">
        <v>1</v>
      </c>
      <c r="J122" t="n">
        <v>2</v>
      </c>
      <c r="K122" t="n">
        <v>1</v>
      </c>
      <c r="L122" t="n">
        <v>2</v>
      </c>
      <c r="M122" t="n">
        <v>0</v>
      </c>
      <c r="N122" t="n">
        <v>0</v>
      </c>
      <c r="O122" t="n">
        <v>0</v>
      </c>
      <c r="P122" t="n">
        <v>0</v>
      </c>
      <c r="Q122" t="n">
        <v>2</v>
      </c>
      <c r="R122" t="n">
        <v>0</v>
      </c>
      <c r="S122" t="n">
        <v>3</v>
      </c>
      <c r="T122" t="n">
        <v>3</v>
      </c>
      <c r="U122" t="n">
        <v>0</v>
      </c>
      <c r="V122" s="2" t="inlineStr">
        <is>
          <t>Gulsparv
Svinrot
Tvåblad</t>
        </is>
      </c>
      <c r="W122">
        <f>HYPERLINK("https://klasma.github.io/Logging_0980/artfynd/A 19322-2026 artfynd.xlsx", "A 19322-2026")</f>
        <v/>
      </c>
      <c r="X122">
        <f>HYPERLINK("https://klasma.github.io/Logging_0980/kartor/A 19322-2026 karta.png", "A 19322-2026")</f>
        <v/>
      </c>
      <c r="Y122">
        <f>HYPERLINK("https://klasma.github.io/Logging_0980/kartor_geotiff/A 19322-2026 georefererad karta.tif", "A 19322-2026")</f>
        <v/>
      </c>
      <c r="AA122">
        <f>HYPERLINK("https://klasma.github.io/Logging_0980/klagomål/A 19322-2026 FSC-klagomål.docx", "A 19322-2026")</f>
        <v/>
      </c>
      <c r="AB122">
        <f>HYPERLINK("https://klasma.github.io/Logging_0980/klagomålsmail/A 19322-2026 FSC-klagomål mail.docx", "A 19322-2026")</f>
        <v/>
      </c>
      <c r="AC122">
        <f>HYPERLINK("https://klasma.github.io/Logging_0980/tillsyn/A 19322-2026 tillsynsbegäran.docx", "A 19322-2026")</f>
        <v/>
      </c>
      <c r="AD122">
        <f>HYPERLINK("https://klasma.github.io/Logging_0980/tillsynsmail/A 19322-2026 tillsynsbegäran mail.docx", "A 19322-2026")</f>
        <v/>
      </c>
      <c r="AE122">
        <f>HYPERLINK("https://klasma.github.io/Logging_0980/fåglar/A 19322-2026 prioriterade fågelarter.docx", "A 19322-2026")</f>
        <v/>
      </c>
    </row>
    <row r="123" ht="15" customHeight="1">
      <c r="A123" t="inlineStr">
        <is>
          <t>A 43013-2022</t>
        </is>
      </c>
      <c r="B123" t="inlineStr">
        <is>
          <t>avverkningsanmälan</t>
        </is>
      </c>
      <c r="C123" t="inlineStr">
        <is>
          <t>Föryngringsavverkning</t>
        </is>
      </c>
      <c r="D123" s="1" t="n">
        <v>44833</v>
      </c>
      <c r="E123" s="1" t="n">
        <v>46241</v>
      </c>
      <c r="F123" t="inlineStr">
        <is>
          <t>GOTLANDS LÄN</t>
        </is>
      </c>
      <c r="G123" t="inlineStr">
        <is>
          <t>GOTLAND</t>
        </is>
      </c>
      <c r="I123" t="n">
        <v>9.300000000000001</v>
      </c>
      <c r="J123" t="n">
        <v>0</v>
      </c>
      <c r="K123" t="n">
        <v>1</v>
      </c>
      <c r="L123" t="n">
        <v>1</v>
      </c>
      <c r="M123" t="n">
        <v>1</v>
      </c>
      <c r="N123" t="n">
        <v>0</v>
      </c>
      <c r="O123" t="n">
        <v>0</v>
      </c>
      <c r="P123" t="n">
        <v>0</v>
      </c>
      <c r="Q123" t="n">
        <v>2</v>
      </c>
      <c r="R123" t="n">
        <v>1</v>
      </c>
      <c r="S123" t="n">
        <v>3</v>
      </c>
      <c r="T123" t="n">
        <v>4</v>
      </c>
      <c r="U123" t="n">
        <v>4</v>
      </c>
      <c r="V123" s="2" t="inlineStr">
        <is>
          <t>Violettfläckig spindling
Blå slemspindling
Anisspindling</t>
        </is>
      </c>
      <c r="W123">
        <f>HYPERLINK("https://klasma.github.io/Logging_0980/artfynd/A 43013-2022 artfynd.xlsx", "A 43013-2022")</f>
        <v/>
      </c>
      <c r="X123">
        <f>HYPERLINK("https://klasma.github.io/Logging_0980/kartor/A 43013-2022 karta.png", "A 43013-2022")</f>
        <v/>
      </c>
      <c r="Y123">
        <f>HYPERLINK("https://klasma.github.io/Logging_0980/kartor_geotiff/A 43013-2022 georefererad karta.tif", "A 43013-2022")</f>
        <v/>
      </c>
      <c r="AA123">
        <f>HYPERLINK("https://klasma.github.io/Logging_0980/klagomål/A 43013-2022 FSC-klagomål.docx", "A 43013-2022")</f>
        <v/>
      </c>
      <c r="AB123">
        <f>HYPERLINK("https://klasma.github.io/Logging_0980/klagomålsmail/A 43013-2022 FSC-klagomål mail.docx", "A 43013-2022")</f>
        <v/>
      </c>
      <c r="AC123">
        <f>HYPERLINK("https://klasma.github.io/Logging_0980/tillsyn/A 43013-2022 tillsynsbegäran.docx", "A 43013-2022")</f>
        <v/>
      </c>
      <c r="AD123">
        <f>HYPERLINK("https://klasma.github.io/Logging_0980/tillsynsmail/A 43013-2022 tillsynsbegäran mail.docx", "A 43013-2022")</f>
        <v/>
      </c>
    </row>
    <row r="124" ht="15" customHeight="1">
      <c r="A124" t="inlineStr">
        <is>
          <t>A 53552-2021</t>
        </is>
      </c>
      <c r="B124" t="inlineStr">
        <is>
          <t>avverkningsanmälan</t>
        </is>
      </c>
      <c r="C124" t="inlineStr">
        <is>
          <t>Föryngringsavverkning</t>
        </is>
      </c>
      <c r="D124" s="1" t="n">
        <v>44468</v>
      </c>
      <c r="E124" s="1" t="n">
        <v>46241</v>
      </c>
      <c r="F124" t="inlineStr">
        <is>
          <t>GOTLANDS LÄN</t>
        </is>
      </c>
      <c r="G124" t="inlineStr">
        <is>
          <t>GOTLAND</t>
        </is>
      </c>
      <c r="I124" t="n">
        <v>6.2</v>
      </c>
      <c r="J124" t="n">
        <v>2</v>
      </c>
      <c r="K124" t="n">
        <v>0</v>
      </c>
      <c r="L124" t="n">
        <v>0</v>
      </c>
      <c r="M124" t="n">
        <v>1</v>
      </c>
      <c r="N124" t="n">
        <v>0</v>
      </c>
      <c r="O124" t="n">
        <v>0</v>
      </c>
      <c r="P124" t="n">
        <v>0</v>
      </c>
      <c r="Q124" t="n">
        <v>1</v>
      </c>
      <c r="R124" t="n">
        <v>1</v>
      </c>
      <c r="S124" t="n">
        <v>3</v>
      </c>
      <c r="T124" t="n">
        <v>3</v>
      </c>
      <c r="U124" t="n">
        <v>2</v>
      </c>
      <c r="V124" s="2" t="inlineStr">
        <is>
          <t>Bredbrämad bastardsvärmare
Grönvit nattviol
Gullviva</t>
        </is>
      </c>
      <c r="W124">
        <f>HYPERLINK("https://klasma.github.io/Logging_0980/artfynd/A 53552-2021 artfynd.xlsx", "A 53552-2021")</f>
        <v/>
      </c>
      <c r="X124">
        <f>HYPERLINK("https://klasma.github.io/Logging_0980/kartor/A 53552-2021 karta.png", "A 53552-2021")</f>
        <v/>
      </c>
      <c r="Y124">
        <f>HYPERLINK("https://klasma.github.io/Logging_0980/kartor_geotiff/A 53552-2021 georefererad karta.tif", "A 53552-2021")</f>
        <v/>
      </c>
      <c r="AA124">
        <f>HYPERLINK("https://klasma.github.io/Logging_0980/klagomål/A 53552-2021 FSC-klagomål.docx", "A 53552-2021")</f>
        <v/>
      </c>
      <c r="AB124">
        <f>HYPERLINK("https://klasma.github.io/Logging_0980/klagomålsmail/A 53552-2021 FSC-klagomål mail.docx", "A 53552-2021")</f>
        <v/>
      </c>
      <c r="AC124">
        <f>HYPERLINK("https://klasma.github.io/Logging_0980/tillsyn/A 53552-2021 tillsynsbegäran.docx", "A 53552-2021")</f>
        <v/>
      </c>
      <c r="AD124">
        <f>HYPERLINK("https://klasma.github.io/Logging_0980/tillsynsmail/A 53552-2021 tillsynsbegäran mail.docx", "A 53552-2021")</f>
        <v/>
      </c>
    </row>
    <row r="125" ht="15" customHeight="1">
      <c r="A125" t="inlineStr">
        <is>
          <t>A 34312-2024</t>
        </is>
      </c>
      <c r="B125" t="inlineStr">
        <is>
          <t>avverkningsanmälan</t>
        </is>
      </c>
      <c r="C125" t="inlineStr">
        <is>
          <t>Föryngringsavverkning</t>
        </is>
      </c>
      <c r="D125" s="1" t="n">
        <v>45524</v>
      </c>
      <c r="E125" s="1" t="n">
        <v>46241</v>
      </c>
      <c r="F125" t="inlineStr">
        <is>
          <t>GOTLANDS LÄN</t>
        </is>
      </c>
      <c r="G125" t="inlineStr">
        <is>
          <t>GOTLAND</t>
        </is>
      </c>
      <c r="I125" t="n">
        <v>2</v>
      </c>
      <c r="J125" t="n">
        <v>1</v>
      </c>
      <c r="K125" t="n">
        <v>0</v>
      </c>
      <c r="L125" t="n">
        <v>2</v>
      </c>
      <c r="M125" t="n">
        <v>0</v>
      </c>
      <c r="N125" t="n">
        <v>0</v>
      </c>
      <c r="O125" t="n">
        <v>0</v>
      </c>
      <c r="P125" t="n">
        <v>0</v>
      </c>
      <c r="Q125" t="n">
        <v>2</v>
      </c>
      <c r="R125" t="n">
        <v>0</v>
      </c>
      <c r="S125" t="n">
        <v>3</v>
      </c>
      <c r="T125" t="n">
        <v>3</v>
      </c>
      <c r="U125" t="n">
        <v>0</v>
      </c>
      <c r="V125" s="2" t="inlineStr">
        <is>
          <t>Svinrot
Ängsstarr
Sankt pers nycklar</t>
        </is>
      </c>
      <c r="W125">
        <f>HYPERLINK("https://klasma.github.io/Logging_0980/artfynd/A 34312-2024 artfynd.xlsx", "A 34312-2024")</f>
        <v/>
      </c>
      <c r="X125">
        <f>HYPERLINK("https://klasma.github.io/Logging_0980/kartor/A 34312-2024 karta.png", "A 34312-2024")</f>
        <v/>
      </c>
      <c r="Y125">
        <f>HYPERLINK("https://klasma.github.io/Logging_0980/kartor_geotiff/A 34312-2024 georefererad karta.tif", "A 34312-2024")</f>
        <v/>
      </c>
      <c r="AA125">
        <f>HYPERLINK("https://klasma.github.io/Logging_0980/klagomål/A 34312-2024 FSC-klagomål.docx", "A 34312-2024")</f>
        <v/>
      </c>
      <c r="AB125">
        <f>HYPERLINK("https://klasma.github.io/Logging_0980/klagomålsmail/A 34312-2024 FSC-klagomål mail.docx", "A 34312-2024")</f>
        <v/>
      </c>
      <c r="AC125">
        <f>HYPERLINK("https://klasma.github.io/Logging_0980/tillsyn/A 34312-2024 tillsynsbegäran.docx", "A 34312-2024")</f>
        <v/>
      </c>
      <c r="AD125">
        <f>HYPERLINK("https://klasma.github.io/Logging_0980/tillsynsmail/A 34312-2024 tillsynsbegäran mail.docx", "A 34312-2024")</f>
        <v/>
      </c>
    </row>
    <row r="126" ht="15" customHeight="1">
      <c r="A126" t="inlineStr">
        <is>
          <t>A 63576-2021</t>
        </is>
      </c>
      <c r="B126" t="inlineStr">
        <is>
          <t>avverkningsanmälan</t>
        </is>
      </c>
      <c r="C126" t="inlineStr">
        <is>
          <t>Föryngringsavverkning</t>
        </is>
      </c>
      <c r="D126" s="1" t="n">
        <v>44508</v>
      </c>
      <c r="E126" s="1" t="n">
        <v>46241</v>
      </c>
      <c r="F126" t="inlineStr">
        <is>
          <t>GOTLANDS LÄN</t>
        </is>
      </c>
      <c r="G126" t="inlineStr">
        <is>
          <t>GOTLAND</t>
        </is>
      </c>
      <c r="H126" t="inlineStr">
        <is>
          <t>Kyrkan</t>
        </is>
      </c>
      <c r="I126" t="n">
        <v>4.1</v>
      </c>
      <c r="J126" t="n">
        <v>1</v>
      </c>
      <c r="K126" t="n">
        <v>1</v>
      </c>
      <c r="L126" t="n">
        <v>2</v>
      </c>
      <c r="M126" t="n">
        <v>0</v>
      </c>
      <c r="N126" t="n">
        <v>0</v>
      </c>
      <c r="O126" t="n">
        <v>0</v>
      </c>
      <c r="P126" t="n">
        <v>0</v>
      </c>
      <c r="Q126" t="n">
        <v>2</v>
      </c>
      <c r="R126" t="n">
        <v>0</v>
      </c>
      <c r="S126" t="n">
        <v>3</v>
      </c>
      <c r="T126" t="n">
        <v>3</v>
      </c>
      <c r="U126" t="n">
        <v>3</v>
      </c>
      <c r="V126" s="2" t="inlineStr">
        <is>
          <t>Dårgräsfjäril
Loppstarr
Stubbspretmossa</t>
        </is>
      </c>
      <c r="W126">
        <f>HYPERLINK("https://klasma.github.io/Logging_0980/artfynd/A 63576-2021 artfynd.xlsx", "A 63576-2021")</f>
        <v/>
      </c>
      <c r="X126">
        <f>HYPERLINK("https://klasma.github.io/Logging_0980/kartor/A 63576-2021 karta.png", "A 63576-2021")</f>
        <v/>
      </c>
      <c r="Y126">
        <f>HYPERLINK("https://klasma.github.io/Logging_0980/kartor_geotiff/A 63576-2021 georefererad karta.tif", "A 63576-2021")</f>
        <v/>
      </c>
      <c r="AA126">
        <f>HYPERLINK("https://klasma.github.io/Logging_0980/klagomål/A 63576-2021 FSC-klagomål.docx", "A 63576-2021")</f>
        <v/>
      </c>
      <c r="AB126">
        <f>HYPERLINK("https://klasma.github.io/Logging_0980/klagomålsmail/A 63576-2021 FSC-klagomål mail.docx", "A 63576-2021")</f>
        <v/>
      </c>
      <c r="AC126">
        <f>HYPERLINK("https://klasma.github.io/Logging_0980/tillsyn/A 63576-2021 tillsynsbegäran.docx", "A 63576-2021")</f>
        <v/>
      </c>
      <c r="AD126">
        <f>HYPERLINK("https://klasma.github.io/Logging_0980/tillsynsmail/A 63576-2021 tillsynsbegäran mail.docx", "A 63576-2021")</f>
        <v/>
      </c>
    </row>
    <row r="127" ht="15" customHeight="1">
      <c r="A127" t="inlineStr">
        <is>
          <t>A 35574-2024</t>
        </is>
      </c>
      <c r="B127" t="inlineStr">
        <is>
          <t>avverkningsanmälan</t>
        </is>
      </c>
      <c r="C127" t="inlineStr">
        <is>
          <t>Föryngringsavverkning</t>
        </is>
      </c>
      <c r="D127" s="1" t="n">
        <v>45531</v>
      </c>
      <c r="E127" s="1" t="n">
        <v>46241</v>
      </c>
      <c r="F127" t="inlineStr">
        <is>
          <t>GOTLANDS LÄN</t>
        </is>
      </c>
      <c r="G127" t="inlineStr">
        <is>
          <t>GOTLAND</t>
        </is>
      </c>
      <c r="I127" t="n">
        <v>5.7</v>
      </c>
      <c r="J127" t="n">
        <v>0</v>
      </c>
      <c r="K127" t="n">
        <v>2</v>
      </c>
      <c r="L127" t="n">
        <v>1</v>
      </c>
      <c r="M127" t="n">
        <v>0</v>
      </c>
      <c r="N127" t="n">
        <v>0</v>
      </c>
      <c r="O127" t="n">
        <v>0</v>
      </c>
      <c r="P127" t="n">
        <v>0</v>
      </c>
      <c r="Q127" t="n">
        <v>1</v>
      </c>
      <c r="R127" t="n">
        <v>0</v>
      </c>
      <c r="S127" t="n">
        <v>3</v>
      </c>
      <c r="T127" t="n">
        <v>3</v>
      </c>
      <c r="U127" t="n">
        <v>1</v>
      </c>
      <c r="V127" s="2" t="inlineStr">
        <is>
          <t>Svinrot
Kambräken
Murgröna</t>
        </is>
      </c>
      <c r="W127">
        <f>HYPERLINK("https://klasma.github.io/Logging_0980/artfynd/A 35574-2024 artfynd.xlsx", "A 35574-2024")</f>
        <v/>
      </c>
      <c r="X127">
        <f>HYPERLINK("https://klasma.github.io/Logging_0980/kartor/A 35574-2024 karta.png", "A 35574-2024")</f>
        <v/>
      </c>
      <c r="Y127">
        <f>HYPERLINK("https://klasma.github.io/Logging_0980/kartor_geotiff/A 35574-2024 georefererad karta.tif", "A 35574-2024")</f>
        <v/>
      </c>
      <c r="AA127">
        <f>HYPERLINK("https://klasma.github.io/Logging_0980/klagomål/A 35574-2024 FSC-klagomål.docx", "A 35574-2024")</f>
        <v/>
      </c>
      <c r="AB127">
        <f>HYPERLINK("https://klasma.github.io/Logging_0980/klagomålsmail/A 35574-2024 FSC-klagomål mail.docx", "A 35574-2024")</f>
        <v/>
      </c>
      <c r="AC127">
        <f>HYPERLINK("https://klasma.github.io/Logging_0980/tillsyn/A 35574-2024 tillsynsbegäran.docx", "A 35574-2024")</f>
        <v/>
      </c>
      <c r="AD127">
        <f>HYPERLINK("https://klasma.github.io/Logging_0980/tillsynsmail/A 35574-2024 tillsynsbegäran mail.docx", "A 35574-2024")</f>
        <v/>
      </c>
    </row>
    <row r="128" ht="15" customHeight="1">
      <c r="A128" t="inlineStr">
        <is>
          <t>A 17982-2023</t>
        </is>
      </c>
      <c r="B128" t="inlineStr">
        <is>
          <t>avverkningsanmälan</t>
        </is>
      </c>
      <c r="C128" t="inlineStr">
        <is>
          <t>Avverkning för att bevara och utveckla /försöksver</t>
        </is>
      </c>
      <c r="D128" s="1" t="n">
        <v>45040</v>
      </c>
      <c r="E128" s="1" t="n">
        <v>46241</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54357-2024</t>
        </is>
      </c>
      <c r="B129" t="inlineStr">
        <is>
          <t>avverkningsanmälan</t>
        </is>
      </c>
      <c r="C129" t="inlineStr">
        <is>
          <t>Föryngringsavverkning</t>
        </is>
      </c>
      <c r="D129" s="1" t="n">
        <v>45617</v>
      </c>
      <c r="E129" s="1" t="n">
        <v>46241</v>
      </c>
      <c r="F129" t="inlineStr">
        <is>
          <t>GOTLANDS LÄN</t>
        </is>
      </c>
      <c r="G129" t="inlineStr">
        <is>
          <t>GOTLAND</t>
        </is>
      </c>
      <c r="I129" t="n">
        <v>1.5</v>
      </c>
      <c r="J129" t="n">
        <v>1</v>
      </c>
      <c r="K129" t="n">
        <v>1</v>
      </c>
      <c r="L129" t="n">
        <v>1</v>
      </c>
      <c r="M129" t="n">
        <v>0</v>
      </c>
      <c r="N129" t="n">
        <v>0</v>
      </c>
      <c r="O129" t="n">
        <v>0</v>
      </c>
      <c r="P129" t="n">
        <v>0</v>
      </c>
      <c r="Q129" t="n">
        <v>1</v>
      </c>
      <c r="R129" t="n">
        <v>0</v>
      </c>
      <c r="S129" t="n">
        <v>3</v>
      </c>
      <c r="T129" t="n">
        <v>3</v>
      </c>
      <c r="U129" t="n">
        <v>2</v>
      </c>
      <c r="V129" s="2" t="inlineStr">
        <is>
          <t>Loppstarr
Grov fjädermossa
Fläcknycklar</t>
        </is>
      </c>
      <c r="W129">
        <f>HYPERLINK("https://klasma.github.io/Logging_0980/artfynd/A 54357-2024 artfynd.xlsx", "A 54357-2024")</f>
        <v/>
      </c>
      <c r="X129">
        <f>HYPERLINK("https://klasma.github.io/Logging_0980/kartor/A 54357-2024 karta.png", "A 54357-2024")</f>
        <v/>
      </c>
      <c r="Y129">
        <f>HYPERLINK("https://klasma.github.io/Logging_0980/kartor_geotiff/A 54357-2024 georefererad karta.tif", "A 54357-2024")</f>
        <v/>
      </c>
      <c r="AA129">
        <f>HYPERLINK("https://klasma.github.io/Logging_0980/klagomål/A 54357-2024 FSC-klagomål.docx", "A 54357-2024")</f>
        <v/>
      </c>
      <c r="AB129">
        <f>HYPERLINK("https://klasma.github.io/Logging_0980/klagomålsmail/A 54357-2024 FSC-klagomål mail.docx", "A 54357-2024")</f>
        <v/>
      </c>
      <c r="AC129">
        <f>HYPERLINK("https://klasma.github.io/Logging_0980/tillsyn/A 54357-2024 tillsynsbegäran.docx", "A 54357-2024")</f>
        <v/>
      </c>
      <c r="AD129">
        <f>HYPERLINK("https://klasma.github.io/Logging_0980/tillsynsmail/A 54357-2024 tillsynsbegäran mail.docx", "A 54357-2024")</f>
        <v/>
      </c>
    </row>
    <row r="130" ht="15" customHeight="1">
      <c r="A130" t="inlineStr">
        <is>
          <t>A 13499-2022</t>
        </is>
      </c>
      <c r="B130" t="inlineStr">
        <is>
          <t>avverkningsanmälan</t>
        </is>
      </c>
      <c r="C130" t="inlineStr">
        <is>
          <t>Föryngringsavverkning</t>
        </is>
      </c>
      <c r="D130" s="1" t="n">
        <v>44647</v>
      </c>
      <c r="E130" s="1" t="n">
        <v>46241</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t="n">
        <v>2</v>
      </c>
      <c r="V130" s="2" t="inlineStr">
        <is>
          <t>Blåsippa
Spillkråka
Sankt pers nycklar</t>
        </is>
      </c>
      <c r="W130">
        <f>HYPERLINK("https://klasma.github.io/Logging_0980/artfynd/A 13499-2022 artfynd.xlsx", "A 13499-2022")</f>
        <v/>
      </c>
      <c r="X130">
        <f>HYPERLINK("https://klasma.github.io/Logging_0980/kartor/A 13499-2022 karta.png", "A 13499-2022")</f>
        <v/>
      </c>
      <c r="Y130">
        <f>HYPERLINK("https://klasma.github.io/Logging_0980/kartor_geotiff/A 13499-2022 georefererad karta.tif", "A 13499-2022")</f>
        <v/>
      </c>
      <c r="AA130">
        <f>HYPERLINK("https://klasma.github.io/Logging_0980/klagomål/A 13499-2022 FSC-klagomål.docx", "A 13499-2022")</f>
        <v/>
      </c>
      <c r="AB130">
        <f>HYPERLINK("https://klasma.github.io/Logging_0980/klagomålsmail/A 13499-2022 FSC-klagomål mail.docx", "A 13499-2022")</f>
        <v/>
      </c>
      <c r="AC130">
        <f>HYPERLINK("https://klasma.github.io/Logging_0980/tillsyn/A 13499-2022 tillsynsbegäran.docx", "A 13499-2022")</f>
        <v/>
      </c>
      <c r="AD130">
        <f>HYPERLINK("https://klasma.github.io/Logging_0980/tillsynsmail/A 13499-2022 tillsynsbegäran mail.docx", "A 13499-2022")</f>
        <v/>
      </c>
      <c r="AE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46241</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12315-2024</t>
        </is>
      </c>
      <c r="B132" t="inlineStr">
        <is>
          <t>avverkningsanmälan</t>
        </is>
      </c>
      <c r="C132" t="inlineStr">
        <is>
          <t>Föryngringsavverkning</t>
        </is>
      </c>
      <c r="D132" s="1" t="n">
        <v>45378</v>
      </c>
      <c r="E132" s="1" t="n">
        <v>46241</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49411-2023</t>
        </is>
      </c>
      <c r="B133" t="inlineStr">
        <is>
          <t>avverkningsanmälan</t>
        </is>
      </c>
      <c r="C133" t="inlineStr">
        <is>
          <t>Föryngringsavverkning</t>
        </is>
      </c>
      <c r="D133" s="1" t="n">
        <v>45205</v>
      </c>
      <c r="E133" s="1" t="n">
        <v>46241</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61561-2023</t>
        </is>
      </c>
      <c r="B134" t="inlineStr">
        <is>
          <t>avverkningsanmälan</t>
        </is>
      </c>
      <c r="C134" t="inlineStr">
        <is>
          <t>Föryngringsavverkning</t>
        </is>
      </c>
      <c r="D134" s="1" t="n">
        <v>45265</v>
      </c>
      <c r="E134" s="1" t="n">
        <v>46241</v>
      </c>
      <c r="F134" t="inlineStr">
        <is>
          <t>GOTLANDS LÄN</t>
        </is>
      </c>
      <c r="G134" t="inlineStr">
        <is>
          <t>GOTLAND</t>
        </is>
      </c>
      <c r="I134" t="n">
        <v>7.4</v>
      </c>
      <c r="J134" t="n">
        <v>0</v>
      </c>
      <c r="K134" t="n">
        <v>0</v>
      </c>
      <c r="L134" t="n">
        <v>3</v>
      </c>
      <c r="M134" t="n">
        <v>0</v>
      </c>
      <c r="N134" t="n">
        <v>0</v>
      </c>
      <c r="O134" t="n">
        <v>0</v>
      </c>
      <c r="P134" t="n">
        <v>0</v>
      </c>
      <c r="Q134" t="n">
        <v>3</v>
      </c>
      <c r="R134" t="n">
        <v>0</v>
      </c>
      <c r="S134" t="n">
        <v>3</v>
      </c>
      <c r="T134" t="n">
        <v>3</v>
      </c>
      <c r="U134" t="n">
        <v>1</v>
      </c>
      <c r="V134" s="2" t="inlineStr">
        <is>
          <t>Jordtistel
Loppstarr
Solvända</t>
        </is>
      </c>
      <c r="W134">
        <f>HYPERLINK("https://klasma.github.io/Logging_0980/artfynd/A 61561-2023 artfynd.xlsx", "A 61561-2023")</f>
        <v/>
      </c>
      <c r="X134">
        <f>HYPERLINK("https://klasma.github.io/Logging_0980/kartor/A 61561-2023 karta.png", "A 61561-2023")</f>
        <v/>
      </c>
      <c r="Y134">
        <f>HYPERLINK("https://klasma.github.io/Logging_0980/kartor_geotiff/A 61561-2023 georefererad karta.tif", "A 61561-2023")</f>
        <v/>
      </c>
      <c r="AA134">
        <f>HYPERLINK("https://klasma.github.io/Logging_0980/klagomål/A 61561-2023 FSC-klagomål.docx", "A 61561-2023")</f>
        <v/>
      </c>
      <c r="AB134">
        <f>HYPERLINK("https://klasma.github.io/Logging_0980/klagomålsmail/A 61561-2023 FSC-klagomål mail.docx", "A 61561-2023")</f>
        <v/>
      </c>
      <c r="AC134">
        <f>HYPERLINK("https://klasma.github.io/Logging_0980/tillsyn/A 61561-2023 tillsynsbegäran.docx", "A 61561-2023")</f>
        <v/>
      </c>
      <c r="AD134">
        <f>HYPERLINK("https://klasma.github.io/Logging_0980/tillsynsmail/A 61561-2023 tillsynsbegäran mail.docx", "A 61561-2023")</f>
        <v/>
      </c>
    </row>
    <row r="135" ht="15" customHeight="1">
      <c r="A135" t="inlineStr">
        <is>
          <t>A 17975-2024</t>
        </is>
      </c>
      <c r="B135" t="inlineStr">
        <is>
          <t>avverkningsanmälan</t>
        </is>
      </c>
      <c r="C135" t="inlineStr">
        <is>
          <t>Föryngringsavverkning</t>
        </is>
      </c>
      <c r="D135" s="1" t="n">
        <v>45419</v>
      </c>
      <c r="E135" s="1" t="n">
        <v>46241</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46241</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5909-2025</t>
        </is>
      </c>
      <c r="B137" t="inlineStr">
        <is>
          <t>avverkningsanmälan</t>
        </is>
      </c>
      <c r="C137" t="inlineStr">
        <is>
          <t>Föryngringsavverkning</t>
        </is>
      </c>
      <c r="D137" s="1" t="n">
        <v>45695</v>
      </c>
      <c r="E137" s="1" t="n">
        <v>46241</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10440-2024</t>
        </is>
      </c>
      <c r="B138" t="inlineStr">
        <is>
          <t>avverkningsanmälan</t>
        </is>
      </c>
      <c r="C138" t="inlineStr">
        <is>
          <t>Föryngringsavverkning</t>
        </is>
      </c>
      <c r="D138" s="1" t="n">
        <v>45366</v>
      </c>
      <c r="E138" s="1" t="n">
        <v>46241</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46241</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46241</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46241</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46241</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46241</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33011-2025</t>
        </is>
      </c>
      <c r="B144" t="inlineStr">
        <is>
          <t>avverkningsanmälan</t>
        </is>
      </c>
      <c r="C144" t="inlineStr">
        <is>
          <t>Föryngringsavverkning</t>
        </is>
      </c>
      <c r="D144" s="1" t="n">
        <v>45840</v>
      </c>
      <c r="E144" s="1" t="n">
        <v>46241</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1010-2024</t>
        </is>
      </c>
      <c r="B145" t="inlineStr">
        <is>
          <t>avverkningsanmälan</t>
        </is>
      </c>
      <c r="C145" t="inlineStr">
        <is>
          <t>Föryngringsavverkning</t>
        </is>
      </c>
      <c r="D145" s="1" t="n">
        <v>45301</v>
      </c>
      <c r="E145" s="1" t="n">
        <v>46241</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t="n">
        <v>0</v>
      </c>
      <c r="V145" s="2" t="inlineStr">
        <is>
          <t>Anisspindling
Diskvaxskivling</t>
        </is>
      </c>
      <c r="W145">
        <f>HYPERLINK("https://klasma.github.io/Logging_0980/artfynd/A 1010-2024 artfynd.xlsx", "A 1010-2024")</f>
        <v/>
      </c>
      <c r="X145">
        <f>HYPERLINK("https://klasma.github.io/Logging_0980/kartor/A 1010-2024 karta.png", "A 1010-2024")</f>
        <v/>
      </c>
      <c r="Y145">
        <f>HYPERLINK("https://klasma.github.io/Logging_0980/kartor_geotiff/A 1010-2024 georefererad karta.tif", "A 1010-2024")</f>
        <v/>
      </c>
      <c r="AA145">
        <f>HYPERLINK("https://klasma.github.io/Logging_0980/klagomål/A 1010-2024 FSC-klagomål.docx", "A 1010-2024")</f>
        <v/>
      </c>
      <c r="AB145">
        <f>HYPERLINK("https://klasma.github.io/Logging_0980/klagomålsmail/A 1010-2024 FSC-klagomål mail.docx", "A 1010-2024")</f>
        <v/>
      </c>
      <c r="AC145">
        <f>HYPERLINK("https://klasma.github.io/Logging_0980/tillsyn/A 1010-2024 tillsynsbegäran.docx", "A 1010-2024")</f>
        <v/>
      </c>
      <c r="AD145">
        <f>HYPERLINK("https://klasma.github.io/Logging_0980/tillsynsmail/A 1010-2024 tillsynsbegäran mail.docx", "A 1010-2024")</f>
        <v/>
      </c>
    </row>
    <row r="146" ht="15" customHeight="1">
      <c r="A146" t="inlineStr">
        <is>
          <t>A 27589-2023</t>
        </is>
      </c>
      <c r="B146" t="inlineStr">
        <is>
          <t>avverkningsanmälan</t>
        </is>
      </c>
      <c r="C146" t="inlineStr">
        <is>
          <t>Avverkning för annat ändamål</t>
        </is>
      </c>
      <c r="D146" s="1" t="n">
        <v>45097</v>
      </c>
      <c r="E146" s="1" t="n">
        <v>46241</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8036-2022</t>
        </is>
      </c>
      <c r="B147" t="inlineStr">
        <is>
          <t>avverkningsanmälan</t>
        </is>
      </c>
      <c r="C147" t="inlineStr">
        <is>
          <t>Föryngringsavverkning</t>
        </is>
      </c>
      <c r="D147" s="1" t="n">
        <v>44609</v>
      </c>
      <c r="E147" s="1" t="n">
        <v>46241</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883-2025</t>
        </is>
      </c>
      <c r="B148" t="inlineStr">
        <is>
          <t>avverkningsanmälan</t>
        </is>
      </c>
      <c r="C148" t="inlineStr">
        <is>
          <t>Föryngringsavverkning</t>
        </is>
      </c>
      <c r="D148" s="1" t="n">
        <v>45665</v>
      </c>
      <c r="E148" s="1" t="n">
        <v>46241</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7070-2022</t>
        </is>
      </c>
      <c r="B149" t="inlineStr">
        <is>
          <t>avverkningsanmälan</t>
        </is>
      </c>
      <c r="C149" t="inlineStr">
        <is>
          <t>Föryngringsavverkning</t>
        </is>
      </c>
      <c r="D149" s="1" t="n">
        <v>44603</v>
      </c>
      <c r="E149" s="1" t="n">
        <v>46241</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30470-2026</t>
        </is>
      </c>
      <c r="B150" t="inlineStr">
        <is>
          <t>avverkningsanmälan</t>
        </is>
      </c>
      <c r="C150" t="inlineStr">
        <is>
          <t>Föryngringsavverkning</t>
        </is>
      </c>
      <c r="D150" s="1" t="n">
        <v>46209</v>
      </c>
      <c r="E150" s="1" t="n">
        <v>46241</v>
      </c>
      <c r="F150" t="inlineStr">
        <is>
          <t>GOTLANDS LÄN</t>
        </is>
      </c>
      <c r="G150" t="inlineStr">
        <is>
          <t>GOTLAND</t>
        </is>
      </c>
      <c r="I150" t="n">
        <v>6.1</v>
      </c>
      <c r="J150" t="n">
        <v>1</v>
      </c>
      <c r="K150" t="n">
        <v>1</v>
      </c>
      <c r="L150" t="n">
        <v>0</v>
      </c>
      <c r="M150" t="n">
        <v>0</v>
      </c>
      <c r="N150" t="n">
        <v>0</v>
      </c>
      <c r="O150" t="n">
        <v>0</v>
      </c>
      <c r="P150" t="n">
        <v>0</v>
      </c>
      <c r="Q150" t="n">
        <v>0</v>
      </c>
      <c r="R150" t="n">
        <v>0</v>
      </c>
      <c r="S150" t="n">
        <v>2</v>
      </c>
      <c r="T150" t="n">
        <v>2</v>
      </c>
      <c r="U150" t="n">
        <v>0</v>
      </c>
      <c r="V150" s="2" t="inlineStr">
        <is>
          <t>Grönpyrola
Lopplummer (aggregat)</t>
        </is>
      </c>
      <c r="W150">
        <f>HYPERLINK("https://klasma.github.io/Logging_0980/artfynd/A 30470-2026 artfynd.xlsx", "A 30470-2026")</f>
        <v/>
      </c>
      <c r="X150">
        <f>HYPERLINK("https://klasma.github.io/Logging_0980/kartor/A 30470-2026 karta.png", "A 30470-2026")</f>
        <v/>
      </c>
      <c r="Y150">
        <f>HYPERLINK("https://klasma.github.io/Logging_0980/kartor_geotiff/A 30470-2026 georefererad karta.tif", "A 30470-2026")</f>
        <v/>
      </c>
      <c r="AA150">
        <f>HYPERLINK("https://klasma.github.io/Logging_0980/klagomål/A 30470-2026 FSC-klagomål.docx", "A 30470-2026")</f>
        <v/>
      </c>
      <c r="AB150">
        <f>HYPERLINK("https://klasma.github.io/Logging_0980/klagomålsmail/A 30470-2026 FSC-klagomål mail.docx", "A 30470-2026")</f>
        <v/>
      </c>
      <c r="AC150">
        <f>HYPERLINK("https://klasma.github.io/Logging_0980/tillsyn/A 30470-2026 tillsynsbegäran.docx", "A 30470-2026")</f>
        <v/>
      </c>
      <c r="AD150">
        <f>HYPERLINK("https://klasma.github.io/Logging_0980/tillsynsmail/A 30470-2026 tillsynsbegäran mail.docx", "A 30470-2026")</f>
        <v/>
      </c>
    </row>
    <row r="151" ht="15" customHeight="1">
      <c r="A151" t="inlineStr">
        <is>
          <t>A 62760-2025</t>
        </is>
      </c>
      <c r="B151" t="inlineStr">
        <is>
          <t>avverkningsanmälan</t>
        </is>
      </c>
      <c r="C151" t="inlineStr">
        <is>
          <t>Föryngringsavverkning</t>
        </is>
      </c>
      <c r="D151" s="1" t="n">
        <v>46008</v>
      </c>
      <c r="E151" s="1" t="n">
        <v>46241</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46241</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28261-2024</t>
        </is>
      </c>
      <c r="B153" t="inlineStr">
        <is>
          <t>avverkningsanmälan</t>
        </is>
      </c>
      <c r="C153" t="inlineStr">
        <is>
          <t>Avverkning för annat ändamål</t>
        </is>
      </c>
      <c r="D153" s="1" t="n">
        <v>45477</v>
      </c>
      <c r="E153" s="1" t="n">
        <v>46241</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27621-2026</t>
        </is>
      </c>
      <c r="B154" t="inlineStr">
        <is>
          <t>avverkningsanmälan</t>
        </is>
      </c>
      <c r="C154" t="inlineStr">
        <is>
          <t>Föryngringsavverkning</t>
        </is>
      </c>
      <c r="D154" s="1" t="n">
        <v>46190</v>
      </c>
      <c r="E154" s="1" t="n">
        <v>46241</v>
      </c>
      <c r="F154" t="inlineStr">
        <is>
          <t>GOTLANDS LÄN</t>
        </is>
      </c>
      <c r="G154" t="inlineStr">
        <is>
          <t>GOTLAND</t>
        </is>
      </c>
      <c r="I154" t="n">
        <v>6</v>
      </c>
      <c r="J154" t="n">
        <v>2</v>
      </c>
      <c r="K154" t="n">
        <v>0</v>
      </c>
      <c r="L154" t="n">
        <v>1</v>
      </c>
      <c r="M154" t="n">
        <v>0</v>
      </c>
      <c r="N154" t="n">
        <v>0</v>
      </c>
      <c r="O154" t="n">
        <v>0</v>
      </c>
      <c r="P154" t="n">
        <v>0</v>
      </c>
      <c r="Q154" t="n">
        <v>1</v>
      </c>
      <c r="R154" t="n">
        <v>0</v>
      </c>
      <c r="S154" t="n">
        <v>2</v>
      </c>
      <c r="T154" t="n">
        <v>2</v>
      </c>
      <c r="U154" t="n">
        <v>0</v>
      </c>
      <c r="V154" s="2" t="inlineStr">
        <is>
          <t>Adam och eva
Spillkråka</t>
        </is>
      </c>
      <c r="W154">
        <f>HYPERLINK("https://klasma.github.io/Logging_0980/artfynd/A 27621-2026 artfynd.xlsx", "A 27621-2026")</f>
        <v/>
      </c>
      <c r="X154">
        <f>HYPERLINK("https://klasma.github.io/Logging_0980/kartor/A 27621-2026 karta.png", "A 27621-2026")</f>
        <v/>
      </c>
      <c r="Y154">
        <f>HYPERLINK("https://klasma.github.io/Logging_0980/kartor_geotiff/A 27621-2026 georefererad karta.tif", "A 27621-2026")</f>
        <v/>
      </c>
      <c r="AA154">
        <f>HYPERLINK("https://klasma.github.io/Logging_0980/klagomål/A 27621-2026 FSC-klagomål.docx", "A 27621-2026")</f>
        <v/>
      </c>
      <c r="AB154">
        <f>HYPERLINK("https://klasma.github.io/Logging_0980/klagomålsmail/A 27621-2026 FSC-klagomål mail.docx", "A 27621-2026")</f>
        <v/>
      </c>
      <c r="AC154">
        <f>HYPERLINK("https://klasma.github.io/Logging_0980/tillsyn/A 27621-2026 tillsynsbegäran.docx", "A 27621-2026")</f>
        <v/>
      </c>
      <c r="AD154">
        <f>HYPERLINK("https://klasma.github.io/Logging_0980/tillsynsmail/A 27621-2026 tillsynsbegäran mail.docx", "A 27621-2026")</f>
        <v/>
      </c>
      <c r="AE154">
        <f>HYPERLINK("https://klasma.github.io/Logging_0980/fåglar/A 27621-2026 prioriterade fågelarter.docx", "A 27621-2026")</f>
        <v/>
      </c>
    </row>
    <row r="155" ht="15" customHeight="1">
      <c r="A155" t="inlineStr">
        <is>
          <t>A 28276-2024</t>
        </is>
      </c>
      <c r="B155" t="inlineStr">
        <is>
          <t>avverkningsanmälan</t>
        </is>
      </c>
      <c r="C155" t="inlineStr">
        <is>
          <t>Avverkning för annat ändamål</t>
        </is>
      </c>
      <c r="D155" s="1" t="n">
        <v>45477</v>
      </c>
      <c r="E155" s="1" t="n">
        <v>46241</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S 3320-2023</t>
        </is>
      </c>
      <c r="B156" t="inlineStr">
        <is>
          <t>samrådsanmälan</t>
        </is>
      </c>
      <c r="C156" t="inlineStr">
        <is>
          <t>Annan skogsbruksåtgärd</t>
        </is>
      </c>
      <c r="D156" s="1" t="n">
        <v>45198</v>
      </c>
      <c r="E156" s="1" t="n">
        <v>46241</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46241</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46241</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46241</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46241</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10218-2025</t>
        </is>
      </c>
      <c r="B161" t="inlineStr">
        <is>
          <t>avverkningsanmälan</t>
        </is>
      </c>
      <c r="C161" t="inlineStr">
        <is>
          <t>Föryngringsavverkning</t>
        </is>
      </c>
      <c r="D161" s="1" t="n">
        <v>45720</v>
      </c>
      <c r="E161" s="1" t="n">
        <v>46241</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5751-2024</t>
        </is>
      </c>
      <c r="B162" t="inlineStr">
        <is>
          <t>avverkningsanmälan</t>
        </is>
      </c>
      <c r="C162" t="inlineStr">
        <is>
          <t>Avverkning för att bevara och utveckla /försöksver</t>
        </is>
      </c>
      <c r="D162" s="1" t="n">
        <v>45335</v>
      </c>
      <c r="E162" s="1" t="n">
        <v>46241</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12379-2024</t>
        </is>
      </c>
      <c r="B163" t="inlineStr">
        <is>
          <t>avverkningsanmälan</t>
        </is>
      </c>
      <c r="C163" t="inlineStr">
        <is>
          <t>Föryngringsavverkning</t>
        </is>
      </c>
      <c r="D163" s="1" t="n">
        <v>45379</v>
      </c>
      <c r="E163" s="1" t="n">
        <v>46241</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t="n">
        <v>0</v>
      </c>
      <c r="V163" s="2" t="inlineStr">
        <is>
          <t>Svinrot</t>
        </is>
      </c>
      <c r="W163">
        <f>HYPERLINK("https://klasma.github.io/Logging_0980/artfynd/A 12379-2024 artfynd.xlsx", "A 12379-2024")</f>
        <v/>
      </c>
      <c r="X163">
        <f>HYPERLINK("https://klasma.github.io/Logging_0980/kartor/A 12379-2024 karta.png", "A 12379-2024")</f>
        <v/>
      </c>
      <c r="Y163">
        <f>HYPERLINK("https://klasma.github.io/Logging_0980/kartor_geotiff/A 12379-2024 georefererad karta.tif", "A 12379-2024")</f>
        <v/>
      </c>
      <c r="AA163">
        <f>HYPERLINK("https://klasma.github.io/Logging_0980/klagomål/A 12379-2024 FSC-klagomål.docx", "A 12379-2024")</f>
        <v/>
      </c>
      <c r="AB163">
        <f>HYPERLINK("https://klasma.github.io/Logging_0980/klagomålsmail/A 12379-2024 FSC-klagomål mail.docx", "A 12379-2024")</f>
        <v/>
      </c>
      <c r="AC163">
        <f>HYPERLINK("https://klasma.github.io/Logging_0980/tillsyn/A 12379-2024 tillsynsbegäran.docx", "A 12379-2024")</f>
        <v/>
      </c>
      <c r="AD163">
        <f>HYPERLINK("https://klasma.github.io/Logging_0980/tillsynsmail/A 12379-2024 tillsynsbegäran mail.docx", "A 12379-2024")</f>
        <v/>
      </c>
    </row>
    <row r="164" ht="15" customHeight="1">
      <c r="A164" t="inlineStr">
        <is>
          <t>A 46189-2022</t>
        </is>
      </c>
      <c r="B164" t="inlineStr">
        <is>
          <t>avverkningsanmälan</t>
        </is>
      </c>
      <c r="C164" t="inlineStr">
        <is>
          <t>Avverkning för annat ändamål</t>
        </is>
      </c>
      <c r="D164" s="1" t="n">
        <v>44847</v>
      </c>
      <c r="E164" s="1" t="n">
        <v>46241</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27593-2023</t>
        </is>
      </c>
      <c r="B165" t="inlineStr">
        <is>
          <t>avverkningsanmälan</t>
        </is>
      </c>
      <c r="C165" t="inlineStr">
        <is>
          <t>Avverkning för annat ändamål</t>
        </is>
      </c>
      <c r="D165" s="1" t="n">
        <v>45097</v>
      </c>
      <c r="E165" s="1" t="n">
        <v>46241</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25977-2024</t>
        </is>
      </c>
      <c r="B166" t="inlineStr">
        <is>
          <t>avverkningsanmälan</t>
        </is>
      </c>
      <c r="C166" t="inlineStr">
        <is>
          <t>Föryngringsavverkning</t>
        </is>
      </c>
      <c r="D166" s="1" t="n">
        <v>45467</v>
      </c>
      <c r="E166" s="1" t="n">
        <v>46241</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4568-2025</t>
        </is>
      </c>
      <c r="B167" t="inlineStr">
        <is>
          <t>avverkningsanmälan</t>
        </is>
      </c>
      <c r="C167" t="inlineStr">
        <is>
          <t>Föryngringsavverkning</t>
        </is>
      </c>
      <c r="D167" s="1" t="n">
        <v>45687</v>
      </c>
      <c r="E167" s="1" t="n">
        <v>46241</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46241</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46241</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t="n">
        <v>1</v>
      </c>
      <c r="V169" s="2" t="inlineStr">
        <is>
          <t>Dårgräsfjäril</t>
        </is>
      </c>
      <c r="W169">
        <f>HYPERLINK("https://klasma.github.io/Logging_0980/artfynd/A 29809-2022 artfynd.xlsx", "A 29809-2022")</f>
        <v/>
      </c>
      <c r="X169">
        <f>HYPERLINK("https://klasma.github.io/Logging_0980/kartor/A 29809-2022 karta.png", "A 29809-2022")</f>
        <v/>
      </c>
      <c r="Y169">
        <f>HYPERLINK("https://klasma.github.io/Logging_0980/kartor_geotiff/A 29809-2022 georefererad karta.tif", "A 29809-2022")</f>
        <v/>
      </c>
      <c r="AA169">
        <f>HYPERLINK("https://klasma.github.io/Logging_0980/klagomål/A 29809-2022 FSC-klagomål.docx", "A 29809-2022")</f>
        <v/>
      </c>
      <c r="AB169">
        <f>HYPERLINK("https://klasma.github.io/Logging_0980/klagomålsmail/A 29809-2022 FSC-klagomål mail.docx", "A 29809-2022")</f>
        <v/>
      </c>
      <c r="AC169">
        <f>HYPERLINK("https://klasma.github.io/Logging_0980/tillsyn/A 29809-2022 tillsynsbegäran.docx", "A 29809-2022")</f>
        <v/>
      </c>
      <c r="AD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46241</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t="n">
        <v>1</v>
      </c>
      <c r="V170" s="2" t="inlineStr">
        <is>
          <t>Blåsippa</t>
        </is>
      </c>
      <c r="W170">
        <f>HYPERLINK("https://klasma.github.io/Logging_0980/artfynd/A 15637-2024 artfynd.xlsx", "A 15637-2024")</f>
        <v/>
      </c>
      <c r="X170">
        <f>HYPERLINK("https://klasma.github.io/Logging_0980/kartor/A 15637-2024 karta.png", "A 15637-2024")</f>
        <v/>
      </c>
      <c r="Y170">
        <f>HYPERLINK("https://klasma.github.io/Logging_0980/kartor_geotiff/A 15637-2024 georefererad karta.tif", "A 15637-2024")</f>
        <v/>
      </c>
      <c r="AA170">
        <f>HYPERLINK("https://klasma.github.io/Logging_0980/klagomål/A 15637-2024 FSC-klagomål.docx", "A 15637-2024")</f>
        <v/>
      </c>
      <c r="AB170">
        <f>HYPERLINK("https://klasma.github.io/Logging_0980/klagomålsmail/A 15637-2024 FSC-klagomål mail.docx", "A 15637-2024")</f>
        <v/>
      </c>
      <c r="AC170">
        <f>HYPERLINK("https://klasma.github.io/Logging_0980/tillsyn/A 15637-2024 tillsynsbegäran.docx", "A 15637-2024")</f>
        <v/>
      </c>
      <c r="AD170">
        <f>HYPERLINK("https://klasma.github.io/Logging_0980/tillsynsmail/A 15637-2024 tillsynsbegäran mail.docx", "A 15637-2024")</f>
        <v/>
      </c>
    </row>
    <row r="171" ht="15" customHeight="1">
      <c r="A171" t="inlineStr">
        <is>
          <t>A 17000-2026</t>
        </is>
      </c>
      <c r="B171" t="inlineStr">
        <is>
          <t>avverkningsanmälan</t>
        </is>
      </c>
      <c r="C171" t="inlineStr">
        <is>
          <t>Föryngringsavverkning</t>
        </is>
      </c>
      <c r="D171" s="1" t="n">
        <v>46114</v>
      </c>
      <c r="E171" s="1" t="n">
        <v>46241</v>
      </c>
      <c r="F171" t="inlineStr">
        <is>
          <t>GOTLANDS LÄN</t>
        </is>
      </c>
      <c r="G171" t="inlineStr">
        <is>
          <t>GOTLAND</t>
        </is>
      </c>
      <c r="I171" t="n">
        <v>1.9</v>
      </c>
      <c r="J171" t="n">
        <v>1</v>
      </c>
      <c r="K171" t="n">
        <v>0</v>
      </c>
      <c r="L171" t="n">
        <v>0</v>
      </c>
      <c r="M171" t="n">
        <v>0</v>
      </c>
      <c r="N171" t="n">
        <v>0</v>
      </c>
      <c r="O171" t="n">
        <v>0</v>
      </c>
      <c r="P171" t="n">
        <v>0</v>
      </c>
      <c r="Q171" t="n">
        <v>0</v>
      </c>
      <c r="R171" t="n">
        <v>0</v>
      </c>
      <c r="S171" t="n">
        <v>1</v>
      </c>
      <c r="T171" t="n">
        <v>1</v>
      </c>
      <c r="U171" t="n">
        <v>0</v>
      </c>
      <c r="V171" s="2" t="inlineStr">
        <is>
          <t>Kalkkrassing</t>
        </is>
      </c>
      <c r="W171">
        <f>HYPERLINK("https://klasma.github.io/Logging_0980/artfynd/A 17000-2026 artfynd.xlsx", "A 17000-2026")</f>
        <v/>
      </c>
      <c r="X171">
        <f>HYPERLINK("https://klasma.github.io/Logging_0980/kartor/A 17000-2026 karta.png", "A 17000-2026")</f>
        <v/>
      </c>
      <c r="Y171">
        <f>HYPERLINK("https://klasma.github.io/Logging_0980/kartor_geotiff/A 17000-2026 georefererad karta.tif", "A 17000-2026")</f>
        <v/>
      </c>
      <c r="AA171">
        <f>HYPERLINK("https://klasma.github.io/Logging_0980/klagomål/A 17000-2026 FSC-klagomål.docx", "A 17000-2026")</f>
        <v/>
      </c>
      <c r="AB171">
        <f>HYPERLINK("https://klasma.github.io/Logging_0980/klagomålsmail/A 17000-2026 FSC-klagomål mail.docx", "A 17000-2026")</f>
        <v/>
      </c>
      <c r="AC171">
        <f>HYPERLINK("https://klasma.github.io/Logging_0980/tillsyn/A 17000-2026 tillsynsbegäran.docx", "A 17000-2026")</f>
        <v/>
      </c>
      <c r="AD171">
        <f>HYPERLINK("https://klasma.github.io/Logging_0980/tillsynsmail/A 17000-2026 tillsynsbegäran mail.docx", "A 17000-2026")</f>
        <v/>
      </c>
    </row>
    <row r="172" ht="15" customHeight="1">
      <c r="A172" t="inlineStr">
        <is>
          <t>A 7042-2023</t>
        </is>
      </c>
      <c r="B172" t="inlineStr">
        <is>
          <t>avverkningsanmälan</t>
        </is>
      </c>
      <c r="C172" t="inlineStr">
        <is>
          <t>Föryngringsavverkning</t>
        </is>
      </c>
      <c r="D172" s="1" t="n">
        <v>44968</v>
      </c>
      <c r="E172" s="1" t="n">
        <v>46241</v>
      </c>
      <c r="F172" t="inlineStr">
        <is>
          <t>GOTLANDS LÄN</t>
        </is>
      </c>
      <c r="G172" t="inlineStr">
        <is>
          <t>GOTLAND</t>
        </is>
      </c>
      <c r="I172" t="n">
        <v>0.7</v>
      </c>
      <c r="J172" t="n">
        <v>1</v>
      </c>
      <c r="K172" t="n">
        <v>1</v>
      </c>
      <c r="L172" t="n">
        <v>0</v>
      </c>
      <c r="M172" t="n">
        <v>0</v>
      </c>
      <c r="N172" t="n">
        <v>0</v>
      </c>
      <c r="O172" t="n">
        <v>0</v>
      </c>
      <c r="P172" t="n">
        <v>0</v>
      </c>
      <c r="Q172" t="n">
        <v>0</v>
      </c>
      <c r="R172" t="n">
        <v>0</v>
      </c>
      <c r="S172" t="n">
        <v>1</v>
      </c>
      <c r="T172" t="n">
        <v>1</v>
      </c>
      <c r="U172" t="n">
        <v>0</v>
      </c>
      <c r="V172" s="2" t="inlineStr">
        <is>
          <t>Purpurknipprot</t>
        </is>
      </c>
      <c r="W172">
        <f>HYPERLINK("https://klasma.github.io/Logging_0980/artfynd/A 7042-2023 artfynd.xlsx", "A 7042-2023")</f>
        <v/>
      </c>
      <c r="X172">
        <f>HYPERLINK("https://klasma.github.io/Logging_0980/kartor/A 7042-2023 karta.png", "A 7042-2023")</f>
        <v/>
      </c>
      <c r="Y172">
        <f>HYPERLINK("https://klasma.github.io/Logging_0980/kartor_geotiff/A 7042-2023 georefererad karta.tif", "A 7042-2023")</f>
        <v/>
      </c>
      <c r="AA172">
        <f>HYPERLINK("https://klasma.github.io/Logging_0980/klagomål/A 7042-2023 FSC-klagomål.docx", "A 7042-2023")</f>
        <v/>
      </c>
      <c r="AB172">
        <f>HYPERLINK("https://klasma.github.io/Logging_0980/klagomålsmail/A 7042-2023 FSC-klagomål mail.docx", "A 7042-2023")</f>
        <v/>
      </c>
      <c r="AC172">
        <f>HYPERLINK("https://klasma.github.io/Logging_0980/tillsyn/A 7042-2023 tillsynsbegäran.docx", "A 7042-2023")</f>
        <v/>
      </c>
      <c r="AD172">
        <f>HYPERLINK("https://klasma.github.io/Logging_0980/tillsynsmail/A 7042-2023 tillsynsbegäran mail.docx", "A 7042-2023")</f>
        <v/>
      </c>
    </row>
    <row r="173" ht="15" customHeight="1">
      <c r="A173" t="inlineStr">
        <is>
          <t>A 30489-2025</t>
        </is>
      </c>
      <c r="B173" t="inlineStr">
        <is>
          <t>avverkningsanmälan</t>
        </is>
      </c>
      <c r="C173" t="inlineStr">
        <is>
          <t>Föryngringsavverkning</t>
        </is>
      </c>
      <c r="D173" s="1" t="n">
        <v>45830</v>
      </c>
      <c r="E173" s="1" t="n">
        <v>46241</v>
      </c>
      <c r="F173" t="inlineStr">
        <is>
          <t>GOTLANDS LÄN</t>
        </is>
      </c>
      <c r="G173" t="inlineStr">
        <is>
          <t>GOTLAND</t>
        </is>
      </c>
      <c r="I173" t="n">
        <v>4.6</v>
      </c>
      <c r="J173" t="n">
        <v>0</v>
      </c>
      <c r="K173" t="n">
        <v>0</v>
      </c>
      <c r="L173" t="n">
        <v>1</v>
      </c>
      <c r="M173" t="n">
        <v>0</v>
      </c>
      <c r="N173" t="n">
        <v>0</v>
      </c>
      <c r="O173" t="n">
        <v>0</v>
      </c>
      <c r="P173" t="n">
        <v>0</v>
      </c>
      <c r="Q173" t="n">
        <v>1</v>
      </c>
      <c r="R173" t="n">
        <v>0</v>
      </c>
      <c r="S173" t="n">
        <v>1</v>
      </c>
      <c r="T173" t="n">
        <v>1</v>
      </c>
      <c r="U173" t="n">
        <v>0</v>
      </c>
      <c r="V173" s="2" t="inlineStr">
        <is>
          <t>Skarp dropptaggsvamp</t>
        </is>
      </c>
      <c r="W173">
        <f>HYPERLINK("https://klasma.github.io/Logging_0980/artfynd/A 30489-2025 artfynd.xlsx", "A 30489-2025")</f>
        <v/>
      </c>
      <c r="X173">
        <f>HYPERLINK("https://klasma.github.io/Logging_0980/kartor/A 30489-2025 karta.png", "A 30489-2025")</f>
        <v/>
      </c>
      <c r="Y173">
        <f>HYPERLINK("https://klasma.github.io/Logging_0980/kartor_geotiff/A 30489-2025 georefererad karta.tif", "A 30489-2025")</f>
        <v/>
      </c>
      <c r="AA173">
        <f>HYPERLINK("https://klasma.github.io/Logging_0980/klagomål/A 30489-2025 FSC-klagomål.docx", "A 30489-2025")</f>
        <v/>
      </c>
      <c r="AB173">
        <f>HYPERLINK("https://klasma.github.io/Logging_0980/klagomålsmail/A 30489-2025 FSC-klagomål mail.docx", "A 30489-2025")</f>
        <v/>
      </c>
      <c r="AC173">
        <f>HYPERLINK("https://klasma.github.io/Logging_0980/tillsyn/A 30489-2025 tillsynsbegäran.docx", "A 30489-2025")</f>
        <v/>
      </c>
      <c r="AD173">
        <f>HYPERLINK("https://klasma.github.io/Logging_0980/tillsynsmail/A 30489-2025 tillsynsbegäran mail.docx", "A 30489-2025")</f>
        <v/>
      </c>
    </row>
    <row r="174" ht="15" customHeight="1">
      <c r="A174" t="inlineStr">
        <is>
          <t>A 63229-2021</t>
        </is>
      </c>
      <c r="B174" t="inlineStr">
        <is>
          <t>avverkningsanmälan</t>
        </is>
      </c>
      <c r="C174" t="inlineStr">
        <is>
          <t>Föryngringsavverkning</t>
        </is>
      </c>
      <c r="D174" s="1" t="n">
        <v>44508</v>
      </c>
      <c r="E174" s="1" t="n">
        <v>46241</v>
      </c>
      <c r="F174" t="inlineStr">
        <is>
          <t>GOTLANDS LÄN</t>
        </is>
      </c>
      <c r="G174" t="inlineStr">
        <is>
          <t>GOTLAND</t>
        </is>
      </c>
      <c r="H174" t="inlineStr">
        <is>
          <t>Kyrkan</t>
        </is>
      </c>
      <c r="I174" t="n">
        <v>3.8</v>
      </c>
      <c r="J174" t="n">
        <v>0</v>
      </c>
      <c r="K174" t="n">
        <v>0</v>
      </c>
      <c r="L174" t="n">
        <v>1</v>
      </c>
      <c r="M174" t="n">
        <v>0</v>
      </c>
      <c r="N174" t="n">
        <v>0</v>
      </c>
      <c r="O174" t="n">
        <v>0</v>
      </c>
      <c r="P174" t="n">
        <v>0</v>
      </c>
      <c r="Q174" t="n">
        <v>1</v>
      </c>
      <c r="R174" t="n">
        <v>0</v>
      </c>
      <c r="S174" t="n">
        <v>1</v>
      </c>
      <c r="T174" t="n">
        <v>1</v>
      </c>
      <c r="U174" t="n">
        <v>0</v>
      </c>
      <c r="V174" s="2" t="inlineStr">
        <is>
          <t>Backtimjan</t>
        </is>
      </c>
      <c r="W174">
        <f>HYPERLINK("https://klasma.github.io/Logging_0980/artfynd/A 63229-2021 artfynd.xlsx", "A 63229-2021")</f>
        <v/>
      </c>
      <c r="X174">
        <f>HYPERLINK("https://klasma.github.io/Logging_0980/kartor/A 63229-2021 karta.png", "A 63229-2021")</f>
        <v/>
      </c>
      <c r="Y174">
        <f>HYPERLINK("https://klasma.github.io/Logging_0980/kartor_geotiff/A 63229-2021 georefererad karta.tif", "A 63229-2021")</f>
        <v/>
      </c>
      <c r="AA174">
        <f>HYPERLINK("https://klasma.github.io/Logging_0980/klagomål/A 63229-2021 FSC-klagomål.docx", "A 63229-2021")</f>
        <v/>
      </c>
      <c r="AB174">
        <f>HYPERLINK("https://klasma.github.io/Logging_0980/klagomålsmail/A 63229-2021 FSC-klagomål mail.docx", "A 63229-2021")</f>
        <v/>
      </c>
      <c r="AC174">
        <f>HYPERLINK("https://klasma.github.io/Logging_0980/tillsyn/A 63229-2021 tillsynsbegäran.docx", "A 63229-2021")</f>
        <v/>
      </c>
      <c r="AD174">
        <f>HYPERLINK("https://klasma.github.io/Logging_0980/tillsynsmail/A 63229-2021 tillsynsbegäran mail.docx", "A 63229-2021")</f>
        <v/>
      </c>
    </row>
    <row r="175" ht="15" customHeight="1">
      <c r="A175" t="inlineStr">
        <is>
          <t>A 17854-2026</t>
        </is>
      </c>
      <c r="B175" t="inlineStr">
        <is>
          <t>avverkningsanmälan</t>
        </is>
      </c>
      <c r="C175" t="inlineStr">
        <is>
          <t>Föryngringsavverkning</t>
        </is>
      </c>
      <c r="D175" s="1" t="n">
        <v>46121</v>
      </c>
      <c r="E175" s="1" t="n">
        <v>46241</v>
      </c>
      <c r="F175" t="inlineStr">
        <is>
          <t>GOTLANDS LÄN</t>
        </is>
      </c>
      <c r="G175" t="inlineStr">
        <is>
          <t>GOTLAND</t>
        </is>
      </c>
      <c r="I175" t="n">
        <v>6.6</v>
      </c>
      <c r="J175" t="n">
        <v>0</v>
      </c>
      <c r="K175" t="n">
        <v>0</v>
      </c>
      <c r="L175" t="n">
        <v>1</v>
      </c>
      <c r="M175" t="n">
        <v>0</v>
      </c>
      <c r="N175" t="n">
        <v>0</v>
      </c>
      <c r="O175" t="n">
        <v>0</v>
      </c>
      <c r="P175" t="n">
        <v>0</v>
      </c>
      <c r="Q175" t="n">
        <v>1</v>
      </c>
      <c r="R175" t="n">
        <v>0</v>
      </c>
      <c r="S175" t="n">
        <v>1</v>
      </c>
      <c r="T175" t="n">
        <v>1</v>
      </c>
      <c r="U175" t="n">
        <v>0</v>
      </c>
      <c r="V175" s="2" t="inlineStr">
        <is>
          <t>Blå slemspindling</t>
        </is>
      </c>
      <c r="W175">
        <f>HYPERLINK("https://klasma.github.io/Logging_0980/artfynd/A 17854-2026 artfynd.xlsx", "A 17854-2026")</f>
        <v/>
      </c>
      <c r="X175">
        <f>HYPERLINK("https://klasma.github.io/Logging_0980/kartor/A 17854-2026 karta.png", "A 17854-2026")</f>
        <v/>
      </c>
      <c r="Y175">
        <f>HYPERLINK("https://klasma.github.io/Logging_0980/kartor_geotiff/A 17854-2026 georefererad karta.tif", "A 17854-2026")</f>
        <v/>
      </c>
      <c r="AA175">
        <f>HYPERLINK("https://klasma.github.io/Logging_0980/klagomål/A 17854-2026 FSC-klagomål.docx", "A 17854-2026")</f>
        <v/>
      </c>
      <c r="AB175">
        <f>HYPERLINK("https://klasma.github.io/Logging_0980/klagomålsmail/A 17854-2026 FSC-klagomål mail.docx", "A 17854-2026")</f>
        <v/>
      </c>
      <c r="AC175">
        <f>HYPERLINK("https://klasma.github.io/Logging_0980/tillsyn/A 17854-2026 tillsynsbegäran.docx", "A 17854-2026")</f>
        <v/>
      </c>
      <c r="AD175">
        <f>HYPERLINK("https://klasma.github.io/Logging_0980/tillsynsmail/A 17854-2026 tillsynsbegäran mail.docx", "A 17854-2026")</f>
        <v/>
      </c>
    </row>
    <row r="176" ht="15" customHeight="1">
      <c r="A176" t="inlineStr">
        <is>
          <t>A 10995-2023</t>
        </is>
      </c>
      <c r="B176" t="inlineStr">
        <is>
          <t>avverkningsanmälan</t>
        </is>
      </c>
      <c r="C176" t="inlineStr">
        <is>
          <t>Föryngringsavverkning</t>
        </is>
      </c>
      <c r="D176" s="1" t="n">
        <v>44986</v>
      </c>
      <c r="E176" s="1" t="n">
        <v>46241</v>
      </c>
      <c r="F176" t="inlineStr">
        <is>
          <t>GOTLANDS LÄN</t>
        </is>
      </c>
      <c r="G176" t="inlineStr">
        <is>
          <t>GOTLAND</t>
        </is>
      </c>
      <c r="I176" t="n">
        <v>2.8</v>
      </c>
      <c r="J176" t="n">
        <v>0</v>
      </c>
      <c r="K176" t="n">
        <v>0</v>
      </c>
      <c r="L176" t="n">
        <v>0</v>
      </c>
      <c r="M176" t="n">
        <v>1</v>
      </c>
      <c r="N176" t="n">
        <v>0</v>
      </c>
      <c r="O176" t="n">
        <v>0</v>
      </c>
      <c r="P176" t="n">
        <v>0</v>
      </c>
      <c r="Q176" t="n">
        <v>1</v>
      </c>
      <c r="R176" t="n">
        <v>1</v>
      </c>
      <c r="S176" t="n">
        <v>1</v>
      </c>
      <c r="T176" t="n">
        <v>1</v>
      </c>
      <c r="U176" t="n">
        <v>0</v>
      </c>
      <c r="V176" s="2" t="inlineStr">
        <is>
          <t>Violettfläckig spindling</t>
        </is>
      </c>
      <c r="W176">
        <f>HYPERLINK("https://klasma.github.io/Logging_0980/artfynd/A 10995-2023 artfynd.xlsx", "A 10995-2023")</f>
        <v/>
      </c>
      <c r="X176">
        <f>HYPERLINK("https://klasma.github.io/Logging_0980/kartor/A 10995-2023 karta.png", "A 10995-2023")</f>
        <v/>
      </c>
      <c r="Y176">
        <f>HYPERLINK("https://klasma.github.io/Logging_0980/kartor_geotiff/A 10995-2023 georefererad karta.tif", "A 10995-2023")</f>
        <v/>
      </c>
      <c r="AA176">
        <f>HYPERLINK("https://klasma.github.io/Logging_0980/klagomål/A 10995-2023 FSC-klagomål.docx", "A 10995-2023")</f>
        <v/>
      </c>
      <c r="AB176">
        <f>HYPERLINK("https://klasma.github.io/Logging_0980/klagomålsmail/A 10995-2023 FSC-klagomål mail.docx", "A 10995-2023")</f>
        <v/>
      </c>
      <c r="AC176">
        <f>HYPERLINK("https://klasma.github.io/Logging_0980/tillsyn/A 10995-2023 tillsynsbegäran.docx", "A 10995-2023")</f>
        <v/>
      </c>
      <c r="AD176">
        <f>HYPERLINK("https://klasma.github.io/Logging_0980/tillsynsmail/A 10995-2023 tillsynsbegäran mail.docx", "A 10995-2023")</f>
        <v/>
      </c>
    </row>
    <row r="177" ht="15" customHeight="1">
      <c r="A177" t="inlineStr">
        <is>
          <t>A 62552-2022</t>
        </is>
      </c>
      <c r="B177" t="inlineStr">
        <is>
          <t>avverkningsanmälan</t>
        </is>
      </c>
      <c r="C177" t="inlineStr">
        <is>
          <t>Föryngringsavverkning</t>
        </is>
      </c>
      <c r="D177" s="1" t="n">
        <v>44924</v>
      </c>
      <c r="E177" s="1" t="n">
        <v>46241</v>
      </c>
      <c r="F177" t="inlineStr">
        <is>
          <t>GOTLANDS LÄN</t>
        </is>
      </c>
      <c r="G177" t="inlineStr">
        <is>
          <t>GOTLAND</t>
        </is>
      </c>
      <c r="I177" t="n">
        <v>1.6</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62552-2022 artfynd.xlsx", "A 62552-2022")</f>
        <v/>
      </c>
      <c r="X177">
        <f>HYPERLINK("https://klasma.github.io/Logging_0980/kartor/A 62552-2022 karta.png", "A 62552-2022")</f>
        <v/>
      </c>
      <c r="Y177">
        <f>HYPERLINK("https://klasma.github.io/Logging_0980/kartor_geotiff/A 62552-2022 georefererad karta.tif", "A 62552-2022")</f>
        <v/>
      </c>
      <c r="AA177">
        <f>HYPERLINK("https://klasma.github.io/Logging_0980/klagomål/A 62552-2022 FSC-klagomål.docx", "A 62552-2022")</f>
        <v/>
      </c>
      <c r="AB177">
        <f>HYPERLINK("https://klasma.github.io/Logging_0980/klagomålsmail/A 62552-2022 FSC-klagomål mail.docx", "A 62552-2022")</f>
        <v/>
      </c>
      <c r="AC177">
        <f>HYPERLINK("https://klasma.github.io/Logging_0980/tillsyn/A 62552-2022 tillsynsbegäran.docx", "A 62552-2022")</f>
        <v/>
      </c>
      <c r="AD177">
        <f>HYPERLINK("https://klasma.github.io/Logging_0980/tillsynsmail/A 62552-2022 tillsynsbegäran mail.docx", "A 62552-2022")</f>
        <v/>
      </c>
    </row>
    <row r="178" ht="15" customHeight="1">
      <c r="A178" t="inlineStr">
        <is>
          <t>A 44088-2022</t>
        </is>
      </c>
      <c r="B178" t="inlineStr">
        <is>
          <t>avverkningsanmälan</t>
        </is>
      </c>
      <c r="C178" t="inlineStr">
        <is>
          <t>Föryngringsavverkning</t>
        </is>
      </c>
      <c r="D178" s="1" t="n">
        <v>44839</v>
      </c>
      <c r="E178" s="1" t="n">
        <v>46241</v>
      </c>
      <c r="F178" t="inlineStr">
        <is>
          <t>GOTLANDS LÄN</t>
        </is>
      </c>
      <c r="G178" t="inlineStr">
        <is>
          <t>GOTLAND</t>
        </is>
      </c>
      <c r="I178" t="n">
        <v>1.5</v>
      </c>
      <c r="J178" t="n">
        <v>0</v>
      </c>
      <c r="K178" t="n">
        <v>1</v>
      </c>
      <c r="L178" t="n">
        <v>0</v>
      </c>
      <c r="M178" t="n">
        <v>0</v>
      </c>
      <c r="N178" t="n">
        <v>0</v>
      </c>
      <c r="O178" t="n">
        <v>0</v>
      </c>
      <c r="P178" t="n">
        <v>0</v>
      </c>
      <c r="Q178" t="n">
        <v>0</v>
      </c>
      <c r="R178" t="n">
        <v>0</v>
      </c>
      <c r="S178" t="n">
        <v>1</v>
      </c>
      <c r="T178" t="n">
        <v>1</v>
      </c>
      <c r="U178" t="n">
        <v>0</v>
      </c>
      <c r="V178" s="2" t="inlineStr">
        <is>
          <t>Strävlosta</t>
        </is>
      </c>
      <c r="W178">
        <f>HYPERLINK("https://klasma.github.io/Logging_0980/artfynd/A 44088-2022 artfynd.xlsx", "A 44088-2022")</f>
        <v/>
      </c>
      <c r="X178">
        <f>HYPERLINK("https://klasma.github.io/Logging_0980/kartor/A 44088-2022 karta.png", "A 44088-2022")</f>
        <v/>
      </c>
      <c r="Y178">
        <f>HYPERLINK("https://klasma.github.io/Logging_0980/kartor_geotiff/A 44088-2022 georefererad karta.tif", "A 44088-2022")</f>
        <v/>
      </c>
      <c r="AA178">
        <f>HYPERLINK("https://klasma.github.io/Logging_0980/klagomål/A 44088-2022 FSC-klagomål.docx", "A 44088-2022")</f>
        <v/>
      </c>
      <c r="AB178">
        <f>HYPERLINK("https://klasma.github.io/Logging_0980/klagomålsmail/A 44088-2022 FSC-klagomål mail.docx", "A 44088-2022")</f>
        <v/>
      </c>
      <c r="AC178">
        <f>HYPERLINK("https://klasma.github.io/Logging_0980/tillsyn/A 44088-2022 tillsynsbegäran.docx", "A 44088-2022")</f>
        <v/>
      </c>
      <c r="AD178">
        <f>HYPERLINK("https://klasma.github.io/Logging_0980/tillsynsmail/A 44088-2022 tillsynsbegäran mail.docx", "A 44088-2022")</f>
        <v/>
      </c>
    </row>
    <row r="179" ht="15" customHeight="1">
      <c r="A179" t="inlineStr">
        <is>
          <t>A 49693-2023</t>
        </is>
      </c>
      <c r="B179" t="inlineStr">
        <is>
          <t>avverkningsanmälan</t>
        </is>
      </c>
      <c r="C179" t="inlineStr">
        <is>
          <t>Föryngringsavverkning</t>
        </is>
      </c>
      <c r="D179" s="1" t="n">
        <v>45212</v>
      </c>
      <c r="E179" s="1" t="n">
        <v>46241</v>
      </c>
      <c r="F179" t="inlineStr">
        <is>
          <t>GOTLANDS LÄN</t>
        </is>
      </c>
      <c r="G179" t="inlineStr">
        <is>
          <t>GOTLAND</t>
        </is>
      </c>
      <c r="I179" t="n">
        <v>2.4</v>
      </c>
      <c r="J179" t="n">
        <v>0</v>
      </c>
      <c r="K179" t="n">
        <v>0</v>
      </c>
      <c r="L179" t="n">
        <v>0</v>
      </c>
      <c r="M179" t="n">
        <v>1</v>
      </c>
      <c r="N179" t="n">
        <v>0</v>
      </c>
      <c r="O179" t="n">
        <v>0</v>
      </c>
      <c r="P179" t="n">
        <v>0</v>
      </c>
      <c r="Q179" t="n">
        <v>1</v>
      </c>
      <c r="R179" t="n">
        <v>1</v>
      </c>
      <c r="S179" t="n">
        <v>1</v>
      </c>
      <c r="T179" t="n">
        <v>1</v>
      </c>
      <c r="U179" t="n">
        <v>1</v>
      </c>
      <c r="V179" s="2" t="inlineStr">
        <is>
          <t>Vit taggsvamp</t>
        </is>
      </c>
      <c r="W179">
        <f>HYPERLINK("https://klasma.github.io/Logging_0980/artfynd/A 49693-2023 artfynd.xlsx", "A 49693-2023")</f>
        <v/>
      </c>
      <c r="X179">
        <f>HYPERLINK("https://klasma.github.io/Logging_0980/kartor/A 49693-2023 karta.png", "A 49693-2023")</f>
        <v/>
      </c>
      <c r="Y179">
        <f>HYPERLINK("https://klasma.github.io/Logging_0980/kartor_geotiff/A 49693-2023 georefererad karta.tif", "A 49693-2023")</f>
        <v/>
      </c>
      <c r="AA179">
        <f>HYPERLINK("https://klasma.github.io/Logging_0980/klagomål/A 49693-2023 FSC-klagomål.docx", "A 49693-2023")</f>
        <v/>
      </c>
      <c r="AB179">
        <f>HYPERLINK("https://klasma.github.io/Logging_0980/klagomålsmail/A 49693-2023 FSC-klagomål mail.docx", "A 49693-2023")</f>
        <v/>
      </c>
      <c r="AC179">
        <f>HYPERLINK("https://klasma.github.io/Logging_0980/tillsyn/A 49693-2023 tillsynsbegäran.docx", "A 49693-2023")</f>
        <v/>
      </c>
      <c r="AD179">
        <f>HYPERLINK("https://klasma.github.io/Logging_0980/tillsynsmail/A 49693-2023 tillsynsbegäran mail.docx", "A 49693-2023")</f>
        <v/>
      </c>
    </row>
    <row r="180" ht="15" customHeight="1">
      <c r="A180" t="inlineStr">
        <is>
          <t>A 69112-2021</t>
        </is>
      </c>
      <c r="B180" t="inlineStr">
        <is>
          <t>avverkningsanmälan</t>
        </is>
      </c>
      <c r="C180" t="inlineStr">
        <is>
          <t>Avverkning för annat ändamål</t>
        </is>
      </c>
      <c r="D180" s="1" t="n">
        <v>44530</v>
      </c>
      <c r="E180" s="1" t="n">
        <v>46241</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46241</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46241</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46241</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46241</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46241</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21396-2026</t>
        </is>
      </c>
      <c r="B186" t="inlineStr">
        <is>
          <t>avverkningsanmälan</t>
        </is>
      </c>
      <c r="C186" t="inlineStr">
        <is>
          <t>Föryngringsavverkning</t>
        </is>
      </c>
      <c r="D186" s="1" t="n">
        <v>46148</v>
      </c>
      <c r="E186" s="1" t="n">
        <v>46241</v>
      </c>
      <c r="F186" t="inlineStr">
        <is>
          <t>GOTLANDS LÄN</t>
        </is>
      </c>
      <c r="G186" t="inlineStr">
        <is>
          <t>GOTLAND</t>
        </is>
      </c>
      <c r="I186" t="n">
        <v>6.1</v>
      </c>
      <c r="J186" t="n">
        <v>0</v>
      </c>
      <c r="K186" t="n">
        <v>0</v>
      </c>
      <c r="L186" t="n">
        <v>0</v>
      </c>
      <c r="M186" t="n">
        <v>1</v>
      </c>
      <c r="N186" t="n">
        <v>0</v>
      </c>
      <c r="O186" t="n">
        <v>0</v>
      </c>
      <c r="P186" t="n">
        <v>0</v>
      </c>
      <c r="Q186" t="n">
        <v>1</v>
      </c>
      <c r="R186" t="n">
        <v>1</v>
      </c>
      <c r="S186" t="n">
        <v>1</v>
      </c>
      <c r="T186" t="n">
        <v>1</v>
      </c>
      <c r="U186" t="n">
        <v>0</v>
      </c>
      <c r="V186" s="2" t="inlineStr">
        <is>
          <t>Oxhorndyvel</t>
        </is>
      </c>
      <c r="W186">
        <f>HYPERLINK("https://klasma.github.io/Logging_0980/artfynd/A 21396-2026 artfynd.xlsx", "A 21396-2026")</f>
        <v/>
      </c>
      <c r="X186">
        <f>HYPERLINK("https://klasma.github.io/Logging_0980/kartor/A 21396-2026 karta.png", "A 21396-2026")</f>
        <v/>
      </c>
      <c r="Y186">
        <f>HYPERLINK("https://klasma.github.io/Logging_0980/kartor_geotiff/A 21396-2026 georefererad karta.tif", "A 21396-2026")</f>
        <v/>
      </c>
      <c r="AA186">
        <f>HYPERLINK("https://klasma.github.io/Logging_0980/klagomål/A 21396-2026 FSC-klagomål.docx", "A 21396-2026")</f>
        <v/>
      </c>
      <c r="AB186">
        <f>HYPERLINK("https://klasma.github.io/Logging_0980/klagomålsmail/A 21396-2026 FSC-klagomål mail.docx", "A 21396-2026")</f>
        <v/>
      </c>
      <c r="AC186">
        <f>HYPERLINK("https://klasma.github.io/Logging_0980/tillsyn/A 21396-2026 tillsynsbegäran.docx", "A 21396-2026")</f>
        <v/>
      </c>
      <c r="AD186">
        <f>HYPERLINK("https://klasma.github.io/Logging_0980/tillsynsmail/A 21396-2026 tillsynsbegäran mail.docx", "A 21396-2026")</f>
        <v/>
      </c>
    </row>
    <row r="187" ht="15" customHeight="1">
      <c r="A187" t="inlineStr">
        <is>
          <t>A 1477-2024</t>
        </is>
      </c>
      <c r="B187" t="inlineStr">
        <is>
          <t>avverkningsanmälan</t>
        </is>
      </c>
      <c r="C187" t="inlineStr">
        <is>
          <t>Föryngringsavverkning</t>
        </is>
      </c>
      <c r="D187" s="1" t="n">
        <v>45305</v>
      </c>
      <c r="E187" s="1" t="n">
        <v>46241</v>
      </c>
      <c r="F187" t="inlineStr">
        <is>
          <t>GOTLANDS LÄN</t>
        </is>
      </c>
      <c r="G187" t="inlineStr">
        <is>
          <t>GOTLAND</t>
        </is>
      </c>
      <c r="I187" t="n">
        <v>6.9</v>
      </c>
      <c r="J187" t="n">
        <v>0</v>
      </c>
      <c r="K187" t="n">
        <v>0</v>
      </c>
      <c r="L187" t="n">
        <v>0</v>
      </c>
      <c r="M187" t="n">
        <v>1</v>
      </c>
      <c r="N187" t="n">
        <v>0</v>
      </c>
      <c r="O187" t="n">
        <v>0</v>
      </c>
      <c r="P187" t="n">
        <v>0</v>
      </c>
      <c r="Q187" t="n">
        <v>1</v>
      </c>
      <c r="R187" t="n">
        <v>1</v>
      </c>
      <c r="S187" t="n">
        <v>1</v>
      </c>
      <c r="T187" t="n">
        <v>1</v>
      </c>
      <c r="U187" t="n">
        <v>1</v>
      </c>
      <c r="V187" s="2" t="inlineStr">
        <is>
          <t>Igelkott</t>
        </is>
      </c>
      <c r="W187">
        <f>HYPERLINK("https://klasma.github.io/Logging_0980/artfynd/A 1477-2024 artfynd.xlsx", "A 1477-2024")</f>
        <v/>
      </c>
      <c r="X187">
        <f>HYPERLINK("https://klasma.github.io/Logging_0980/kartor/A 1477-2024 karta.png", "A 1477-2024")</f>
        <v/>
      </c>
      <c r="Y187">
        <f>HYPERLINK("https://klasma.github.io/Logging_0980/kartor_geotiff/A 1477-2024 georefererad karta.tif", "A 1477-2024")</f>
        <v/>
      </c>
      <c r="AA187">
        <f>HYPERLINK("https://klasma.github.io/Logging_0980/klagomål/A 1477-2024 FSC-klagomål.docx", "A 1477-2024")</f>
        <v/>
      </c>
      <c r="AB187">
        <f>HYPERLINK("https://klasma.github.io/Logging_0980/klagomålsmail/A 1477-2024 FSC-klagomål mail.docx", "A 1477-2024")</f>
        <v/>
      </c>
      <c r="AC187">
        <f>HYPERLINK("https://klasma.github.io/Logging_0980/tillsyn/A 1477-2024 tillsynsbegäran.docx", "A 1477-2024")</f>
        <v/>
      </c>
      <c r="AD187">
        <f>HYPERLINK("https://klasma.github.io/Logging_0980/tillsynsmail/A 1477-2024 tillsynsbegäran mail.docx", "A 1477-2024")</f>
        <v/>
      </c>
    </row>
    <row r="188" ht="15" customHeight="1">
      <c r="A188" t="inlineStr">
        <is>
          <t>A 1677-2023</t>
        </is>
      </c>
      <c r="B188" t="inlineStr">
        <is>
          <t>avverkningsanmälan</t>
        </is>
      </c>
      <c r="C188" t="inlineStr">
        <is>
          <t>Föryngringsavverkning</t>
        </is>
      </c>
      <c r="D188" s="1" t="n">
        <v>44938</v>
      </c>
      <c r="E188" s="1" t="n">
        <v>46241</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7637-2025</t>
        </is>
      </c>
      <c r="B189" t="inlineStr">
        <is>
          <t>avverkningsanmälan</t>
        </is>
      </c>
      <c r="C189" t="inlineStr">
        <is>
          <t>Föryngringsavverkning</t>
        </is>
      </c>
      <c r="D189" s="1" t="n">
        <v>45705</v>
      </c>
      <c r="E189" s="1" t="n">
        <v>46241</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6303-2024</t>
        </is>
      </c>
      <c r="B190" t="inlineStr">
        <is>
          <t>avverkningsanmälan</t>
        </is>
      </c>
      <c r="C190" t="inlineStr">
        <is>
          <t>Föryngringsavverkning</t>
        </is>
      </c>
      <c r="D190" s="1" t="n">
        <v>45338</v>
      </c>
      <c r="E190" s="1" t="n">
        <v>46241</v>
      </c>
      <c r="F190" t="inlineStr">
        <is>
          <t>GOTLANDS LÄN</t>
        </is>
      </c>
      <c r="G190" t="inlineStr">
        <is>
          <t>GOTLAND</t>
        </is>
      </c>
      <c r="I190" t="n">
        <v>0.6</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6303-2024 artfynd.xlsx", "A 6303-2024")</f>
        <v/>
      </c>
      <c r="X190">
        <f>HYPERLINK("https://klasma.github.io/Logging_0980/kartor/A 6303-2024 karta.png", "A 6303-2024")</f>
        <v/>
      </c>
      <c r="Y190">
        <f>HYPERLINK("https://klasma.github.io/Logging_0980/kartor_geotiff/A 6303-2024 georefererad karta.tif", "A 6303-2024")</f>
        <v/>
      </c>
      <c r="AA190">
        <f>HYPERLINK("https://klasma.github.io/Logging_0980/klagomål/A 6303-2024 FSC-klagomål.docx", "A 6303-2024")</f>
        <v/>
      </c>
      <c r="AB190">
        <f>HYPERLINK("https://klasma.github.io/Logging_0980/klagomålsmail/A 6303-2024 FSC-klagomål mail.docx", "A 6303-2024")</f>
        <v/>
      </c>
      <c r="AC190">
        <f>HYPERLINK("https://klasma.github.io/Logging_0980/tillsyn/A 6303-2024 tillsynsbegäran.docx", "A 6303-2024")</f>
        <v/>
      </c>
      <c r="AD190">
        <f>HYPERLINK("https://klasma.github.io/Logging_0980/tillsynsmail/A 6303-2024 tillsynsbegäran mail.docx", "A 6303-2024")</f>
        <v/>
      </c>
    </row>
    <row r="191" ht="15" customHeight="1">
      <c r="A191" t="inlineStr">
        <is>
          <t>A 30176-2026</t>
        </is>
      </c>
      <c r="B191" t="inlineStr">
        <is>
          <t>avverkningsanmälan</t>
        </is>
      </c>
      <c r="C191" t="inlineStr">
        <is>
          <t>Avverkning för annat ändamål</t>
        </is>
      </c>
      <c r="D191" s="1" t="n">
        <v>46203</v>
      </c>
      <c r="E191" s="1" t="n">
        <v>46241</v>
      </c>
      <c r="F191" t="inlineStr">
        <is>
          <t>GOTLANDS LÄN</t>
        </is>
      </c>
      <c r="G191" t="inlineStr">
        <is>
          <t>GOTLAND</t>
        </is>
      </c>
      <c r="I191" t="n">
        <v>3.7</v>
      </c>
      <c r="J191" t="n">
        <v>1</v>
      </c>
      <c r="K191" t="n">
        <v>0</v>
      </c>
      <c r="L191" t="n">
        <v>0</v>
      </c>
      <c r="M191" t="n">
        <v>0</v>
      </c>
      <c r="N191" t="n">
        <v>0</v>
      </c>
      <c r="O191" t="n">
        <v>0</v>
      </c>
      <c r="P191" t="n">
        <v>0</v>
      </c>
      <c r="Q191" t="n">
        <v>0</v>
      </c>
      <c r="R191" t="n">
        <v>0</v>
      </c>
      <c r="S191" t="n">
        <v>1</v>
      </c>
      <c r="T191" t="n">
        <v>1</v>
      </c>
      <c r="U191" t="n">
        <v>0</v>
      </c>
      <c r="V191" s="2" t="inlineStr">
        <is>
          <t>Bredarun</t>
        </is>
      </c>
      <c r="W191">
        <f>HYPERLINK("https://klasma.github.io/Logging_0980/artfynd/A 30176-2026 artfynd.xlsx", "A 30176-2026")</f>
        <v/>
      </c>
      <c r="X191">
        <f>HYPERLINK("https://klasma.github.io/Logging_0980/kartor/A 30176-2026 karta.png", "A 30176-2026")</f>
        <v/>
      </c>
      <c r="Y191">
        <f>HYPERLINK("https://klasma.github.io/Logging_0980/kartor_geotiff/A 30176-2026 georefererad karta.tif", "A 30176-2026")</f>
        <v/>
      </c>
      <c r="AA191">
        <f>HYPERLINK("https://klasma.github.io/Logging_0980/klagomål/A 30176-2026 FSC-klagomål.docx", "A 30176-2026")</f>
        <v/>
      </c>
      <c r="AB191">
        <f>HYPERLINK("https://klasma.github.io/Logging_0980/klagomålsmail/A 30176-2026 FSC-klagomål mail.docx", "A 30176-2026")</f>
        <v/>
      </c>
      <c r="AC191">
        <f>HYPERLINK("https://klasma.github.io/Logging_0980/tillsyn/A 30176-2026 tillsynsbegäran.docx", "A 30176-2026")</f>
        <v/>
      </c>
      <c r="AD191">
        <f>HYPERLINK("https://klasma.github.io/Logging_0980/tillsynsmail/A 30176-2026 tillsynsbegäran mail.docx", "A 30176-2026")</f>
        <v/>
      </c>
    </row>
    <row r="192" ht="15" customHeight="1">
      <c r="A192" t="inlineStr">
        <is>
          <t>A 11982-2026</t>
        </is>
      </c>
      <c r="B192" t="inlineStr">
        <is>
          <t>avverkningsanmälan</t>
        </is>
      </c>
      <c r="C192" t="inlineStr">
        <is>
          <t>Föryngringsavverkning</t>
        </is>
      </c>
      <c r="D192" s="1" t="n">
        <v>46085</v>
      </c>
      <c r="E192" s="1" t="n">
        <v>46241</v>
      </c>
      <c r="F192" t="inlineStr">
        <is>
          <t>GOTLANDS LÄN</t>
        </is>
      </c>
      <c r="G192" t="inlineStr">
        <is>
          <t>GOTLAND</t>
        </is>
      </c>
      <c r="I192" t="n">
        <v>2.2</v>
      </c>
      <c r="J192" t="n">
        <v>0</v>
      </c>
      <c r="K192" t="n">
        <v>0</v>
      </c>
      <c r="L192" t="n">
        <v>1</v>
      </c>
      <c r="M192" t="n">
        <v>0</v>
      </c>
      <c r="N192" t="n">
        <v>0</v>
      </c>
      <c r="O192" t="n">
        <v>0</v>
      </c>
      <c r="P192" t="n">
        <v>0</v>
      </c>
      <c r="Q192" t="n">
        <v>1</v>
      </c>
      <c r="R192" t="n">
        <v>0</v>
      </c>
      <c r="S192" t="n">
        <v>1</v>
      </c>
      <c r="T192" t="n">
        <v>1</v>
      </c>
      <c r="U192" t="n">
        <v>0</v>
      </c>
      <c r="V192" s="2" t="inlineStr">
        <is>
          <t>Småtörel</t>
        </is>
      </c>
      <c r="W192">
        <f>HYPERLINK("https://klasma.github.io/Logging_0980/artfynd/A 11982-2026 artfynd.xlsx", "A 11982-2026")</f>
        <v/>
      </c>
      <c r="X192">
        <f>HYPERLINK("https://klasma.github.io/Logging_0980/kartor/A 11982-2026 karta.png", "A 11982-2026")</f>
        <v/>
      </c>
      <c r="Y192">
        <f>HYPERLINK("https://klasma.github.io/Logging_0980/kartor_geotiff/A 11982-2026 georefererad karta.tif", "A 11982-2026")</f>
        <v/>
      </c>
      <c r="AA192">
        <f>HYPERLINK("https://klasma.github.io/Logging_0980/klagomål/A 11982-2026 FSC-klagomål.docx", "A 11982-2026")</f>
        <v/>
      </c>
      <c r="AB192">
        <f>HYPERLINK("https://klasma.github.io/Logging_0980/klagomålsmail/A 11982-2026 FSC-klagomål mail.docx", "A 11982-2026")</f>
        <v/>
      </c>
      <c r="AC192">
        <f>HYPERLINK("https://klasma.github.io/Logging_0980/tillsyn/A 11982-2026 tillsynsbegäran.docx", "A 11982-2026")</f>
        <v/>
      </c>
      <c r="AD192">
        <f>HYPERLINK("https://klasma.github.io/Logging_0980/tillsynsmail/A 11982-2026 tillsynsbegäran mail.docx", "A 11982-2026")</f>
        <v/>
      </c>
    </row>
    <row r="193" ht="15" customHeight="1">
      <c r="A193" t="inlineStr">
        <is>
          <t>A 5863-2026</t>
        </is>
      </c>
      <c r="B193" t="inlineStr">
        <is>
          <t>avverkningsanmälan</t>
        </is>
      </c>
      <c r="C193" t="inlineStr">
        <is>
          <t>Föryngringsavverkning</t>
        </is>
      </c>
      <c r="D193" s="1" t="n">
        <v>46052</v>
      </c>
      <c r="E193" s="1" t="n">
        <v>46241</v>
      </c>
      <c r="F193" t="inlineStr">
        <is>
          <t>GOTLANDS LÄN</t>
        </is>
      </c>
      <c r="G193" t="inlineStr">
        <is>
          <t>GOTLAND</t>
        </is>
      </c>
      <c r="I193" t="n">
        <v>1.8</v>
      </c>
      <c r="J193" t="n">
        <v>1</v>
      </c>
      <c r="K193" t="n">
        <v>0</v>
      </c>
      <c r="L193" t="n">
        <v>1</v>
      </c>
      <c r="M193" t="n">
        <v>0</v>
      </c>
      <c r="N193" t="n">
        <v>0</v>
      </c>
      <c r="O193" t="n">
        <v>0</v>
      </c>
      <c r="P193" t="n">
        <v>0</v>
      </c>
      <c r="Q193" t="n">
        <v>1</v>
      </c>
      <c r="R193" t="n">
        <v>0</v>
      </c>
      <c r="S193" t="n">
        <v>1</v>
      </c>
      <c r="T193" t="n">
        <v>33</v>
      </c>
      <c r="U193" t="n">
        <v>23</v>
      </c>
      <c r="V193" s="2" t="inlineStr">
        <is>
          <t>Dårgräsfjäril</t>
        </is>
      </c>
      <c r="W193">
        <f>HYPERLINK("https://klasma.github.io/Logging_0980/artfynd/A 5863-2026 artfynd.xlsx", "A 5863-2026")</f>
        <v/>
      </c>
      <c r="X193">
        <f>HYPERLINK("https://klasma.github.io/Logging_0980/kartor/A 5863-2026 karta.png", "A 5863-2026")</f>
        <v/>
      </c>
      <c r="Y193">
        <f>HYPERLINK("https://klasma.github.io/Logging_0980/kartor_geotiff/A 5863-2026 georefererad karta.tif", "A 5863-2026")</f>
        <v/>
      </c>
      <c r="AA193">
        <f>HYPERLINK("https://klasma.github.io/Logging_0980/klagomål/A 5863-2026 FSC-klagomål.docx", "A 5863-2026")</f>
        <v/>
      </c>
      <c r="AB193">
        <f>HYPERLINK("https://klasma.github.io/Logging_0980/klagomålsmail/A 5863-2026 FSC-klagomål mail.docx", "A 5863-2026")</f>
        <v/>
      </c>
      <c r="AC193">
        <f>HYPERLINK("https://klasma.github.io/Logging_0980/tillsyn/A 5863-2026 tillsynsbegäran.docx", "A 5863-2026")</f>
        <v/>
      </c>
      <c r="AD193">
        <f>HYPERLINK("https://klasma.github.io/Logging_0980/tillsynsmail/A 5863-2026 tillsynsbegäran mail.docx", "A 5863-2026")</f>
        <v/>
      </c>
    </row>
    <row r="194" ht="15" customHeight="1">
      <c r="A194" t="inlineStr">
        <is>
          <t>A 40294-2022</t>
        </is>
      </c>
      <c r="B194" t="inlineStr">
        <is>
          <t>avverkningsanmälan</t>
        </is>
      </c>
      <c r="C194" t="inlineStr">
        <is>
          <t>Föryngringsavverkning</t>
        </is>
      </c>
      <c r="D194" s="1" t="n">
        <v>44821</v>
      </c>
      <c r="E194" s="1" t="n">
        <v>46241</v>
      </c>
      <c r="F194" t="inlineStr">
        <is>
          <t>GOTLANDS LÄN</t>
        </is>
      </c>
      <c r="G194" t="inlineStr">
        <is>
          <t>GOTLAND</t>
        </is>
      </c>
      <c r="I194" t="n">
        <v>1.6</v>
      </c>
      <c r="J194" t="n">
        <v>0</v>
      </c>
      <c r="K194" t="n">
        <v>0</v>
      </c>
      <c r="L194" t="n">
        <v>0</v>
      </c>
      <c r="M194" t="n">
        <v>1</v>
      </c>
      <c r="N194" t="n">
        <v>0</v>
      </c>
      <c r="O194" t="n">
        <v>0</v>
      </c>
      <c r="P194" t="n">
        <v>0</v>
      </c>
      <c r="Q194" t="n">
        <v>1</v>
      </c>
      <c r="R194" t="n">
        <v>1</v>
      </c>
      <c r="S194" t="n">
        <v>1</v>
      </c>
      <c r="T194" t="n">
        <v>1</v>
      </c>
      <c r="U194" t="n">
        <v>1</v>
      </c>
      <c r="V194" s="2" t="inlineStr">
        <is>
          <t>Gotlandsmåra</t>
        </is>
      </c>
      <c r="W194">
        <f>HYPERLINK("https://klasma.github.io/Logging_0980/artfynd/A 40294-2022 artfynd.xlsx", "A 40294-2022")</f>
        <v/>
      </c>
      <c r="X194">
        <f>HYPERLINK("https://klasma.github.io/Logging_0980/kartor/A 40294-2022 karta.png", "A 40294-2022")</f>
        <v/>
      </c>
      <c r="Y194">
        <f>HYPERLINK("https://klasma.github.io/Logging_0980/kartor_geotiff/A 40294-2022 georefererad karta.tif", "A 40294-2022")</f>
        <v/>
      </c>
      <c r="AA194">
        <f>HYPERLINK("https://klasma.github.io/Logging_0980/klagomål/A 40294-2022 FSC-klagomål.docx", "A 40294-2022")</f>
        <v/>
      </c>
      <c r="AB194">
        <f>HYPERLINK("https://klasma.github.io/Logging_0980/klagomålsmail/A 40294-2022 FSC-klagomål mail.docx", "A 40294-2022")</f>
        <v/>
      </c>
      <c r="AC194">
        <f>HYPERLINK("https://klasma.github.io/Logging_0980/tillsyn/A 40294-2022 tillsynsbegäran.docx", "A 40294-2022")</f>
        <v/>
      </c>
      <c r="AD194">
        <f>HYPERLINK("https://klasma.github.io/Logging_0980/tillsynsmail/A 40294-2022 tillsynsbegäran mail.docx", "A 40294-2022")</f>
        <v/>
      </c>
    </row>
    <row r="195" ht="15" customHeight="1">
      <c r="A195" t="inlineStr">
        <is>
          <t>A 34809-2024</t>
        </is>
      </c>
      <c r="B195" t="inlineStr">
        <is>
          <t>avverkningsanmälan</t>
        </is>
      </c>
      <c r="C195" t="inlineStr">
        <is>
          <t>Föryngringsavverkning</t>
        </is>
      </c>
      <c r="D195" s="1" t="n">
        <v>45526</v>
      </c>
      <c r="E195" s="1" t="n">
        <v>46241</v>
      </c>
      <c r="F195" t="inlineStr">
        <is>
          <t>GOTLANDS LÄN</t>
        </is>
      </c>
      <c r="G195" t="inlineStr">
        <is>
          <t>GOTLAND</t>
        </is>
      </c>
      <c r="I195" t="n">
        <v>9.9</v>
      </c>
      <c r="J195" t="n">
        <v>1</v>
      </c>
      <c r="K195" t="n">
        <v>0</v>
      </c>
      <c r="L195" t="n">
        <v>1</v>
      </c>
      <c r="M195" t="n">
        <v>0</v>
      </c>
      <c r="N195" t="n">
        <v>0</v>
      </c>
      <c r="O195" t="n">
        <v>0</v>
      </c>
      <c r="P195" t="n">
        <v>0</v>
      </c>
      <c r="Q195" t="n">
        <v>1</v>
      </c>
      <c r="R195" t="n">
        <v>0</v>
      </c>
      <c r="S195" t="n">
        <v>1</v>
      </c>
      <c r="T195" t="n">
        <v>2</v>
      </c>
      <c r="U195" t="n">
        <v>1</v>
      </c>
      <c r="V195" s="2" t="inlineStr">
        <is>
          <t>Brun ögontröst</t>
        </is>
      </c>
      <c r="W195">
        <f>HYPERLINK("https://klasma.github.io/Logging_0980/artfynd/A 34809-2024 artfynd.xlsx", "A 34809-2024")</f>
        <v/>
      </c>
      <c r="X195">
        <f>HYPERLINK("https://klasma.github.io/Logging_0980/kartor/A 34809-2024 karta.png", "A 34809-2024")</f>
        <v/>
      </c>
      <c r="Y195">
        <f>HYPERLINK("https://klasma.github.io/Logging_0980/kartor_geotiff/A 34809-2024 georefererad karta.tif", "A 34809-2024")</f>
        <v/>
      </c>
      <c r="AA195">
        <f>HYPERLINK("https://klasma.github.io/Logging_0980/klagomål/A 34809-2024 FSC-klagomål.docx", "A 34809-2024")</f>
        <v/>
      </c>
      <c r="AB195">
        <f>HYPERLINK("https://klasma.github.io/Logging_0980/klagomålsmail/A 34809-2024 FSC-klagomål mail.docx", "A 34809-2024")</f>
        <v/>
      </c>
      <c r="AC195">
        <f>HYPERLINK("https://klasma.github.io/Logging_0980/tillsyn/A 34809-2024 tillsynsbegäran.docx", "A 34809-2024")</f>
        <v/>
      </c>
      <c r="AD195">
        <f>HYPERLINK("https://klasma.github.io/Logging_0980/tillsynsmail/A 34809-2024 tillsynsbegäran mail.docx", "A 34809-2024")</f>
        <v/>
      </c>
    </row>
    <row r="196" ht="15" customHeight="1">
      <c r="A196" t="inlineStr">
        <is>
          <t>A 1066-2024</t>
        </is>
      </c>
      <c r="B196" t="inlineStr">
        <is>
          <t>avverkningsanmälan</t>
        </is>
      </c>
      <c r="C196" t="inlineStr">
        <is>
          <t>Föryngringsavverkning</t>
        </is>
      </c>
      <c r="D196" s="1" t="n">
        <v>45302</v>
      </c>
      <c r="E196" s="1" t="n">
        <v>46241</v>
      </c>
      <c r="F196" t="inlineStr">
        <is>
          <t>GOTLANDS LÄN</t>
        </is>
      </c>
      <c r="G196" t="inlineStr">
        <is>
          <t>GOTLAND</t>
        </is>
      </c>
      <c r="I196" t="n">
        <v>1.4</v>
      </c>
      <c r="J196" t="n">
        <v>0</v>
      </c>
      <c r="K196" t="n">
        <v>0</v>
      </c>
      <c r="L196" t="n">
        <v>1</v>
      </c>
      <c r="M196" t="n">
        <v>0</v>
      </c>
      <c r="N196" t="n">
        <v>0</v>
      </c>
      <c r="O196" t="n">
        <v>0</v>
      </c>
      <c r="P196" t="n">
        <v>0</v>
      </c>
      <c r="Q196" t="n">
        <v>1</v>
      </c>
      <c r="R196" t="n">
        <v>0</v>
      </c>
      <c r="S196" t="n">
        <v>1</v>
      </c>
      <c r="T196" t="n">
        <v>1</v>
      </c>
      <c r="U196" t="n">
        <v>1</v>
      </c>
      <c r="V196" s="2" t="inlineStr">
        <is>
          <t>Svinrot</t>
        </is>
      </c>
      <c r="W196">
        <f>HYPERLINK("https://klasma.github.io/Logging_0980/artfynd/A 1066-2024 artfynd.xlsx", "A 1066-2024")</f>
        <v/>
      </c>
      <c r="X196">
        <f>HYPERLINK("https://klasma.github.io/Logging_0980/kartor/A 1066-2024 karta.png", "A 1066-2024")</f>
        <v/>
      </c>
      <c r="Y196">
        <f>HYPERLINK("https://klasma.github.io/Logging_0980/kartor_geotiff/A 1066-2024 georefererad karta.tif", "A 1066-2024")</f>
        <v/>
      </c>
      <c r="AA196">
        <f>HYPERLINK("https://klasma.github.io/Logging_0980/klagomål/A 1066-2024 FSC-klagomål.docx", "A 1066-2024")</f>
        <v/>
      </c>
      <c r="AB196">
        <f>HYPERLINK("https://klasma.github.io/Logging_0980/klagomålsmail/A 1066-2024 FSC-klagomål mail.docx", "A 1066-2024")</f>
        <v/>
      </c>
      <c r="AC196">
        <f>HYPERLINK("https://klasma.github.io/Logging_0980/tillsyn/A 1066-2024 tillsynsbegäran.docx", "A 1066-2024")</f>
        <v/>
      </c>
      <c r="AD196">
        <f>HYPERLINK("https://klasma.github.io/Logging_0980/tillsynsmail/A 1066-2024 tillsynsbegäran mail.docx", "A 1066-2024")</f>
        <v/>
      </c>
    </row>
    <row r="197" ht="15" customHeight="1">
      <c r="A197" t="inlineStr">
        <is>
          <t>A 13482-2026</t>
        </is>
      </c>
      <c r="B197" t="inlineStr">
        <is>
          <t>avverkningsanmälan</t>
        </is>
      </c>
      <c r="C197" t="inlineStr">
        <is>
          <t>Föryngringsavverkning</t>
        </is>
      </c>
      <c r="D197" s="1" t="n">
        <v>46094</v>
      </c>
      <c r="E197" s="1" t="n">
        <v>46241</v>
      </c>
      <c r="F197" t="inlineStr">
        <is>
          <t>GOTLANDS LÄN</t>
        </is>
      </c>
      <c r="G197" t="inlineStr">
        <is>
          <t>GOTLAND</t>
        </is>
      </c>
      <c r="I197" t="n">
        <v>1.7</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HYPERLINK("https://klasma.github.io/Logging_0980/artfynd/A 13482-2026 artfynd.xlsx", "A 13482-2026")</f>
        <v/>
      </c>
      <c r="X197">
        <f>HYPERLINK("https://klasma.github.io/Logging_0980/kartor/A 13482-2026 karta.png", "A 13482-2026")</f>
        <v/>
      </c>
      <c r="Y197">
        <f>HYPERLINK("https://klasma.github.io/Logging_0980/kartor_geotiff/A 13482-2026 georefererad karta.tif", "A 13482-2026")</f>
        <v/>
      </c>
      <c r="AA197">
        <f>HYPERLINK("https://klasma.github.io/Logging_0980/klagomål/A 13482-2026 FSC-klagomål.docx", "A 13482-2026")</f>
        <v/>
      </c>
      <c r="AB197">
        <f>HYPERLINK("https://klasma.github.io/Logging_0980/klagomålsmail/A 13482-2026 FSC-klagomål mail.docx", "A 13482-2026")</f>
        <v/>
      </c>
      <c r="AC197">
        <f>HYPERLINK("https://klasma.github.io/Logging_0980/tillsyn/A 13482-2026 tillsynsbegäran.docx", "A 13482-2026")</f>
        <v/>
      </c>
      <c r="AD197">
        <f>HYPERLINK("https://klasma.github.io/Logging_0980/tillsynsmail/A 13482-2026 tillsynsbegäran mail.docx", "A 13482-2026")</f>
        <v/>
      </c>
      <c r="AE197">
        <f>HYPERLINK("https://klasma.github.io/Logging_0980/fåglar/A 13482-2026 prioriterade fågelarter.docx", "A 13482-2026")</f>
        <v/>
      </c>
    </row>
    <row r="198" ht="15" customHeight="1">
      <c r="A198" t="inlineStr">
        <is>
          <t>A 4662-2026</t>
        </is>
      </c>
      <c r="B198" t="inlineStr">
        <is>
          <t>avverkningsanmälan</t>
        </is>
      </c>
      <c r="C198" t="inlineStr">
        <is>
          <t>Föryngringsavverkning</t>
        </is>
      </c>
      <c r="D198" s="1" t="n">
        <v>46048</v>
      </c>
      <c r="E198" s="1" t="n">
        <v>46241</v>
      </c>
      <c r="F198" t="inlineStr">
        <is>
          <t>GOTLANDS LÄN</t>
        </is>
      </c>
      <c r="G198" t="inlineStr">
        <is>
          <t>GOTLAND</t>
        </is>
      </c>
      <c r="I198" t="n">
        <v>7.6</v>
      </c>
      <c r="J198" t="n">
        <v>0</v>
      </c>
      <c r="K198" t="n">
        <v>0</v>
      </c>
      <c r="L198" t="n">
        <v>0</v>
      </c>
      <c r="M198" t="n">
        <v>1</v>
      </c>
      <c r="N198" t="n">
        <v>0</v>
      </c>
      <c r="O198" t="n">
        <v>0</v>
      </c>
      <c r="P198" t="n">
        <v>0</v>
      </c>
      <c r="Q198" t="n">
        <v>1</v>
      </c>
      <c r="R198" t="n">
        <v>1</v>
      </c>
      <c r="S198" t="n">
        <v>1</v>
      </c>
      <c r="T198" t="n">
        <v>1</v>
      </c>
      <c r="U198" t="n">
        <v>0</v>
      </c>
      <c r="V198" s="2" t="inlineStr">
        <is>
          <t>Strandviol</t>
        </is>
      </c>
      <c r="W198">
        <f>HYPERLINK("https://klasma.github.io/Logging_0980/artfynd/A 4662-2026 artfynd.xlsx", "A 4662-2026")</f>
        <v/>
      </c>
      <c r="X198">
        <f>HYPERLINK("https://klasma.github.io/Logging_0980/kartor/A 4662-2026 karta.png", "A 4662-2026")</f>
        <v/>
      </c>
      <c r="Y198">
        <f>HYPERLINK("https://klasma.github.io/Logging_0980/kartor_geotiff/A 4662-2026 georefererad karta.tif", "A 4662-2026")</f>
        <v/>
      </c>
      <c r="AA198">
        <f>HYPERLINK("https://klasma.github.io/Logging_0980/klagomål/A 4662-2026 FSC-klagomål.docx", "A 4662-2026")</f>
        <v/>
      </c>
      <c r="AB198">
        <f>HYPERLINK("https://klasma.github.io/Logging_0980/klagomålsmail/A 4662-2026 FSC-klagomål mail.docx", "A 4662-2026")</f>
        <v/>
      </c>
      <c r="AC198">
        <f>HYPERLINK("https://klasma.github.io/Logging_0980/tillsyn/A 4662-2026 tillsynsbegäran.docx", "A 4662-2026")</f>
        <v/>
      </c>
      <c r="AD198">
        <f>HYPERLINK("https://klasma.github.io/Logging_0980/tillsynsmail/A 4662-2026 tillsynsbegäran mail.docx", "A 4662-2026")</f>
        <v/>
      </c>
    </row>
    <row r="199" ht="15" customHeight="1">
      <c r="A199" t="inlineStr">
        <is>
          <t>A 18036-2026</t>
        </is>
      </c>
      <c r="B199" t="inlineStr">
        <is>
          <t>avverkningsanmälan</t>
        </is>
      </c>
      <c r="C199" t="inlineStr">
        <is>
          <t>Föryngringsavverkning</t>
        </is>
      </c>
      <c r="D199" s="1" t="n">
        <v>46125</v>
      </c>
      <c r="E199" s="1" t="n">
        <v>46241</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27343-2026</t>
        </is>
      </c>
      <c r="B200" t="inlineStr">
        <is>
          <t>avverkningsanmälan</t>
        </is>
      </c>
      <c r="C200" t="inlineStr">
        <is>
          <t>Föryngringsavverkning</t>
        </is>
      </c>
      <c r="D200" s="1" t="n">
        <v>46188</v>
      </c>
      <c r="E200" s="1" t="n">
        <v>46241</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t="n">
        <v>0</v>
      </c>
      <c r="V200" s="2" t="inlineStr">
        <is>
          <t>Skogsknipprot</t>
        </is>
      </c>
      <c r="W200">
        <f>HYPERLINK("https://klasma.github.io/Logging_0980/artfynd/A 27343-2026 artfynd.xlsx", "A 27343-2026")</f>
        <v/>
      </c>
      <c r="X200">
        <f>HYPERLINK("https://klasma.github.io/Logging_0980/kartor/A 27343-2026 karta.png", "A 27343-2026")</f>
        <v/>
      </c>
      <c r="Y200">
        <f>HYPERLINK("https://klasma.github.io/Logging_0980/kartor_geotiff/A 27343-2026 georefererad karta.tif", "A 27343-2026")</f>
        <v/>
      </c>
      <c r="AA200">
        <f>HYPERLINK("https://klasma.github.io/Logging_0980/klagomål/A 27343-2026 FSC-klagomål.docx", "A 27343-2026")</f>
        <v/>
      </c>
      <c r="AB200">
        <f>HYPERLINK("https://klasma.github.io/Logging_0980/klagomålsmail/A 27343-2026 FSC-klagomål mail.docx", "A 27343-2026")</f>
        <v/>
      </c>
      <c r="AC200">
        <f>HYPERLINK("https://klasma.github.io/Logging_0980/tillsyn/A 27343-2026 tillsynsbegäran.docx", "A 27343-2026")</f>
        <v/>
      </c>
      <c r="AD200">
        <f>HYPERLINK("https://klasma.github.io/Logging_0980/tillsynsmail/A 27343-2026 tillsynsbegäran mail.docx", "A 27343-2026")</f>
        <v/>
      </c>
    </row>
    <row r="201" ht="15" customHeight="1">
      <c r="A201" t="inlineStr">
        <is>
          <t>A 22782-2023</t>
        </is>
      </c>
      <c r="B201" t="inlineStr">
        <is>
          <t>avverkningsanmälan</t>
        </is>
      </c>
      <c r="C201" t="inlineStr">
        <is>
          <t>Föryngringsavverkning</t>
        </is>
      </c>
      <c r="D201" s="1" t="n">
        <v>45072</v>
      </c>
      <c r="E201" s="1" t="n">
        <v>46241</v>
      </c>
      <c r="F201" t="inlineStr">
        <is>
          <t>GOTLANDS LÄN</t>
        </is>
      </c>
      <c r="G201" t="inlineStr">
        <is>
          <t>GOTLAND</t>
        </is>
      </c>
      <c r="H201" t="inlineStr">
        <is>
          <t>Kyrkan</t>
        </is>
      </c>
      <c r="I201" t="n">
        <v>3.1</v>
      </c>
      <c r="J201" t="n">
        <v>1</v>
      </c>
      <c r="K201" t="n">
        <v>0</v>
      </c>
      <c r="L201" t="n">
        <v>0</v>
      </c>
      <c r="M201" t="n">
        <v>0</v>
      </c>
      <c r="N201" t="n">
        <v>0</v>
      </c>
      <c r="O201" t="n">
        <v>0</v>
      </c>
      <c r="P201" t="n">
        <v>0</v>
      </c>
      <c r="Q201" t="n">
        <v>0</v>
      </c>
      <c r="R201" t="n">
        <v>0</v>
      </c>
      <c r="S201" t="n">
        <v>1</v>
      </c>
      <c r="T201" t="n">
        <v>1</v>
      </c>
      <c r="U201" t="n">
        <v>1</v>
      </c>
      <c r="V201" s="2" t="inlineStr">
        <is>
          <t>Ängsnycklar × skogsnycklar</t>
        </is>
      </c>
      <c r="W201">
        <f>HYPERLINK("https://klasma.github.io/Logging_0980/artfynd/A 22782-2023 artfynd.xlsx", "A 22782-2023")</f>
        <v/>
      </c>
      <c r="X201">
        <f>HYPERLINK("https://klasma.github.io/Logging_0980/kartor/A 22782-2023 karta.png", "A 22782-2023")</f>
        <v/>
      </c>
      <c r="Y201">
        <f>HYPERLINK("https://klasma.github.io/Logging_0980/kartor_geotiff/A 22782-2023 georefererad karta.tif", "A 22782-2023")</f>
        <v/>
      </c>
      <c r="AA201">
        <f>HYPERLINK("https://klasma.github.io/Logging_0980/klagomål/A 22782-2023 FSC-klagomål.docx", "A 22782-2023")</f>
        <v/>
      </c>
      <c r="AB201">
        <f>HYPERLINK("https://klasma.github.io/Logging_0980/klagomålsmail/A 22782-2023 FSC-klagomål mail.docx", "A 22782-2023")</f>
        <v/>
      </c>
      <c r="AC201">
        <f>HYPERLINK("https://klasma.github.io/Logging_0980/tillsyn/A 22782-2023 tillsynsbegäran.docx", "A 22782-2023")</f>
        <v/>
      </c>
      <c r="AD201">
        <f>HYPERLINK("https://klasma.github.io/Logging_0980/tillsynsmail/A 22782-2023 tillsynsbegäran mail.docx", "A 22782-2023")</f>
        <v/>
      </c>
    </row>
    <row r="202" ht="15" customHeight="1">
      <c r="A202" t="inlineStr">
        <is>
          <t>A 27602-2023</t>
        </is>
      </c>
      <c r="B202" t="inlineStr">
        <is>
          <t>avverkningsanmälan</t>
        </is>
      </c>
      <c r="C202" t="inlineStr">
        <is>
          <t>Avverkning för annat ändamål</t>
        </is>
      </c>
      <c r="D202" s="1" t="n">
        <v>45097</v>
      </c>
      <c r="E202" s="1" t="n">
        <v>46241</v>
      </c>
      <c r="F202" t="inlineStr">
        <is>
          <t>GOTLANDS LÄN</t>
        </is>
      </c>
      <c r="G202" t="inlineStr">
        <is>
          <t>GOTLAND</t>
        </is>
      </c>
      <c r="I202" t="n">
        <v>2.7</v>
      </c>
      <c r="J202" t="n">
        <v>1</v>
      </c>
      <c r="K202" t="n">
        <v>0</v>
      </c>
      <c r="L202" t="n">
        <v>0</v>
      </c>
      <c r="M202" t="n">
        <v>0</v>
      </c>
      <c r="N202" t="n">
        <v>0</v>
      </c>
      <c r="O202" t="n">
        <v>0</v>
      </c>
      <c r="P202" t="n">
        <v>0</v>
      </c>
      <c r="Q202" t="n">
        <v>0</v>
      </c>
      <c r="R202" t="n">
        <v>0</v>
      </c>
      <c r="S202" t="n">
        <v>1</v>
      </c>
      <c r="T202" t="n">
        <v>1</v>
      </c>
      <c r="U202" t="n">
        <v>0</v>
      </c>
      <c r="V202" s="2" t="inlineStr">
        <is>
          <t>Blåsippa</t>
        </is>
      </c>
      <c r="W202">
        <f>HYPERLINK("https://klasma.github.io/Logging_0980/artfynd/A 27602-2023 artfynd.xlsx", "A 27602-2023")</f>
        <v/>
      </c>
      <c r="X202">
        <f>HYPERLINK("https://klasma.github.io/Logging_0980/kartor/A 27602-2023 karta.png", "A 27602-2023")</f>
        <v/>
      </c>
      <c r="Y202">
        <f>HYPERLINK("https://klasma.github.io/Logging_0980/kartor_geotiff/A 27602-2023 georefererad karta.tif", "A 27602-2023")</f>
        <v/>
      </c>
      <c r="AA202">
        <f>HYPERLINK("https://klasma.github.io/Logging_0980/klagomål/A 27602-2023 FSC-klagomål.docx", "A 27602-2023")</f>
        <v/>
      </c>
      <c r="AB202">
        <f>HYPERLINK("https://klasma.github.io/Logging_0980/klagomålsmail/A 27602-2023 FSC-klagomål mail.docx", "A 27602-2023")</f>
        <v/>
      </c>
      <c r="AC202">
        <f>HYPERLINK("https://klasma.github.io/Logging_0980/tillsyn/A 27602-2023 tillsynsbegäran.docx", "A 27602-2023")</f>
        <v/>
      </c>
      <c r="AD202">
        <f>HYPERLINK("https://klasma.github.io/Logging_0980/tillsynsmail/A 27602-2023 tillsynsbegäran mail.docx", "A 27602-2023")</f>
        <v/>
      </c>
    </row>
    <row r="203" ht="15" customHeight="1">
      <c r="A203" t="inlineStr">
        <is>
          <t>A 64700-2021</t>
        </is>
      </c>
      <c r="B203" t="inlineStr">
        <is>
          <t>avverkningsanmälan</t>
        </is>
      </c>
      <c r="C203" t="inlineStr">
        <is>
          <t>Avverkning för att bevara och utveckla /försöksver</t>
        </is>
      </c>
      <c r="D203" s="1" t="n">
        <v>44511</v>
      </c>
      <c r="E203" s="1" t="n">
        <v>46241</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22883-2024</t>
        </is>
      </c>
      <c r="B204" t="inlineStr">
        <is>
          <t>avverkningsanmälan</t>
        </is>
      </c>
      <c r="C204" t="inlineStr">
        <is>
          <t>Föryngringsavverkning</t>
        </is>
      </c>
      <c r="D204" s="1" t="n">
        <v>45448</v>
      </c>
      <c r="E204" s="1" t="n">
        <v>46241</v>
      </c>
      <c r="F204" t="inlineStr">
        <is>
          <t>GOTLANDS LÄN</t>
        </is>
      </c>
      <c r="G204" t="inlineStr">
        <is>
          <t>GOTLAND</t>
        </is>
      </c>
      <c r="I204" t="n">
        <v>0.5</v>
      </c>
      <c r="J204" t="n">
        <v>0</v>
      </c>
      <c r="K204" t="n">
        <v>0</v>
      </c>
      <c r="L204" t="n">
        <v>0</v>
      </c>
      <c r="M204" t="n">
        <v>1</v>
      </c>
      <c r="N204" t="n">
        <v>0</v>
      </c>
      <c r="O204" t="n">
        <v>0</v>
      </c>
      <c r="P204" t="n">
        <v>0</v>
      </c>
      <c r="Q204" t="n">
        <v>1</v>
      </c>
      <c r="R204" t="n">
        <v>1</v>
      </c>
      <c r="S204" t="n">
        <v>1</v>
      </c>
      <c r="T204" t="n">
        <v>2</v>
      </c>
      <c r="U204" t="n">
        <v>2</v>
      </c>
      <c r="V204" s="2" t="inlineStr">
        <is>
          <t>Gotlandsmåra</t>
        </is>
      </c>
      <c r="W204">
        <f>HYPERLINK("https://klasma.github.io/Logging_0980/artfynd/A 22883-2024 artfynd.xlsx", "A 22883-2024")</f>
        <v/>
      </c>
      <c r="X204">
        <f>HYPERLINK("https://klasma.github.io/Logging_0980/kartor/A 22883-2024 karta.png", "A 22883-2024")</f>
        <v/>
      </c>
      <c r="Y204">
        <f>HYPERLINK("https://klasma.github.io/Logging_0980/kartor_geotiff/A 22883-2024 georefererad karta.tif", "A 22883-2024")</f>
        <v/>
      </c>
      <c r="AA204">
        <f>HYPERLINK("https://klasma.github.io/Logging_0980/klagomål/A 22883-2024 FSC-klagomål.docx", "A 22883-2024")</f>
        <v/>
      </c>
      <c r="AB204">
        <f>HYPERLINK("https://klasma.github.io/Logging_0980/klagomålsmail/A 22883-2024 FSC-klagomål mail.docx", "A 22883-2024")</f>
        <v/>
      </c>
      <c r="AC204">
        <f>HYPERLINK("https://klasma.github.io/Logging_0980/tillsyn/A 22883-2024 tillsynsbegäran.docx", "A 22883-2024")</f>
        <v/>
      </c>
      <c r="AD204">
        <f>HYPERLINK("https://klasma.github.io/Logging_0980/tillsynsmail/A 22883-2024 tillsynsbegäran mail.docx", "A 22883-2024")</f>
        <v/>
      </c>
    </row>
    <row r="205" ht="15" customHeight="1">
      <c r="A205" t="inlineStr">
        <is>
          <t>A 57534-2022</t>
        </is>
      </c>
      <c r="B205" t="inlineStr">
        <is>
          <t>avverkningsanmälan</t>
        </is>
      </c>
      <c r="C205" t="inlineStr">
        <is>
          <t>Föryngringsavverkning</t>
        </is>
      </c>
      <c r="D205" s="1" t="n">
        <v>44896</v>
      </c>
      <c r="E205" s="1" t="n">
        <v>46241</v>
      </c>
      <c r="F205" t="inlineStr">
        <is>
          <t>GOTLANDS LÄN</t>
        </is>
      </c>
      <c r="G205" t="inlineStr">
        <is>
          <t>GOTLAND</t>
        </is>
      </c>
      <c r="I205" t="n">
        <v>0.6</v>
      </c>
      <c r="J205" t="n">
        <v>0</v>
      </c>
      <c r="K205" t="n">
        <v>1</v>
      </c>
      <c r="L205" t="n">
        <v>0</v>
      </c>
      <c r="M205" t="n">
        <v>0</v>
      </c>
      <c r="N205" t="n">
        <v>0</v>
      </c>
      <c r="O205" t="n">
        <v>0</v>
      </c>
      <c r="P205" t="n">
        <v>0</v>
      </c>
      <c r="Q205" t="n">
        <v>0</v>
      </c>
      <c r="R205" t="n">
        <v>0</v>
      </c>
      <c r="S205" t="n">
        <v>1</v>
      </c>
      <c r="T205" t="n">
        <v>1</v>
      </c>
      <c r="U205" t="n">
        <v>1</v>
      </c>
      <c r="V205" s="2" t="inlineStr">
        <is>
          <t>Myskmadra</t>
        </is>
      </c>
      <c r="W205">
        <f>HYPERLINK("https://klasma.github.io/Logging_0980/artfynd/A 57534-2022 artfynd.xlsx", "A 57534-2022")</f>
        <v/>
      </c>
      <c r="X205">
        <f>HYPERLINK("https://klasma.github.io/Logging_0980/kartor/A 57534-2022 karta.png", "A 57534-2022")</f>
        <v/>
      </c>
      <c r="Y205">
        <f>HYPERLINK("https://klasma.github.io/Logging_0980/kartor_geotiff/A 57534-2022 georefererad karta.tif", "A 57534-2022")</f>
        <v/>
      </c>
      <c r="AA205">
        <f>HYPERLINK("https://klasma.github.io/Logging_0980/klagomål/A 57534-2022 FSC-klagomål.docx", "A 57534-2022")</f>
        <v/>
      </c>
      <c r="AB205">
        <f>HYPERLINK("https://klasma.github.io/Logging_0980/klagomålsmail/A 57534-2022 FSC-klagomål mail.docx", "A 57534-2022")</f>
        <v/>
      </c>
      <c r="AC205">
        <f>HYPERLINK("https://klasma.github.io/Logging_0980/tillsyn/A 57534-2022 tillsynsbegäran.docx", "A 57534-2022")</f>
        <v/>
      </c>
      <c r="AD205">
        <f>HYPERLINK("https://klasma.github.io/Logging_0980/tillsynsmail/A 57534-2022 tillsynsbegäran mail.docx", "A 57534-2022")</f>
        <v/>
      </c>
    </row>
    <row r="206" ht="15" customHeight="1">
      <c r="A206" t="inlineStr">
        <is>
          <t>A 24245-2022</t>
        </is>
      </c>
      <c r="B206" t="inlineStr">
        <is>
          <t>avverkningsanmälan</t>
        </is>
      </c>
      <c r="C206" t="inlineStr">
        <is>
          <t>Föryngringsavverkning</t>
        </is>
      </c>
      <c r="D206" s="1" t="n">
        <v>44725</v>
      </c>
      <c r="E206" s="1" t="n">
        <v>46241</v>
      </c>
      <c r="F206" t="inlineStr">
        <is>
          <t>GOTLANDS LÄN</t>
        </is>
      </c>
      <c r="G206" t="inlineStr">
        <is>
          <t>GOTLAND</t>
        </is>
      </c>
      <c r="I206" t="n">
        <v>4.9</v>
      </c>
      <c r="J206" t="n">
        <v>0</v>
      </c>
      <c r="K206" t="n">
        <v>0</v>
      </c>
      <c r="L206" t="n">
        <v>0</v>
      </c>
      <c r="M206" t="n">
        <v>0</v>
      </c>
      <c r="N206" t="n">
        <v>1</v>
      </c>
      <c r="O206" t="n">
        <v>0</v>
      </c>
      <c r="P206" t="n">
        <v>0</v>
      </c>
      <c r="Q206" t="n">
        <v>1</v>
      </c>
      <c r="R206" t="n">
        <v>1</v>
      </c>
      <c r="S206" t="n">
        <v>1</v>
      </c>
      <c r="T206" t="n">
        <v>2</v>
      </c>
      <c r="U206" t="n">
        <v>0</v>
      </c>
      <c r="V206" s="2" t="inlineStr">
        <is>
          <t>Slät taggsvamp</t>
        </is>
      </c>
      <c r="W206">
        <f>HYPERLINK("https://klasma.github.io/Logging_0980/artfynd/A 24245-2022 artfynd.xlsx", "A 24245-2022")</f>
        <v/>
      </c>
      <c r="X206">
        <f>HYPERLINK("https://klasma.github.io/Logging_0980/kartor/A 24245-2022 karta.png", "A 24245-2022")</f>
        <v/>
      </c>
      <c r="Y206">
        <f>HYPERLINK("https://klasma.github.io/Logging_0980/kartor_geotiff/A 24245-2022 georefererad karta.tif", "A 24245-2022")</f>
        <v/>
      </c>
      <c r="AA206">
        <f>HYPERLINK("https://klasma.github.io/Logging_0980/klagomål/A 24245-2022 FSC-klagomål.docx", "A 24245-2022")</f>
        <v/>
      </c>
      <c r="AB206">
        <f>HYPERLINK("https://klasma.github.io/Logging_0980/klagomålsmail/A 24245-2022 FSC-klagomål mail.docx", "A 24245-2022")</f>
        <v/>
      </c>
      <c r="AC206">
        <f>HYPERLINK("https://klasma.github.io/Logging_0980/tillsyn/A 24245-2022 tillsynsbegäran.docx", "A 24245-2022")</f>
        <v/>
      </c>
      <c r="AD206">
        <f>HYPERLINK("https://klasma.github.io/Logging_0980/tillsynsmail/A 24245-2022 tillsynsbegäran mail.docx", "A 24245-2022")</f>
        <v/>
      </c>
    </row>
    <row r="207" ht="15" customHeight="1">
      <c r="A207" t="inlineStr">
        <is>
          <t>A 49847-2023</t>
        </is>
      </c>
      <c r="B207" t="inlineStr">
        <is>
          <t>avverkningsanmälan</t>
        </is>
      </c>
      <c r="C207" t="inlineStr">
        <is>
          <t>Föryngringsavverkning</t>
        </is>
      </c>
      <c r="D207" s="1" t="n">
        <v>45212</v>
      </c>
      <c r="E207" s="1" t="n">
        <v>46241</v>
      </c>
      <c r="F207" t="inlineStr">
        <is>
          <t>GOTLANDS LÄN</t>
        </is>
      </c>
      <c r="G207" t="inlineStr">
        <is>
          <t>GOTLAND</t>
        </is>
      </c>
      <c r="I207" t="n">
        <v>35.2</v>
      </c>
      <c r="J207" t="n">
        <v>0</v>
      </c>
      <c r="K207" t="n">
        <v>0</v>
      </c>
      <c r="L207" t="n">
        <v>0</v>
      </c>
      <c r="M207" t="n">
        <v>1</v>
      </c>
      <c r="N207" t="n">
        <v>0</v>
      </c>
      <c r="O207" t="n">
        <v>0</v>
      </c>
      <c r="P207" t="n">
        <v>0</v>
      </c>
      <c r="Q207" t="n">
        <v>1</v>
      </c>
      <c r="R207" t="n">
        <v>1</v>
      </c>
      <c r="S207" t="n">
        <v>1</v>
      </c>
      <c r="T207" t="n">
        <v>1</v>
      </c>
      <c r="U207" t="n">
        <v>1</v>
      </c>
      <c r="V207" s="2" t="inlineStr">
        <is>
          <t>Strandviol</t>
        </is>
      </c>
      <c r="W207">
        <f>HYPERLINK("https://klasma.github.io/Logging_0980/artfynd/A 49847-2023 artfynd.xlsx", "A 49847-2023")</f>
        <v/>
      </c>
      <c r="X207">
        <f>HYPERLINK("https://klasma.github.io/Logging_0980/kartor/A 49847-2023 karta.png", "A 49847-2023")</f>
        <v/>
      </c>
      <c r="Y207">
        <f>HYPERLINK("https://klasma.github.io/Logging_0980/kartor_geotiff/A 49847-2023 georefererad karta.tif", "A 49847-2023")</f>
        <v/>
      </c>
      <c r="AA207">
        <f>HYPERLINK("https://klasma.github.io/Logging_0980/klagomål/A 49847-2023 FSC-klagomål.docx", "A 49847-2023")</f>
        <v/>
      </c>
      <c r="AB207">
        <f>HYPERLINK("https://klasma.github.io/Logging_0980/klagomålsmail/A 49847-2023 FSC-klagomål mail.docx", "A 49847-2023")</f>
        <v/>
      </c>
      <c r="AC207">
        <f>HYPERLINK("https://klasma.github.io/Logging_0980/tillsyn/A 49847-2023 tillsynsbegäran.docx", "A 49847-2023")</f>
        <v/>
      </c>
      <c r="AD207">
        <f>HYPERLINK("https://klasma.github.io/Logging_0980/tillsynsmail/A 49847-2023 tillsynsbegäran mail.docx", "A 49847-2023")</f>
        <v/>
      </c>
    </row>
    <row r="208" ht="15" customHeight="1">
      <c r="A208" t="inlineStr">
        <is>
          <t>A 56115-2023</t>
        </is>
      </c>
      <c r="B208" t="inlineStr">
        <is>
          <t>avverkningsanmälan</t>
        </is>
      </c>
      <c r="C208" t="inlineStr">
        <is>
          <t>Avverkning för annat ändamål</t>
        </is>
      </c>
      <c r="D208" s="1" t="n">
        <v>45236</v>
      </c>
      <c r="E208" s="1" t="n">
        <v>46241</v>
      </c>
      <c r="F208" t="inlineStr">
        <is>
          <t>GOTLANDS LÄN</t>
        </is>
      </c>
      <c r="G208" t="inlineStr">
        <is>
          <t>GOTLAND</t>
        </is>
      </c>
      <c r="I208" t="n">
        <v>2</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HYPERLINK("https://klasma.github.io/Logging_0980/artfynd/A 56115-2023 artfynd.xlsx", "A 56115-2023")</f>
        <v/>
      </c>
      <c r="X208">
        <f>HYPERLINK("https://klasma.github.io/Logging_0980/kartor/A 56115-2023 karta.png", "A 56115-2023")</f>
        <v/>
      </c>
      <c r="Y208">
        <f>HYPERLINK("https://klasma.github.io/Logging_0980/kartor_geotiff/A 56115-2023 georefererad karta.tif", "A 56115-2023")</f>
        <v/>
      </c>
      <c r="AA208">
        <f>HYPERLINK("https://klasma.github.io/Logging_0980/klagomål/A 56115-2023 FSC-klagomål.docx", "A 56115-2023")</f>
        <v/>
      </c>
      <c r="AB208">
        <f>HYPERLINK("https://klasma.github.io/Logging_0980/klagomålsmail/A 56115-2023 FSC-klagomål mail.docx", "A 56115-2023")</f>
        <v/>
      </c>
      <c r="AC208">
        <f>HYPERLINK("https://klasma.github.io/Logging_0980/tillsyn/A 56115-2023 tillsynsbegäran.docx", "A 56115-2023")</f>
        <v/>
      </c>
      <c r="AD208">
        <f>HYPERLINK("https://klasma.github.io/Logging_0980/tillsynsmail/A 56115-2023 tillsynsbegäran mail.docx", "A 56115-2023")</f>
        <v/>
      </c>
    </row>
    <row r="209" ht="15" customHeight="1">
      <c r="A209" t="inlineStr">
        <is>
          <t>A 23856-2025</t>
        </is>
      </c>
      <c r="B209" t="inlineStr">
        <is>
          <t>avverkningsanmälan</t>
        </is>
      </c>
      <c r="C209" t="inlineStr">
        <is>
          <t>Föryngringsavverkning</t>
        </is>
      </c>
      <c r="D209" s="1" t="n">
        <v>45793</v>
      </c>
      <c r="E209" s="1" t="n">
        <v>46241</v>
      </c>
      <c r="F209" t="inlineStr">
        <is>
          <t>GOTLANDS LÄN</t>
        </is>
      </c>
      <c r="G209" t="inlineStr">
        <is>
          <t>GOTLAND</t>
        </is>
      </c>
      <c r="I209" t="n">
        <v>4.4</v>
      </c>
      <c r="J209" t="n">
        <v>0</v>
      </c>
      <c r="K209" t="n">
        <v>0</v>
      </c>
      <c r="L209" t="n">
        <v>1</v>
      </c>
      <c r="M209" t="n">
        <v>0</v>
      </c>
      <c r="N209" t="n">
        <v>0</v>
      </c>
      <c r="O209" t="n">
        <v>0</v>
      </c>
      <c r="P209" t="n">
        <v>0</v>
      </c>
      <c r="Q209" t="n">
        <v>1</v>
      </c>
      <c r="R209" t="n">
        <v>0</v>
      </c>
      <c r="S209" t="n">
        <v>1</v>
      </c>
      <c r="T209" t="n">
        <v>1</v>
      </c>
      <c r="U209" t="n">
        <v>1</v>
      </c>
      <c r="V209" s="2" t="inlineStr">
        <is>
          <t>Vittåtel</t>
        </is>
      </c>
      <c r="W209">
        <f>HYPERLINK("https://klasma.github.io/Logging_0980/artfynd/A 23856-2025 artfynd.xlsx", "A 23856-2025")</f>
        <v/>
      </c>
      <c r="X209">
        <f>HYPERLINK("https://klasma.github.io/Logging_0980/kartor/A 23856-2025 karta.png", "A 23856-2025")</f>
        <v/>
      </c>
      <c r="Y209">
        <f>HYPERLINK("https://klasma.github.io/Logging_0980/kartor_geotiff/A 23856-2025 georefererad karta.tif", "A 23856-2025")</f>
        <v/>
      </c>
      <c r="AA209">
        <f>HYPERLINK("https://klasma.github.io/Logging_0980/klagomål/A 23856-2025 FSC-klagomål.docx", "A 23856-2025")</f>
        <v/>
      </c>
      <c r="AB209">
        <f>HYPERLINK("https://klasma.github.io/Logging_0980/klagomålsmail/A 23856-2025 FSC-klagomål mail.docx", "A 23856-2025")</f>
        <v/>
      </c>
      <c r="AC209">
        <f>HYPERLINK("https://klasma.github.io/Logging_0980/tillsyn/A 23856-2025 tillsynsbegäran.docx", "A 23856-2025")</f>
        <v/>
      </c>
      <c r="AD209">
        <f>HYPERLINK("https://klasma.github.io/Logging_0980/tillsynsmail/A 23856-2025 tillsynsbegäran mail.docx", "A 23856-2025")</f>
        <v/>
      </c>
    </row>
    <row r="210" ht="15" customHeight="1">
      <c r="A210" t="inlineStr">
        <is>
          <t>A 6739-2025</t>
        </is>
      </c>
      <c r="B210" t="inlineStr">
        <is>
          <t>avverkningsanmälan</t>
        </is>
      </c>
      <c r="C210" t="inlineStr">
        <is>
          <t>Föryngringsavverkning</t>
        </is>
      </c>
      <c r="D210" s="1" t="n">
        <v>45700</v>
      </c>
      <c r="E210" s="1" t="n">
        <v>46241</v>
      </c>
      <c r="F210" t="inlineStr">
        <is>
          <t>GOTLANDS LÄN</t>
        </is>
      </c>
      <c r="G210" t="inlineStr">
        <is>
          <t>GOTLAND</t>
        </is>
      </c>
      <c r="I210" t="n">
        <v>4.5</v>
      </c>
      <c r="J210" t="n">
        <v>1</v>
      </c>
      <c r="K210" t="n">
        <v>0</v>
      </c>
      <c r="L210" t="n">
        <v>0</v>
      </c>
      <c r="M210" t="n">
        <v>0</v>
      </c>
      <c r="N210" t="n">
        <v>0</v>
      </c>
      <c r="O210" t="n">
        <v>0</v>
      </c>
      <c r="P210" t="n">
        <v>0</v>
      </c>
      <c r="Q210" t="n">
        <v>0</v>
      </c>
      <c r="R210" t="n">
        <v>0</v>
      </c>
      <c r="S210" t="n">
        <v>1</v>
      </c>
      <c r="T210" t="n">
        <v>1</v>
      </c>
      <c r="U210" t="n">
        <v>1</v>
      </c>
      <c r="V210" s="2" t="inlineStr">
        <is>
          <t>Röd glada</t>
        </is>
      </c>
      <c r="W210">
        <f>HYPERLINK("https://klasma.github.io/Logging_0980/artfynd/A 6739-2025 artfynd.xlsx", "A 6739-2025")</f>
        <v/>
      </c>
      <c r="X210">
        <f>HYPERLINK("https://klasma.github.io/Logging_0980/kartor/A 6739-2025 karta.png", "A 6739-2025")</f>
        <v/>
      </c>
      <c r="Y210">
        <f>HYPERLINK("https://klasma.github.io/Logging_0980/kartor_geotiff/A 6739-2025 georefererad karta.tif", "A 6739-2025")</f>
        <v/>
      </c>
      <c r="AA210">
        <f>HYPERLINK("https://klasma.github.io/Logging_0980/klagomål/A 6739-2025 FSC-klagomål.docx", "A 6739-2025")</f>
        <v/>
      </c>
      <c r="AB210">
        <f>HYPERLINK("https://klasma.github.io/Logging_0980/klagomålsmail/A 6739-2025 FSC-klagomål mail.docx", "A 6739-2025")</f>
        <v/>
      </c>
      <c r="AC210">
        <f>HYPERLINK("https://klasma.github.io/Logging_0980/tillsyn/A 6739-2025 tillsynsbegäran.docx", "A 6739-2025")</f>
        <v/>
      </c>
      <c r="AD210">
        <f>HYPERLINK("https://klasma.github.io/Logging_0980/tillsynsmail/A 6739-2025 tillsynsbegäran mail.docx", "A 6739-2025")</f>
        <v/>
      </c>
      <c r="AE210">
        <f>HYPERLINK("https://klasma.github.io/Logging_0980/fåglar/A 6739-2025 prioriterade fågelarter.docx", "A 6739-2025")</f>
        <v/>
      </c>
    </row>
    <row r="211" ht="15" customHeight="1">
      <c r="A211" t="inlineStr">
        <is>
          <t>A 34141-2024</t>
        </is>
      </c>
      <c r="B211" t="inlineStr">
        <is>
          <t>avverkningsanmälan</t>
        </is>
      </c>
      <c r="C211" t="inlineStr">
        <is>
          <t>Föryngringsavverkning</t>
        </is>
      </c>
      <c r="D211" s="1" t="n">
        <v>45524</v>
      </c>
      <c r="E211" s="1" t="n">
        <v>46241</v>
      </c>
      <c r="F211" t="inlineStr">
        <is>
          <t>GOTLANDS LÄN</t>
        </is>
      </c>
      <c r="G211" t="inlineStr">
        <is>
          <t>GOTLAND</t>
        </is>
      </c>
      <c r="I211" t="n">
        <v>0.9</v>
      </c>
      <c r="J211" t="n">
        <v>0</v>
      </c>
      <c r="K211" t="n">
        <v>1</v>
      </c>
      <c r="L211" t="n">
        <v>0</v>
      </c>
      <c r="M211" t="n">
        <v>0</v>
      </c>
      <c r="N211" t="n">
        <v>0</v>
      </c>
      <c r="O211" t="n">
        <v>0</v>
      </c>
      <c r="P211" t="n">
        <v>0</v>
      </c>
      <c r="Q211" t="n">
        <v>0</v>
      </c>
      <c r="R211" t="n">
        <v>0</v>
      </c>
      <c r="S211" t="n">
        <v>1</v>
      </c>
      <c r="T211" t="n">
        <v>1</v>
      </c>
      <c r="U211" t="n">
        <v>1</v>
      </c>
      <c r="V211" s="2" t="inlineStr">
        <is>
          <t>Strävlosta</t>
        </is>
      </c>
      <c r="W211">
        <f>HYPERLINK("https://klasma.github.io/Logging_0980/artfynd/A 34141-2024 artfynd.xlsx", "A 34141-2024")</f>
        <v/>
      </c>
      <c r="X211">
        <f>HYPERLINK("https://klasma.github.io/Logging_0980/kartor/A 34141-2024 karta.png", "A 34141-2024")</f>
        <v/>
      </c>
      <c r="Y211">
        <f>HYPERLINK("https://klasma.github.io/Logging_0980/kartor_geotiff/A 34141-2024 georefererad karta.tif", "A 34141-2024")</f>
        <v/>
      </c>
      <c r="AA211">
        <f>HYPERLINK("https://klasma.github.io/Logging_0980/klagomål/A 34141-2024 FSC-klagomål.docx", "A 34141-2024")</f>
        <v/>
      </c>
      <c r="AB211">
        <f>HYPERLINK("https://klasma.github.io/Logging_0980/klagomålsmail/A 34141-2024 FSC-klagomål mail.docx", "A 34141-2024")</f>
        <v/>
      </c>
      <c r="AC211">
        <f>HYPERLINK("https://klasma.github.io/Logging_0980/tillsyn/A 34141-2024 tillsynsbegäran.docx", "A 34141-2024")</f>
        <v/>
      </c>
      <c r="AD211">
        <f>HYPERLINK("https://klasma.github.io/Logging_0980/tillsynsmail/A 34141-2024 tillsynsbegäran mail.docx", "A 34141-2024")</f>
        <v/>
      </c>
    </row>
    <row r="212" ht="15" customHeight="1">
      <c r="A212" t="inlineStr">
        <is>
          <t>A 9862-2024</t>
        </is>
      </c>
      <c r="B212" t="inlineStr">
        <is>
          <t>avverkningsanmälan</t>
        </is>
      </c>
      <c r="C212" t="inlineStr">
        <is>
          <t>Föryngringsavverkning</t>
        </is>
      </c>
      <c r="D212" s="1" t="n">
        <v>45363</v>
      </c>
      <c r="E212" s="1" t="n">
        <v>46241</v>
      </c>
      <c r="F212" t="inlineStr">
        <is>
          <t>GOTLANDS LÄN</t>
        </is>
      </c>
      <c r="G212" t="inlineStr">
        <is>
          <t>GOTLAND</t>
        </is>
      </c>
      <c r="I212" t="n">
        <v>3.5</v>
      </c>
      <c r="J212" t="n">
        <v>1</v>
      </c>
      <c r="K212" t="n">
        <v>0</v>
      </c>
      <c r="L212" t="n">
        <v>0</v>
      </c>
      <c r="M212" t="n">
        <v>0</v>
      </c>
      <c r="N212" t="n">
        <v>0</v>
      </c>
      <c r="O212" t="n">
        <v>0</v>
      </c>
      <c r="P212" t="n">
        <v>0</v>
      </c>
      <c r="Q212" t="n">
        <v>0</v>
      </c>
      <c r="R212" t="n">
        <v>0</v>
      </c>
      <c r="S212" t="n">
        <v>1</v>
      </c>
      <c r="T212" t="n">
        <v>1</v>
      </c>
      <c r="U212" t="n">
        <v>1</v>
      </c>
      <c r="V212" s="2" t="inlineStr">
        <is>
          <t>Nattviol</t>
        </is>
      </c>
      <c r="W212">
        <f>HYPERLINK("https://klasma.github.io/Logging_0980/artfynd/A 9862-2024 artfynd.xlsx", "A 9862-2024")</f>
        <v/>
      </c>
      <c r="X212">
        <f>HYPERLINK("https://klasma.github.io/Logging_0980/kartor/A 9862-2024 karta.png", "A 9862-2024")</f>
        <v/>
      </c>
      <c r="Y212">
        <f>HYPERLINK("https://klasma.github.io/Logging_0980/kartor_geotiff/A 9862-2024 georefererad karta.tif", "A 9862-2024")</f>
        <v/>
      </c>
      <c r="AA212">
        <f>HYPERLINK("https://klasma.github.io/Logging_0980/klagomål/A 9862-2024 FSC-klagomål.docx", "A 9862-2024")</f>
        <v/>
      </c>
      <c r="AB212">
        <f>HYPERLINK("https://klasma.github.io/Logging_0980/klagomålsmail/A 9862-2024 FSC-klagomål mail.docx", "A 9862-2024")</f>
        <v/>
      </c>
      <c r="AC212">
        <f>HYPERLINK("https://klasma.github.io/Logging_0980/tillsyn/A 9862-2024 tillsynsbegäran.docx", "A 9862-2024")</f>
        <v/>
      </c>
      <c r="AD212">
        <f>HYPERLINK("https://klasma.github.io/Logging_0980/tillsynsmail/A 9862-2024 tillsynsbegäran mail.docx", "A 9862-2024")</f>
        <v/>
      </c>
    </row>
    <row r="213" ht="15" customHeight="1">
      <c r="A213" t="inlineStr">
        <is>
          <t>A 30104-2025</t>
        </is>
      </c>
      <c r="B213" t="inlineStr">
        <is>
          <t>avverkningsanmälan</t>
        </is>
      </c>
      <c r="C213" t="inlineStr">
        <is>
          <t>Föryngringsavverkning</t>
        </is>
      </c>
      <c r="D213" s="1" t="n">
        <v>45826</v>
      </c>
      <c r="E213" s="1" t="n">
        <v>46241</v>
      </c>
      <c r="F213" t="inlineStr">
        <is>
          <t>GOTLANDS LÄN</t>
        </is>
      </c>
      <c r="G213" t="inlineStr">
        <is>
          <t>GOTLAND</t>
        </is>
      </c>
      <c r="I213" t="n">
        <v>15.4</v>
      </c>
      <c r="J213" t="n">
        <v>0</v>
      </c>
      <c r="K213" t="n">
        <v>1</v>
      </c>
      <c r="L213" t="n">
        <v>0</v>
      </c>
      <c r="M213" t="n">
        <v>0</v>
      </c>
      <c r="N213" t="n">
        <v>0</v>
      </c>
      <c r="O213" t="n">
        <v>0</v>
      </c>
      <c r="P213" t="n">
        <v>0</v>
      </c>
      <c r="Q213" t="n">
        <v>0</v>
      </c>
      <c r="R213" t="n">
        <v>0</v>
      </c>
      <c r="S213" t="n">
        <v>1</v>
      </c>
      <c r="T213" t="n">
        <v>2</v>
      </c>
      <c r="U213" t="n">
        <v>0</v>
      </c>
      <c r="V213" s="2" t="inlineStr">
        <is>
          <t>Blåmossa</t>
        </is>
      </c>
      <c r="W213">
        <f>HYPERLINK("https://klasma.github.io/Logging_0980/artfynd/A 30104-2025 artfynd.xlsx", "A 30104-2025")</f>
        <v/>
      </c>
      <c r="X213">
        <f>HYPERLINK("https://klasma.github.io/Logging_0980/kartor/A 30104-2025 karta.png", "A 30104-2025")</f>
        <v/>
      </c>
      <c r="Y213">
        <f>HYPERLINK("https://klasma.github.io/Logging_0980/kartor_geotiff/A 30104-2025 georefererad karta.tif", "A 30104-2025")</f>
        <v/>
      </c>
      <c r="AA213">
        <f>HYPERLINK("https://klasma.github.io/Logging_0980/klagomål/A 30104-2025 FSC-klagomål.docx", "A 30104-2025")</f>
        <v/>
      </c>
      <c r="AB213">
        <f>HYPERLINK("https://klasma.github.io/Logging_0980/klagomålsmail/A 30104-2025 FSC-klagomål mail.docx", "A 30104-2025")</f>
        <v/>
      </c>
      <c r="AC213">
        <f>HYPERLINK("https://klasma.github.io/Logging_0980/tillsyn/A 30104-2025 tillsynsbegäran.docx", "A 30104-2025")</f>
        <v/>
      </c>
      <c r="AD213">
        <f>HYPERLINK("https://klasma.github.io/Logging_0980/tillsynsmail/A 30104-2025 tillsynsbegäran mail.docx", "A 30104-2025")</f>
        <v/>
      </c>
    </row>
    <row r="214" ht="15" customHeight="1">
      <c r="A214" t="inlineStr">
        <is>
          <t>S 2744-2023</t>
        </is>
      </c>
      <c r="B214" t="inlineStr">
        <is>
          <t>samrådsanmälan</t>
        </is>
      </c>
      <c r="C214" t="inlineStr">
        <is>
          <t>Annan skogsbruksåtgärd</t>
        </is>
      </c>
      <c r="D214" s="1" t="n">
        <v>45159</v>
      </c>
      <c r="E214" s="1" t="n">
        <v>46241</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t="n">
        <v>0</v>
      </c>
      <c r="V214" s="2" t="inlineStr">
        <is>
          <t>Hasselsnok</t>
        </is>
      </c>
      <c r="W214">
        <f>HYPERLINK("https://klasma.github.io/Logging_0980/artfynd/S 2744-2023 artfynd.xlsx", "S 2744-2023")</f>
        <v/>
      </c>
      <c r="X214">
        <f>HYPERLINK("https://klasma.github.io/Logging_0980/kartor/S 2744-2023 karta.png", "S 2744-2023")</f>
        <v/>
      </c>
      <c r="Y214">
        <f>HYPERLINK("https://klasma.github.io/Logging_0980/kartor_geotiff/S 2744-2023 georefererad karta.tif", "S 2744-2023")</f>
        <v/>
      </c>
      <c r="AA214">
        <f>HYPERLINK("https://klasma.github.io/Logging_0980/klagomål/S 2744-2023 FSC-klagomål.docx", "S 2744-2023")</f>
        <v/>
      </c>
      <c r="AB214">
        <f>HYPERLINK("https://klasma.github.io/Logging_0980/klagomålsmail/S 2744-2023 FSC-klagomål mail.docx", "S 2744-2023")</f>
        <v/>
      </c>
      <c r="AC214">
        <f>HYPERLINK("https://klasma.github.io/Logging_0980/tillsyn/S 2744-2023 tillsynsbegäran.docx", "S 2744-2023")</f>
        <v/>
      </c>
      <c r="AD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46241</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t="n">
        <v>0</v>
      </c>
      <c r="V215" s="2" t="inlineStr">
        <is>
          <t>Violettfläckig spindling</t>
        </is>
      </c>
      <c r="W215">
        <f>HYPERLINK("https://klasma.github.io/Logging_0980/artfynd/S 6736-2022 artfynd.xlsx", "S 6736-2022")</f>
        <v/>
      </c>
      <c r="X215">
        <f>HYPERLINK("https://klasma.github.io/Logging_0980/kartor/S 6736-2022 karta.png", "S 6736-2022")</f>
        <v/>
      </c>
      <c r="Y215">
        <f>HYPERLINK("https://klasma.github.io/Logging_0980/kartor_geotiff/S 6736-2022 georefererad karta.tif", "S 6736-2022")</f>
        <v/>
      </c>
      <c r="AA215">
        <f>HYPERLINK("https://klasma.github.io/Logging_0980/klagomål/S 6736-2022 FSC-klagomål.docx", "S 6736-2022")</f>
        <v/>
      </c>
      <c r="AB215">
        <f>HYPERLINK("https://klasma.github.io/Logging_0980/klagomålsmail/S 6736-2022 FSC-klagomål mail.docx", "S 6736-2022")</f>
        <v/>
      </c>
      <c r="AC215">
        <f>HYPERLINK("https://klasma.github.io/Logging_0980/tillsyn/S 6736-2022 tillsynsbegäran.docx", "S 6736-2022")</f>
        <v/>
      </c>
      <c r="AD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46241</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t="n">
        <v>0</v>
      </c>
      <c r="V216" s="2" t="inlineStr">
        <is>
          <t>Underviol</t>
        </is>
      </c>
      <c r="W216">
        <f>HYPERLINK("https://klasma.github.io/Logging_0980/artfynd/S 5258-2022 artfynd.xlsx", "S 5258-2022")</f>
        <v/>
      </c>
      <c r="X216">
        <f>HYPERLINK("https://klasma.github.io/Logging_0980/kartor/S 5258-2022 karta.png", "S 5258-2022")</f>
        <v/>
      </c>
      <c r="Y216">
        <f>HYPERLINK("https://klasma.github.io/Logging_0980/kartor_geotiff/S 5258-2022 georefererad karta.tif", "S 5258-2022")</f>
        <v/>
      </c>
      <c r="AA216">
        <f>HYPERLINK("https://klasma.github.io/Logging_0980/klagomål/S 5258-2022 FSC-klagomål.docx", "S 5258-2022")</f>
        <v/>
      </c>
      <c r="AB216">
        <f>HYPERLINK("https://klasma.github.io/Logging_0980/klagomålsmail/S 5258-2022 FSC-klagomål mail.docx", "S 5258-2022")</f>
        <v/>
      </c>
      <c r="AC216">
        <f>HYPERLINK("https://klasma.github.io/Logging_0980/tillsyn/S 5258-2022 tillsynsbegäran.docx", "S 5258-2022")</f>
        <v/>
      </c>
      <c r="AD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46241</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t="n">
        <v>1</v>
      </c>
      <c r="V217" s="2" t="inlineStr">
        <is>
          <t>Gotlandsmåra</t>
        </is>
      </c>
      <c r="W217">
        <f>HYPERLINK("https://klasma.github.io/Logging_0980/artfynd/S 321-2025 artfynd.xlsx", "S 321-2025")</f>
        <v/>
      </c>
      <c r="X217">
        <f>HYPERLINK("https://klasma.github.io/Logging_0980/kartor/S 321-2025 karta.png", "S 321-2025")</f>
        <v/>
      </c>
      <c r="Y217">
        <f>HYPERLINK("https://klasma.github.io/Logging_0980/kartor_geotiff/S 321-2025 georefererad karta.tif", "S 321-2025")</f>
        <v/>
      </c>
      <c r="AA217">
        <f>HYPERLINK("https://klasma.github.io/Logging_0980/klagomål/S 321-2025 FSC-klagomål.docx", "S 321-2025")</f>
        <v/>
      </c>
      <c r="AB217">
        <f>HYPERLINK("https://klasma.github.io/Logging_0980/klagomålsmail/S 321-2025 FSC-klagomål mail.docx", "S 321-2025")</f>
        <v/>
      </c>
      <c r="AC217">
        <f>HYPERLINK("https://klasma.github.io/Logging_0980/tillsyn/S 321-2025 tillsynsbegäran.docx", "S 321-2025")</f>
        <v/>
      </c>
      <c r="AD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46241</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t="n">
        <v>0</v>
      </c>
      <c r="V218" s="2" t="inlineStr">
        <is>
          <t>Tallticka</t>
        </is>
      </c>
      <c r="W218">
        <f>HYPERLINK("https://klasma.github.io/Logging_0980/artfynd/S 1883-2026 artfynd.xlsx", "S 1883-2026")</f>
        <v/>
      </c>
      <c r="X218">
        <f>HYPERLINK("https://klasma.github.io/Logging_0980/kartor/S 1883-2026 karta.png", "S 1883-2026")</f>
        <v/>
      </c>
      <c r="Y218">
        <f>HYPERLINK("https://klasma.github.io/Logging_0980/kartor_geotiff/S 1883-2026 georefererad karta.tif", "S 1883-2026")</f>
        <v/>
      </c>
      <c r="AA218">
        <f>HYPERLINK("https://klasma.github.io/Logging_0980/klagomål/S 1883-2026 FSC-klagomål.docx", "S 1883-2026")</f>
        <v/>
      </c>
      <c r="AB218">
        <f>HYPERLINK("https://klasma.github.io/Logging_0980/klagomålsmail/S 1883-2026 FSC-klagomål mail.docx", "S 1883-2026")</f>
        <v/>
      </c>
      <c r="AC218">
        <f>HYPERLINK("https://klasma.github.io/Logging_0980/tillsyn/S 1883-2026 tillsynsbegäran.docx", "S 1883-2026")</f>
        <v/>
      </c>
      <c r="AD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46241</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44108-2022</t>
        </is>
      </c>
      <c r="B220" t="inlineStr">
        <is>
          <t>avverkningsanmälan</t>
        </is>
      </c>
      <c r="C220" t="inlineStr">
        <is>
          <t>Föryngringsavverkning</t>
        </is>
      </c>
      <c r="D220" s="1" t="n">
        <v>44839</v>
      </c>
      <c r="E220" s="1" t="n">
        <v>46241</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46241</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24235-2022</t>
        </is>
      </c>
      <c r="B222" t="inlineStr">
        <is>
          <t>avverkningsanmälan</t>
        </is>
      </c>
      <c r="C222" t="inlineStr">
        <is>
          <t>Avverkning för annat ändamål</t>
        </is>
      </c>
      <c r="D222" s="1" t="n">
        <v>44725</v>
      </c>
      <c r="E222" s="1" t="n">
        <v>46241</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39909-2021</t>
        </is>
      </c>
      <c r="B223" t="inlineStr">
        <is>
          <t>avverkningsanmälan</t>
        </is>
      </c>
      <c r="C223" t="inlineStr">
        <is>
          <t>Föryngringsavverkning</t>
        </is>
      </c>
      <c r="D223" s="1" t="n">
        <v>44417</v>
      </c>
      <c r="E223" s="1" t="n">
        <v>46241</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46241</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42688-2021</t>
        </is>
      </c>
      <c r="B225" t="inlineStr">
        <is>
          <t>avverkningsanmälan</t>
        </is>
      </c>
      <c r="C225" t="inlineStr">
        <is>
          <t>Föryngringsavverkning</t>
        </is>
      </c>
      <c r="D225" s="1" t="n">
        <v>44428</v>
      </c>
      <c r="E225" s="1" t="n">
        <v>46241</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24123-2022</t>
        </is>
      </c>
      <c r="B226" t="inlineStr">
        <is>
          <t>avverkningsanmälan</t>
        </is>
      </c>
      <c r="C226" t="inlineStr">
        <is>
          <t>Föryngringsavverkning</t>
        </is>
      </c>
      <c r="D226" s="1" t="n">
        <v>44725</v>
      </c>
      <c r="E226" s="1" t="n">
        <v>46241</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60607-2021</t>
        </is>
      </c>
      <c r="B227" t="inlineStr">
        <is>
          <t>avverkningsanmälan</t>
        </is>
      </c>
      <c r="C227" t="inlineStr">
        <is>
          <t>Föryngringsavverkning</t>
        </is>
      </c>
      <c r="D227" s="1" t="n">
        <v>44496</v>
      </c>
      <c r="E227" s="1" t="n">
        <v>46241</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47369-2021</t>
        </is>
      </c>
      <c r="B228" t="inlineStr">
        <is>
          <t>avverkningsanmälan</t>
        </is>
      </c>
      <c r="C228" t="inlineStr">
        <is>
          <t>Avverkning för annat ändamål</t>
        </is>
      </c>
      <c r="D228" s="1" t="n">
        <v>44447</v>
      </c>
      <c r="E228" s="1" t="n">
        <v>46241</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58224-2021</t>
        </is>
      </c>
      <c r="B229" t="inlineStr">
        <is>
          <t>avverkningsanmälan</t>
        </is>
      </c>
      <c r="C229" t="inlineStr">
        <is>
          <t>Föryngringsavverkning</t>
        </is>
      </c>
      <c r="D229" s="1" t="n">
        <v>44487</v>
      </c>
      <c r="E229" s="1" t="n">
        <v>46241</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46241</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46241</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46241</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46241</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46241</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46241</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46241</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46241</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46241</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46241</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46241</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22031-2024</t>
        </is>
      </c>
      <c r="B241" t="inlineStr">
        <is>
          <t>avverkningsanmälan</t>
        </is>
      </c>
      <c r="C241" t="inlineStr">
        <is>
          <t>Föryngringsavverkning</t>
        </is>
      </c>
      <c r="D241" s="1" t="n">
        <v>45443</v>
      </c>
      <c r="E241" s="1" t="n">
        <v>46241</v>
      </c>
      <c r="F241" t="inlineStr">
        <is>
          <t>GOTLANDS LÄN</t>
        </is>
      </c>
      <c r="G241" t="inlineStr">
        <is>
          <t>GOTLAND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44919-2022</t>
        </is>
      </c>
      <c r="B242" t="inlineStr">
        <is>
          <t>avverkningsanmälan</t>
        </is>
      </c>
      <c r="C242" t="inlineStr">
        <is>
          <t>Föryngringsavverkning</t>
        </is>
      </c>
      <c r="D242" s="1" t="n">
        <v>44841</v>
      </c>
      <c r="E242" s="1" t="n">
        <v>46241</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65901-2021</t>
        </is>
      </c>
      <c r="B243" t="inlineStr">
        <is>
          <t>avverkningsanmälan</t>
        </is>
      </c>
      <c r="C243" t="inlineStr">
        <is>
          <t>Föryngringsavverkning</t>
        </is>
      </c>
      <c r="D243" s="1" t="n">
        <v>44516</v>
      </c>
      <c r="E243" s="1" t="n">
        <v>46241</v>
      </c>
      <c r="F243" t="inlineStr">
        <is>
          <t>GOTLANDS LÄN</t>
        </is>
      </c>
      <c r="G243" t="inlineStr">
        <is>
          <t>GOTLAND</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44649-2021</t>
        </is>
      </c>
      <c r="B244" t="inlineStr">
        <is>
          <t>avverkningsanmälan</t>
        </is>
      </c>
      <c r="C244" t="inlineStr">
        <is>
          <t>Föryngringsavverkning</t>
        </is>
      </c>
      <c r="D244" s="1" t="n">
        <v>44437</v>
      </c>
      <c r="E244" s="1" t="n">
        <v>46241</v>
      </c>
      <c r="F244" t="inlineStr">
        <is>
          <t>GOTLANDS LÄN</t>
        </is>
      </c>
      <c r="G244" t="inlineStr">
        <is>
          <t>GOTLAND</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48503-2023</t>
        </is>
      </c>
      <c r="B245" t="inlineStr">
        <is>
          <t>avverkningsanmälan</t>
        </is>
      </c>
      <c r="C245" t="inlineStr">
        <is>
          <t>Föryngringsavverkning</t>
        </is>
      </c>
      <c r="D245" s="1" t="n">
        <v>45207</v>
      </c>
      <c r="E245" s="1" t="n">
        <v>46241</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46241</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17682-2024</t>
        </is>
      </c>
      <c r="B247" t="inlineStr">
        <is>
          <t>avverkningsanmälan</t>
        </is>
      </c>
      <c r="C247" t="inlineStr">
        <is>
          <t>Föryngringsavverkning</t>
        </is>
      </c>
      <c r="D247" s="1" t="n">
        <v>45418</v>
      </c>
      <c r="E247" s="1" t="n">
        <v>46241</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57522-2022</t>
        </is>
      </c>
      <c r="B248" t="inlineStr">
        <is>
          <t>avverkningsanmälan</t>
        </is>
      </c>
      <c r="C248" t="inlineStr">
        <is>
          <t>Föryngringsavverkning</t>
        </is>
      </c>
      <c r="D248" s="1" t="n">
        <v>44896</v>
      </c>
      <c r="E248" s="1" t="n">
        <v>46241</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63516-2023</t>
        </is>
      </c>
      <c r="B249" t="inlineStr">
        <is>
          <t>avverkningsanmälan</t>
        </is>
      </c>
      <c r="C249" t="inlineStr">
        <is>
          <t>Föryngringsavverkning</t>
        </is>
      </c>
      <c r="D249" s="1" t="n">
        <v>45274</v>
      </c>
      <c r="E249" s="1" t="n">
        <v>46241</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30365-2024</t>
        </is>
      </c>
      <c r="B250" t="inlineStr">
        <is>
          <t>avverkningsanmälan</t>
        </is>
      </c>
      <c r="C250" t="inlineStr">
        <is>
          <t>Föryngringsavverkning</t>
        </is>
      </c>
      <c r="D250" s="1" t="n">
        <v>45491</v>
      </c>
      <c r="E250" s="1" t="n">
        <v>46241</v>
      </c>
      <c r="F250" t="inlineStr">
        <is>
          <t>GOTLANDS LÄN</t>
        </is>
      </c>
      <c r="G250" t="inlineStr">
        <is>
          <t>GOTLAND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1681-2023</t>
        </is>
      </c>
      <c r="B251" t="inlineStr">
        <is>
          <t>avverkningsanmälan</t>
        </is>
      </c>
      <c r="C251" t="inlineStr">
        <is>
          <t>Föryngringsavverkning</t>
        </is>
      </c>
      <c r="D251" s="1" t="n">
        <v>44938</v>
      </c>
      <c r="E251" s="1" t="n">
        <v>46241</v>
      </c>
      <c r="F251" t="inlineStr">
        <is>
          <t>GOTLANDS LÄN</t>
        </is>
      </c>
      <c r="G251" t="inlineStr">
        <is>
          <t>GOTLAND</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6099-2024</t>
        </is>
      </c>
      <c r="B252" t="inlineStr">
        <is>
          <t>avverkningsanmälan</t>
        </is>
      </c>
      <c r="C252" t="inlineStr">
        <is>
          <t>Föryngringsavverkning</t>
        </is>
      </c>
      <c r="D252" s="1" t="n">
        <v>45337</v>
      </c>
      <c r="E252" s="1" t="n">
        <v>46241</v>
      </c>
      <c r="F252" t="inlineStr">
        <is>
          <t>GOTLANDS LÄN</t>
        </is>
      </c>
      <c r="G252" t="inlineStr">
        <is>
          <t>GOTLAND</t>
        </is>
      </c>
      <c r="I252" t="n">
        <v>12.6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58780-2024</t>
        </is>
      </c>
      <c r="B253" t="inlineStr">
        <is>
          <t>avverkningsanmälan</t>
        </is>
      </c>
      <c r="C253" t="inlineStr">
        <is>
          <t>Föryngringsavverkning</t>
        </is>
      </c>
      <c r="D253" s="1" t="n">
        <v>45635</v>
      </c>
      <c r="E253" s="1" t="n">
        <v>46241</v>
      </c>
      <c r="F253" t="inlineStr">
        <is>
          <t>GOTLANDS LÄN</t>
        </is>
      </c>
      <c r="G253" t="inlineStr">
        <is>
          <t>GOTLAND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28285-2024</t>
        </is>
      </c>
      <c r="B254" t="inlineStr">
        <is>
          <t>avverkningsanmälan</t>
        </is>
      </c>
      <c r="C254" t="inlineStr">
        <is>
          <t>Avverkning för annat ändamål</t>
        </is>
      </c>
      <c r="D254" s="1" t="n">
        <v>45477</v>
      </c>
      <c r="E254" s="1" t="n">
        <v>46241</v>
      </c>
      <c r="F254" t="inlineStr">
        <is>
          <t>GOTLANDS LÄN</t>
        </is>
      </c>
      <c r="G254" t="inlineStr">
        <is>
          <t>GOTLAND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61682-2024</t>
        </is>
      </c>
      <c r="B255" t="inlineStr">
        <is>
          <t>avverkningsanmälan</t>
        </is>
      </c>
      <c r="C255" t="inlineStr">
        <is>
          <t>Föryngringsavverkning</t>
        </is>
      </c>
      <c r="D255" s="1" t="n">
        <v>45647</v>
      </c>
      <c r="E255" s="1" t="n">
        <v>46241</v>
      </c>
      <c r="F255" t="inlineStr">
        <is>
          <t>GOTLANDS LÄN</t>
        </is>
      </c>
      <c r="G255" t="inlineStr">
        <is>
          <t>GOTLAND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17688-2024</t>
        </is>
      </c>
      <c r="B256" t="inlineStr">
        <is>
          <t>avverkningsanmälan</t>
        </is>
      </c>
      <c r="C256" t="inlineStr">
        <is>
          <t>Föryngringsavverkning</t>
        </is>
      </c>
      <c r="D256" s="1" t="n">
        <v>45418</v>
      </c>
      <c r="E256" s="1" t="n">
        <v>46241</v>
      </c>
      <c r="F256" t="inlineStr">
        <is>
          <t>GOTLANDS LÄN</t>
        </is>
      </c>
      <c r="G256" t="inlineStr">
        <is>
          <t>GOTLAND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7837-2024</t>
        </is>
      </c>
      <c r="B257" t="inlineStr">
        <is>
          <t>avverkningsanmälan</t>
        </is>
      </c>
      <c r="C257" t="inlineStr">
        <is>
          <t>Föryngringsavverkning</t>
        </is>
      </c>
      <c r="D257" s="1" t="n">
        <v>45349</v>
      </c>
      <c r="E257" s="1" t="n">
        <v>46241</v>
      </c>
      <c r="F257" t="inlineStr">
        <is>
          <t>GOTLANDS LÄN</t>
        </is>
      </c>
      <c r="G257" t="inlineStr">
        <is>
          <t>GOTLAND</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33876-2024</t>
        </is>
      </c>
      <c r="B258" t="inlineStr">
        <is>
          <t>avverkningsanmälan</t>
        </is>
      </c>
      <c r="C258" t="inlineStr">
        <is>
          <t>Föryngringsavverkning</t>
        </is>
      </c>
      <c r="D258" s="1" t="n">
        <v>45521</v>
      </c>
      <c r="E258" s="1" t="n">
        <v>46241</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35512-2023</t>
        </is>
      </c>
      <c r="B259" t="inlineStr">
        <is>
          <t>avverkningsanmälan</t>
        </is>
      </c>
      <c r="C259" t="inlineStr">
        <is>
          <t>Föryngringsavverkning</t>
        </is>
      </c>
      <c r="D259" s="1" t="n">
        <v>45147</v>
      </c>
      <c r="E259" s="1" t="n">
        <v>46241</v>
      </c>
      <c r="F259" t="inlineStr">
        <is>
          <t>GOTLANDS LÄN</t>
        </is>
      </c>
      <c r="G259" t="inlineStr">
        <is>
          <t>GOTLAND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5905-2024</t>
        </is>
      </c>
      <c r="B260" t="inlineStr">
        <is>
          <t>avverkningsanmälan</t>
        </is>
      </c>
      <c r="C260" t="inlineStr">
        <is>
          <t>Föryngringsavverkning</t>
        </is>
      </c>
      <c r="D260" s="1" t="n">
        <v>45335</v>
      </c>
      <c r="E260" s="1" t="n">
        <v>46241</v>
      </c>
      <c r="F260" t="inlineStr">
        <is>
          <t>GOTLANDS LÄN</t>
        </is>
      </c>
      <c r="G260" t="inlineStr">
        <is>
          <t>GOTLAND</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1291-2023</t>
        </is>
      </c>
      <c r="B261" t="inlineStr">
        <is>
          <t>avverkningsanmälan</t>
        </is>
      </c>
      <c r="C261" t="inlineStr">
        <is>
          <t>Föryngringsavverkning</t>
        </is>
      </c>
      <c r="D261" s="1" t="n">
        <v>44936</v>
      </c>
      <c r="E261" s="1" t="n">
        <v>46241</v>
      </c>
      <c r="F261" t="inlineStr">
        <is>
          <t>GOTLANDS LÄN</t>
        </is>
      </c>
      <c r="G261" t="inlineStr">
        <is>
          <t>GOTLAND</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57652-2023</t>
        </is>
      </c>
      <c r="B262" t="inlineStr">
        <is>
          <t>avverkningsanmälan</t>
        </is>
      </c>
      <c r="C262" t="inlineStr">
        <is>
          <t>Avverkning för annat ändamål</t>
        </is>
      </c>
      <c r="D262" s="1" t="n">
        <v>45246</v>
      </c>
      <c r="E262" s="1" t="n">
        <v>46241</v>
      </c>
      <c r="F262" t="inlineStr">
        <is>
          <t>GOTLANDS LÄN</t>
        </is>
      </c>
      <c r="G262" t="inlineStr">
        <is>
          <t>GOTLAND</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2676-2023</t>
        </is>
      </c>
      <c r="B263" t="inlineStr">
        <is>
          <t>avverkningsanmälan</t>
        </is>
      </c>
      <c r="C263" t="inlineStr">
        <is>
          <t>Avverkning för annat ändamål</t>
        </is>
      </c>
      <c r="D263" s="1" t="n">
        <v>44944</v>
      </c>
      <c r="E263" s="1" t="n">
        <v>46241</v>
      </c>
      <c r="F263" t="inlineStr">
        <is>
          <t>GOTLANDS LÄN</t>
        </is>
      </c>
      <c r="G263" t="inlineStr">
        <is>
          <t>GOTLAND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49315-2024</t>
        </is>
      </c>
      <c r="B264" t="inlineStr">
        <is>
          <t>avverkningsanmälan</t>
        </is>
      </c>
      <c r="C264" t="inlineStr">
        <is>
          <t>Avverkning för annat ändamål</t>
        </is>
      </c>
      <c r="D264" s="1" t="n">
        <v>45595</v>
      </c>
      <c r="E264" s="1" t="n">
        <v>46241</v>
      </c>
      <c r="F264" t="inlineStr">
        <is>
          <t>GOTLANDS LÄN</t>
        </is>
      </c>
      <c r="G264" t="inlineStr">
        <is>
          <t>GOTLAND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8484-2025</t>
        </is>
      </c>
      <c r="B265" t="inlineStr">
        <is>
          <t>avverkningsanmälan</t>
        </is>
      </c>
      <c r="C265" t="inlineStr">
        <is>
          <t>Avverkning för annat ändamål</t>
        </is>
      </c>
      <c r="D265" s="1" t="n">
        <v>45709</v>
      </c>
      <c r="E265" s="1" t="n">
        <v>46241</v>
      </c>
      <c r="F265" t="inlineStr">
        <is>
          <t>GOTLANDS LÄN</t>
        </is>
      </c>
      <c r="G265" t="inlineStr">
        <is>
          <t>GOTLAND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7636-2025</t>
        </is>
      </c>
      <c r="B266" t="inlineStr">
        <is>
          <t>avverkningsanmälan</t>
        </is>
      </c>
      <c r="C266" t="inlineStr">
        <is>
          <t>Föryngringsavverkning</t>
        </is>
      </c>
      <c r="D266" s="1" t="n">
        <v>45705</v>
      </c>
      <c r="E266" s="1" t="n">
        <v>46241</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7639-2025</t>
        </is>
      </c>
      <c r="B267" t="inlineStr">
        <is>
          <t>avverkningsanmälan</t>
        </is>
      </c>
      <c r="C267" t="inlineStr">
        <is>
          <t>Föryngringsavverkning</t>
        </is>
      </c>
      <c r="D267" s="1" t="n">
        <v>45705</v>
      </c>
      <c r="E267" s="1" t="n">
        <v>46241</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15216-2025</t>
        </is>
      </c>
      <c r="B268" t="inlineStr">
        <is>
          <t>avverkningsanmälan</t>
        </is>
      </c>
      <c r="C268" t="inlineStr">
        <is>
          <t>Föryngringsavverkning</t>
        </is>
      </c>
      <c r="D268" s="1" t="n">
        <v>45744</v>
      </c>
      <c r="E268" s="1" t="n">
        <v>46241</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43790-2024</t>
        </is>
      </c>
      <c r="B269" t="inlineStr">
        <is>
          <t>avverkningsanmälan</t>
        </is>
      </c>
      <c r="C269" t="inlineStr">
        <is>
          <t>Föryngringsavverkning</t>
        </is>
      </c>
      <c r="D269" s="1" t="n">
        <v>45571</v>
      </c>
      <c r="E269" s="1" t="n">
        <v>46241</v>
      </c>
      <c r="F269" t="inlineStr">
        <is>
          <t>GOTLANDS LÄN</t>
        </is>
      </c>
      <c r="G269" t="inlineStr">
        <is>
          <t>GOTLAND</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15001-2025</t>
        </is>
      </c>
      <c r="B270" t="inlineStr">
        <is>
          <t>avverkningsanmälan</t>
        </is>
      </c>
      <c r="C270" t="inlineStr">
        <is>
          <t>Föryngringsavverkning</t>
        </is>
      </c>
      <c r="D270" s="1" t="n">
        <v>45743</v>
      </c>
      <c r="E270" s="1" t="n">
        <v>46241</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30488-2025</t>
        </is>
      </c>
      <c r="B271" t="inlineStr">
        <is>
          <t>avverkningsanmälan</t>
        </is>
      </c>
      <c r="C271" t="inlineStr">
        <is>
          <t>Föryngringsavverkning</t>
        </is>
      </c>
      <c r="D271" s="1" t="n">
        <v>45830</v>
      </c>
      <c r="E271" s="1" t="n">
        <v>46241</v>
      </c>
      <c r="F271" t="inlineStr">
        <is>
          <t>GOTLANDS LÄN</t>
        </is>
      </c>
      <c r="G271" t="inlineStr">
        <is>
          <t>GOTLAND</t>
        </is>
      </c>
      <c r="H271" t="inlineStr">
        <is>
          <t>Kyrkan</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17847-2025</t>
        </is>
      </c>
      <c r="B272" t="inlineStr">
        <is>
          <t>avverkningsanmälan</t>
        </is>
      </c>
      <c r="C272" t="inlineStr">
        <is>
          <t>Föryngringsavverkning</t>
        </is>
      </c>
      <c r="D272" s="1" t="n">
        <v>45758</v>
      </c>
      <c r="E272" s="1" t="n">
        <v>46241</v>
      </c>
      <c r="F272" t="inlineStr">
        <is>
          <t>GOTLANDS LÄN</t>
        </is>
      </c>
      <c r="G272" t="inlineStr">
        <is>
          <t>GOTLAND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20356-2022</t>
        </is>
      </c>
      <c r="B273" t="inlineStr">
        <is>
          <t>avverkningsanmälan</t>
        </is>
      </c>
      <c r="C273" t="inlineStr">
        <is>
          <t>Avverkning för annat ändamål</t>
        </is>
      </c>
      <c r="D273" s="1" t="n">
        <v>44699</v>
      </c>
      <c r="E273" s="1" t="n">
        <v>46241</v>
      </c>
      <c r="F273" t="inlineStr">
        <is>
          <t>GOTLANDS LÄN</t>
        </is>
      </c>
      <c r="G273" t="inlineStr">
        <is>
          <t>GOTLAND</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48734-2022</t>
        </is>
      </c>
      <c r="B274" t="inlineStr">
        <is>
          <t>avverkningsanmälan</t>
        </is>
      </c>
      <c r="C274" t="inlineStr">
        <is>
          <t>Föryngringsavverkning</t>
        </is>
      </c>
      <c r="D274" s="1" t="n">
        <v>44855</v>
      </c>
      <c r="E274" s="1" t="n">
        <v>46241</v>
      </c>
      <c r="F274" t="inlineStr">
        <is>
          <t>GOTLANDS LÄN</t>
        </is>
      </c>
      <c r="G274" t="inlineStr">
        <is>
          <t>GOTLAND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18742-2025</t>
        </is>
      </c>
      <c r="B275" t="inlineStr">
        <is>
          <t>avverkningsanmälan</t>
        </is>
      </c>
      <c r="C275" t="inlineStr">
        <is>
          <t>Avverkning för annat ändamål</t>
        </is>
      </c>
      <c r="D275" s="1" t="n">
        <v>45763</v>
      </c>
      <c r="E275" s="1" t="n">
        <v>46241</v>
      </c>
      <c r="F275" t="inlineStr">
        <is>
          <t>GOTLANDS LÄN</t>
        </is>
      </c>
      <c r="G275" t="inlineStr">
        <is>
          <t>GOTLAND</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35129-2025</t>
        </is>
      </c>
      <c r="B276" t="inlineStr">
        <is>
          <t>avverkningsanmälan</t>
        </is>
      </c>
      <c r="C276" t="inlineStr">
        <is>
          <t>Föryngringsavverkning</t>
        </is>
      </c>
      <c r="D276" s="1" t="n">
        <v>45852</v>
      </c>
      <c r="E276" s="1" t="n">
        <v>46241</v>
      </c>
      <c r="F276" t="inlineStr">
        <is>
          <t>GOTLANDS LÄN</t>
        </is>
      </c>
      <c r="G276" t="inlineStr">
        <is>
          <t>GOTLAND</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57685-2022</t>
        </is>
      </c>
      <c r="B277" t="inlineStr">
        <is>
          <t>avverkningsanmälan</t>
        </is>
      </c>
      <c r="C277" t="inlineStr">
        <is>
          <t>Föryngringsavverkning</t>
        </is>
      </c>
      <c r="D277" s="1" t="n">
        <v>44897</v>
      </c>
      <c r="E277" s="1" t="n">
        <v>46241</v>
      </c>
      <c r="F277" t="inlineStr">
        <is>
          <t>GOTLANDS LÄN</t>
        </is>
      </c>
      <c r="G277" t="inlineStr">
        <is>
          <t>GOTLAND</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30815-2023</t>
        </is>
      </c>
      <c r="B278" t="inlineStr">
        <is>
          <t>avverkningsanmälan</t>
        </is>
      </c>
      <c r="C278" t="inlineStr">
        <is>
          <t>Avverkning för annat ändamål</t>
        </is>
      </c>
      <c r="D278" s="1" t="n">
        <v>45112</v>
      </c>
      <c r="E278" s="1" t="n">
        <v>46241</v>
      </c>
      <c r="F278" t="inlineStr">
        <is>
          <t>GOTLANDS LÄN</t>
        </is>
      </c>
      <c r="G278" t="inlineStr">
        <is>
          <t>GOTLAND</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16993-2026</t>
        </is>
      </c>
      <c r="B279" t="inlineStr">
        <is>
          <t>avverkningsanmälan</t>
        </is>
      </c>
      <c r="C279" t="inlineStr">
        <is>
          <t>Föryngringsavverkning</t>
        </is>
      </c>
      <c r="D279" s="1" t="n">
        <v>46114</v>
      </c>
      <c r="E279" s="1" t="n">
        <v>46241</v>
      </c>
      <c r="F279" t="inlineStr">
        <is>
          <t>GOTLANDS LÄN</t>
        </is>
      </c>
      <c r="G279" t="inlineStr">
        <is>
          <t>GOTLAND</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6108-2025</t>
        </is>
      </c>
      <c r="B280" t="inlineStr">
        <is>
          <t>avverkningsanmälan</t>
        </is>
      </c>
      <c r="C280" t="inlineStr">
        <is>
          <t>Föryngringsavverkning</t>
        </is>
      </c>
      <c r="D280" s="1" t="n">
        <v>45698</v>
      </c>
      <c r="E280" s="1" t="n">
        <v>46241</v>
      </c>
      <c r="F280" t="inlineStr">
        <is>
          <t>GOTLANDS LÄN</t>
        </is>
      </c>
      <c r="G280" t="inlineStr">
        <is>
          <t>GOTLAND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21142-2025</t>
        </is>
      </c>
      <c r="B281" t="inlineStr">
        <is>
          <t>avverkningsanmälan</t>
        </is>
      </c>
      <c r="C281" t="inlineStr">
        <is>
          <t>Föryngringsavverkning</t>
        </is>
      </c>
      <c r="D281" s="1" t="n">
        <v>45779</v>
      </c>
      <c r="E281" s="1" t="n">
        <v>46241</v>
      </c>
      <c r="F281" t="inlineStr">
        <is>
          <t>GOTLANDS LÄN</t>
        </is>
      </c>
      <c r="G281" t="inlineStr">
        <is>
          <t>GOTLAND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7034-2023</t>
        </is>
      </c>
      <c r="B282" t="inlineStr">
        <is>
          <t>avverkningsanmälan</t>
        </is>
      </c>
      <c r="C282" t="inlineStr">
        <is>
          <t>Föryngringsavverkning</t>
        </is>
      </c>
      <c r="D282" s="1" t="n">
        <v>44968</v>
      </c>
      <c r="E282" s="1" t="n">
        <v>46241</v>
      </c>
      <c r="F282" t="inlineStr">
        <is>
          <t>GOTLANDS LÄN</t>
        </is>
      </c>
      <c r="G282" t="inlineStr">
        <is>
          <t>GOTLAND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23516-2023</t>
        </is>
      </c>
      <c r="B283" t="inlineStr">
        <is>
          <t>avverkningsanmälan</t>
        </is>
      </c>
      <c r="C283" t="inlineStr">
        <is>
          <t>Föryngringsavverkning</t>
        </is>
      </c>
      <c r="D283" s="1" t="n">
        <v>45076</v>
      </c>
      <c r="E283" s="1" t="n">
        <v>46241</v>
      </c>
      <c r="F283" t="inlineStr">
        <is>
          <t>GOTLANDS LÄN</t>
        </is>
      </c>
      <c r="G283" t="inlineStr">
        <is>
          <t>GOTLAND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12599-2025</t>
        </is>
      </c>
      <c r="B284" t="inlineStr">
        <is>
          <t>avverkningsanmälan</t>
        </is>
      </c>
      <c r="C284" t="inlineStr">
        <is>
          <t>Föryngringsavverkning</t>
        </is>
      </c>
      <c r="D284" s="1" t="n">
        <v>45733</v>
      </c>
      <c r="E284" s="1" t="n">
        <v>46241</v>
      </c>
      <c r="F284" t="inlineStr">
        <is>
          <t>GOTLANDS LÄN</t>
        </is>
      </c>
      <c r="G284" t="inlineStr">
        <is>
          <t>GOTLAND</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17343-2025</t>
        </is>
      </c>
      <c r="B285" t="inlineStr">
        <is>
          <t>avverkningsanmälan</t>
        </is>
      </c>
      <c r="C285" t="inlineStr">
        <is>
          <t>Föryngringsavverkning</t>
        </is>
      </c>
      <c r="D285" s="1" t="n">
        <v>45756</v>
      </c>
      <c r="E285" s="1" t="n">
        <v>46241</v>
      </c>
      <c r="F285" t="inlineStr">
        <is>
          <t>GOTLANDS LÄN</t>
        </is>
      </c>
      <c r="G285" t="inlineStr">
        <is>
          <t>GOTLAND</t>
        </is>
      </c>
      <c r="I285" t="n">
        <v>9.699999999999999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64660-2023</t>
        </is>
      </c>
      <c r="B286" t="inlineStr">
        <is>
          <t>avverkningsanmälan</t>
        </is>
      </c>
      <c r="C286" t="inlineStr">
        <is>
          <t>Föryngringsavverkning</t>
        </is>
      </c>
      <c r="D286" s="1" t="n">
        <v>45281</v>
      </c>
      <c r="E286" s="1" t="n">
        <v>46241</v>
      </c>
      <c r="F286" t="inlineStr">
        <is>
          <t>GOTLANDS LÄN</t>
        </is>
      </c>
      <c r="G286" t="inlineStr">
        <is>
          <t>GOTLAND</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35141-2025</t>
        </is>
      </c>
      <c r="B287" t="inlineStr">
        <is>
          <t>avverkningsanmälan</t>
        </is>
      </c>
      <c r="C287" t="inlineStr">
        <is>
          <t>Föryngringsavverkning</t>
        </is>
      </c>
      <c r="D287" s="1" t="n">
        <v>45852</v>
      </c>
      <c r="E287" s="1" t="n">
        <v>46241</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18938-2025</t>
        </is>
      </c>
      <c r="B288" t="inlineStr">
        <is>
          <t>avverkningsanmälan</t>
        </is>
      </c>
      <c r="C288" t="inlineStr">
        <is>
          <t>Föryngringsavverkning</t>
        </is>
      </c>
      <c r="D288" s="1" t="n">
        <v>45764</v>
      </c>
      <c r="E288" s="1" t="n">
        <v>46241</v>
      </c>
      <c r="F288" t="inlineStr">
        <is>
          <t>GOTLANDS LÄN</t>
        </is>
      </c>
      <c r="G288" t="inlineStr">
        <is>
          <t>GOTLAND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35142-2025</t>
        </is>
      </c>
      <c r="B289" t="inlineStr">
        <is>
          <t>avverkningsanmälan</t>
        </is>
      </c>
      <c r="C289" t="inlineStr">
        <is>
          <t>Föryngringsavverkning</t>
        </is>
      </c>
      <c r="D289" s="1" t="n">
        <v>45852</v>
      </c>
      <c r="E289" s="1" t="n">
        <v>46241</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63763-2023</t>
        </is>
      </c>
      <c r="B290" t="inlineStr">
        <is>
          <t>avverkningsanmälan</t>
        </is>
      </c>
      <c r="C290" t="inlineStr">
        <is>
          <t>Föryngringsavverkning</t>
        </is>
      </c>
      <c r="D290" s="1" t="n">
        <v>45278</v>
      </c>
      <c r="E290" s="1" t="n">
        <v>46241</v>
      </c>
      <c r="F290" t="inlineStr">
        <is>
          <t>GOTLANDS LÄN</t>
        </is>
      </c>
      <c r="G290" t="inlineStr">
        <is>
          <t>GOTLAND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20307-2025</t>
        </is>
      </c>
      <c r="B291" t="inlineStr">
        <is>
          <t>avverkningsanmälan</t>
        </is>
      </c>
      <c r="C291" t="inlineStr">
        <is>
          <t>Föryngringsavverkning</t>
        </is>
      </c>
      <c r="D291" s="1" t="n">
        <v>45774</v>
      </c>
      <c r="E291" s="1" t="n">
        <v>46241</v>
      </c>
      <c r="F291" t="inlineStr">
        <is>
          <t>GOTLANDS LÄN</t>
        </is>
      </c>
      <c r="G291" t="inlineStr">
        <is>
          <t>GOTLAND</t>
        </is>
      </c>
      <c r="I291" t="n">
        <v>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39816-2025</t>
        </is>
      </c>
      <c r="B292" t="inlineStr">
        <is>
          <t>avverkningsanmälan</t>
        </is>
      </c>
      <c r="C292" t="inlineStr">
        <is>
          <t>Föryngringsavverkning</t>
        </is>
      </c>
      <c r="D292" s="1" t="n">
        <v>45891</v>
      </c>
      <c r="E292" s="1" t="n">
        <v>46241</v>
      </c>
      <c r="F292" t="inlineStr">
        <is>
          <t>GOTLANDS LÄN</t>
        </is>
      </c>
      <c r="G292" t="inlineStr">
        <is>
          <t>GOTLAND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40373-2025</t>
        </is>
      </c>
      <c r="B293" t="inlineStr">
        <is>
          <t>avverkningsanmälan</t>
        </is>
      </c>
      <c r="C293" t="inlineStr">
        <is>
          <t>Föryngringsavverkning</t>
        </is>
      </c>
      <c r="D293" s="1" t="n">
        <v>45895</v>
      </c>
      <c r="E293" s="1" t="n">
        <v>46241</v>
      </c>
      <c r="F293" t="inlineStr">
        <is>
          <t>GOTLANDS LÄN</t>
        </is>
      </c>
      <c r="G293" t="inlineStr">
        <is>
          <t>GOTLAND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40372-2025</t>
        </is>
      </c>
      <c r="B294" t="inlineStr">
        <is>
          <t>avverkningsanmälan</t>
        </is>
      </c>
      <c r="C294" t="inlineStr">
        <is>
          <t>Föryngringsavverkning</t>
        </is>
      </c>
      <c r="D294" s="1" t="n">
        <v>45895</v>
      </c>
      <c r="E294" s="1" t="n">
        <v>46241</v>
      </c>
      <c r="F294" t="inlineStr">
        <is>
          <t>GOTLANDS LÄN</t>
        </is>
      </c>
      <c r="G294" t="inlineStr">
        <is>
          <t>GOTLAND</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1734-2025</t>
        </is>
      </c>
      <c r="B295" t="inlineStr">
        <is>
          <t>avverkningsanmälan</t>
        </is>
      </c>
      <c r="C295" t="inlineStr">
        <is>
          <t>Föryngringsavverkning</t>
        </is>
      </c>
      <c r="D295" s="1" t="n">
        <v>45671</v>
      </c>
      <c r="E295" s="1" t="n">
        <v>46241</v>
      </c>
      <c r="F295" t="inlineStr">
        <is>
          <t>GOTLANDS LÄN</t>
        </is>
      </c>
      <c r="G295" t="inlineStr">
        <is>
          <t>GOTLAND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20993-2023</t>
        </is>
      </c>
      <c r="B296" t="inlineStr">
        <is>
          <t>avverkningsanmälan</t>
        </is>
      </c>
      <c r="C296" t="inlineStr">
        <is>
          <t>Föryngringsavverkning</t>
        </is>
      </c>
      <c r="D296" s="1" t="n">
        <v>45056</v>
      </c>
      <c r="E296" s="1" t="n">
        <v>46241</v>
      </c>
      <c r="F296" t="inlineStr">
        <is>
          <t>GOTLANDS LÄN</t>
        </is>
      </c>
      <c r="G296" t="inlineStr">
        <is>
          <t>GOTLAND</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62836-2025</t>
        </is>
      </c>
      <c r="B297" t="inlineStr">
        <is>
          <t>avverkningsanmälan</t>
        </is>
      </c>
      <c r="C297" t="inlineStr">
        <is>
          <t>Föryngringsavverkning</t>
        </is>
      </c>
      <c r="D297" s="1" t="n">
        <v>46008</v>
      </c>
      <c r="E297" s="1" t="n">
        <v>46241</v>
      </c>
      <c r="F297" t="inlineStr">
        <is>
          <t>GOTLANDS LÄN</t>
        </is>
      </c>
      <c r="G297" t="inlineStr">
        <is>
          <t>GOTLAND</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46241</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2125-2025</t>
        </is>
      </c>
      <c r="B299" t="inlineStr">
        <is>
          <t>avverkningsanmälan</t>
        </is>
      </c>
      <c r="C299" t="inlineStr">
        <is>
          <t>Föryngringsavverkning</t>
        </is>
      </c>
      <c r="D299" s="1" t="n">
        <v>45672</v>
      </c>
      <c r="E299" s="1" t="n">
        <v>46241</v>
      </c>
      <c r="F299" t="inlineStr">
        <is>
          <t>GOTLANDS LÄN</t>
        </is>
      </c>
      <c r="G299" t="inlineStr">
        <is>
          <t>GOTLAND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20356-2022</t>
        </is>
      </c>
      <c r="B300" t="inlineStr">
        <is>
          <t>avverkningsanmälan</t>
        </is>
      </c>
      <c r="C300" t="inlineStr">
        <is>
          <t>Avverkning för annat ändamål</t>
        </is>
      </c>
      <c r="D300" s="1" t="n">
        <v>44699</v>
      </c>
      <c r="E300" s="1" t="n">
        <v>46241</v>
      </c>
      <c r="F300" t="inlineStr">
        <is>
          <t>GOTLANDS LÄN</t>
        </is>
      </c>
      <c r="G300" t="inlineStr">
        <is>
          <t>GOTLAND</t>
        </is>
      </c>
      <c r="H300" t="inlineStr">
        <is>
          <t>Övriga Aktiebolag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12155-2023</t>
        </is>
      </c>
      <c r="B301" t="inlineStr">
        <is>
          <t>avverkningsanmälan</t>
        </is>
      </c>
      <c r="C301" t="inlineStr">
        <is>
          <t>Föryngringsavverkning</t>
        </is>
      </c>
      <c r="D301" s="1" t="n">
        <v>44998</v>
      </c>
      <c r="E301" s="1" t="n">
        <v>46241</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457-2023</t>
        </is>
      </c>
      <c r="B302" t="inlineStr">
        <is>
          <t>avverkningsanmälan</t>
        </is>
      </c>
      <c r="C302" t="inlineStr">
        <is>
          <t>Föryngringsavverkning</t>
        </is>
      </c>
      <c r="D302" s="1" t="n">
        <v>44929</v>
      </c>
      <c r="E302" s="1" t="n">
        <v>46241</v>
      </c>
      <c r="F302" t="inlineStr">
        <is>
          <t>GOTLANDS LÄN</t>
        </is>
      </c>
      <c r="G302" t="inlineStr">
        <is>
          <t>GOTLAND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459-2023</t>
        </is>
      </c>
      <c r="B303" t="inlineStr">
        <is>
          <t>avverkningsanmälan</t>
        </is>
      </c>
      <c r="C303" t="inlineStr">
        <is>
          <t>Föryngringsavverkning</t>
        </is>
      </c>
      <c r="D303" s="1" t="n">
        <v>44929</v>
      </c>
      <c r="E303" s="1" t="n">
        <v>46241</v>
      </c>
      <c r="F303" t="inlineStr">
        <is>
          <t>GOTLANDS LÄN</t>
        </is>
      </c>
      <c r="G303" t="inlineStr">
        <is>
          <t>GOTLAND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38234-2023</t>
        </is>
      </c>
      <c r="B304" t="inlineStr">
        <is>
          <t>avverkningsanmälan</t>
        </is>
      </c>
      <c r="C304" t="inlineStr">
        <is>
          <t>Föryngringsavverkning</t>
        </is>
      </c>
      <c r="D304" s="1" t="n">
        <v>45161</v>
      </c>
      <c r="E304" s="1" t="n">
        <v>46241</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50744-2024</t>
        </is>
      </c>
      <c r="B305" t="inlineStr">
        <is>
          <t>avverkningsanmälan</t>
        </is>
      </c>
      <c r="C305" t="inlineStr">
        <is>
          <t>Föryngringsavverkning</t>
        </is>
      </c>
      <c r="D305" s="1" t="n">
        <v>45602</v>
      </c>
      <c r="E305" s="1" t="n">
        <v>46241</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43951-2025</t>
        </is>
      </c>
      <c r="B306" t="inlineStr">
        <is>
          <t>avverkningsanmälan</t>
        </is>
      </c>
      <c r="C306" t="inlineStr">
        <is>
          <t>Föryngringsavverkning</t>
        </is>
      </c>
      <c r="D306" s="1" t="n">
        <v>45915</v>
      </c>
      <c r="E306" s="1" t="n">
        <v>46241</v>
      </c>
      <c r="F306" t="inlineStr">
        <is>
          <t>GOTLANDS LÄN</t>
        </is>
      </c>
      <c r="G306" t="inlineStr">
        <is>
          <t>GOTLAND</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18804-2026</t>
        </is>
      </c>
      <c r="B307" t="inlineStr">
        <is>
          <t>avverkningsanmälan</t>
        </is>
      </c>
      <c r="C307" t="inlineStr">
        <is>
          <t>Föryngringsavverkning</t>
        </is>
      </c>
      <c r="D307" s="1" t="n">
        <v>46128</v>
      </c>
      <c r="E307" s="1" t="n">
        <v>46241</v>
      </c>
      <c r="F307" t="inlineStr">
        <is>
          <t>GOTLANDS LÄN</t>
        </is>
      </c>
      <c r="G307" t="inlineStr">
        <is>
          <t>GOTLAND</t>
        </is>
      </c>
      <c r="H307" t="inlineStr">
        <is>
          <t>Kyrkan</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1446-2025</t>
        </is>
      </c>
      <c r="B308" t="inlineStr">
        <is>
          <t>avverkningsanmälan</t>
        </is>
      </c>
      <c r="C308" t="inlineStr">
        <is>
          <t>Föryngringsavverkning</t>
        </is>
      </c>
      <c r="D308" s="1" t="n">
        <v>45669</v>
      </c>
      <c r="E308" s="1" t="n">
        <v>46241</v>
      </c>
      <c r="F308" t="inlineStr">
        <is>
          <t>GOTLANDS LÄN</t>
        </is>
      </c>
      <c r="G308" t="inlineStr">
        <is>
          <t>GOTLAND</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43901-2023</t>
        </is>
      </c>
      <c r="B309" t="inlineStr">
        <is>
          <t>avverkningsanmälan</t>
        </is>
      </c>
      <c r="C309" t="inlineStr">
        <is>
          <t>Föryngringsavverkning</t>
        </is>
      </c>
      <c r="D309" s="1" t="n">
        <v>45187</v>
      </c>
      <c r="E309" s="1" t="n">
        <v>46241</v>
      </c>
      <c r="F309" t="inlineStr">
        <is>
          <t>GOTLANDS LÄN</t>
        </is>
      </c>
      <c r="G309" t="inlineStr">
        <is>
          <t>GOTLAND</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10746-2025</t>
        </is>
      </c>
      <c r="B310" t="inlineStr">
        <is>
          <t>avverkningsanmälan</t>
        </is>
      </c>
      <c r="C310" t="inlineStr">
        <is>
          <t>Föryngringsavverkning</t>
        </is>
      </c>
      <c r="D310" s="1" t="n">
        <v>45722</v>
      </c>
      <c r="E310" s="1" t="n">
        <v>46241</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16501-2023</t>
        </is>
      </c>
      <c r="B311" t="inlineStr">
        <is>
          <t>avverkningsanmälan</t>
        </is>
      </c>
      <c r="C311" t="inlineStr">
        <is>
          <t>Avverkning för att bevara och utveckla /försöksver</t>
        </is>
      </c>
      <c r="D311" s="1" t="n">
        <v>45029</v>
      </c>
      <c r="E311" s="1" t="n">
        <v>46241</v>
      </c>
      <c r="F311" t="inlineStr">
        <is>
          <t>GOTLANDS LÄN</t>
        </is>
      </c>
      <c r="G311" t="inlineStr">
        <is>
          <t>GOTLAND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26391-2025</t>
        </is>
      </c>
      <c r="B312" t="inlineStr">
        <is>
          <t>avverkningsanmälan</t>
        </is>
      </c>
      <c r="C312" t="inlineStr">
        <is>
          <t>Avverkning för annat ändamål</t>
        </is>
      </c>
      <c r="D312" s="1" t="n">
        <v>45806</v>
      </c>
      <c r="E312" s="1" t="n">
        <v>46241</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46241</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26467-2025</t>
        </is>
      </c>
      <c r="B314" t="inlineStr">
        <is>
          <t>avverkningsanmälan</t>
        </is>
      </c>
      <c r="C314" t="inlineStr">
        <is>
          <t>Föryngringsavverkning</t>
        </is>
      </c>
      <c r="D314" s="1" t="n">
        <v>45807</v>
      </c>
      <c r="E314" s="1" t="n">
        <v>46241</v>
      </c>
      <c r="F314" t="inlineStr">
        <is>
          <t>GOTLANDS LÄN</t>
        </is>
      </c>
      <c r="G314" t="inlineStr">
        <is>
          <t>GOTLAND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61962-2024</t>
        </is>
      </c>
      <c r="B315" t="inlineStr">
        <is>
          <t>avverkningsanmälan</t>
        </is>
      </c>
      <c r="C315" t="inlineStr">
        <is>
          <t>Föryngringsavverkning</t>
        </is>
      </c>
      <c r="D315" s="1" t="n">
        <v>45653</v>
      </c>
      <c r="E315" s="1" t="n">
        <v>46241</v>
      </c>
      <c r="F315" t="inlineStr">
        <is>
          <t>GOTLANDS LÄN</t>
        </is>
      </c>
      <c r="G315" t="inlineStr">
        <is>
          <t>GOTLAND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10492-2023</t>
        </is>
      </c>
      <c r="B316" t="inlineStr">
        <is>
          <t>avverkningsanmälan</t>
        </is>
      </c>
      <c r="C316" t="inlineStr">
        <is>
          <t>Föryngringsavverkning</t>
        </is>
      </c>
      <c r="D316" s="1" t="n">
        <v>44987</v>
      </c>
      <c r="E316" s="1" t="n">
        <v>46241</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29207-2025</t>
        </is>
      </c>
      <c r="B317" t="inlineStr">
        <is>
          <t>avverkningsanmälan</t>
        </is>
      </c>
      <c r="C317" t="inlineStr">
        <is>
          <t>Föryngringsavverkning</t>
        </is>
      </c>
      <c r="D317" s="1" t="n">
        <v>45823</v>
      </c>
      <c r="E317" s="1" t="n">
        <v>46241</v>
      </c>
      <c r="F317" t="inlineStr">
        <is>
          <t>GOTLANDS LÄN</t>
        </is>
      </c>
      <c r="G317" t="inlineStr">
        <is>
          <t>GOTLAND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10653-2023</t>
        </is>
      </c>
      <c r="B318" t="inlineStr">
        <is>
          <t>avverkningsanmälan</t>
        </is>
      </c>
      <c r="C318" t="inlineStr">
        <is>
          <t>Föryngringsavverkning</t>
        </is>
      </c>
      <c r="D318" s="1" t="n">
        <v>44988</v>
      </c>
      <c r="E318" s="1" t="n">
        <v>46241</v>
      </c>
      <c r="F318" t="inlineStr">
        <is>
          <t>GOTLANDS LÄN</t>
        </is>
      </c>
      <c r="G318" t="inlineStr">
        <is>
          <t>GOTLAND</t>
        </is>
      </c>
      <c r="H318" t="inlineStr">
        <is>
          <t>Kyrkan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25796-2025</t>
        </is>
      </c>
      <c r="B319" t="inlineStr">
        <is>
          <t>avverkningsanmälan</t>
        </is>
      </c>
      <c r="C319" t="inlineStr">
        <is>
          <t>Föryngringsavverkning</t>
        </is>
      </c>
      <c r="D319" s="1" t="n">
        <v>45804</v>
      </c>
      <c r="E319" s="1" t="n">
        <v>46241</v>
      </c>
      <c r="F319" t="inlineStr">
        <is>
          <t>GOTLANDS LÄN</t>
        </is>
      </c>
      <c r="G319" t="inlineStr">
        <is>
          <t>GOTLAND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2180-2025</t>
        </is>
      </c>
      <c r="B320" t="inlineStr">
        <is>
          <t>avverkningsanmälan</t>
        </is>
      </c>
      <c r="C320" t="inlineStr">
        <is>
          <t>Föryngringsavverkning</t>
        </is>
      </c>
      <c r="D320" s="1" t="n">
        <v>45673</v>
      </c>
      <c r="E320" s="1" t="n">
        <v>46241</v>
      </c>
      <c r="F320" t="inlineStr">
        <is>
          <t>GOTLANDS LÄN</t>
        </is>
      </c>
      <c r="G320" t="inlineStr">
        <is>
          <t>GOTLAND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4990-2025</t>
        </is>
      </c>
      <c r="B321" t="inlineStr">
        <is>
          <t>avverkningsanmälan</t>
        </is>
      </c>
      <c r="C321" t="inlineStr">
        <is>
          <t>Föryngringsavverkning</t>
        </is>
      </c>
      <c r="D321" s="1" t="n">
        <v>45691</v>
      </c>
      <c r="E321" s="1" t="n">
        <v>46241</v>
      </c>
      <c r="F321" t="inlineStr">
        <is>
          <t>GOTLANDS LÄN</t>
        </is>
      </c>
      <c r="G321" t="inlineStr">
        <is>
          <t>GOTLAND</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62754-2025</t>
        </is>
      </c>
      <c r="B322" t="inlineStr">
        <is>
          <t>avverkningsanmälan</t>
        </is>
      </c>
      <c r="C322" t="inlineStr">
        <is>
          <t>Föryngringsavverkning</t>
        </is>
      </c>
      <c r="D322" s="1" t="n">
        <v>46008</v>
      </c>
      <c r="E322" s="1" t="n">
        <v>46241</v>
      </c>
      <c r="F322" t="inlineStr">
        <is>
          <t>GOTLANDS LÄN</t>
        </is>
      </c>
      <c r="G322" t="inlineStr">
        <is>
          <t>GOTLAND</t>
        </is>
      </c>
      <c r="H322" t="inlineStr">
        <is>
          <t>Övriga Aktiebolag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20225-2025</t>
        </is>
      </c>
      <c r="B323" t="inlineStr">
        <is>
          <t>avverkningsanmälan</t>
        </is>
      </c>
      <c r="C323" t="inlineStr">
        <is>
          <t>Föryngringsavverkning</t>
        </is>
      </c>
      <c r="D323" s="1" t="n">
        <v>45772</v>
      </c>
      <c r="E323" s="1" t="n">
        <v>46241</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32379-2025</t>
        </is>
      </c>
      <c r="B324" t="inlineStr">
        <is>
          <t>avverkningsanmälan</t>
        </is>
      </c>
      <c r="C324" t="inlineStr">
        <is>
          <t>Föryngringsavverkning</t>
        </is>
      </c>
      <c r="D324" s="1" t="n">
        <v>45837</v>
      </c>
      <c r="E324" s="1" t="n">
        <v>46241</v>
      </c>
      <c r="F324" t="inlineStr">
        <is>
          <t>GOTLANDS LÄN</t>
        </is>
      </c>
      <c r="G324" t="inlineStr">
        <is>
          <t>GOTLAND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45112-2024</t>
        </is>
      </c>
      <c r="B325" t="inlineStr">
        <is>
          <t>avverkningsanmälan</t>
        </is>
      </c>
      <c r="C325" t="inlineStr">
        <is>
          <t>Föryngringsavverkning</t>
        </is>
      </c>
      <c r="D325" s="1" t="n">
        <v>45575</v>
      </c>
      <c r="E325" s="1" t="n">
        <v>46241</v>
      </c>
      <c r="F325" t="inlineStr">
        <is>
          <t>GOTLANDS LÄN</t>
        </is>
      </c>
      <c r="G325" t="inlineStr">
        <is>
          <t>GOTLAND</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1854-2026</t>
        </is>
      </c>
      <c r="B326" t="inlineStr">
        <is>
          <t>avverkningsanmälan</t>
        </is>
      </c>
      <c r="C326" t="inlineStr">
        <is>
          <t>Föryngringsavverkning</t>
        </is>
      </c>
      <c r="D326" s="1" t="n">
        <v>46035</v>
      </c>
      <c r="E326" s="1" t="n">
        <v>46241</v>
      </c>
      <c r="F326" t="inlineStr">
        <is>
          <t>GOTLANDS LÄN</t>
        </is>
      </c>
      <c r="G326" t="inlineStr">
        <is>
          <t>GOTLAND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47637-2025</t>
        </is>
      </c>
      <c r="B327" t="inlineStr">
        <is>
          <t>avverkningsanmälan</t>
        </is>
      </c>
      <c r="C327" t="inlineStr">
        <is>
          <t>Föryngringsavverkning</t>
        </is>
      </c>
      <c r="D327" s="1" t="n">
        <v>45931</v>
      </c>
      <c r="E327" s="1" t="n">
        <v>46241</v>
      </c>
      <c r="F327" t="inlineStr">
        <is>
          <t>GOTLANDS LÄN</t>
        </is>
      </c>
      <c r="G327" t="inlineStr">
        <is>
          <t>GOTLAND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13910-2025</t>
        </is>
      </c>
      <c r="B328" t="inlineStr">
        <is>
          <t>avverkningsanmälan</t>
        </is>
      </c>
      <c r="C328" t="inlineStr">
        <is>
          <t>Föryngringsavverkning</t>
        </is>
      </c>
      <c r="D328" s="1" t="n">
        <v>45737</v>
      </c>
      <c r="E328" s="1" t="n">
        <v>46241</v>
      </c>
      <c r="F328" t="inlineStr">
        <is>
          <t>GOTLANDS LÄN</t>
        </is>
      </c>
      <c r="G328" t="inlineStr">
        <is>
          <t>GOTLAND</t>
        </is>
      </c>
      <c r="H328" t="inlineStr">
        <is>
          <t>Kommuner</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43081-2022</t>
        </is>
      </c>
      <c r="B329" t="inlineStr">
        <is>
          <t>avverkningsanmälan</t>
        </is>
      </c>
      <c r="C329" t="inlineStr">
        <is>
          <t>Föryngringsavverkning</t>
        </is>
      </c>
      <c r="D329" s="1" t="n">
        <v>44833</v>
      </c>
      <c r="E329" s="1" t="n">
        <v>46241</v>
      </c>
      <c r="F329" t="inlineStr">
        <is>
          <t>GOTLANDS LÄN</t>
        </is>
      </c>
      <c r="G329" t="inlineStr">
        <is>
          <t>GOTLAND</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5884-2025</t>
        </is>
      </c>
      <c r="B330" t="inlineStr">
        <is>
          <t>avverkningsanmälan</t>
        </is>
      </c>
      <c r="C330" t="inlineStr">
        <is>
          <t>Föryngringsavverkning</t>
        </is>
      </c>
      <c r="D330" s="1" t="n">
        <v>45695</v>
      </c>
      <c r="E330" s="1" t="n">
        <v>46241</v>
      </c>
      <c r="F330" t="inlineStr">
        <is>
          <t>GOTLANDS LÄN</t>
        </is>
      </c>
      <c r="G330" t="inlineStr">
        <is>
          <t>GOTLAND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5897-2025</t>
        </is>
      </c>
      <c r="B331" t="inlineStr">
        <is>
          <t>avverkningsanmälan</t>
        </is>
      </c>
      <c r="C331" t="inlineStr">
        <is>
          <t>Föryngringsavverkning</t>
        </is>
      </c>
      <c r="D331" s="1" t="n">
        <v>45695</v>
      </c>
      <c r="E331" s="1" t="n">
        <v>46241</v>
      </c>
      <c r="F331" t="inlineStr">
        <is>
          <t>GOTLANDS LÄN</t>
        </is>
      </c>
      <c r="G331" t="inlineStr">
        <is>
          <t>GOTLAND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35550-2025</t>
        </is>
      </c>
      <c r="B332" t="inlineStr">
        <is>
          <t>avverkningsanmälan</t>
        </is>
      </c>
      <c r="C332" t="inlineStr">
        <is>
          <t>Föryngringsavverkning</t>
        </is>
      </c>
      <c r="D332" s="1" t="n">
        <v>45856</v>
      </c>
      <c r="E332" s="1" t="n">
        <v>46241</v>
      </c>
      <c r="F332" t="inlineStr">
        <is>
          <t>GOTLANDS LÄN</t>
        </is>
      </c>
      <c r="G332" t="inlineStr">
        <is>
          <t>GOTLAND</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49697-2023</t>
        </is>
      </c>
      <c r="B333" t="inlineStr">
        <is>
          <t>avverkningsanmälan</t>
        </is>
      </c>
      <c r="C333" t="inlineStr">
        <is>
          <t>Föryngringsavverkning</t>
        </is>
      </c>
      <c r="D333" s="1" t="n">
        <v>45212</v>
      </c>
      <c r="E333" s="1" t="n">
        <v>46241</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47578-2025</t>
        </is>
      </c>
      <c r="B334" t="inlineStr">
        <is>
          <t>avverkningsanmälan</t>
        </is>
      </c>
      <c r="C334" t="inlineStr">
        <is>
          <t>Avverkning för annat ändamål</t>
        </is>
      </c>
      <c r="D334" s="1" t="n">
        <v>45931</v>
      </c>
      <c r="E334" s="1" t="n">
        <v>46241</v>
      </c>
      <c r="F334" t="inlineStr">
        <is>
          <t>GOTLANDS LÄN</t>
        </is>
      </c>
      <c r="G334" t="inlineStr">
        <is>
          <t>GOTLAND</t>
        </is>
      </c>
      <c r="I334" t="n">
        <v>9.199999999999999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49730-2025</t>
        </is>
      </c>
      <c r="B335" t="inlineStr">
        <is>
          <t>avverkningsanmälan</t>
        </is>
      </c>
      <c r="C335" t="inlineStr">
        <is>
          <t>Föryngringsavverkning</t>
        </is>
      </c>
      <c r="D335" s="1" t="n">
        <v>45939</v>
      </c>
      <c r="E335" s="1" t="n">
        <v>46241</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17901-2023</t>
        </is>
      </c>
      <c r="B336" t="inlineStr">
        <is>
          <t>avverkningsanmälan</t>
        </is>
      </c>
      <c r="C336" t="inlineStr">
        <is>
          <t>Föryngringsavverkning</t>
        </is>
      </c>
      <c r="D336" s="1" t="n">
        <v>45039</v>
      </c>
      <c r="E336" s="1" t="n">
        <v>46241</v>
      </c>
      <c r="F336" t="inlineStr">
        <is>
          <t>GOTLANDS LÄN</t>
        </is>
      </c>
      <c r="G336" t="inlineStr">
        <is>
          <t>GOTLAND</t>
        </is>
      </c>
      <c r="H336" t="inlineStr">
        <is>
          <t>Kyrkan</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49690-2025</t>
        </is>
      </c>
      <c r="B337" t="inlineStr">
        <is>
          <t>avverkningsanmälan</t>
        </is>
      </c>
      <c r="C337" t="inlineStr">
        <is>
          <t>Föryngringsavverkning</t>
        </is>
      </c>
      <c r="D337" s="1" t="n">
        <v>45939</v>
      </c>
      <c r="E337" s="1" t="n">
        <v>46241</v>
      </c>
      <c r="F337" t="inlineStr">
        <is>
          <t>GOTLANDS LÄN</t>
        </is>
      </c>
      <c r="G337" t="inlineStr">
        <is>
          <t>GOTLAND</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6959-2026</t>
        </is>
      </c>
      <c r="B338" t="inlineStr">
        <is>
          <t>avverkningsanmälan</t>
        </is>
      </c>
      <c r="C338" t="inlineStr">
        <is>
          <t>Föryngringsavverkning</t>
        </is>
      </c>
      <c r="D338" s="1" t="n">
        <v>46057</v>
      </c>
      <c r="E338" s="1" t="n">
        <v>46241</v>
      </c>
      <c r="F338" t="inlineStr">
        <is>
          <t>GOTLANDS LÄN</t>
        </is>
      </c>
      <c r="G338" t="inlineStr">
        <is>
          <t>GOTLAND</t>
        </is>
      </c>
      <c r="H338" t="inlineStr">
        <is>
          <t>Kyrkan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52892-2021</t>
        </is>
      </c>
      <c r="B339" t="inlineStr">
        <is>
          <t>avverkningsanmälan</t>
        </is>
      </c>
      <c r="C339" t="inlineStr">
        <is>
          <t>Föryngringsavverkning</t>
        </is>
      </c>
      <c r="D339" s="1" t="n">
        <v>44467</v>
      </c>
      <c r="E339" s="1" t="n">
        <v>46241</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46396-2023</t>
        </is>
      </c>
      <c r="B340" t="inlineStr">
        <is>
          <t>avverkningsanmälan</t>
        </is>
      </c>
      <c r="C340" t="inlineStr">
        <is>
          <t>Föryngringsavverkning</t>
        </is>
      </c>
      <c r="D340" s="1" t="n">
        <v>45197</v>
      </c>
      <c r="E340" s="1" t="n">
        <v>46241</v>
      </c>
      <c r="F340" t="inlineStr">
        <is>
          <t>GOTLANDS LÄN</t>
        </is>
      </c>
      <c r="G340" t="inlineStr">
        <is>
          <t>GOTLAND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38165-2023</t>
        </is>
      </c>
      <c r="B341" t="inlineStr">
        <is>
          <t>avverkningsanmälan</t>
        </is>
      </c>
      <c r="C341" t="inlineStr">
        <is>
          <t>Föryngringsavverkning</t>
        </is>
      </c>
      <c r="D341" s="1" t="n">
        <v>45161</v>
      </c>
      <c r="E341" s="1" t="n">
        <v>46241</v>
      </c>
      <c r="F341" t="inlineStr">
        <is>
          <t>GOTLANDS LÄN</t>
        </is>
      </c>
      <c r="G341" t="inlineStr">
        <is>
          <t>GOTLAND</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17724-2024</t>
        </is>
      </c>
      <c r="B342" t="inlineStr">
        <is>
          <t>avverkningsanmälan</t>
        </is>
      </c>
      <c r="C342" t="inlineStr">
        <is>
          <t>Föryngringsavverkning</t>
        </is>
      </c>
      <c r="D342" s="1" t="n">
        <v>45418</v>
      </c>
      <c r="E342" s="1" t="n">
        <v>46241</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35537-2025</t>
        </is>
      </c>
      <c r="B343" t="inlineStr">
        <is>
          <t>avverkningsanmälan</t>
        </is>
      </c>
      <c r="C343" t="inlineStr">
        <is>
          <t>Föryngringsavverkning</t>
        </is>
      </c>
      <c r="D343" s="1" t="n">
        <v>45856</v>
      </c>
      <c r="E343" s="1" t="n">
        <v>46241</v>
      </c>
      <c r="F343" t="inlineStr">
        <is>
          <t>GOTLANDS LÄN</t>
        </is>
      </c>
      <c r="G343" t="inlineStr">
        <is>
          <t>GOTLAND</t>
        </is>
      </c>
      <c r="I343" t="n">
        <v>16.8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7638-2025</t>
        </is>
      </c>
      <c r="B344" t="inlineStr">
        <is>
          <t>avverkningsanmälan</t>
        </is>
      </c>
      <c r="C344" t="inlineStr">
        <is>
          <t>Föryngringsavverkning</t>
        </is>
      </c>
      <c r="D344" s="1" t="n">
        <v>45705</v>
      </c>
      <c r="E344" s="1" t="n">
        <v>46241</v>
      </c>
      <c r="F344" t="inlineStr">
        <is>
          <t>GOTLANDS LÄN</t>
        </is>
      </c>
      <c r="G344" t="inlineStr">
        <is>
          <t>GOTLAND</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50482-2024</t>
        </is>
      </c>
      <c r="B345" t="inlineStr">
        <is>
          <t>avverkningsanmälan</t>
        </is>
      </c>
      <c r="C345" t="inlineStr">
        <is>
          <t>Föryngringsavverkning</t>
        </is>
      </c>
      <c r="D345" s="1" t="n">
        <v>45601</v>
      </c>
      <c r="E345" s="1" t="n">
        <v>46241</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1394-2023</t>
        </is>
      </c>
      <c r="B346" t="inlineStr">
        <is>
          <t>avverkningsanmälan</t>
        </is>
      </c>
      <c r="C346" t="inlineStr">
        <is>
          <t>Föryngringsavverkning</t>
        </is>
      </c>
      <c r="D346" s="1" t="n">
        <v>44936</v>
      </c>
      <c r="E346" s="1" t="n">
        <v>46241</v>
      </c>
      <c r="F346" t="inlineStr">
        <is>
          <t>GOTLANDS LÄN</t>
        </is>
      </c>
      <c r="G346" t="inlineStr">
        <is>
          <t>GOTLAND</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1462-2025</t>
        </is>
      </c>
      <c r="B347" t="inlineStr">
        <is>
          <t>avverkningsanmälan</t>
        </is>
      </c>
      <c r="C347" t="inlineStr">
        <is>
          <t>Föryngringsavverkning</t>
        </is>
      </c>
      <c r="D347" s="1" t="n">
        <v>45670</v>
      </c>
      <c r="E347" s="1" t="n">
        <v>46241</v>
      </c>
      <c r="F347" t="inlineStr">
        <is>
          <t>GOTLANDS LÄN</t>
        </is>
      </c>
      <c r="G347" t="inlineStr">
        <is>
          <t>GOTLAND</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46241</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46241</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5386-2023</t>
        </is>
      </c>
      <c r="B350" t="inlineStr">
        <is>
          <t>avverkningsanmälan</t>
        </is>
      </c>
      <c r="C350" t="inlineStr">
        <is>
          <t>Föryngringsavverkning</t>
        </is>
      </c>
      <c r="D350" s="1" t="n">
        <v>44959</v>
      </c>
      <c r="E350" s="1" t="n">
        <v>46241</v>
      </c>
      <c r="F350" t="inlineStr">
        <is>
          <t>GOTLANDS LÄN</t>
        </is>
      </c>
      <c r="G350" t="inlineStr">
        <is>
          <t>GOTLAND</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7026-2023</t>
        </is>
      </c>
      <c r="B351" t="inlineStr">
        <is>
          <t>avverkningsanmälan</t>
        </is>
      </c>
      <c r="C351" t="inlineStr">
        <is>
          <t>Föryngringsavverkning</t>
        </is>
      </c>
      <c r="D351" s="1" t="n">
        <v>44968</v>
      </c>
      <c r="E351" s="1" t="n">
        <v>46241</v>
      </c>
      <c r="F351" t="inlineStr">
        <is>
          <t>GOTLANDS LÄN</t>
        </is>
      </c>
      <c r="G351" t="inlineStr">
        <is>
          <t>GOTLAND</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20855-2023</t>
        </is>
      </c>
      <c r="B352" t="inlineStr">
        <is>
          <t>avverkningsanmälan</t>
        </is>
      </c>
      <c r="C352" t="inlineStr">
        <is>
          <t>Föryngringsavverkning</t>
        </is>
      </c>
      <c r="D352" s="1" t="n">
        <v>45058</v>
      </c>
      <c r="E352" s="1" t="n">
        <v>46241</v>
      </c>
      <c r="F352" t="inlineStr">
        <is>
          <t>GOTLANDS LÄN</t>
        </is>
      </c>
      <c r="G352" t="inlineStr">
        <is>
          <t>GOTLAND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1000-2024</t>
        </is>
      </c>
      <c r="B353" t="inlineStr">
        <is>
          <t>avverkningsanmälan</t>
        </is>
      </c>
      <c r="C353" t="inlineStr">
        <is>
          <t>Föryngringsavverkning</t>
        </is>
      </c>
      <c r="D353" s="1" t="n">
        <v>45301</v>
      </c>
      <c r="E353" s="1" t="n">
        <v>46241</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47762-2023</t>
        </is>
      </c>
      <c r="B354" t="inlineStr">
        <is>
          <t>avverkningsanmälan</t>
        </is>
      </c>
      <c r="C354" t="inlineStr">
        <is>
          <t>Föryngringsavverkning</t>
        </is>
      </c>
      <c r="D354" s="1" t="n">
        <v>45203</v>
      </c>
      <c r="E354" s="1" t="n">
        <v>46241</v>
      </c>
      <c r="F354" t="inlineStr">
        <is>
          <t>GOTLANDS LÄN</t>
        </is>
      </c>
      <c r="G354" t="inlineStr">
        <is>
          <t>GOTLAND</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56799-2025</t>
        </is>
      </c>
      <c r="B355" t="inlineStr">
        <is>
          <t>avverkningsanmälan</t>
        </is>
      </c>
      <c r="C355" t="inlineStr">
        <is>
          <t>Föryngringsavverkning</t>
        </is>
      </c>
      <c r="D355" s="1" t="n">
        <v>45978</v>
      </c>
      <c r="E355" s="1" t="n">
        <v>46241</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60086-2022</t>
        </is>
      </c>
      <c r="B356" t="inlineStr">
        <is>
          <t>avverkningsanmälan</t>
        </is>
      </c>
      <c r="C356" t="inlineStr">
        <is>
          <t>Föryngringsavverkning</t>
        </is>
      </c>
      <c r="D356" s="1" t="n">
        <v>44909</v>
      </c>
      <c r="E356" s="1" t="n">
        <v>46241</v>
      </c>
      <c r="F356" t="inlineStr">
        <is>
          <t>GOTLANDS LÄN</t>
        </is>
      </c>
      <c r="G356" t="inlineStr">
        <is>
          <t>GOTLAND</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28485-2023</t>
        </is>
      </c>
      <c r="B357" t="inlineStr">
        <is>
          <t>avverkningsanmälan</t>
        </is>
      </c>
      <c r="C357" t="inlineStr">
        <is>
          <t>Föryngringsavverkning</t>
        </is>
      </c>
      <c r="D357" s="1" t="n">
        <v>45103</v>
      </c>
      <c r="E357" s="1" t="n">
        <v>46241</v>
      </c>
      <c r="F357" t="inlineStr">
        <is>
          <t>GOTLANDS LÄN</t>
        </is>
      </c>
      <c r="G357" t="inlineStr">
        <is>
          <t>GOTLAND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44949-2023</t>
        </is>
      </c>
      <c r="B358" t="inlineStr">
        <is>
          <t>avverkningsanmälan</t>
        </is>
      </c>
      <c r="C358" t="inlineStr">
        <is>
          <t>Föryngringsavverkning</t>
        </is>
      </c>
      <c r="D358" s="1" t="n">
        <v>45190</v>
      </c>
      <c r="E358" s="1" t="n">
        <v>46241</v>
      </c>
      <c r="F358" t="inlineStr">
        <is>
          <t>GOTLANDS LÄN</t>
        </is>
      </c>
      <c r="G358" t="inlineStr">
        <is>
          <t>GOTLAND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3964-2024</t>
        </is>
      </c>
      <c r="B359" t="inlineStr">
        <is>
          <t>avverkningsanmälan</t>
        </is>
      </c>
      <c r="C359" t="inlineStr">
        <is>
          <t>Föryngringsavverkning</t>
        </is>
      </c>
      <c r="D359" s="1" t="n">
        <v>45322</v>
      </c>
      <c r="E359" s="1" t="n">
        <v>46241</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45084-2024</t>
        </is>
      </c>
      <c r="B360" t="inlineStr">
        <is>
          <t>avverkningsanmälan</t>
        </is>
      </c>
      <c r="C360" t="inlineStr">
        <is>
          <t>Föryngringsavverkning</t>
        </is>
      </c>
      <c r="D360" s="1" t="n">
        <v>45575</v>
      </c>
      <c r="E360" s="1" t="n">
        <v>46241</v>
      </c>
      <c r="F360" t="inlineStr">
        <is>
          <t>GOTLANDS LÄN</t>
        </is>
      </c>
      <c r="G360" t="inlineStr">
        <is>
          <t>GOTLAND</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36319-2025</t>
        </is>
      </c>
      <c r="B361" t="inlineStr">
        <is>
          <t>avverkningsanmälan</t>
        </is>
      </c>
      <c r="C361" t="inlineStr">
        <is>
          <t>Föryngringsavverkning</t>
        </is>
      </c>
      <c r="D361" s="1" t="n">
        <v>45868</v>
      </c>
      <c r="E361" s="1" t="n">
        <v>46241</v>
      </c>
      <c r="F361" t="inlineStr">
        <is>
          <t>GOTLANDS LÄN</t>
        </is>
      </c>
      <c r="G361" t="inlineStr">
        <is>
          <t>GOTLAND</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22275-2026</t>
        </is>
      </c>
      <c r="B362" t="inlineStr">
        <is>
          <t>avverkningsanmälan</t>
        </is>
      </c>
      <c r="C362" t="inlineStr">
        <is>
          <t>Föryngringsavverkning</t>
        </is>
      </c>
      <c r="D362" s="1" t="n">
        <v>46154</v>
      </c>
      <c r="E362" s="1" t="n">
        <v>46241</v>
      </c>
      <c r="F362" t="inlineStr">
        <is>
          <t>GOTLANDS LÄN</t>
        </is>
      </c>
      <c r="G362" t="inlineStr">
        <is>
          <t>GOTLAND</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22281-2026</t>
        </is>
      </c>
      <c r="B363" t="inlineStr">
        <is>
          <t>avverkningsanmälan</t>
        </is>
      </c>
      <c r="C363" t="inlineStr">
        <is>
          <t>Avverkning för annat ändamål</t>
        </is>
      </c>
      <c r="D363" s="1" t="n">
        <v>46154</v>
      </c>
      <c r="E363" s="1" t="n">
        <v>46241</v>
      </c>
      <c r="F363" t="inlineStr">
        <is>
          <t>GOTLANDS LÄN</t>
        </is>
      </c>
      <c r="G363" t="inlineStr">
        <is>
          <t>GOTLAND</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5217-2023</t>
        </is>
      </c>
      <c r="B364" t="inlineStr">
        <is>
          <t>avverkningsanmälan</t>
        </is>
      </c>
      <c r="C364" t="inlineStr">
        <is>
          <t>Föryngringsavverkning</t>
        </is>
      </c>
      <c r="D364" s="1" t="n">
        <v>44959</v>
      </c>
      <c r="E364" s="1" t="n">
        <v>46241</v>
      </c>
      <c r="F364" t="inlineStr">
        <is>
          <t>GOTLANDS LÄN</t>
        </is>
      </c>
      <c r="G364" t="inlineStr">
        <is>
          <t>GOTLAND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22348-2026</t>
        </is>
      </c>
      <c r="B365" t="inlineStr">
        <is>
          <t>avverkningsanmälan</t>
        </is>
      </c>
      <c r="C365" t="inlineStr">
        <is>
          <t>Föryngringsavverkning</t>
        </is>
      </c>
      <c r="D365" s="1" t="n">
        <v>46154</v>
      </c>
      <c r="E365" s="1" t="n">
        <v>46241</v>
      </c>
      <c r="F365" t="inlineStr">
        <is>
          <t>GOTLANDS LÄN</t>
        </is>
      </c>
      <c r="G365" t="inlineStr">
        <is>
          <t>GOTLAND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22351-2026</t>
        </is>
      </c>
      <c r="B366" t="inlineStr">
        <is>
          <t>avverkningsanmälan</t>
        </is>
      </c>
      <c r="C366" t="inlineStr">
        <is>
          <t>Föryngringsavverkning</t>
        </is>
      </c>
      <c r="D366" s="1" t="n">
        <v>46154</v>
      </c>
      <c r="E366" s="1" t="n">
        <v>46241</v>
      </c>
      <c r="F366" t="inlineStr">
        <is>
          <t>GOTLANDS LÄN</t>
        </is>
      </c>
      <c r="G366" t="inlineStr">
        <is>
          <t>GOTLAND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45244-2024</t>
        </is>
      </c>
      <c r="B367" t="inlineStr">
        <is>
          <t>avverkningsanmälan</t>
        </is>
      </c>
      <c r="C367" t="inlineStr">
        <is>
          <t>Avverkning för annat ändamål</t>
        </is>
      </c>
      <c r="D367" s="1" t="n">
        <v>45576</v>
      </c>
      <c r="E367" s="1" t="n">
        <v>46241</v>
      </c>
      <c r="F367" t="inlineStr">
        <is>
          <t>GOTLANDS LÄN</t>
        </is>
      </c>
      <c r="G367" t="inlineStr">
        <is>
          <t>GOTLAND</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8260-2023</t>
        </is>
      </c>
      <c r="B368" t="inlineStr">
        <is>
          <t>avverkningsanmälan</t>
        </is>
      </c>
      <c r="C368" t="inlineStr">
        <is>
          <t>Föryngringsavverkning</t>
        </is>
      </c>
      <c r="D368" s="1" t="n">
        <v>44974</v>
      </c>
      <c r="E368" s="1" t="n">
        <v>46241</v>
      </c>
      <c r="F368" t="inlineStr">
        <is>
          <t>GOTLANDS LÄN</t>
        </is>
      </c>
      <c r="G368" t="inlineStr">
        <is>
          <t>GOTLAND</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64969-2023</t>
        </is>
      </c>
      <c r="B369" t="inlineStr">
        <is>
          <t>avverkningsanmälan</t>
        </is>
      </c>
      <c r="C369" t="inlineStr">
        <is>
          <t>Föryngringsavverkning</t>
        </is>
      </c>
      <c r="D369" s="1" t="n">
        <v>45284</v>
      </c>
      <c r="E369" s="1" t="n">
        <v>46241</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48843-2024</t>
        </is>
      </c>
      <c r="B370" t="inlineStr">
        <is>
          <t>avverkningsanmälan</t>
        </is>
      </c>
      <c r="C370" t="inlineStr">
        <is>
          <t>Föryngringsavverkning</t>
        </is>
      </c>
      <c r="D370" s="1" t="n">
        <v>45593</v>
      </c>
      <c r="E370" s="1" t="n">
        <v>46241</v>
      </c>
      <c r="F370" t="inlineStr">
        <is>
          <t>GOTLANDS LÄN</t>
        </is>
      </c>
      <c r="G370" t="inlineStr">
        <is>
          <t>GOTLAND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17541-2024</t>
        </is>
      </c>
      <c r="B371" t="inlineStr">
        <is>
          <t>avverkningsanmälan</t>
        </is>
      </c>
      <c r="C371" t="inlineStr">
        <is>
          <t>Föryngringsavverkning</t>
        </is>
      </c>
      <c r="D371" s="1" t="n">
        <v>45415</v>
      </c>
      <c r="E371" s="1" t="n">
        <v>46241</v>
      </c>
      <c r="F371" t="inlineStr">
        <is>
          <t>GOTLANDS LÄN</t>
        </is>
      </c>
      <c r="G371" t="inlineStr">
        <is>
          <t>GOTLAND</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35096-2025</t>
        </is>
      </c>
      <c r="B372" t="inlineStr">
        <is>
          <t>avverkningsanmälan</t>
        </is>
      </c>
      <c r="C372" t="inlineStr">
        <is>
          <t>Föryngringsavverkning</t>
        </is>
      </c>
      <c r="D372" s="1" t="n">
        <v>45852</v>
      </c>
      <c r="E372" s="1" t="n">
        <v>46241</v>
      </c>
      <c r="F372" t="inlineStr">
        <is>
          <t>GOTLANDS LÄN</t>
        </is>
      </c>
      <c r="G372" t="inlineStr">
        <is>
          <t>GOTLAND</t>
        </is>
      </c>
      <c r="H372" t="inlineStr">
        <is>
          <t>Kyrkan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15434-2024</t>
        </is>
      </c>
      <c r="B373" t="inlineStr">
        <is>
          <t>avverkningsanmälan</t>
        </is>
      </c>
      <c r="C373" t="inlineStr">
        <is>
          <t>Föryngringsavverkning</t>
        </is>
      </c>
      <c r="D373" s="1" t="n">
        <v>45401</v>
      </c>
      <c r="E373" s="1" t="n">
        <v>46241</v>
      </c>
      <c r="F373" t="inlineStr">
        <is>
          <t>GOTLANDS LÄN</t>
        </is>
      </c>
      <c r="G373" t="inlineStr">
        <is>
          <t>GOTLAND</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5943-2024</t>
        </is>
      </c>
      <c r="B374" t="inlineStr">
        <is>
          <t>avverkningsanmälan</t>
        </is>
      </c>
      <c r="C374" t="inlineStr">
        <is>
          <t>Avverkning för annat ändamål</t>
        </is>
      </c>
      <c r="D374" s="1" t="n">
        <v>45336</v>
      </c>
      <c r="E374" s="1" t="n">
        <v>46241</v>
      </c>
      <c r="F374" t="inlineStr">
        <is>
          <t>GOTLANDS LÄN</t>
        </is>
      </c>
      <c r="G374" t="inlineStr">
        <is>
          <t>GOTLAND</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63002-2025</t>
        </is>
      </c>
      <c r="B375" t="inlineStr">
        <is>
          <t>avverkningsanmälan</t>
        </is>
      </c>
      <c r="C375" t="inlineStr">
        <is>
          <t>Föryngringsavverkning</t>
        </is>
      </c>
      <c r="D375" s="1" t="n">
        <v>46009</v>
      </c>
      <c r="E375" s="1" t="n">
        <v>46241</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54073-2022</t>
        </is>
      </c>
      <c r="B376" t="inlineStr">
        <is>
          <t>avverkningsanmälan</t>
        </is>
      </c>
      <c r="C376" t="inlineStr">
        <is>
          <t>Föryngringsavverkning</t>
        </is>
      </c>
      <c r="D376" s="1" t="n">
        <v>44881</v>
      </c>
      <c r="E376" s="1" t="n">
        <v>46241</v>
      </c>
      <c r="F376" t="inlineStr">
        <is>
          <t>GOTLANDS LÄN</t>
        </is>
      </c>
      <c r="G376" t="inlineStr">
        <is>
          <t>GOTLAND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16361-2024</t>
        </is>
      </c>
      <c r="B377" t="inlineStr">
        <is>
          <t>avverkningsanmälan</t>
        </is>
      </c>
      <c r="C377" t="inlineStr">
        <is>
          <t>Föryngringsavverkning</t>
        </is>
      </c>
      <c r="D377" s="1" t="n">
        <v>45407</v>
      </c>
      <c r="E377" s="1" t="n">
        <v>46241</v>
      </c>
      <c r="F377" t="inlineStr">
        <is>
          <t>GOTLANDS LÄN</t>
        </is>
      </c>
      <c r="G377" t="inlineStr">
        <is>
          <t>GOTLAND</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22887-2026</t>
        </is>
      </c>
      <c r="B378" t="inlineStr">
        <is>
          <t>avverkningsanmälan</t>
        </is>
      </c>
      <c r="C378" t="inlineStr">
        <is>
          <t>Avverkning för att bevara och utveckla /försöksver</t>
        </is>
      </c>
      <c r="D378" s="1" t="n">
        <v>46160</v>
      </c>
      <c r="E378" s="1" t="n">
        <v>46241</v>
      </c>
      <c r="F378" t="inlineStr">
        <is>
          <t>GOTLANDS LÄN</t>
        </is>
      </c>
      <c r="G378" t="inlineStr">
        <is>
          <t>GOTLAND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41038-2023</t>
        </is>
      </c>
      <c r="B379" t="inlineStr">
        <is>
          <t>avverkningsanmälan</t>
        </is>
      </c>
      <c r="C379" t="inlineStr">
        <is>
          <t>Föryngringsavverkning</t>
        </is>
      </c>
      <c r="D379" s="1" t="n">
        <v>45173</v>
      </c>
      <c r="E379" s="1" t="n">
        <v>46241</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61078-2025</t>
        </is>
      </c>
      <c r="B380" t="inlineStr">
        <is>
          <t>avverkningsanmälan</t>
        </is>
      </c>
      <c r="C380" t="inlineStr">
        <is>
          <t>Föryngringsavverkning</t>
        </is>
      </c>
      <c r="D380" s="1" t="n">
        <v>46000</v>
      </c>
      <c r="E380" s="1" t="n">
        <v>46241</v>
      </c>
      <c r="F380" t="inlineStr">
        <is>
          <t>GOTLANDS LÄN</t>
        </is>
      </c>
      <c r="G380" t="inlineStr">
        <is>
          <t>GOTLAND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36-2026</t>
        </is>
      </c>
      <c r="B381" t="inlineStr">
        <is>
          <t>avverkningsanmälan</t>
        </is>
      </c>
      <c r="C381" t="inlineStr">
        <is>
          <t>Föryngringsavverkning</t>
        </is>
      </c>
      <c r="D381" s="1" t="n">
        <v>46024</v>
      </c>
      <c r="E381" s="1" t="n">
        <v>46241</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14427-2024</t>
        </is>
      </c>
      <c r="B382" t="inlineStr">
        <is>
          <t>avverkningsanmälan</t>
        </is>
      </c>
      <c r="C382" t="inlineStr">
        <is>
          <t>Avverkning för att bevara och utveckla /försöksver</t>
        </is>
      </c>
      <c r="D382" s="1" t="n">
        <v>45394</v>
      </c>
      <c r="E382" s="1" t="n">
        <v>46241</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31802-2024</t>
        </is>
      </c>
      <c r="B383" t="inlineStr">
        <is>
          <t>avverkningsanmälan</t>
        </is>
      </c>
      <c r="C383" t="inlineStr">
        <is>
          <t>Avverkning för annat ändamål</t>
        </is>
      </c>
      <c r="D383" s="1" t="n">
        <v>45509</v>
      </c>
      <c r="E383" s="1" t="n">
        <v>46241</v>
      </c>
      <c r="F383" t="inlineStr">
        <is>
          <t>GOTLANDS LÄN</t>
        </is>
      </c>
      <c r="G383" t="inlineStr">
        <is>
          <t>GOTLAND</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23103-2026</t>
        </is>
      </c>
      <c r="B384" t="inlineStr">
        <is>
          <t>avverkningsanmälan</t>
        </is>
      </c>
      <c r="C384" t="inlineStr">
        <is>
          <t>Föryngringsavverkning</t>
        </is>
      </c>
      <c r="D384" s="1" t="n">
        <v>46161</v>
      </c>
      <c r="E384" s="1" t="n">
        <v>46241</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12846-2025</t>
        </is>
      </c>
      <c r="B385" t="inlineStr">
        <is>
          <t>avverkningsanmälan</t>
        </is>
      </c>
      <c r="C385" t="inlineStr">
        <is>
          <t>Föryngringsavverkning</t>
        </is>
      </c>
      <c r="D385" s="1" t="n">
        <v>45733</v>
      </c>
      <c r="E385" s="1" t="n">
        <v>46241</v>
      </c>
      <c r="F385" t="inlineStr">
        <is>
          <t>GOTLANDS LÄN</t>
        </is>
      </c>
      <c r="G385" t="inlineStr">
        <is>
          <t>GOTLAND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2415-2026</t>
        </is>
      </c>
      <c r="B386" t="inlineStr">
        <is>
          <t>avverkningsanmälan</t>
        </is>
      </c>
      <c r="C386" t="inlineStr">
        <is>
          <t>Föryngringsavverkning</t>
        </is>
      </c>
      <c r="D386" s="1" t="n">
        <v>46036</v>
      </c>
      <c r="E386" s="1" t="n">
        <v>46241</v>
      </c>
      <c r="F386" t="inlineStr">
        <is>
          <t>GOTLANDS LÄN</t>
        </is>
      </c>
      <c r="G386" t="inlineStr">
        <is>
          <t>GOTLAND</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29370-2026</t>
        </is>
      </c>
      <c r="B387" t="inlineStr">
        <is>
          <t>avverkningsanmälan</t>
        </is>
      </c>
      <c r="C387" t="inlineStr">
        <is>
          <t>Föryngringsavverkning</t>
        </is>
      </c>
      <c r="D387" s="1" t="n">
        <v>46203</v>
      </c>
      <c r="E387" s="1" t="n">
        <v>46241</v>
      </c>
      <c r="F387" t="inlineStr">
        <is>
          <t>GOTLANDS LÄN</t>
        </is>
      </c>
      <c r="G387" t="inlineStr">
        <is>
          <t>GOTLAND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46949-2024</t>
        </is>
      </c>
      <c r="B388" t="inlineStr">
        <is>
          <t>avverkningsanmälan</t>
        </is>
      </c>
      <c r="C388" t="inlineStr">
        <is>
          <t>Föryngringsavverkning</t>
        </is>
      </c>
      <c r="D388" s="1" t="n">
        <v>45585</v>
      </c>
      <c r="E388" s="1" t="n">
        <v>46241</v>
      </c>
      <c r="F388" t="inlineStr">
        <is>
          <t>GOTLANDS LÄN</t>
        </is>
      </c>
      <c r="G388" t="inlineStr">
        <is>
          <t>GOTLAND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10650-2022</t>
        </is>
      </c>
      <c r="B389" t="inlineStr">
        <is>
          <t>avverkningsanmälan</t>
        </is>
      </c>
      <c r="C389" t="inlineStr">
        <is>
          <t>Föryngringsavverkning</t>
        </is>
      </c>
      <c r="D389" s="1" t="n">
        <v>44624</v>
      </c>
      <c r="E389" s="1" t="n">
        <v>46241</v>
      </c>
      <c r="F389" t="inlineStr">
        <is>
          <t>GOTLANDS LÄN</t>
        </is>
      </c>
      <c r="G389" t="inlineStr">
        <is>
          <t>GOTLAND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4646-2026</t>
        </is>
      </c>
      <c r="B390" t="inlineStr">
        <is>
          <t>avverkningsanmälan</t>
        </is>
      </c>
      <c r="C390" t="inlineStr">
        <is>
          <t>Föryngringsavverkning</t>
        </is>
      </c>
      <c r="D390" s="1" t="n">
        <v>46048</v>
      </c>
      <c r="E390" s="1" t="n">
        <v>46241</v>
      </c>
      <c r="F390" t="inlineStr">
        <is>
          <t>GOTLANDS LÄN</t>
        </is>
      </c>
      <c r="G390" t="inlineStr">
        <is>
          <t>GOTLAND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4634-2026</t>
        </is>
      </c>
      <c r="B391" t="inlineStr">
        <is>
          <t>avverkningsanmälan</t>
        </is>
      </c>
      <c r="C391" t="inlineStr">
        <is>
          <t>Föryngringsavverkning</t>
        </is>
      </c>
      <c r="D391" s="1" t="n">
        <v>46048</v>
      </c>
      <c r="E391" s="1" t="n">
        <v>46241</v>
      </c>
      <c r="F391" t="inlineStr">
        <is>
          <t>GOTLANDS LÄN</t>
        </is>
      </c>
      <c r="G391" t="inlineStr">
        <is>
          <t>GOTLAND</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4670-2026</t>
        </is>
      </c>
      <c r="B392" t="inlineStr">
        <is>
          <t>avverkningsanmälan</t>
        </is>
      </c>
      <c r="C392" t="inlineStr">
        <is>
          <t>Föryngringsavverkning</t>
        </is>
      </c>
      <c r="D392" s="1" t="n">
        <v>46048</v>
      </c>
      <c r="E392" s="1" t="n">
        <v>46241</v>
      </c>
      <c r="F392" t="inlineStr">
        <is>
          <t>GOTLANDS LÄN</t>
        </is>
      </c>
      <c r="G392" t="inlineStr">
        <is>
          <t>GOTLAND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1351-2025</t>
        </is>
      </c>
      <c r="B393" t="inlineStr">
        <is>
          <t>avverkningsanmälan</t>
        </is>
      </c>
      <c r="C393" t="inlineStr">
        <is>
          <t>Föryngringsavverkning</t>
        </is>
      </c>
      <c r="D393" s="1" t="n">
        <v>45667</v>
      </c>
      <c r="E393" s="1" t="n">
        <v>46241</v>
      </c>
      <c r="F393" t="inlineStr">
        <is>
          <t>GOTLANDS LÄN</t>
        </is>
      </c>
      <c r="G393" t="inlineStr">
        <is>
          <t>GOTLAND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23504-2026</t>
        </is>
      </c>
      <c r="B394" t="inlineStr">
        <is>
          <t>avverkningsanmälan</t>
        </is>
      </c>
      <c r="C394" t="inlineStr">
        <is>
          <t>Föryngringsavverkning</t>
        </is>
      </c>
      <c r="D394" s="1" t="n">
        <v>46163</v>
      </c>
      <c r="E394" s="1" t="n">
        <v>46241</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39496-2022</t>
        </is>
      </c>
      <c r="B395" t="inlineStr">
        <is>
          <t>avverkningsanmälan</t>
        </is>
      </c>
      <c r="C395" t="inlineStr">
        <is>
          <t>Föryngringsavverkning</t>
        </is>
      </c>
      <c r="D395" s="1" t="n">
        <v>44818</v>
      </c>
      <c r="E395" s="1" t="n">
        <v>46241</v>
      </c>
      <c r="F395" t="inlineStr">
        <is>
          <t>GOTLANDS LÄN</t>
        </is>
      </c>
      <c r="G395" t="inlineStr">
        <is>
          <t>GOTLAND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49874-2024</t>
        </is>
      </c>
      <c r="B396" t="inlineStr">
        <is>
          <t>avverkningsanmälan</t>
        </is>
      </c>
      <c r="C396" t="inlineStr">
        <is>
          <t>Föryngringsavverkning</t>
        </is>
      </c>
      <c r="D396" s="1" t="n">
        <v>45597</v>
      </c>
      <c r="E396" s="1" t="n">
        <v>46241</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46400-2023</t>
        </is>
      </c>
      <c r="B397" t="inlineStr">
        <is>
          <t>avverkningsanmälan</t>
        </is>
      </c>
      <c r="C397" t="inlineStr">
        <is>
          <t>Föryngringsavverkning</t>
        </is>
      </c>
      <c r="D397" s="1" t="n">
        <v>45197</v>
      </c>
      <c r="E397" s="1" t="n">
        <v>46241</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21164-2024</t>
        </is>
      </c>
      <c r="B398" t="inlineStr">
        <is>
          <t>avverkningsanmälan</t>
        </is>
      </c>
      <c r="C398" t="inlineStr">
        <is>
          <t>Föryngringsavverkning</t>
        </is>
      </c>
      <c r="D398" s="1" t="n">
        <v>45440</v>
      </c>
      <c r="E398" s="1" t="n">
        <v>46241</v>
      </c>
      <c r="F398" t="inlineStr">
        <is>
          <t>GOTLANDS LÄN</t>
        </is>
      </c>
      <c r="G398" t="inlineStr">
        <is>
          <t>GOTLAND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8045-2022</t>
        </is>
      </c>
      <c r="B399" t="inlineStr">
        <is>
          <t>avverkningsanmälan</t>
        </is>
      </c>
      <c r="C399" t="inlineStr">
        <is>
          <t>Föryngringsavverkning</t>
        </is>
      </c>
      <c r="D399" s="1" t="n">
        <v>44609</v>
      </c>
      <c r="E399" s="1" t="n">
        <v>46241</v>
      </c>
      <c r="F399" t="inlineStr">
        <is>
          <t>GOTLANDS LÄN</t>
        </is>
      </c>
      <c r="G399" t="inlineStr">
        <is>
          <t>GOTLAND</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7627-2026</t>
        </is>
      </c>
      <c r="B400" t="inlineStr">
        <is>
          <t>avverkningsanmälan</t>
        </is>
      </c>
      <c r="C400" t="inlineStr">
        <is>
          <t>Föryngringsavverkning</t>
        </is>
      </c>
      <c r="D400" s="1" t="n">
        <v>46062</v>
      </c>
      <c r="E400" s="1" t="n">
        <v>46241</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22897-2023</t>
        </is>
      </c>
      <c r="B401" t="inlineStr">
        <is>
          <t>avverkningsanmälan</t>
        </is>
      </c>
      <c r="C401" t="inlineStr">
        <is>
          <t>Föryngringsavverkning</t>
        </is>
      </c>
      <c r="D401" s="1" t="n">
        <v>45072</v>
      </c>
      <c r="E401" s="1" t="n">
        <v>46241</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2135-2026</t>
        </is>
      </c>
      <c r="B402" t="inlineStr">
        <is>
          <t>avverkningsanmälan</t>
        </is>
      </c>
      <c r="C402" t="inlineStr">
        <is>
          <t>Avverkning för annat ändamål</t>
        </is>
      </c>
      <c r="D402" s="1" t="n">
        <v>46036</v>
      </c>
      <c r="E402" s="1" t="n">
        <v>46241</v>
      </c>
      <c r="F402" t="inlineStr">
        <is>
          <t>GOTLANDS LÄN</t>
        </is>
      </c>
      <c r="G402" t="inlineStr">
        <is>
          <t>GOTLAND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61897-2024</t>
        </is>
      </c>
      <c r="B403" t="inlineStr">
        <is>
          <t>avverkningsanmälan</t>
        </is>
      </c>
      <c r="C403" t="inlineStr">
        <is>
          <t>Föryngringsavverkning</t>
        </is>
      </c>
      <c r="D403" s="1" t="n">
        <v>45652</v>
      </c>
      <c r="E403" s="1" t="n">
        <v>46241</v>
      </c>
      <c r="F403" t="inlineStr">
        <is>
          <t>GOTLANDS LÄN</t>
        </is>
      </c>
      <c r="G403" t="inlineStr">
        <is>
          <t>GOTLAND</t>
        </is>
      </c>
      <c r="I403" t="n">
        <v>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20165-2022</t>
        </is>
      </c>
      <c r="B404" t="inlineStr">
        <is>
          <t>avverkningsanmälan</t>
        </is>
      </c>
      <c r="C404" t="inlineStr">
        <is>
          <t>Föryngringsavverkning</t>
        </is>
      </c>
      <c r="D404" s="1" t="n">
        <v>44698</v>
      </c>
      <c r="E404" s="1" t="n">
        <v>46241</v>
      </c>
      <c r="F404" t="inlineStr">
        <is>
          <t>GOTLANDS LÄN</t>
        </is>
      </c>
      <c r="G404" t="inlineStr">
        <is>
          <t>GOTLAND</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9518-2026</t>
        </is>
      </c>
      <c r="B405" t="inlineStr">
        <is>
          <t>avverkningsanmälan</t>
        </is>
      </c>
      <c r="C405" t="inlineStr">
        <is>
          <t>Föryngringsavverkning</t>
        </is>
      </c>
      <c r="D405" s="1" t="n">
        <v>46071</v>
      </c>
      <c r="E405" s="1" t="n">
        <v>46241</v>
      </c>
      <c r="F405" t="inlineStr">
        <is>
          <t>GOTLANDS LÄN</t>
        </is>
      </c>
      <c r="G405" t="inlineStr">
        <is>
          <t>GOTLAND</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9519-2026</t>
        </is>
      </c>
      <c r="B406" t="inlineStr">
        <is>
          <t>avverkningsanmälan</t>
        </is>
      </c>
      <c r="C406" t="inlineStr">
        <is>
          <t>Föryngringsavverkning</t>
        </is>
      </c>
      <c r="D406" s="1" t="n">
        <v>46071</v>
      </c>
      <c r="E406" s="1" t="n">
        <v>46241</v>
      </c>
      <c r="F406" t="inlineStr">
        <is>
          <t>GOTLANDS LÄN</t>
        </is>
      </c>
      <c r="G406" t="inlineStr">
        <is>
          <t>GOTLAND</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9540-2026</t>
        </is>
      </c>
      <c r="B407" t="inlineStr">
        <is>
          <t>avverkningsanmälan</t>
        </is>
      </c>
      <c r="C407" t="inlineStr">
        <is>
          <t>Föryngringsavverkning</t>
        </is>
      </c>
      <c r="D407" s="1" t="n">
        <v>46071</v>
      </c>
      <c r="E407" s="1" t="n">
        <v>46241</v>
      </c>
      <c r="F407" t="inlineStr">
        <is>
          <t>GOTLANDS LÄN</t>
        </is>
      </c>
      <c r="G407" t="inlineStr">
        <is>
          <t>GOTLAND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9521-2026</t>
        </is>
      </c>
      <c r="B408" t="inlineStr">
        <is>
          <t>avverkningsanmälan</t>
        </is>
      </c>
      <c r="C408" t="inlineStr">
        <is>
          <t>Föryngringsavverkning</t>
        </is>
      </c>
      <c r="D408" s="1" t="n">
        <v>46071</v>
      </c>
      <c r="E408" s="1" t="n">
        <v>46241</v>
      </c>
      <c r="F408" t="inlineStr">
        <is>
          <t>GOTLANDS LÄN</t>
        </is>
      </c>
      <c r="G408" t="inlineStr">
        <is>
          <t>GOTLAND</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9524-2026</t>
        </is>
      </c>
      <c r="B409" t="inlineStr">
        <is>
          <t>avverkningsanmälan</t>
        </is>
      </c>
      <c r="C409" t="inlineStr">
        <is>
          <t>Föryngringsavverkning</t>
        </is>
      </c>
      <c r="D409" s="1" t="n">
        <v>46071</v>
      </c>
      <c r="E409" s="1" t="n">
        <v>46241</v>
      </c>
      <c r="F409" t="inlineStr">
        <is>
          <t>GOTLANDS LÄN</t>
        </is>
      </c>
      <c r="G409" t="inlineStr">
        <is>
          <t>GOTLAND</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9543-2026</t>
        </is>
      </c>
      <c r="B410" t="inlineStr">
        <is>
          <t>avverkningsanmälan</t>
        </is>
      </c>
      <c r="C410" t="inlineStr">
        <is>
          <t>Föryngringsavverkning</t>
        </is>
      </c>
      <c r="D410" s="1" t="n">
        <v>46071</v>
      </c>
      <c r="E410" s="1" t="n">
        <v>46241</v>
      </c>
      <c r="F410" t="inlineStr">
        <is>
          <t>GOTLANDS LÄN</t>
        </is>
      </c>
      <c r="G410" t="inlineStr">
        <is>
          <t>GOTLAND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12032-2025</t>
        </is>
      </c>
      <c r="B411" t="inlineStr">
        <is>
          <t>avverkningsanmälan</t>
        </is>
      </c>
      <c r="C411" t="inlineStr">
        <is>
          <t>Föryngringsavverkning</t>
        </is>
      </c>
      <c r="D411" s="1" t="n">
        <v>45728</v>
      </c>
      <c r="E411" s="1" t="n">
        <v>46241</v>
      </c>
      <c r="F411" t="inlineStr">
        <is>
          <t>GOTLANDS LÄN</t>
        </is>
      </c>
      <c r="G411" t="inlineStr">
        <is>
          <t>GOTLAND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38787-2023</t>
        </is>
      </c>
      <c r="B412" t="inlineStr">
        <is>
          <t>avverkningsanmälan</t>
        </is>
      </c>
      <c r="C412" t="inlineStr">
        <is>
          <t>Föryngringsavverkning</t>
        </is>
      </c>
      <c r="D412" s="1" t="n">
        <v>45163</v>
      </c>
      <c r="E412" s="1" t="n">
        <v>46241</v>
      </c>
      <c r="F412" t="inlineStr">
        <is>
          <t>GOTLANDS LÄN</t>
        </is>
      </c>
      <c r="G412" t="inlineStr">
        <is>
          <t>GOTLAND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10284-2026</t>
        </is>
      </c>
      <c r="B413" t="inlineStr">
        <is>
          <t>avverkningsanmälan</t>
        </is>
      </c>
      <c r="C413" t="inlineStr">
        <is>
          <t>Avverkning för annat ändamål</t>
        </is>
      </c>
      <c r="D413" s="1" t="n">
        <v>46076</v>
      </c>
      <c r="E413" s="1" t="n">
        <v>46241</v>
      </c>
      <c r="F413" t="inlineStr">
        <is>
          <t>GOTLANDS LÄN</t>
        </is>
      </c>
      <c r="G413" t="inlineStr">
        <is>
          <t>GOTLAND</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30926-2026</t>
        </is>
      </c>
      <c r="B414" t="inlineStr">
        <is>
          <t>avverkningsanmälan</t>
        </is>
      </c>
      <c r="C414" t="inlineStr">
        <is>
          <t>Föryngringsavverkning</t>
        </is>
      </c>
      <c r="D414" s="1" t="n">
        <v>46213</v>
      </c>
      <c r="E414" s="1" t="n">
        <v>46241</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43231-2023</t>
        </is>
      </c>
      <c r="B415" t="inlineStr">
        <is>
          <t>avverkningsanmälan</t>
        </is>
      </c>
      <c r="C415" t="inlineStr">
        <is>
          <t>Föryngringsavverkning</t>
        </is>
      </c>
      <c r="D415" s="1" t="n">
        <v>45183</v>
      </c>
      <c r="E415" s="1" t="n">
        <v>46241</v>
      </c>
      <c r="F415" t="inlineStr">
        <is>
          <t>GOTLANDS LÄN</t>
        </is>
      </c>
      <c r="G415" t="inlineStr">
        <is>
          <t>GOTLAND</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17532-2024</t>
        </is>
      </c>
      <c r="B416" t="inlineStr">
        <is>
          <t>avverkningsanmälan</t>
        </is>
      </c>
      <c r="C416" t="inlineStr">
        <is>
          <t>Föryngringsavverkning</t>
        </is>
      </c>
      <c r="D416" s="1" t="n">
        <v>45415</v>
      </c>
      <c r="E416" s="1" t="n">
        <v>46241</v>
      </c>
      <c r="F416" t="inlineStr">
        <is>
          <t>GOTLANDS LÄN</t>
        </is>
      </c>
      <c r="G416" t="inlineStr">
        <is>
          <t>GOTLAND</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30925-2026</t>
        </is>
      </c>
      <c r="B417" t="inlineStr">
        <is>
          <t>avverkningsanmälan</t>
        </is>
      </c>
      <c r="C417" t="inlineStr">
        <is>
          <t>Föryngringsavverkning</t>
        </is>
      </c>
      <c r="D417" s="1" t="n">
        <v>46213</v>
      </c>
      <c r="E417" s="1" t="n">
        <v>46241</v>
      </c>
      <c r="F417" t="inlineStr">
        <is>
          <t>GOTLANDS LÄN</t>
        </is>
      </c>
      <c r="G417" t="inlineStr">
        <is>
          <t>GOTLAND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24448-2026</t>
        </is>
      </c>
      <c r="B418" t="inlineStr">
        <is>
          <t>avverkningsanmälan</t>
        </is>
      </c>
      <c r="C418" t="inlineStr">
        <is>
          <t>Föryngringsavverkning</t>
        </is>
      </c>
      <c r="D418" s="1" t="n">
        <v>46170</v>
      </c>
      <c r="E418" s="1" t="n">
        <v>46241</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11424-2026</t>
        </is>
      </c>
      <c r="B419" t="inlineStr">
        <is>
          <t>avverkningsanmälan</t>
        </is>
      </c>
      <c r="C419" t="inlineStr">
        <is>
          <t>Föryngringsavverkning</t>
        </is>
      </c>
      <c r="D419" s="1" t="n">
        <v>46083</v>
      </c>
      <c r="E419" s="1" t="n">
        <v>46241</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3067-2026</t>
        </is>
      </c>
      <c r="B420" t="inlineStr">
        <is>
          <t>avverkningsanmälan</t>
        </is>
      </c>
      <c r="C420" t="inlineStr">
        <is>
          <t>Föryngringsavverkning</t>
        </is>
      </c>
      <c r="D420" s="1" t="n">
        <v>46040</v>
      </c>
      <c r="E420" s="1" t="n">
        <v>46241</v>
      </c>
      <c r="F420" t="inlineStr">
        <is>
          <t>GOTLANDS LÄN</t>
        </is>
      </c>
      <c r="G420" t="inlineStr">
        <is>
          <t>GOTLAND</t>
        </is>
      </c>
      <c r="I420" t="n">
        <v>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42201-2023</t>
        </is>
      </c>
      <c r="B421" t="inlineStr">
        <is>
          <t>avverkningsanmälan</t>
        </is>
      </c>
      <c r="C421" t="inlineStr">
        <is>
          <t>Föryngringsavverkning</t>
        </is>
      </c>
      <c r="D421" s="1" t="n">
        <v>45179</v>
      </c>
      <c r="E421" s="1" t="n">
        <v>46241</v>
      </c>
      <c r="F421" t="inlineStr">
        <is>
          <t>GOTLANDS LÄN</t>
        </is>
      </c>
      <c r="G421" t="inlineStr">
        <is>
          <t>GOTLAND</t>
        </is>
      </c>
      <c r="I421" t="n">
        <v>11.9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63000-2025</t>
        </is>
      </c>
      <c r="B422" t="inlineStr">
        <is>
          <t>avverkningsanmälan</t>
        </is>
      </c>
      <c r="C422" t="inlineStr">
        <is>
          <t>Föryngringsavverkning</t>
        </is>
      </c>
      <c r="D422" s="1" t="n">
        <v>46009</v>
      </c>
      <c r="E422" s="1" t="n">
        <v>46241</v>
      </c>
      <c r="F422" t="inlineStr">
        <is>
          <t>GOTLANDS LÄN</t>
        </is>
      </c>
      <c r="G422" t="inlineStr">
        <is>
          <t>GOTLAND</t>
        </is>
      </c>
      <c r="H422" t="inlineStr">
        <is>
          <t>Övriga Aktiebolag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13486-2026</t>
        </is>
      </c>
      <c r="B423" t="inlineStr">
        <is>
          <t>avverkningsanmälan</t>
        </is>
      </c>
      <c r="C423" t="inlineStr">
        <is>
          <t>Föryngringsavverkning</t>
        </is>
      </c>
      <c r="D423" s="1" t="n">
        <v>46094</v>
      </c>
      <c r="E423" s="1" t="n">
        <v>46241</v>
      </c>
      <c r="F423" t="inlineStr">
        <is>
          <t>GOTLANDS LÄN</t>
        </is>
      </c>
      <c r="G423" t="inlineStr">
        <is>
          <t>GOTLAND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62751-2025</t>
        </is>
      </c>
      <c r="B424" t="inlineStr">
        <is>
          <t>avverkningsanmälan</t>
        </is>
      </c>
      <c r="C424" t="inlineStr">
        <is>
          <t>Föryngringsavverkning</t>
        </is>
      </c>
      <c r="D424" s="1" t="n">
        <v>46008</v>
      </c>
      <c r="E424" s="1" t="n">
        <v>46241</v>
      </c>
      <c r="F424" t="inlineStr">
        <is>
          <t>GOTLANDS LÄN</t>
        </is>
      </c>
      <c r="G424" t="inlineStr">
        <is>
          <t>GOTLAND</t>
        </is>
      </c>
      <c r="H424" t="inlineStr">
        <is>
          <t>Övriga Aktiebolag</t>
        </is>
      </c>
      <c r="I424" t="n">
        <v>7.8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42338-2023</t>
        </is>
      </c>
      <c r="B425" t="inlineStr">
        <is>
          <t>avverkningsanmälan</t>
        </is>
      </c>
      <c r="C425" t="inlineStr">
        <is>
          <t>Föryngringsavverkning</t>
        </is>
      </c>
      <c r="D425" s="1" t="n">
        <v>45180</v>
      </c>
      <c r="E425" s="1" t="n">
        <v>46241</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873-2024</t>
        </is>
      </c>
      <c r="B426" t="inlineStr">
        <is>
          <t>avverkningsanmälan</t>
        </is>
      </c>
      <c r="C426" t="inlineStr">
        <is>
          <t>Avverkning för annat ändamål</t>
        </is>
      </c>
      <c r="D426" s="1" t="n">
        <v>45301</v>
      </c>
      <c r="E426" s="1" t="n">
        <v>46241</v>
      </c>
      <c r="F426" t="inlineStr">
        <is>
          <t>GOTLANDS LÄN</t>
        </is>
      </c>
      <c r="G426" t="inlineStr">
        <is>
          <t>GOTLAND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22275-2023</t>
        </is>
      </c>
      <c r="B427" t="inlineStr">
        <is>
          <t>avverkningsanmälan</t>
        </is>
      </c>
      <c r="C427" t="inlineStr">
        <is>
          <t>Föryngringsavverkning</t>
        </is>
      </c>
      <c r="D427" s="1" t="n">
        <v>45070</v>
      </c>
      <c r="E427" s="1" t="n">
        <v>46241</v>
      </c>
      <c r="F427" t="inlineStr">
        <is>
          <t>GOTLANDS LÄN</t>
        </is>
      </c>
      <c r="G427" t="inlineStr">
        <is>
          <t>GOTLAND</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12322-2025</t>
        </is>
      </c>
      <c r="B428" t="inlineStr">
        <is>
          <t>avverkningsanmälan</t>
        </is>
      </c>
      <c r="C428" t="inlineStr">
        <is>
          <t>Föryngringsavverkning</t>
        </is>
      </c>
      <c r="D428" s="1" t="n">
        <v>45730</v>
      </c>
      <c r="E428" s="1" t="n">
        <v>46241</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14797-2024</t>
        </is>
      </c>
      <c r="B429" t="inlineStr">
        <is>
          <t>avverkningsanmälan</t>
        </is>
      </c>
      <c r="C429" t="inlineStr">
        <is>
          <t>Föryngringsavverkning</t>
        </is>
      </c>
      <c r="D429" s="1" t="n">
        <v>45397</v>
      </c>
      <c r="E429" s="1" t="n">
        <v>46241</v>
      </c>
      <c r="F429" t="inlineStr">
        <is>
          <t>GOTLANDS LÄN</t>
        </is>
      </c>
      <c r="G429" t="inlineStr">
        <is>
          <t>GOTLAND</t>
        </is>
      </c>
      <c r="I429" t="n">
        <v>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999-2024</t>
        </is>
      </c>
      <c r="B430" t="inlineStr">
        <is>
          <t>avverkningsanmälan</t>
        </is>
      </c>
      <c r="C430" t="inlineStr">
        <is>
          <t>Föryngringsavverkning</t>
        </is>
      </c>
      <c r="D430" s="1" t="n">
        <v>45301</v>
      </c>
      <c r="E430" s="1" t="n">
        <v>46241</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61596-2023</t>
        </is>
      </c>
      <c r="B431" t="inlineStr">
        <is>
          <t>avverkningsanmälan</t>
        </is>
      </c>
      <c r="C431" t="inlineStr">
        <is>
          <t>Föryngringsavverkning</t>
        </is>
      </c>
      <c r="D431" s="1" t="n">
        <v>45265</v>
      </c>
      <c r="E431" s="1" t="n">
        <v>46241</v>
      </c>
      <c r="F431" t="inlineStr">
        <is>
          <t>GOTLANDS LÄN</t>
        </is>
      </c>
      <c r="G431" t="inlineStr">
        <is>
          <t>GOTLAND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31695-2026</t>
        </is>
      </c>
      <c r="B432" t="inlineStr">
        <is>
          <t>avverkningsanmälan</t>
        </is>
      </c>
      <c r="C432" t="inlineStr">
        <is>
          <t>Föryngringsavverkning</t>
        </is>
      </c>
      <c r="D432" s="1" t="n">
        <v>46226</v>
      </c>
      <c r="E432" s="1" t="n">
        <v>46241</v>
      </c>
      <c r="F432" t="inlineStr">
        <is>
          <t>GOTLANDS LÄN</t>
        </is>
      </c>
      <c r="G432" t="inlineStr">
        <is>
          <t>GOTLAND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14638-2025</t>
        </is>
      </c>
      <c r="B433" t="inlineStr">
        <is>
          <t>avverkningsanmälan</t>
        </is>
      </c>
      <c r="C433" t="inlineStr">
        <is>
          <t>Avverkning för annat ändamål</t>
        </is>
      </c>
      <c r="D433" s="1" t="n">
        <v>45742</v>
      </c>
      <c r="E433" s="1" t="n">
        <v>46241</v>
      </c>
      <c r="F433" t="inlineStr">
        <is>
          <t>GOTLANDS LÄN</t>
        </is>
      </c>
      <c r="G433" t="inlineStr">
        <is>
          <t>GOTLAND</t>
        </is>
      </c>
      <c r="I433" t="n">
        <v>13.4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27354-2026</t>
        </is>
      </c>
      <c r="B434" t="inlineStr">
        <is>
          <t>avverkningsanmälan</t>
        </is>
      </c>
      <c r="C434" t="inlineStr">
        <is>
          <t>Föryngringsavverkning</t>
        </is>
      </c>
      <c r="D434" s="1" t="n">
        <v>46184</v>
      </c>
      <c r="E434" s="1" t="n">
        <v>46241</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31693-2026</t>
        </is>
      </c>
      <c r="B435" t="inlineStr">
        <is>
          <t>avverkningsanmälan</t>
        </is>
      </c>
      <c r="C435" t="inlineStr">
        <is>
          <t>Föryngringsavverkning</t>
        </is>
      </c>
      <c r="D435" s="1" t="n">
        <v>46226</v>
      </c>
      <c r="E435" s="1" t="n">
        <v>46241</v>
      </c>
      <c r="F435" t="inlineStr">
        <is>
          <t>GOTLANDS LÄN</t>
        </is>
      </c>
      <c r="G435" t="inlineStr">
        <is>
          <t>GOTLAND</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60675-2021</t>
        </is>
      </c>
      <c r="B436" t="inlineStr">
        <is>
          <t>avverkningsanmälan</t>
        </is>
      </c>
      <c r="C436" t="inlineStr">
        <is>
          <t>Föryngringsavverkning</t>
        </is>
      </c>
      <c r="D436" s="1" t="n">
        <v>44496</v>
      </c>
      <c r="E436" s="1" t="n">
        <v>46241</v>
      </c>
      <c r="F436" t="inlineStr">
        <is>
          <t>GOTLANDS LÄN</t>
        </is>
      </c>
      <c r="G436" t="inlineStr">
        <is>
          <t>GOTLAND</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37728-2024</t>
        </is>
      </c>
      <c r="B437" t="inlineStr">
        <is>
          <t>avverkningsanmälan</t>
        </is>
      </c>
      <c r="C437" t="inlineStr">
        <is>
          <t>Föryngringsavverkning</t>
        </is>
      </c>
      <c r="D437" s="1" t="n">
        <v>45541</v>
      </c>
      <c r="E437" s="1" t="n">
        <v>46241</v>
      </c>
      <c r="F437" t="inlineStr">
        <is>
          <t>GOTLANDS LÄN</t>
        </is>
      </c>
      <c r="G437" t="inlineStr">
        <is>
          <t>GOTLAND</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22287-2022</t>
        </is>
      </c>
      <c r="B438" t="inlineStr">
        <is>
          <t>avverkningsanmälan</t>
        </is>
      </c>
      <c r="C438" t="inlineStr">
        <is>
          <t>Avverkning för annat ändamål</t>
        </is>
      </c>
      <c r="D438" s="1" t="n">
        <v>44712</v>
      </c>
      <c r="E438" s="1" t="n">
        <v>46241</v>
      </c>
      <c r="F438" t="inlineStr">
        <is>
          <t>GOTLANDS LÄN</t>
        </is>
      </c>
      <c r="G438" t="inlineStr">
        <is>
          <t>GOTLAND</t>
        </is>
      </c>
      <c r="I438" t="n">
        <v>6.1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54074-2022</t>
        </is>
      </c>
      <c r="B439" t="inlineStr">
        <is>
          <t>avverkningsanmälan</t>
        </is>
      </c>
      <c r="C439" t="inlineStr">
        <is>
          <t>Föryngringsavverkning</t>
        </is>
      </c>
      <c r="D439" s="1" t="n">
        <v>44881</v>
      </c>
      <c r="E439" s="1" t="n">
        <v>46241</v>
      </c>
      <c r="F439" t="inlineStr">
        <is>
          <t>GOTLANDS LÄN</t>
        </is>
      </c>
      <c r="G439" t="inlineStr">
        <is>
          <t>GOTLAND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65249-2023</t>
        </is>
      </c>
      <c r="B440" t="inlineStr">
        <is>
          <t>avverkningsanmälan</t>
        </is>
      </c>
      <c r="C440" t="inlineStr">
        <is>
          <t>Föryngringsavverkning</t>
        </is>
      </c>
      <c r="D440" s="1" t="n">
        <v>45290</v>
      </c>
      <c r="E440" s="1" t="n">
        <v>46241</v>
      </c>
      <c r="F440" t="inlineStr">
        <is>
          <t>GOTLANDS LÄN</t>
        </is>
      </c>
      <c r="G440" t="inlineStr">
        <is>
          <t>GOTLAND</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27164-2026</t>
        </is>
      </c>
      <c r="B441" t="inlineStr">
        <is>
          <t>avverkningsanmälan</t>
        </is>
      </c>
      <c r="C441" t="inlineStr">
        <is>
          <t>Föryngringsavverkning</t>
        </is>
      </c>
      <c r="D441" s="1" t="n">
        <v>46188</v>
      </c>
      <c r="E441" s="1" t="n">
        <v>46241</v>
      </c>
      <c r="F441" t="inlineStr">
        <is>
          <t>GOTLANDS LÄN</t>
        </is>
      </c>
      <c r="G441" t="inlineStr">
        <is>
          <t>GOTLAND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27346-2026</t>
        </is>
      </c>
      <c r="B442" t="inlineStr">
        <is>
          <t>avverkningsanmälan</t>
        </is>
      </c>
      <c r="C442" t="inlineStr">
        <is>
          <t>Föryngringsavverkning</t>
        </is>
      </c>
      <c r="D442" s="1" t="n">
        <v>46188</v>
      </c>
      <c r="E442" s="1" t="n">
        <v>46241</v>
      </c>
      <c r="F442" t="inlineStr">
        <is>
          <t>GOTLANDS LÄN</t>
        </is>
      </c>
      <c r="G442" t="inlineStr">
        <is>
          <t>GOTLAND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31287-2026</t>
        </is>
      </c>
      <c r="B443" t="inlineStr">
        <is>
          <t>avverkningsanmälan</t>
        </is>
      </c>
      <c r="C443" t="inlineStr">
        <is>
          <t>Föryngringsavverkning</t>
        </is>
      </c>
      <c r="D443" s="1" t="n">
        <v>46218</v>
      </c>
      <c r="E443" s="1" t="n">
        <v>46241</v>
      </c>
      <c r="F443" t="inlineStr">
        <is>
          <t>GOTLANDS LÄN</t>
        </is>
      </c>
      <c r="G443" t="inlineStr">
        <is>
          <t>GOTLAND</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17780-2022</t>
        </is>
      </c>
      <c r="B444" t="inlineStr">
        <is>
          <t>avverkningsanmälan</t>
        </is>
      </c>
      <c r="C444" t="inlineStr">
        <is>
          <t>Föryngringsavverkning</t>
        </is>
      </c>
      <c r="D444" s="1" t="n">
        <v>44682</v>
      </c>
      <c r="E444" s="1" t="n">
        <v>46241</v>
      </c>
      <c r="F444" t="inlineStr">
        <is>
          <t>GOTLANDS LÄN</t>
        </is>
      </c>
      <c r="G444" t="inlineStr">
        <is>
          <t>GOTLAND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27341-2026</t>
        </is>
      </c>
      <c r="B445" t="inlineStr">
        <is>
          <t>avverkningsanmälan</t>
        </is>
      </c>
      <c r="C445" t="inlineStr">
        <is>
          <t>Föryngringsavverkning</t>
        </is>
      </c>
      <c r="D445" s="1" t="n">
        <v>46188</v>
      </c>
      <c r="E445" s="1" t="n">
        <v>46241</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59986-2022</t>
        </is>
      </c>
      <c r="B446" t="inlineStr">
        <is>
          <t>avverkningsanmälan</t>
        </is>
      </c>
      <c r="C446" t="inlineStr">
        <is>
          <t>Avverkning för annat ändamål</t>
        </is>
      </c>
      <c r="D446" s="1" t="n">
        <v>44909</v>
      </c>
      <c r="E446" s="1" t="n">
        <v>46241</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46241</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42041-2024</t>
        </is>
      </c>
      <c r="B448" t="inlineStr">
        <is>
          <t>avverkningsanmälan</t>
        </is>
      </c>
      <c r="C448" t="inlineStr">
        <is>
          <t>Föryngringsavverkning</t>
        </is>
      </c>
      <c r="D448" s="1" t="n">
        <v>45561</v>
      </c>
      <c r="E448" s="1" t="n">
        <v>46241</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61694-2023</t>
        </is>
      </c>
      <c r="B449" t="inlineStr">
        <is>
          <t>avverkningsanmälan</t>
        </is>
      </c>
      <c r="C449" t="inlineStr">
        <is>
          <t>Föryngringsavverkning</t>
        </is>
      </c>
      <c r="D449" s="1" t="n">
        <v>45264</v>
      </c>
      <c r="E449" s="1" t="n">
        <v>46241</v>
      </c>
      <c r="F449" t="inlineStr">
        <is>
          <t>GOTLANDS LÄN</t>
        </is>
      </c>
      <c r="G449" t="inlineStr">
        <is>
          <t>GOTLAND</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32239-2026</t>
        </is>
      </c>
      <c r="B450" t="inlineStr">
        <is>
          <t>avverkningsanmälan</t>
        </is>
      </c>
      <c r="C450" t="inlineStr">
        <is>
          <t>Föryngringsavverkning</t>
        </is>
      </c>
      <c r="D450" s="1" t="n">
        <v>46237</v>
      </c>
      <c r="E450" s="1" t="n">
        <v>46241</v>
      </c>
      <c r="F450" t="inlineStr">
        <is>
          <t>GOTLANDS LÄN</t>
        </is>
      </c>
      <c r="G450" t="inlineStr">
        <is>
          <t>GOTLAND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28012-2026</t>
        </is>
      </c>
      <c r="B451" t="inlineStr">
        <is>
          <t>avverkningsanmälan</t>
        </is>
      </c>
      <c r="C451" t="inlineStr">
        <is>
          <t>Föryngringsavverkning</t>
        </is>
      </c>
      <c r="D451" s="1" t="n">
        <v>46195</v>
      </c>
      <c r="E451" s="1" t="n">
        <v>46241</v>
      </c>
      <c r="F451" t="inlineStr">
        <is>
          <t>GOTLANDS LÄN</t>
        </is>
      </c>
      <c r="G451" t="inlineStr">
        <is>
          <t>GOTLAND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64555-2023</t>
        </is>
      </c>
      <c r="B452" t="inlineStr">
        <is>
          <t>avverkningsanmälan</t>
        </is>
      </c>
      <c r="C452" t="inlineStr">
        <is>
          <t>Avverkning för annat ändamål</t>
        </is>
      </c>
      <c r="D452" s="1" t="n">
        <v>45281</v>
      </c>
      <c r="E452" s="1" t="n">
        <v>46241</v>
      </c>
      <c r="F452" t="inlineStr">
        <is>
          <t>GOTLANDS LÄN</t>
        </is>
      </c>
      <c r="G452" t="inlineStr">
        <is>
          <t>GOTLAND</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64831-2023</t>
        </is>
      </c>
      <c r="B453" t="inlineStr">
        <is>
          <t>avverkningsanmälan</t>
        </is>
      </c>
      <c r="C453" t="inlineStr">
        <is>
          <t>Föryngringsavverkning</t>
        </is>
      </c>
      <c r="D453" s="1" t="n">
        <v>45282</v>
      </c>
      <c r="E453" s="1" t="n">
        <v>46241</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28839-2026</t>
        </is>
      </c>
      <c r="B454" t="inlineStr">
        <is>
          <t>avverkningsanmälan</t>
        </is>
      </c>
      <c r="C454" t="inlineStr">
        <is>
          <t>Föryngringsavverkning</t>
        </is>
      </c>
      <c r="D454" s="1" t="n">
        <v>46198</v>
      </c>
      <c r="E454" s="1" t="n">
        <v>46241</v>
      </c>
      <c r="F454" t="inlineStr">
        <is>
          <t>GOTLANDS LÄN</t>
        </is>
      </c>
      <c r="G454" t="inlineStr">
        <is>
          <t>GOTLAND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28843-2026</t>
        </is>
      </c>
      <c r="B455" t="inlineStr">
        <is>
          <t>avverkningsanmälan</t>
        </is>
      </c>
      <c r="C455" t="inlineStr">
        <is>
          <t>Föryngringsavverkning</t>
        </is>
      </c>
      <c r="D455" s="1" t="n">
        <v>46198</v>
      </c>
      <c r="E455" s="1" t="n">
        <v>46241</v>
      </c>
      <c r="F455" t="inlineStr">
        <is>
          <t>GOTLANDS LÄN</t>
        </is>
      </c>
      <c r="G455" t="inlineStr">
        <is>
          <t>GOTLAND</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32553-2026</t>
        </is>
      </c>
      <c r="B456" t="inlineStr">
        <is>
          <t>avverkningsanmälan</t>
        </is>
      </c>
      <c r="C456" t="inlineStr">
        <is>
          <t>Föryngringsavverkning</t>
        </is>
      </c>
      <c r="D456" s="1" t="n">
        <v>46239</v>
      </c>
      <c r="E456" s="1" t="n">
        <v>46241</v>
      </c>
      <c r="F456" t="inlineStr">
        <is>
          <t>GOTLANDS LÄN</t>
        </is>
      </c>
      <c r="G456" t="inlineStr">
        <is>
          <t>GOTLAND</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4377-2023</t>
        </is>
      </c>
      <c r="B457" t="inlineStr">
        <is>
          <t>avverkningsanmälan</t>
        </is>
      </c>
      <c r="C457" t="inlineStr">
        <is>
          <t>Föryngringsavverkning</t>
        </is>
      </c>
      <c r="D457" s="1" t="n">
        <v>44955</v>
      </c>
      <c r="E457" s="1" t="n">
        <v>46241</v>
      </c>
      <c r="F457" t="inlineStr">
        <is>
          <t>GOTLANDS LÄN</t>
        </is>
      </c>
      <c r="G457" t="inlineStr">
        <is>
          <t>GOTLAND</t>
        </is>
      </c>
      <c r="H457" t="inlineStr">
        <is>
          <t>Kyrkan</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4387-2023</t>
        </is>
      </c>
      <c r="B458" t="inlineStr">
        <is>
          <t>avverkningsanmälan</t>
        </is>
      </c>
      <c r="C458" t="inlineStr">
        <is>
          <t>Föryngringsavverkning</t>
        </is>
      </c>
      <c r="D458" s="1" t="n">
        <v>44955</v>
      </c>
      <c r="E458" s="1" t="n">
        <v>46241</v>
      </c>
      <c r="F458" t="inlineStr">
        <is>
          <t>GOTLANDS LÄN</t>
        </is>
      </c>
      <c r="G458" t="inlineStr">
        <is>
          <t>GOTLAND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39479-2022</t>
        </is>
      </c>
      <c r="B459" t="inlineStr">
        <is>
          <t>avverkningsanmälan</t>
        </is>
      </c>
      <c r="C459" t="inlineStr">
        <is>
          <t>Föryngringsavverkning</t>
        </is>
      </c>
      <c r="D459" s="1" t="n">
        <v>44818</v>
      </c>
      <c r="E459" s="1" t="n">
        <v>46241</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51963-2024</t>
        </is>
      </c>
      <c r="B460" t="inlineStr">
        <is>
          <t>avverkningsanmälan</t>
        </is>
      </c>
      <c r="C460" t="inlineStr">
        <is>
          <t>Föryngringsavverkning</t>
        </is>
      </c>
      <c r="D460" s="1" t="n">
        <v>45607</v>
      </c>
      <c r="E460" s="1" t="n">
        <v>46241</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811-2023</t>
        </is>
      </c>
      <c r="B461" t="inlineStr">
        <is>
          <t>avverkningsanmälan</t>
        </is>
      </c>
      <c r="C461" t="inlineStr">
        <is>
          <t>Föryngringsavverkning</t>
        </is>
      </c>
      <c r="D461" s="1" t="n">
        <v>44931</v>
      </c>
      <c r="E461" s="1" t="n">
        <v>46241</v>
      </c>
      <c r="F461" t="inlineStr">
        <is>
          <t>GOTLANDS LÄN</t>
        </is>
      </c>
      <c r="G461" t="inlineStr">
        <is>
          <t>GOTLAND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46389-2021</t>
        </is>
      </c>
      <c r="B462" t="inlineStr">
        <is>
          <t>avverkningsanmälan</t>
        </is>
      </c>
      <c r="C462" t="inlineStr">
        <is>
          <t>Föryngringsavverkning</t>
        </is>
      </c>
      <c r="D462" s="1" t="n">
        <v>44443</v>
      </c>
      <c r="E462" s="1" t="n">
        <v>46241</v>
      </c>
      <c r="F462" t="inlineStr">
        <is>
          <t>GOTLANDS LÄN</t>
        </is>
      </c>
      <c r="G462" t="inlineStr">
        <is>
          <t>GOTLAND</t>
        </is>
      </c>
      <c r="H462" t="inlineStr">
        <is>
          <t>Kyrkan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32626-2026</t>
        </is>
      </c>
      <c r="B463" t="inlineStr">
        <is>
          <t>avverkningsanmälan</t>
        </is>
      </c>
      <c r="C463" t="inlineStr">
        <is>
          <t>Föryngringsavverkning</t>
        </is>
      </c>
      <c r="D463" s="1" t="n">
        <v>46240</v>
      </c>
      <c r="E463" s="1" t="n">
        <v>46241</v>
      </c>
      <c r="F463" t="inlineStr">
        <is>
          <t>GOTLANDS LÄN</t>
        </is>
      </c>
      <c r="G463" t="inlineStr">
        <is>
          <t>GOTLAND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32698-2026</t>
        </is>
      </c>
      <c r="B464" t="inlineStr">
        <is>
          <t>avverkningsanmälan</t>
        </is>
      </c>
      <c r="C464" t="inlineStr">
        <is>
          <t>Föryngringsavverkning</t>
        </is>
      </c>
      <c r="D464" s="1" t="n">
        <v>46240</v>
      </c>
      <c r="E464" s="1" t="n">
        <v>46241</v>
      </c>
      <c r="F464" t="inlineStr">
        <is>
          <t>GOTLANDS LÄN</t>
        </is>
      </c>
      <c r="G464" t="inlineStr">
        <is>
          <t>GOTLAND</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5923-2023</t>
        </is>
      </c>
      <c r="B465" t="inlineStr">
        <is>
          <t>avverkningsanmälan</t>
        </is>
      </c>
      <c r="C465" t="inlineStr">
        <is>
          <t>Föryngringsavverkning</t>
        </is>
      </c>
      <c r="D465" s="1" t="n">
        <v>44963</v>
      </c>
      <c r="E465" s="1" t="n">
        <v>46241</v>
      </c>
      <c r="F465" t="inlineStr">
        <is>
          <t>GOTLANDS LÄN</t>
        </is>
      </c>
      <c r="G465" t="inlineStr">
        <is>
          <t>GOTLAND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18918-2025</t>
        </is>
      </c>
      <c r="B466" t="inlineStr">
        <is>
          <t>avverkningsanmälan</t>
        </is>
      </c>
      <c r="C466" t="inlineStr">
        <is>
          <t>Avverkning för annat ändamål</t>
        </is>
      </c>
      <c r="D466" s="1" t="n">
        <v>45764</v>
      </c>
      <c r="E466" s="1" t="n">
        <v>46241</v>
      </c>
      <c r="F466" t="inlineStr">
        <is>
          <t>GOTLANDS LÄN</t>
        </is>
      </c>
      <c r="G466" t="inlineStr">
        <is>
          <t>GOTLAND</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2674-2023</t>
        </is>
      </c>
      <c r="B467" t="inlineStr">
        <is>
          <t>avverkningsanmälan</t>
        </is>
      </c>
      <c r="C467" t="inlineStr">
        <is>
          <t>Avverkning för annat ändamål</t>
        </is>
      </c>
      <c r="D467" s="1" t="n">
        <v>44944</v>
      </c>
      <c r="E467" s="1" t="n">
        <v>46241</v>
      </c>
      <c r="F467" t="inlineStr">
        <is>
          <t>GOTLANDS LÄN</t>
        </is>
      </c>
      <c r="G467" t="inlineStr">
        <is>
          <t>GOTLAND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10655-2023</t>
        </is>
      </c>
      <c r="B468" t="inlineStr">
        <is>
          <t>avverkningsanmälan</t>
        </is>
      </c>
      <c r="C468" t="inlineStr">
        <is>
          <t>Föryngringsavverkning</t>
        </is>
      </c>
      <c r="D468" s="1" t="n">
        <v>44988</v>
      </c>
      <c r="E468" s="1" t="n">
        <v>46241</v>
      </c>
      <c r="F468" t="inlineStr">
        <is>
          <t>GOTLANDS LÄN</t>
        </is>
      </c>
      <c r="G468" t="inlineStr">
        <is>
          <t>GOTLAND</t>
        </is>
      </c>
      <c r="H468" t="inlineStr">
        <is>
          <t>Kyrkan</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2719-2023</t>
        </is>
      </c>
      <c r="B469" t="inlineStr">
        <is>
          <t>avverkningsanmälan</t>
        </is>
      </c>
      <c r="C469" t="inlineStr">
        <is>
          <t>Föryngringsavverkning</t>
        </is>
      </c>
      <c r="D469" s="1" t="n">
        <v>44944</v>
      </c>
      <c r="E469" s="1" t="n">
        <v>46241</v>
      </c>
      <c r="F469" t="inlineStr">
        <is>
          <t>GOTLANDS LÄN</t>
        </is>
      </c>
      <c r="G469" t="inlineStr">
        <is>
          <t>GOTLAND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42007-2023</t>
        </is>
      </c>
      <c r="B470" t="inlineStr">
        <is>
          <t>avverkningsanmälan</t>
        </is>
      </c>
      <c r="C470" t="inlineStr">
        <is>
          <t>Avverkning för annat ändamål</t>
        </is>
      </c>
      <c r="D470" s="1" t="n">
        <v>45177</v>
      </c>
      <c r="E470" s="1" t="n">
        <v>46241</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9887-2025</t>
        </is>
      </c>
      <c r="B471" t="inlineStr">
        <is>
          <t>avverkningsanmälan</t>
        </is>
      </c>
      <c r="C471" t="inlineStr">
        <is>
          <t>Föryngringsavverkning</t>
        </is>
      </c>
      <c r="D471" s="1" t="n">
        <v>45716</v>
      </c>
      <c r="E471" s="1" t="n">
        <v>46241</v>
      </c>
      <c r="F471" t="inlineStr">
        <is>
          <t>GOTLANDS LÄN</t>
        </is>
      </c>
      <c r="G471" t="inlineStr">
        <is>
          <t>GOTLAND</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27596-2023</t>
        </is>
      </c>
      <c r="B472" t="inlineStr">
        <is>
          <t>avverkningsanmälan</t>
        </is>
      </c>
      <c r="C472" t="inlineStr">
        <is>
          <t>Avverkning för annat ändamål</t>
        </is>
      </c>
      <c r="D472" s="1" t="n">
        <v>45097</v>
      </c>
      <c r="E472" s="1" t="n">
        <v>46241</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24825-2024</t>
        </is>
      </c>
      <c r="B473" t="inlineStr">
        <is>
          <t>avverkningsanmälan</t>
        </is>
      </c>
      <c r="C473" t="inlineStr">
        <is>
          <t>Avverkning för annat ändamål</t>
        </is>
      </c>
      <c r="D473" s="1" t="n">
        <v>45461</v>
      </c>
      <c r="E473" s="1" t="n">
        <v>46241</v>
      </c>
      <c r="F473" t="inlineStr">
        <is>
          <t>GOTLANDS LÄN</t>
        </is>
      </c>
      <c r="G473" t="inlineStr">
        <is>
          <t>GOTLAND</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6696-2023</t>
        </is>
      </c>
      <c r="B474" t="inlineStr">
        <is>
          <t>avverkningsanmälan</t>
        </is>
      </c>
      <c r="C474" t="inlineStr">
        <is>
          <t>Föryngringsavverkning</t>
        </is>
      </c>
      <c r="D474" s="1" t="n">
        <v>44966</v>
      </c>
      <c r="E474" s="1" t="n">
        <v>46241</v>
      </c>
      <c r="F474" t="inlineStr">
        <is>
          <t>GOTLANDS LÄN</t>
        </is>
      </c>
      <c r="G474" t="inlineStr">
        <is>
          <t>GOTLAND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21247-2022</t>
        </is>
      </c>
      <c r="B475" t="inlineStr">
        <is>
          <t>avverkningsanmälan</t>
        </is>
      </c>
      <c r="C475" t="inlineStr">
        <is>
          <t>Föryngringsavverkning</t>
        </is>
      </c>
      <c r="D475" s="1" t="n">
        <v>44705</v>
      </c>
      <c r="E475" s="1" t="n">
        <v>46241</v>
      </c>
      <c r="F475" t="inlineStr">
        <is>
          <t>GOTLANDS LÄN</t>
        </is>
      </c>
      <c r="G475" t="inlineStr">
        <is>
          <t>GOTLAND</t>
        </is>
      </c>
      <c r="I475" t="n">
        <v>16.2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456-2023</t>
        </is>
      </c>
      <c r="B476" t="inlineStr">
        <is>
          <t>avverkningsanmälan</t>
        </is>
      </c>
      <c r="C476" t="inlineStr">
        <is>
          <t>Föryngringsavverkning</t>
        </is>
      </c>
      <c r="D476" s="1" t="n">
        <v>44929</v>
      </c>
      <c r="E476" s="1" t="n">
        <v>46241</v>
      </c>
      <c r="F476" t="inlineStr">
        <is>
          <t>GOTLANDS LÄN</t>
        </is>
      </c>
      <c r="G476" t="inlineStr">
        <is>
          <t>GOTLAND</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2714-2023</t>
        </is>
      </c>
      <c r="B477" t="inlineStr">
        <is>
          <t>avverkningsanmälan</t>
        </is>
      </c>
      <c r="C477" t="inlineStr">
        <is>
          <t>Föryngringsavverkning</t>
        </is>
      </c>
      <c r="D477" s="1" t="n">
        <v>44944</v>
      </c>
      <c r="E477" s="1" t="n">
        <v>46241</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4421-2024</t>
        </is>
      </c>
      <c r="B478" t="inlineStr">
        <is>
          <t>avverkningsanmälan</t>
        </is>
      </c>
      <c r="C478" t="inlineStr">
        <is>
          <t>Föryngringsavverkning</t>
        </is>
      </c>
      <c r="D478" s="1" t="n">
        <v>45327</v>
      </c>
      <c r="E478" s="1" t="n">
        <v>46241</v>
      </c>
      <c r="F478" t="inlineStr">
        <is>
          <t>GOTLANDS LÄN</t>
        </is>
      </c>
      <c r="G478" t="inlineStr">
        <is>
          <t>GOTLAND</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51782-2023</t>
        </is>
      </c>
      <c r="B479" t="inlineStr">
        <is>
          <t>avverkningsanmälan</t>
        </is>
      </c>
      <c r="C479" t="inlineStr">
        <is>
          <t>Föryngringsavverkning</t>
        </is>
      </c>
      <c r="D479" s="1" t="n">
        <v>45222</v>
      </c>
      <c r="E479" s="1" t="n">
        <v>46241</v>
      </c>
      <c r="F479" t="inlineStr">
        <is>
          <t>GOTLANDS LÄN</t>
        </is>
      </c>
      <c r="G479" t="inlineStr">
        <is>
          <t>GOTLAND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54268-2022</t>
        </is>
      </c>
      <c r="B480" t="inlineStr">
        <is>
          <t>avverkningsanmälan</t>
        </is>
      </c>
      <c r="C480" t="inlineStr">
        <is>
          <t>Föryngringsavverkning</t>
        </is>
      </c>
      <c r="D480" s="1" t="n">
        <v>44882</v>
      </c>
      <c r="E480" s="1" t="n">
        <v>46241</v>
      </c>
      <c r="F480" t="inlineStr">
        <is>
          <t>GOTLANDS LÄN</t>
        </is>
      </c>
      <c r="G480" t="inlineStr">
        <is>
          <t>GOTLAND</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25866-2022</t>
        </is>
      </c>
      <c r="B481" t="inlineStr">
        <is>
          <t>avverkningsanmälan</t>
        </is>
      </c>
      <c r="C481" t="inlineStr">
        <is>
          <t>Föryngringsavverkning</t>
        </is>
      </c>
      <c r="D481" s="1" t="n">
        <v>44733</v>
      </c>
      <c r="E481" s="1" t="n">
        <v>46241</v>
      </c>
      <c r="F481" t="inlineStr">
        <is>
          <t>GOTLANDS LÄN</t>
        </is>
      </c>
      <c r="G481" t="inlineStr">
        <is>
          <t>GOTLAND</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43229-2023</t>
        </is>
      </c>
      <c r="B482" t="inlineStr">
        <is>
          <t>avverkningsanmälan</t>
        </is>
      </c>
      <c r="C482" t="inlineStr">
        <is>
          <t>Föryngringsavverkning</t>
        </is>
      </c>
      <c r="D482" s="1" t="n">
        <v>45183</v>
      </c>
      <c r="E482" s="1" t="n">
        <v>46241</v>
      </c>
      <c r="F482" t="inlineStr">
        <is>
          <t>GOTLANDS LÄN</t>
        </is>
      </c>
      <c r="G482" t="inlineStr">
        <is>
          <t>GOTLAND</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27095-2022</t>
        </is>
      </c>
      <c r="B483" t="inlineStr">
        <is>
          <t>avverkningsanmälan</t>
        </is>
      </c>
      <c r="C483" t="inlineStr">
        <is>
          <t>Avverkning för annat ändamål</t>
        </is>
      </c>
      <c r="D483" s="1" t="n">
        <v>44741</v>
      </c>
      <c r="E483" s="1" t="n">
        <v>46241</v>
      </c>
      <c r="F483" t="inlineStr">
        <is>
          <t>GOTLANDS LÄN</t>
        </is>
      </c>
      <c r="G483" t="inlineStr">
        <is>
          <t>GOTLAND</t>
        </is>
      </c>
      <c r="H483" t="inlineStr">
        <is>
          <t>Övriga Aktiebolag</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22899-2023</t>
        </is>
      </c>
      <c r="B484" t="inlineStr">
        <is>
          <t>avverkningsanmälan</t>
        </is>
      </c>
      <c r="C484" t="inlineStr">
        <is>
          <t>Föryngringsavverkning</t>
        </is>
      </c>
      <c r="D484" s="1" t="n">
        <v>45072</v>
      </c>
      <c r="E484" s="1" t="n">
        <v>46241</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23978-2023</t>
        </is>
      </c>
      <c r="B485" t="inlineStr">
        <is>
          <t>avverkningsanmälan</t>
        </is>
      </c>
      <c r="C485" t="inlineStr">
        <is>
          <t>Föryngringsavverkning</t>
        </is>
      </c>
      <c r="D485" s="1" t="n">
        <v>45078</v>
      </c>
      <c r="E485" s="1" t="n">
        <v>46241</v>
      </c>
      <c r="F485" t="inlineStr">
        <is>
          <t>GOTLANDS LÄN</t>
        </is>
      </c>
      <c r="G485" t="inlineStr">
        <is>
          <t>GOTLAND</t>
        </is>
      </c>
      <c r="H485" t="inlineStr">
        <is>
          <t>Naturvårdsverket</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34407-2023</t>
        </is>
      </c>
      <c r="B486" t="inlineStr">
        <is>
          <t>avverkningsanmälan</t>
        </is>
      </c>
      <c r="C486" t="inlineStr">
        <is>
          <t>Föryngringsavverkning</t>
        </is>
      </c>
      <c r="D486" s="1" t="n">
        <v>45132</v>
      </c>
      <c r="E486" s="1" t="n">
        <v>46241</v>
      </c>
      <c r="F486" t="inlineStr">
        <is>
          <t>GOTLANDS LÄN</t>
        </is>
      </c>
      <c r="G486" t="inlineStr">
        <is>
          <t>GOTLAND</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11013-2024</t>
        </is>
      </c>
      <c r="B487" t="inlineStr">
        <is>
          <t>avverkningsanmälan</t>
        </is>
      </c>
      <c r="C487" t="inlineStr">
        <is>
          <t>Föryngringsavverkning</t>
        </is>
      </c>
      <c r="D487" s="1" t="n">
        <v>45370</v>
      </c>
      <c r="E487" s="1" t="n">
        <v>46241</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27694-2024</t>
        </is>
      </c>
      <c r="B488" t="inlineStr">
        <is>
          <t>avverkningsanmälan</t>
        </is>
      </c>
      <c r="C488" t="inlineStr">
        <is>
          <t>Föryngringsavverkning</t>
        </is>
      </c>
      <c r="D488" s="1" t="n">
        <v>45475</v>
      </c>
      <c r="E488" s="1" t="n">
        <v>46241</v>
      </c>
      <c r="F488" t="inlineStr">
        <is>
          <t>GOTLANDS LÄN</t>
        </is>
      </c>
      <c r="G488" t="inlineStr">
        <is>
          <t>GOTLAND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15083-2025</t>
        </is>
      </c>
      <c r="B489" t="inlineStr">
        <is>
          <t>avverkningsanmälan</t>
        </is>
      </c>
      <c r="C489" t="inlineStr">
        <is>
          <t>Avverkning för annat ändamål</t>
        </is>
      </c>
      <c r="D489" s="1" t="n">
        <v>45743</v>
      </c>
      <c r="E489" s="1" t="n">
        <v>46241</v>
      </c>
      <c r="F489" t="inlineStr">
        <is>
          <t>GOTLANDS LÄN</t>
        </is>
      </c>
      <c r="G489" t="inlineStr">
        <is>
          <t>GOTLAND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13037-2025</t>
        </is>
      </c>
      <c r="B490" t="inlineStr">
        <is>
          <t>avverkningsanmälan</t>
        </is>
      </c>
      <c r="C490" t="inlineStr">
        <is>
          <t>Avverkning för att bevara och utveckla /försöksver</t>
        </is>
      </c>
      <c r="D490" s="1" t="n">
        <v>45734</v>
      </c>
      <c r="E490" s="1" t="n">
        <v>46241</v>
      </c>
      <c r="F490" t="inlineStr">
        <is>
          <t>GOTLANDS LÄN</t>
        </is>
      </c>
      <c r="G490" t="inlineStr">
        <is>
          <t>GOTLAND</t>
        </is>
      </c>
      <c r="I490" t="n">
        <v>9.5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44228-2022</t>
        </is>
      </c>
      <c r="B491" t="inlineStr">
        <is>
          <t>avverkningsanmälan</t>
        </is>
      </c>
      <c r="C491" t="inlineStr">
        <is>
          <t>Föryngringsavverkning</t>
        </is>
      </c>
      <c r="D491" s="1" t="n">
        <v>44839</v>
      </c>
      <c r="E491" s="1" t="n">
        <v>46241</v>
      </c>
      <c r="F491" t="inlineStr">
        <is>
          <t>GOTLANDS LÄN</t>
        </is>
      </c>
      <c r="G491" t="inlineStr">
        <is>
          <t>GOTLAND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58132-2023</t>
        </is>
      </c>
      <c r="B492" t="inlineStr">
        <is>
          <t>avverkningsanmälan</t>
        </is>
      </c>
      <c r="C492" t="inlineStr">
        <is>
          <t>Föryngringsavverkning</t>
        </is>
      </c>
      <c r="D492" s="1" t="n">
        <v>45250</v>
      </c>
      <c r="E492" s="1" t="n">
        <v>46241</v>
      </c>
      <c r="F492" t="inlineStr">
        <is>
          <t>GOTLANDS LÄN</t>
        </is>
      </c>
      <c r="G492" t="inlineStr">
        <is>
          <t>GOTLAND</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49884-2023</t>
        </is>
      </c>
      <c r="B493" t="inlineStr">
        <is>
          <t>avverkningsanmälan</t>
        </is>
      </c>
      <c r="C493" t="inlineStr">
        <is>
          <t>Föryngringsavverkning</t>
        </is>
      </c>
      <c r="D493" s="1" t="n">
        <v>45213</v>
      </c>
      <c r="E493" s="1" t="n">
        <v>46241</v>
      </c>
      <c r="F493" t="inlineStr">
        <is>
          <t>GOTLANDS LÄN</t>
        </is>
      </c>
      <c r="G493" t="inlineStr">
        <is>
          <t>GOTLAND</t>
        </is>
      </c>
      <c r="I493" t="n">
        <v>8.9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876-2024</t>
        </is>
      </c>
      <c r="B494" t="inlineStr">
        <is>
          <t>avverkningsanmälan</t>
        </is>
      </c>
      <c r="C494" t="inlineStr">
        <is>
          <t>Avverkning för annat ändamål</t>
        </is>
      </c>
      <c r="D494" s="1" t="n">
        <v>45301</v>
      </c>
      <c r="E494" s="1" t="n">
        <v>46241</v>
      </c>
      <c r="F494" t="inlineStr">
        <is>
          <t>GOTLANDS LÄN</t>
        </is>
      </c>
      <c r="G494" t="inlineStr">
        <is>
          <t>GOTLAND</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22704-2023</t>
        </is>
      </c>
      <c r="B495" t="inlineStr">
        <is>
          <t>avverkningsanmälan</t>
        </is>
      </c>
      <c r="C495" t="inlineStr">
        <is>
          <t>Föryngringsavverkning</t>
        </is>
      </c>
      <c r="D495" s="1" t="n">
        <v>45071</v>
      </c>
      <c r="E495" s="1" t="n">
        <v>46241</v>
      </c>
      <c r="F495" t="inlineStr">
        <is>
          <t>GOTLANDS LÄN</t>
        </is>
      </c>
      <c r="G495" t="inlineStr">
        <is>
          <t>GOTLAND</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28425-2023</t>
        </is>
      </c>
      <c r="B496" t="inlineStr">
        <is>
          <t>avverkningsanmälan</t>
        </is>
      </c>
      <c r="C496" t="inlineStr">
        <is>
          <t>Föryngringsavverkning</t>
        </is>
      </c>
      <c r="D496" s="1" t="n">
        <v>45102</v>
      </c>
      <c r="E496" s="1" t="n">
        <v>46241</v>
      </c>
      <c r="F496" t="inlineStr">
        <is>
          <t>GOTLANDS LÄN</t>
        </is>
      </c>
      <c r="G496" t="inlineStr">
        <is>
          <t>GOTLAND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43223-2023</t>
        </is>
      </c>
      <c r="B497" t="inlineStr">
        <is>
          <t>avverkningsanmälan</t>
        </is>
      </c>
      <c r="C497" t="inlineStr">
        <is>
          <t>Föryngringsavverkning</t>
        </is>
      </c>
      <c r="D497" s="1" t="n">
        <v>45183</v>
      </c>
      <c r="E497" s="1" t="n">
        <v>46241</v>
      </c>
      <c r="F497" t="inlineStr">
        <is>
          <t>GOTLANDS LÄN</t>
        </is>
      </c>
      <c r="G497" t="inlineStr">
        <is>
          <t>GOTLAND</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3431-2025</t>
        </is>
      </c>
      <c r="B498" t="inlineStr">
        <is>
          <t>avverkningsanmälan</t>
        </is>
      </c>
      <c r="C498" t="inlineStr">
        <is>
          <t>Föryngringsavverkning</t>
        </is>
      </c>
      <c r="D498" s="1" t="n">
        <v>45680</v>
      </c>
      <c r="E498" s="1" t="n">
        <v>46241</v>
      </c>
      <c r="F498" t="inlineStr">
        <is>
          <t>GOTLANDS LÄN</t>
        </is>
      </c>
      <c r="G498" t="inlineStr">
        <is>
          <t>GOTLAND</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37202-2024</t>
        </is>
      </c>
      <c r="B499" t="inlineStr">
        <is>
          <t>avverkningsanmälan</t>
        </is>
      </c>
      <c r="C499" t="inlineStr">
        <is>
          <t>Föryngringsavverkning</t>
        </is>
      </c>
      <c r="D499" s="1" t="n">
        <v>45539</v>
      </c>
      <c r="E499" s="1" t="n">
        <v>46241</v>
      </c>
      <c r="F499" t="inlineStr">
        <is>
          <t>GOTLANDS LÄN</t>
        </is>
      </c>
      <c r="G499" t="inlineStr">
        <is>
          <t>GOTLAND</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46527-2023</t>
        </is>
      </c>
      <c r="B500" t="inlineStr">
        <is>
          <t>avverkningsanmälan</t>
        </is>
      </c>
      <c r="C500" t="inlineStr">
        <is>
          <t>Avverkning för annat ändamål</t>
        </is>
      </c>
      <c r="D500" s="1" t="n">
        <v>45197</v>
      </c>
      <c r="E500" s="1" t="n">
        <v>46241</v>
      </c>
      <c r="F500" t="inlineStr">
        <is>
          <t>GOTLANDS LÄN</t>
        </is>
      </c>
      <c r="G500" t="inlineStr">
        <is>
          <t>GOTLAND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2774-2024</t>
        </is>
      </c>
      <c r="B501" t="inlineStr">
        <is>
          <t>avverkningsanmälan</t>
        </is>
      </c>
      <c r="C501" t="inlineStr">
        <is>
          <t>Föryngringsavverkning</t>
        </is>
      </c>
      <c r="D501" s="1" t="n">
        <v>45314</v>
      </c>
      <c r="E501" s="1" t="n">
        <v>46241</v>
      </c>
      <c r="F501" t="inlineStr">
        <is>
          <t>GOTLANDS LÄN</t>
        </is>
      </c>
      <c r="G501" t="inlineStr">
        <is>
          <t>GOTLAND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60709-2023</t>
        </is>
      </c>
      <c r="B502" t="inlineStr">
        <is>
          <t>avverkningsanmälan</t>
        </is>
      </c>
      <c r="C502" t="inlineStr">
        <is>
          <t>Föryngringsavverkning</t>
        </is>
      </c>
      <c r="D502" s="1" t="n">
        <v>45260</v>
      </c>
      <c r="E502" s="1" t="n">
        <v>46241</v>
      </c>
      <c r="F502" t="inlineStr">
        <is>
          <t>GOTLANDS LÄN</t>
        </is>
      </c>
      <c r="G502" t="inlineStr">
        <is>
          <t>GOTLAND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39764-2022</t>
        </is>
      </c>
      <c r="B503" t="inlineStr">
        <is>
          <t>avverkningsanmälan</t>
        </is>
      </c>
      <c r="C503" t="inlineStr">
        <is>
          <t>Föryngringsavverkning</t>
        </is>
      </c>
      <c r="D503" s="1" t="n">
        <v>44819</v>
      </c>
      <c r="E503" s="1" t="n">
        <v>46241</v>
      </c>
      <c r="F503" t="inlineStr">
        <is>
          <t>GOTLANDS LÄN</t>
        </is>
      </c>
      <c r="G503" t="inlineStr">
        <is>
          <t>GOTLAND</t>
        </is>
      </c>
      <c r="H503" t="inlineStr">
        <is>
          <t>Kyrkan</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30956-2024</t>
        </is>
      </c>
      <c r="B504" t="inlineStr">
        <is>
          <t>avverkningsanmälan</t>
        </is>
      </c>
      <c r="C504" t="inlineStr">
        <is>
          <t>Föryngringsavverkning</t>
        </is>
      </c>
      <c r="D504" s="1" t="n">
        <v>45499</v>
      </c>
      <c r="E504" s="1" t="n">
        <v>46241</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30892-2024</t>
        </is>
      </c>
      <c r="B505" t="inlineStr">
        <is>
          <t>avverkningsanmälan</t>
        </is>
      </c>
      <c r="C505" t="inlineStr">
        <is>
          <t>Föryngringsavverkning</t>
        </is>
      </c>
      <c r="D505" s="1" t="n">
        <v>45491</v>
      </c>
      <c r="E505" s="1" t="n">
        <v>46241</v>
      </c>
      <c r="F505" t="inlineStr">
        <is>
          <t>GOTLANDS LÄN</t>
        </is>
      </c>
      <c r="G505" t="inlineStr">
        <is>
          <t>GOTLAND</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14635-2023</t>
        </is>
      </c>
      <c r="B506" t="inlineStr">
        <is>
          <t>avverkningsanmälan</t>
        </is>
      </c>
      <c r="C506" t="inlineStr">
        <is>
          <t>Föryngringsavverkning</t>
        </is>
      </c>
      <c r="D506" s="1" t="n">
        <v>45013</v>
      </c>
      <c r="E506" s="1" t="n">
        <v>46241</v>
      </c>
      <c r="F506" t="inlineStr">
        <is>
          <t>GOTLANDS LÄN</t>
        </is>
      </c>
      <c r="G506" t="inlineStr">
        <is>
          <t>GOTLAND</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59469-2024</t>
        </is>
      </c>
      <c r="B507" t="inlineStr">
        <is>
          <t>avverkningsanmälan</t>
        </is>
      </c>
      <c r="C507" t="inlineStr">
        <is>
          <t>Föryngringsavverkning</t>
        </is>
      </c>
      <c r="D507" s="1" t="n">
        <v>45638</v>
      </c>
      <c r="E507" s="1" t="n">
        <v>46241</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7858-2025</t>
        </is>
      </c>
      <c r="B508" t="inlineStr">
        <is>
          <t>avverkningsanmälan</t>
        </is>
      </c>
      <c r="C508" t="inlineStr">
        <is>
          <t>Föryngringsavverkning</t>
        </is>
      </c>
      <c r="D508" s="1" t="n">
        <v>45706</v>
      </c>
      <c r="E508" s="1" t="n">
        <v>46241</v>
      </c>
      <c r="F508" t="inlineStr">
        <is>
          <t>GOTLANDS LÄN</t>
        </is>
      </c>
      <c r="G508" t="inlineStr">
        <is>
          <t>GOTLAND</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53935-2024</t>
        </is>
      </c>
      <c r="B509" t="inlineStr">
        <is>
          <t>avverkningsanmälan</t>
        </is>
      </c>
      <c r="C509" t="inlineStr">
        <is>
          <t>Föryngringsavverkning</t>
        </is>
      </c>
      <c r="D509" s="1" t="n">
        <v>45615</v>
      </c>
      <c r="E509" s="1" t="n">
        <v>46241</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4420-2025</t>
        </is>
      </c>
      <c r="B510" t="inlineStr">
        <is>
          <t>avverkningsanmälan</t>
        </is>
      </c>
      <c r="C510" t="inlineStr">
        <is>
          <t>Föryngringsavverkning</t>
        </is>
      </c>
      <c r="D510" s="1" t="n">
        <v>45686</v>
      </c>
      <c r="E510" s="1" t="n">
        <v>46241</v>
      </c>
      <c r="F510" t="inlineStr">
        <is>
          <t>GOTLANDS LÄN</t>
        </is>
      </c>
      <c r="G510" t="inlineStr">
        <is>
          <t>GOTLAND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5891-2025</t>
        </is>
      </c>
      <c r="B511" t="inlineStr">
        <is>
          <t>avverkningsanmälan</t>
        </is>
      </c>
      <c r="C511" t="inlineStr">
        <is>
          <t>Föryngringsavverkning</t>
        </is>
      </c>
      <c r="D511" s="1" t="n">
        <v>45695</v>
      </c>
      <c r="E511" s="1" t="n">
        <v>46241</v>
      </c>
      <c r="F511" t="inlineStr">
        <is>
          <t>GOTLANDS LÄN</t>
        </is>
      </c>
      <c r="G511" t="inlineStr">
        <is>
          <t>GOTLAND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7835-2024</t>
        </is>
      </c>
      <c r="B512" t="inlineStr">
        <is>
          <t>avverkningsanmälan</t>
        </is>
      </c>
      <c r="C512" t="inlineStr">
        <is>
          <t>Föryngringsavverkning</t>
        </is>
      </c>
      <c r="D512" s="1" t="n">
        <v>45349</v>
      </c>
      <c r="E512" s="1" t="n">
        <v>46241</v>
      </c>
      <c r="F512" t="inlineStr">
        <is>
          <t>GOTLANDS LÄN</t>
        </is>
      </c>
      <c r="G512" t="inlineStr">
        <is>
          <t>GOTLAND</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21389-2025</t>
        </is>
      </c>
      <c r="B513" t="inlineStr">
        <is>
          <t>avverkningsanmälan</t>
        </is>
      </c>
      <c r="C513" t="inlineStr">
        <is>
          <t>Föryngringsavverkning</t>
        </is>
      </c>
      <c r="D513" s="1" t="n">
        <v>45782</v>
      </c>
      <c r="E513" s="1" t="n">
        <v>46241</v>
      </c>
      <c r="F513" t="inlineStr">
        <is>
          <t>GOTLANDS LÄN</t>
        </is>
      </c>
      <c r="G513" t="inlineStr">
        <is>
          <t>GOTLAND</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57356-2023</t>
        </is>
      </c>
      <c r="B514" t="inlineStr">
        <is>
          <t>avverkningsanmälan</t>
        </is>
      </c>
      <c r="C514" t="inlineStr">
        <is>
          <t>Föryngringsavverkning</t>
        </is>
      </c>
      <c r="D514" s="1" t="n">
        <v>45240</v>
      </c>
      <c r="E514" s="1" t="n">
        <v>46241</v>
      </c>
      <c r="F514" t="inlineStr">
        <is>
          <t>GOTLANDS LÄN</t>
        </is>
      </c>
      <c r="G514" t="inlineStr">
        <is>
          <t>GOTLAND</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10656-2024</t>
        </is>
      </c>
      <c r="B515" t="inlineStr">
        <is>
          <t>avverkningsanmälan</t>
        </is>
      </c>
      <c r="C515" t="inlineStr">
        <is>
          <t>Föryngringsavverkning</t>
        </is>
      </c>
      <c r="D515" s="1" t="n">
        <v>45368</v>
      </c>
      <c r="E515" s="1" t="n">
        <v>46241</v>
      </c>
      <c r="F515" t="inlineStr">
        <is>
          <t>GOTLANDS LÄN</t>
        </is>
      </c>
      <c r="G515" t="inlineStr">
        <is>
          <t>GOTLAND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28506-2023</t>
        </is>
      </c>
      <c r="B516" t="inlineStr">
        <is>
          <t>avverkningsanmälan</t>
        </is>
      </c>
      <c r="C516" t="inlineStr">
        <is>
          <t>Avverkning för annat ändamål</t>
        </is>
      </c>
      <c r="D516" s="1" t="n">
        <v>45103</v>
      </c>
      <c r="E516" s="1" t="n">
        <v>46241</v>
      </c>
      <c r="F516" t="inlineStr">
        <is>
          <t>GOTLANDS LÄN</t>
        </is>
      </c>
      <c r="G516" t="inlineStr">
        <is>
          <t>GOTLAND</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21420-2024</t>
        </is>
      </c>
      <c r="B517" t="inlineStr">
        <is>
          <t>avverkningsanmälan</t>
        </is>
      </c>
      <c r="C517" t="inlineStr">
        <is>
          <t>Föryngringsavverkning</t>
        </is>
      </c>
      <c r="D517" s="1" t="n">
        <v>45441</v>
      </c>
      <c r="E517" s="1" t="n">
        <v>46241</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23188-2025</t>
        </is>
      </c>
      <c r="B518" t="inlineStr">
        <is>
          <t>avverkningsanmälan</t>
        </is>
      </c>
      <c r="C518" t="inlineStr">
        <is>
          <t>Avverkning för annat ändamål</t>
        </is>
      </c>
      <c r="D518" s="1" t="n">
        <v>45791</v>
      </c>
      <c r="E518" s="1" t="n">
        <v>46241</v>
      </c>
      <c r="F518" t="inlineStr">
        <is>
          <t>GOTLANDS LÄN</t>
        </is>
      </c>
      <c r="G518" t="inlineStr">
        <is>
          <t>GOTLAND</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15073-2025</t>
        </is>
      </c>
      <c r="B519" t="inlineStr">
        <is>
          <t>avverkningsanmälan</t>
        </is>
      </c>
      <c r="C519" t="inlineStr">
        <is>
          <t>Avverkning för annat ändamål</t>
        </is>
      </c>
      <c r="D519" s="1" t="n">
        <v>45743</v>
      </c>
      <c r="E519" s="1" t="n">
        <v>46241</v>
      </c>
      <c r="F519" t="inlineStr">
        <is>
          <t>GOTLANDS LÄN</t>
        </is>
      </c>
      <c r="G519" t="inlineStr">
        <is>
          <t>GOTLAND</t>
        </is>
      </c>
      <c r="I519" t="n">
        <v>12.1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6749-2025</t>
        </is>
      </c>
      <c r="B520" t="inlineStr">
        <is>
          <t>avverkningsanmälan</t>
        </is>
      </c>
      <c r="C520" t="inlineStr">
        <is>
          <t>Föryngringsavverkning</t>
        </is>
      </c>
      <c r="D520" s="1" t="n">
        <v>45700</v>
      </c>
      <c r="E520" s="1" t="n">
        <v>46241</v>
      </c>
      <c r="F520" t="inlineStr">
        <is>
          <t>GOTLANDS LÄN</t>
        </is>
      </c>
      <c r="G520" t="inlineStr">
        <is>
          <t>GOTLAND</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23698-2025</t>
        </is>
      </c>
      <c r="B521" t="inlineStr">
        <is>
          <t>avverkningsanmälan</t>
        </is>
      </c>
      <c r="C521" t="inlineStr">
        <is>
          <t>Föryngringsavverkning</t>
        </is>
      </c>
      <c r="D521" s="1" t="n">
        <v>45793</v>
      </c>
      <c r="E521" s="1" t="n">
        <v>46241</v>
      </c>
      <c r="F521" t="inlineStr">
        <is>
          <t>GOTLANDS LÄN</t>
        </is>
      </c>
      <c r="G521" t="inlineStr">
        <is>
          <t>GOTLAND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5462-2025</t>
        </is>
      </c>
      <c r="B522" t="inlineStr">
        <is>
          <t>avverkningsanmälan</t>
        </is>
      </c>
      <c r="C522" t="inlineStr">
        <is>
          <t>Föryngringsavverkning</t>
        </is>
      </c>
      <c r="D522" s="1" t="n">
        <v>45693</v>
      </c>
      <c r="E522" s="1" t="n">
        <v>46241</v>
      </c>
      <c r="F522" t="inlineStr">
        <is>
          <t>GOTLANDS LÄN</t>
        </is>
      </c>
      <c r="G522" t="inlineStr">
        <is>
          <t>GOTLAND</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7850-2025</t>
        </is>
      </c>
      <c r="B523" t="inlineStr">
        <is>
          <t>avverkningsanmälan</t>
        </is>
      </c>
      <c r="C523" t="inlineStr">
        <is>
          <t>Föryngringsavverkning</t>
        </is>
      </c>
      <c r="D523" s="1" t="n">
        <v>45706</v>
      </c>
      <c r="E523" s="1" t="n">
        <v>46241</v>
      </c>
      <c r="F523" t="inlineStr">
        <is>
          <t>GOTLANDS LÄN</t>
        </is>
      </c>
      <c r="G523" t="inlineStr">
        <is>
          <t>GOTLAND</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8444-2025</t>
        </is>
      </c>
      <c r="B524" t="inlineStr">
        <is>
          <t>avverkningsanmälan</t>
        </is>
      </c>
      <c r="C524" t="inlineStr">
        <is>
          <t>Föryngringsavverkning</t>
        </is>
      </c>
      <c r="D524" s="1" t="n">
        <v>45709</v>
      </c>
      <c r="E524" s="1" t="n">
        <v>46241</v>
      </c>
      <c r="F524" t="inlineStr">
        <is>
          <t>GOTLANDS LÄN</t>
        </is>
      </c>
      <c r="G524" t="inlineStr">
        <is>
          <t>GOTLAND</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29196-2025</t>
        </is>
      </c>
      <c r="B525" t="inlineStr">
        <is>
          <t>avverkningsanmälan</t>
        </is>
      </c>
      <c r="C525" t="inlineStr">
        <is>
          <t>Föryngringsavverkning</t>
        </is>
      </c>
      <c r="D525" s="1" t="n">
        <v>45822</v>
      </c>
      <c r="E525" s="1" t="n">
        <v>46241</v>
      </c>
      <c r="F525" t="inlineStr">
        <is>
          <t>GOTLANDS LÄN</t>
        </is>
      </c>
      <c r="G525" t="inlineStr">
        <is>
          <t>GOTLAND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30061-2025</t>
        </is>
      </c>
      <c r="B526" t="inlineStr">
        <is>
          <t>avverkningsanmälan</t>
        </is>
      </c>
      <c r="C526" t="inlineStr">
        <is>
          <t>Föryngringsavverkning</t>
        </is>
      </c>
      <c r="D526" s="1" t="n">
        <v>45826</v>
      </c>
      <c r="E526" s="1" t="n">
        <v>46241</v>
      </c>
      <c r="F526" t="inlineStr">
        <is>
          <t>GOTLANDS LÄN</t>
        </is>
      </c>
      <c r="G526" t="inlineStr">
        <is>
          <t>GOTLAND</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58160-2024</t>
        </is>
      </c>
      <c r="B527" t="inlineStr">
        <is>
          <t>avverkningsanmälan</t>
        </is>
      </c>
      <c r="C527" t="inlineStr">
        <is>
          <t>Föryngringsavverkning</t>
        </is>
      </c>
      <c r="D527" s="1" t="n">
        <v>45632</v>
      </c>
      <c r="E527" s="1" t="n">
        <v>46241</v>
      </c>
      <c r="F527" t="inlineStr">
        <is>
          <t>GOTLANDS LÄN</t>
        </is>
      </c>
      <c r="G527" t="inlineStr">
        <is>
          <t>GOTLAND</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16109-2025</t>
        </is>
      </c>
      <c r="B528" t="inlineStr">
        <is>
          <t>avverkningsanmälan</t>
        </is>
      </c>
      <c r="C528" t="inlineStr">
        <is>
          <t>Avverkning för annat ändamål</t>
        </is>
      </c>
      <c r="D528" s="1" t="n">
        <v>45750</v>
      </c>
      <c r="E528" s="1" t="n">
        <v>46241</v>
      </c>
      <c r="F528" t="inlineStr">
        <is>
          <t>GOTLANDS LÄN</t>
        </is>
      </c>
      <c r="G528" t="inlineStr">
        <is>
          <t>GOTLAND</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35123-2025</t>
        </is>
      </c>
      <c r="B529" t="inlineStr">
        <is>
          <t>avverkningsanmälan</t>
        </is>
      </c>
      <c r="C529" t="inlineStr">
        <is>
          <t>Föryngringsavverkning</t>
        </is>
      </c>
      <c r="D529" s="1" t="n">
        <v>45852</v>
      </c>
      <c r="E529" s="1" t="n">
        <v>46241</v>
      </c>
      <c r="F529" t="inlineStr">
        <is>
          <t>GOTLANDS LÄN</t>
        </is>
      </c>
      <c r="G529" t="inlineStr">
        <is>
          <t>GOTLAND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32669-2024</t>
        </is>
      </c>
      <c r="B530" t="inlineStr">
        <is>
          <t>avverkningsanmälan</t>
        </is>
      </c>
      <c r="C530" t="inlineStr">
        <is>
          <t>Föryngringsavverkning</t>
        </is>
      </c>
      <c r="D530" s="1" t="n">
        <v>45514</v>
      </c>
      <c r="E530" s="1" t="n">
        <v>46241</v>
      </c>
      <c r="F530" t="inlineStr">
        <is>
          <t>GOTLANDS LÄN</t>
        </is>
      </c>
      <c r="G530" t="inlineStr">
        <is>
          <t>GOTLAND</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1331-2024</t>
        </is>
      </c>
      <c r="B531" t="inlineStr">
        <is>
          <t>samrådsanmälan</t>
        </is>
      </c>
      <c r="C531" t="inlineStr">
        <is>
          <t>Annan skogsbruksåtgärd</t>
        </is>
      </c>
      <c r="D531" s="1" t="n">
        <v>45406</v>
      </c>
      <c r="E531" s="1" t="n">
        <v>46241</v>
      </c>
      <c r="F531" t="inlineStr">
        <is>
          <t>GOTLANDS LÄN</t>
        </is>
      </c>
      <c r="G531" t="inlineStr">
        <is>
          <t>GOTLAND</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537-2024</t>
        </is>
      </c>
      <c r="B532" t="inlineStr">
        <is>
          <t>samrådsanmälan</t>
        </is>
      </c>
      <c r="C532" t="inlineStr">
        <is>
          <t>Annan skogsbruksåtgärd</t>
        </is>
      </c>
      <c r="D532" s="1" t="n">
        <v>45350</v>
      </c>
      <c r="E532" s="1" t="n">
        <v>46241</v>
      </c>
      <c r="F532" t="inlineStr">
        <is>
          <t>GOTLANDS LÄN</t>
        </is>
      </c>
      <c r="G532" t="inlineStr">
        <is>
          <t>GOTLAND</t>
        </is>
      </c>
      <c r="I532" t="n">
        <v>18.9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3545-2023</t>
        </is>
      </c>
      <c r="B533" t="inlineStr">
        <is>
          <t>samrådsanmälan</t>
        </is>
      </c>
      <c r="C533" t="inlineStr">
        <is>
          <t>Annan skogsbruksåtgärd</t>
        </is>
      </c>
      <c r="D533" s="1" t="n">
        <v>45209</v>
      </c>
      <c r="E533" s="1" t="n">
        <v>46241</v>
      </c>
      <c r="F533" t="inlineStr">
        <is>
          <t>GOTLANDS LÄN</t>
        </is>
      </c>
      <c r="G533" t="inlineStr">
        <is>
          <t>GOTLAND</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5746-2022</t>
        </is>
      </c>
      <c r="B534" t="inlineStr">
        <is>
          <t>samrådsanmälan</t>
        </is>
      </c>
      <c r="C534" t="inlineStr">
        <is>
          <t>Annan skogsbruksåtgärd</t>
        </is>
      </c>
      <c r="D534" s="1" t="n">
        <v>44846</v>
      </c>
      <c r="E534" s="1" t="n">
        <v>46241</v>
      </c>
      <c r="F534" t="inlineStr">
        <is>
          <t>GOTLANDS LÄN</t>
        </is>
      </c>
      <c r="G534" t="inlineStr">
        <is>
          <t>GOTLAND</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1077-2024</t>
        </is>
      </c>
      <c r="B535" t="inlineStr">
        <is>
          <t>samrådsanmälan</t>
        </is>
      </c>
      <c r="C535" t="inlineStr">
        <is>
          <t>Annan skogsbruksåtgärd</t>
        </is>
      </c>
      <c r="D535" s="1" t="n">
        <v>45390</v>
      </c>
      <c r="E535" s="1" t="n">
        <v>46241</v>
      </c>
      <c r="F535" t="inlineStr">
        <is>
          <t>GOTLANDS LÄN</t>
        </is>
      </c>
      <c r="G535" t="inlineStr">
        <is>
          <t>GOTLAND</t>
        </is>
      </c>
      <c r="I535" t="n">
        <v>7.8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3900-2023</t>
        </is>
      </c>
      <c r="B536" t="inlineStr">
        <is>
          <t>samrådsanmälan</t>
        </is>
      </c>
      <c r="C536" t="inlineStr">
        <is>
          <t>Annan skogsbruksåtgärd</t>
        </is>
      </c>
      <c r="D536" s="1" t="n">
        <v>45237</v>
      </c>
      <c r="E536" s="1" t="n">
        <v>46241</v>
      </c>
      <c r="F536" t="inlineStr">
        <is>
          <t>GOTLANDS LÄN</t>
        </is>
      </c>
      <c r="G536" t="inlineStr">
        <is>
          <t>GOTLAND</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5133-2024</t>
        </is>
      </c>
      <c r="B537" t="inlineStr">
        <is>
          <t>samrådsanmälan</t>
        </is>
      </c>
      <c r="C537" t="inlineStr">
        <is>
          <t>Annan skogsbruksåtgärd</t>
        </is>
      </c>
      <c r="D537" s="1" t="n">
        <v>45645</v>
      </c>
      <c r="E537" s="1" t="n">
        <v>46241</v>
      </c>
      <c r="F537" t="inlineStr">
        <is>
          <t>GOTLANDS LÄN</t>
        </is>
      </c>
      <c r="G537" t="inlineStr">
        <is>
          <t>GOTLAND</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1436-2025</t>
        </is>
      </c>
      <c r="B538" t="inlineStr">
        <is>
          <t>samrådsanmälan</t>
        </is>
      </c>
      <c r="C538" t="inlineStr">
        <is>
          <t>Annan skogsbruksåtgärd</t>
        </is>
      </c>
      <c r="D538" s="1" t="n">
        <v>45784</v>
      </c>
      <c r="E538" s="1" t="n">
        <v>46241</v>
      </c>
      <c r="F538" t="inlineStr">
        <is>
          <t>GOTLANDS LÄN</t>
        </is>
      </c>
      <c r="G538" t="inlineStr">
        <is>
          <t>GOTLAND</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2281-2025</t>
        </is>
      </c>
      <c r="B539" t="inlineStr">
        <is>
          <t>samrådsanmälan</t>
        </is>
      </c>
      <c r="C539" t="inlineStr">
        <is>
          <t>Annan skogsbruksåtgärd</t>
        </is>
      </c>
      <c r="D539" s="1" t="n">
        <v>45876</v>
      </c>
      <c r="E539" s="1" t="n">
        <v>46241</v>
      </c>
      <c r="F539" t="inlineStr">
        <is>
          <t>GOTLANDS LÄN</t>
        </is>
      </c>
      <c r="G539" t="inlineStr">
        <is>
          <t>GOTLAND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1192-2026</t>
        </is>
      </c>
      <c r="B540" t="inlineStr">
        <is>
          <t>samrådsanmälan</t>
        </is>
      </c>
      <c r="C540" t="inlineStr">
        <is>
          <t>Annan skogsbruksåtgärd</t>
        </is>
      </c>
      <c r="D540" s="1" t="n">
        <v>46139</v>
      </c>
      <c r="E540" s="1" t="n">
        <v>46241</v>
      </c>
      <c r="F540" t="inlineStr">
        <is>
          <t>GOTLANDS LÄN</t>
        </is>
      </c>
      <c r="G540" t="inlineStr">
        <is>
          <t>GOTLAND</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752-2025</t>
        </is>
      </c>
      <c r="B541" t="inlineStr">
        <is>
          <t>samrådsanmälan</t>
        </is>
      </c>
      <c r="C541" t="inlineStr">
        <is>
          <t>Annan skogsbruksåtgärd</t>
        </is>
      </c>
      <c r="D541" s="1" t="n">
        <v>45726</v>
      </c>
      <c r="E541" s="1" t="n">
        <v>46241</v>
      </c>
      <c r="F541" t="inlineStr">
        <is>
          <t>GOTLANDS LÄN</t>
        </is>
      </c>
      <c r="G541" t="inlineStr">
        <is>
          <t>GOTLAND</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1330-2026</t>
        </is>
      </c>
      <c r="B542" t="inlineStr">
        <is>
          <t>samrådsanmälan</t>
        </is>
      </c>
      <c r="C542" t="inlineStr">
        <is>
          <t>Annan skogsbruksåtgärd</t>
        </is>
      </c>
      <c r="D542" s="1" t="n">
        <v>46149</v>
      </c>
      <c r="E542" s="1" t="n">
        <v>46241</v>
      </c>
      <c r="F542" t="inlineStr">
        <is>
          <t>GOTLANDS LÄN</t>
        </is>
      </c>
      <c r="G542" t="inlineStr">
        <is>
          <t>GOTLAND</t>
        </is>
      </c>
      <c r="I542" t="n">
        <v>7.5</v>
      </c>
      <c r="J542" t="n">
        <v>0</v>
      </c>
      <c r="K542" t="n">
        <v>0</v>
      </c>
      <c r="L542" t="n">
        <v>0</v>
      </c>
      <c r="M542" t="n">
        <v>0</v>
      </c>
      <c r="N542" t="n">
        <v>0</v>
      </c>
      <c r="O542" t="n">
        <v>0</v>
      </c>
      <c r="P542" t="n">
        <v>0</v>
      </c>
      <c r="Q542" t="n">
        <v>0</v>
      </c>
      <c r="R542" t="n">
        <v>0</v>
      </c>
      <c r="S542" t="n">
        <v>0</v>
      </c>
      <c r="T542" t="n">
        <v>0</v>
      </c>
      <c r="U542" t="n">
        <v>0</v>
      </c>
      <c r="V542" s="2" t="inlineStr"/>
    </row>
    <row r="543">
      <c r="A543" t="inlineStr">
        <is>
          <t>S 2064-2026</t>
        </is>
      </c>
      <c r="B543" t="inlineStr">
        <is>
          <t>samrådsanmälan</t>
        </is>
      </c>
      <c r="C543" t="inlineStr">
        <is>
          <t>Annan skogsbruksåtgärd</t>
        </is>
      </c>
      <c r="D543" s="1" t="n">
        <v>46226</v>
      </c>
      <c r="E543" s="1" t="n">
        <v>46241</v>
      </c>
      <c r="F543" t="inlineStr">
        <is>
          <t>GOTLANDS LÄN</t>
        </is>
      </c>
      <c r="G543" t="inlineStr">
        <is>
          <t>GOTLAND</t>
        </is>
      </c>
      <c r="I543" t="n">
        <v>0.4</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2026-08-07T01:53:17Z</dcterms:created>
  <dcterms:modified xmlns:dcterms="http://purl.org/dc/terms/" xmlns:xsi="http://www.w3.org/2001/XMLSchema-instance" xsi:type="dcterms:W3CDTF">2026-08-07T01:53:18Z</dcterms:modified>
</cp:coreProperties>
</file>