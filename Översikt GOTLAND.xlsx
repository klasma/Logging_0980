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46131</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46131</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46131</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46131</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46131</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46131</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46131</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46131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46131</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46131</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46131</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46131</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46131</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46131</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46131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46131</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46131</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46131</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46131</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46131</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46131</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46131</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46131</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46131</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46131</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46131</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46131</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46131</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46131</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46131</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46131</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46131</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46131</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46131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46131</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46131</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46131</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46131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46131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46131</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46131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46131</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46131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46131</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46131</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46131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46131</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46131</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46131</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46131</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46131</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46131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46131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46131</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46131</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46131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46131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46131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46131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46131</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46131</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46131</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46131</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46131</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46131</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46131</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52245-2025</t>
        </is>
      </c>
      <c r="B82" s="1" t="n">
        <v>45953.47115740741</v>
      </c>
      <c r="C82" s="1" t="n">
        <v>46131</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39425-2023</t>
        </is>
      </c>
      <c r="B83" s="1" t="n">
        <v>45166</v>
      </c>
      <c r="C83" s="1" t="n">
        <v>46131</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46131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10274-2026</t>
        </is>
      </c>
      <c r="B85" s="1" t="n">
        <v>46076.58261574074</v>
      </c>
      <c r="C85" s="1" t="n">
        <v>46131</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2213-2023</t>
        </is>
      </c>
      <c r="B86" s="1" t="n">
        <v>44942</v>
      </c>
      <c r="C86" s="1" t="n">
        <v>46131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46131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46131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46131</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46131</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46131</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46131</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46131</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46131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46131</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46131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46131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46131</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13203-2026</t>
        </is>
      </c>
      <c r="B99" s="1" t="n">
        <v>46093</v>
      </c>
      <c r="C99" s="1" t="n">
        <v>46131</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46131</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2485-2025</t>
        </is>
      </c>
      <c r="B101" s="1" t="n">
        <v>45673</v>
      </c>
      <c r="C101" s="1" t="n">
        <v>46131</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46131</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46131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46131</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46131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46131</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55334-2024</t>
        </is>
      </c>
      <c r="B109" s="1" t="n">
        <v>45621</v>
      </c>
      <c r="C109" s="1" t="n">
        <v>46131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46131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49709-2025</t>
        </is>
      </c>
      <c r="B111" s="1" t="n">
        <v>45939.68228009259</v>
      </c>
      <c r="C111" s="1" t="n">
        <v>46131</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46131</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46131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46131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46131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46131</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46131</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46131</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46131</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73144-2021</t>
        </is>
      </c>
      <c r="B121" s="1" t="n">
        <v>44550</v>
      </c>
      <c r="C121" s="1" t="n">
        <v>46131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46131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46131</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46131</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21879-2025</t>
        </is>
      </c>
      <c r="B126" s="1" t="n">
        <v>45784.40533564815</v>
      </c>
      <c r="C126" s="1" t="n">
        <v>46131</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26077-2024</t>
        </is>
      </c>
      <c r="B127" s="1" t="n">
        <v>45467</v>
      </c>
      <c r="C127" s="1" t="n">
        <v>46131</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46131</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46131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46131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46131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46131</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63162-2025</t>
        </is>
      </c>
      <c r="B133" s="1" t="n">
        <v>46010.37629629629</v>
      </c>
      <c r="C133" s="1" t="n">
        <v>46131</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16997-2026</t>
        </is>
      </c>
      <c r="B134" s="1" t="n">
        <v>46114.42539351852</v>
      </c>
      <c r="C134" s="1" t="n">
        <v>46131</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43219-2023</t>
        </is>
      </c>
      <c r="B135" s="1" t="n">
        <v>45183</v>
      </c>
      <c r="C135" s="1" t="n">
        <v>46131</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46131</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46131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46131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46131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46131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46131</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46131</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21466-2025</t>
        </is>
      </c>
      <c r="B143" s="1" t="n">
        <v>45782</v>
      </c>
      <c r="C143" s="1" t="n">
        <v>46131</v>
      </c>
      <c r="D143" t="inlineStr">
        <is>
          <t>GOTLANDS LÄN</t>
        </is>
      </c>
      <c r="E143" t="inlineStr">
        <is>
          <t>GOTLAND</t>
        </is>
      </c>
      <c r="F143" t="inlineStr">
        <is>
          <t>Övriga statliga verk och myndigheter</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HYPERLINK("https://klasma.github.io/Logging_0980/artfynd/A 21466-2025 artfynd.xlsx", "A 21466-2025")</f>
        <v/>
      </c>
      <c r="T143">
        <f>HYPERLINK("https://klasma.github.io/Logging_0980/kartor/A 21466-2025 karta.png", "A 21466-2025")</f>
        <v/>
      </c>
      <c r="V143">
        <f>HYPERLINK("https://klasma.github.io/Logging_0980/klagomål/A 21466-2025 FSC-klagomål.docx", "A 21466-2025")</f>
        <v/>
      </c>
      <c r="W143">
        <f>HYPERLINK("https://klasma.github.io/Logging_0980/klagomålsmail/A 21466-2025 FSC-klagomål mail.docx", "A 21466-2025")</f>
        <v/>
      </c>
      <c r="X143">
        <f>HYPERLINK("https://klasma.github.io/Logging_0980/tillsyn/A 21466-2025 tillsynsbegäran.docx", "A 21466-2025")</f>
        <v/>
      </c>
      <c r="Y143">
        <f>HYPERLINK("https://klasma.github.io/Logging_0980/tillsynsmail/A 21466-2025 tillsynsbegäran mail.docx", "A 21466-2025")</f>
        <v/>
      </c>
    </row>
    <row r="144" ht="15" customHeight="1">
      <c r="A144" t="inlineStr">
        <is>
          <t>A 10440-2024</t>
        </is>
      </c>
      <c r="B144" s="1" t="n">
        <v>45366.32818287037</v>
      </c>
      <c r="C144" s="1" t="n">
        <v>46131</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44304-2021</t>
        </is>
      </c>
      <c r="B145" s="1" t="n">
        <v>44434</v>
      </c>
      <c r="C145" s="1" t="n">
        <v>46131</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39812-2025</t>
        </is>
      </c>
      <c r="B146" s="1" t="n">
        <v>45891</v>
      </c>
      <c r="C146" s="1" t="n">
        <v>46131</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25977-2024</t>
        </is>
      </c>
      <c r="B147" s="1" t="n">
        <v>45467.69356481481</v>
      </c>
      <c r="C147" s="1" t="n">
        <v>46131</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46131</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46131</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46131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46131</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61796-2022</t>
        </is>
      </c>
      <c r="B152" s="1" t="n">
        <v>44917</v>
      </c>
      <c r="C152" s="1" t="n">
        <v>46131</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46131</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49726-2025</t>
        </is>
      </c>
      <c r="B154" s="1" t="n">
        <v>45939.84466435185</v>
      </c>
      <c r="C154" s="1" t="n">
        <v>46131</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34141-2024</t>
        </is>
      </c>
      <c r="B155" s="1" t="n">
        <v>45524.36229166666</v>
      </c>
      <c r="C155" s="1" t="n">
        <v>46131</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46131</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46131</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10995-2023</t>
        </is>
      </c>
      <c r="B158" s="1" t="n">
        <v>44986</v>
      </c>
      <c r="C158" s="1" t="n">
        <v>46131</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12924-2025</t>
        </is>
      </c>
      <c r="B159" s="1" t="n">
        <v>45734</v>
      </c>
      <c r="C159" s="1" t="n">
        <v>46131</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46131</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46131</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46131</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46131</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46131</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46131</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63576-2021</t>
        </is>
      </c>
      <c r="B166" s="1" t="n">
        <v>44508</v>
      </c>
      <c r="C166" s="1" t="n">
        <v>46131</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64700-2021</t>
        </is>
      </c>
      <c r="B167" s="1" t="n">
        <v>44511</v>
      </c>
      <c r="C167" s="1" t="n">
        <v>46131</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27589-2023</t>
        </is>
      </c>
      <c r="B168" s="1" t="n">
        <v>45097</v>
      </c>
      <c r="C168" s="1" t="n">
        <v>46131</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46131</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46131</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46131</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13482-2026</t>
        </is>
      </c>
      <c r="B172" s="1" t="n">
        <v>46094</v>
      </c>
      <c r="C172" s="1" t="n">
        <v>46131</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6303-2024</t>
        </is>
      </c>
      <c r="B173" s="1" t="n">
        <v>45338.35376157407</v>
      </c>
      <c r="C173" s="1" t="n">
        <v>46131</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34809-2024</t>
        </is>
      </c>
      <c r="B174" s="1" t="n">
        <v>45526</v>
      </c>
      <c r="C174" s="1" t="n">
        <v>46131</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63149-2025</t>
        </is>
      </c>
      <c r="B175" s="1" t="n">
        <v>46010</v>
      </c>
      <c r="C175" s="1" t="n">
        <v>46131</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10013-2026</t>
        </is>
      </c>
      <c r="B176" s="1" t="n">
        <v>46073</v>
      </c>
      <c r="C176" s="1" t="n">
        <v>46131</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17854-2026</t>
        </is>
      </c>
      <c r="B177" s="1" t="n">
        <v>46121</v>
      </c>
      <c r="C177" s="1" t="n">
        <v>46131</v>
      </c>
      <c r="D177" t="inlineStr">
        <is>
          <t>GOTLANDS LÄN</t>
        </is>
      </c>
      <c r="E177" t="inlineStr">
        <is>
          <t>GOTLAND</t>
        </is>
      </c>
      <c r="G177" t="n">
        <v>6.6</v>
      </c>
      <c r="H177" t="n">
        <v>0</v>
      </c>
      <c r="I177" t="n">
        <v>1</v>
      </c>
      <c r="J177" t="n">
        <v>0</v>
      </c>
      <c r="K177" t="n">
        <v>0</v>
      </c>
      <c r="L177" t="n">
        <v>0</v>
      </c>
      <c r="M177" t="n">
        <v>0</v>
      </c>
      <c r="N177" t="n">
        <v>0</v>
      </c>
      <c r="O177" t="n">
        <v>0</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46125.39576388889</v>
      </c>
      <c r="C178" s="1" t="n">
        <v>46131</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11708-2026</t>
        </is>
      </c>
      <c r="B179" s="1" t="n">
        <v>46084</v>
      </c>
      <c r="C179" s="1" t="n">
        <v>46131</v>
      </c>
      <c r="D179" t="inlineStr">
        <is>
          <t>GOTLANDS LÄN</t>
        </is>
      </c>
      <c r="E179" t="inlineStr">
        <is>
          <t>GOTLAND</t>
        </is>
      </c>
      <c r="G179" t="n">
        <v>8.4</v>
      </c>
      <c r="H179" t="n">
        <v>1</v>
      </c>
      <c r="I179" t="n">
        <v>0</v>
      </c>
      <c r="J179" t="n">
        <v>1</v>
      </c>
      <c r="K179" t="n">
        <v>0</v>
      </c>
      <c r="L179" t="n">
        <v>0</v>
      </c>
      <c r="M179" t="n">
        <v>0</v>
      </c>
      <c r="N179" t="n">
        <v>0</v>
      </c>
      <c r="O179" t="n">
        <v>1</v>
      </c>
      <c r="P179" t="n">
        <v>0</v>
      </c>
      <c r="Q179" t="n">
        <v>1</v>
      </c>
      <c r="R179" s="2" t="inlineStr">
        <is>
          <t>Bredarun</t>
        </is>
      </c>
      <c r="S179">
        <f>HYPERLINK("https://klasma.github.io/Logging_0980/artfynd/A 11708-2026 artfynd.xlsx", "A 11708-2026")</f>
        <v/>
      </c>
      <c r="T179">
        <f>HYPERLINK("https://klasma.github.io/Logging_0980/kartor/A 11708-2026 karta.png", "A 11708-2026")</f>
        <v/>
      </c>
      <c r="V179">
        <f>HYPERLINK("https://klasma.github.io/Logging_0980/klagomål/A 11708-2026 FSC-klagomål.docx", "A 11708-2026")</f>
        <v/>
      </c>
      <c r="W179">
        <f>HYPERLINK("https://klasma.github.io/Logging_0980/klagomålsmail/A 11708-2026 FSC-klagomål mail.docx", "A 11708-2026")</f>
        <v/>
      </c>
      <c r="X179">
        <f>HYPERLINK("https://klasma.github.io/Logging_0980/tillsyn/A 11708-2026 tillsynsbegäran.docx", "A 11708-2026")</f>
        <v/>
      </c>
      <c r="Y179">
        <f>HYPERLINK("https://klasma.github.io/Logging_0980/tillsynsmail/A 11708-2026 tillsynsbegäran mail.docx", "A 11708-2026")</f>
        <v/>
      </c>
    </row>
    <row r="180" ht="15" customHeight="1">
      <c r="A180" t="inlineStr">
        <is>
          <t>A 61561-2023</t>
        </is>
      </c>
      <c r="B180" s="1" t="n">
        <v>45265</v>
      </c>
      <c r="C180" s="1" t="n">
        <v>46131</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46131</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46131</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46131</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46131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46131</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46131</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46131</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19901-2021</t>
        </is>
      </c>
      <c r="B188" s="1" t="n">
        <v>44312</v>
      </c>
      <c r="C188" s="1" t="n">
        <v>46131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46131</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46131</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46131</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46131</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46131</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46131</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46131</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46131</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46131</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46131</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46131</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46131</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46131</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46131</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46131</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46131</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46131</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46131</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46131</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46131</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46131</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46131</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46131</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46131</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46131</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46131</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46131</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46131</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46131</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46131</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46131</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46131</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46131</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5751-2024</t>
        </is>
      </c>
      <c r="B228" s="1" t="n">
        <v>45335.32702546296</v>
      </c>
      <c r="C228" s="1" t="n">
        <v>46131</v>
      </c>
      <c r="D228" t="inlineStr">
        <is>
          <t>GOTLANDS LÄN</t>
        </is>
      </c>
      <c r="E228" t="inlineStr">
        <is>
          <t>GOTLAND</t>
        </is>
      </c>
      <c r="G228" t="n">
        <v>4.2</v>
      </c>
      <c r="H228" t="n">
        <v>0</v>
      </c>
      <c r="I228" t="n">
        <v>0</v>
      </c>
      <c r="J228" t="n">
        <v>0</v>
      </c>
      <c r="K228" t="n">
        <v>0</v>
      </c>
      <c r="L228" t="n">
        <v>0</v>
      </c>
      <c r="M228" t="n">
        <v>0</v>
      </c>
      <c r="N228" t="n">
        <v>0</v>
      </c>
      <c r="O228" t="n">
        <v>0</v>
      </c>
      <c r="P228" t="n">
        <v>0</v>
      </c>
      <c r="Q228" t="n">
        <v>0</v>
      </c>
      <c r="R228" s="2" t="inlineStr"/>
    </row>
    <row r="229" ht="15" customHeight="1">
      <c r="A229" t="inlineStr">
        <is>
          <t>A 9613-2025</t>
        </is>
      </c>
      <c r="B229" s="1" t="n">
        <v>45715</v>
      </c>
      <c r="C229" s="1" t="n">
        <v>46131</v>
      </c>
      <c r="D229" t="inlineStr">
        <is>
          <t>GOTLANDS LÄN</t>
        </is>
      </c>
      <c r="E229" t="inlineStr">
        <is>
          <t>GOTLAND</t>
        </is>
      </c>
      <c r="G229" t="n">
        <v>3.5</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46131</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24966-2023</t>
        </is>
      </c>
      <c r="B231" s="1" t="n">
        <v>45085</v>
      </c>
      <c r="C231" s="1" t="n">
        <v>46131</v>
      </c>
      <c r="D231" t="inlineStr">
        <is>
          <t>GOTLANDS LÄN</t>
        </is>
      </c>
      <c r="E231" t="inlineStr">
        <is>
          <t>GOTLAND</t>
        </is>
      </c>
      <c r="G231" t="n">
        <v>7</v>
      </c>
      <c r="H231" t="n">
        <v>0</v>
      </c>
      <c r="I231" t="n">
        <v>0</v>
      </c>
      <c r="J231" t="n">
        <v>0</v>
      </c>
      <c r="K231" t="n">
        <v>0</v>
      </c>
      <c r="L231" t="n">
        <v>0</v>
      </c>
      <c r="M231" t="n">
        <v>0</v>
      </c>
      <c r="N231" t="n">
        <v>0</v>
      </c>
      <c r="O231" t="n">
        <v>0</v>
      </c>
      <c r="P231" t="n">
        <v>0</v>
      </c>
      <c r="Q231" t="n">
        <v>0</v>
      </c>
      <c r="R231" s="2" t="inlineStr"/>
    </row>
    <row r="232" ht="15" customHeight="1">
      <c r="A232" t="inlineStr">
        <is>
          <t>A 46189-2022</t>
        </is>
      </c>
      <c r="B232" s="1" t="n">
        <v>44847</v>
      </c>
      <c r="C232" s="1" t="n">
        <v>46131</v>
      </c>
      <c r="D232" t="inlineStr">
        <is>
          <t>GOTLANDS LÄN</t>
        </is>
      </c>
      <c r="E232" t="inlineStr">
        <is>
          <t>GOTLAND</t>
        </is>
      </c>
      <c r="G232" t="n">
        <v>0.4</v>
      </c>
      <c r="H232" t="n">
        <v>0</v>
      </c>
      <c r="I232" t="n">
        <v>0</v>
      </c>
      <c r="J232" t="n">
        <v>0</v>
      </c>
      <c r="K232" t="n">
        <v>0</v>
      </c>
      <c r="L232" t="n">
        <v>0</v>
      </c>
      <c r="M232" t="n">
        <v>0</v>
      </c>
      <c r="N232" t="n">
        <v>0</v>
      </c>
      <c r="O232" t="n">
        <v>0</v>
      </c>
      <c r="P232" t="n">
        <v>0</v>
      </c>
      <c r="Q232" t="n">
        <v>0</v>
      </c>
      <c r="R232" s="2" t="inlineStr"/>
    </row>
    <row r="233" ht="15" customHeight="1">
      <c r="A233" t="inlineStr">
        <is>
          <t>A 21389-2025</t>
        </is>
      </c>
      <c r="B233" s="1" t="n">
        <v>45782</v>
      </c>
      <c r="C233" s="1" t="n">
        <v>46131</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46131</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21651-2025</t>
        </is>
      </c>
      <c r="B235" s="1" t="n">
        <v>45783</v>
      </c>
      <c r="C235" s="1" t="n">
        <v>46131</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46131</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51262-2025</t>
        </is>
      </c>
      <c r="B237" s="1" t="n">
        <v>45949.49872685185</v>
      </c>
      <c r="C237" s="1" t="n">
        <v>46131</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46131</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46131</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46131</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46131</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52249-2025</t>
        </is>
      </c>
      <c r="B242" s="1" t="n">
        <v>45953.48637731482</v>
      </c>
      <c r="C242" s="1" t="n">
        <v>46131</v>
      </c>
      <c r="D242" t="inlineStr">
        <is>
          <t>GOTLANDS LÄN</t>
        </is>
      </c>
      <c r="E242" t="inlineStr">
        <is>
          <t>GOTLAND</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46131</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46131</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10656-2024</t>
        </is>
      </c>
      <c r="B245" s="1" t="n">
        <v>45368</v>
      </c>
      <c r="C245" s="1" t="n">
        <v>46131</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46131</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46131</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46131</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46131</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30135-2025</t>
        </is>
      </c>
      <c r="B250" s="1" t="n">
        <v>45826</v>
      </c>
      <c r="C250" s="1" t="n">
        <v>46131</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46131</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46131</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46131</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46131</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46131</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46131</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46131</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46131</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46131</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46131</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46131</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46131</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39849-2025</t>
        </is>
      </c>
      <c r="B263" s="1" t="n">
        <v>45891.58502314815</v>
      </c>
      <c r="C263" s="1" t="n">
        <v>46131</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39752-2025</t>
        </is>
      </c>
      <c r="B264" s="1" t="n">
        <v>45891</v>
      </c>
      <c r="C264" s="1" t="n">
        <v>46131</v>
      </c>
      <c r="D264" t="inlineStr">
        <is>
          <t>GOTLANDS LÄN</t>
        </is>
      </c>
      <c r="E264" t="inlineStr">
        <is>
          <t>GOTLAND</t>
        </is>
      </c>
      <c r="G264" t="n">
        <v>5.3</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46131</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63516-2023</t>
        </is>
      </c>
      <c r="B266" s="1" t="n">
        <v>45274</v>
      </c>
      <c r="C266" s="1" t="n">
        <v>46131</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46131</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46131</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40373-2025</t>
        </is>
      </c>
      <c r="B269" s="1" t="n">
        <v>45895.51821759259</v>
      </c>
      <c r="C269" s="1" t="n">
        <v>46131</v>
      </c>
      <c r="D269" t="inlineStr">
        <is>
          <t>GOTLANDS LÄN</t>
        </is>
      </c>
      <c r="E269" t="inlineStr">
        <is>
          <t>GOTLAND</t>
        </is>
      </c>
      <c r="G269" t="n">
        <v>0.6</v>
      </c>
      <c r="H269" t="n">
        <v>0</v>
      </c>
      <c r="I269" t="n">
        <v>0</v>
      </c>
      <c r="J269" t="n">
        <v>0</v>
      </c>
      <c r="K269" t="n">
        <v>0</v>
      </c>
      <c r="L269" t="n">
        <v>0</v>
      </c>
      <c r="M269" t="n">
        <v>0</v>
      </c>
      <c r="N269" t="n">
        <v>0</v>
      </c>
      <c r="O269" t="n">
        <v>0</v>
      </c>
      <c r="P269" t="n">
        <v>0</v>
      </c>
      <c r="Q269" t="n">
        <v>0</v>
      </c>
      <c r="R269" s="2" t="inlineStr"/>
    </row>
    <row r="270" ht="15" customHeight="1">
      <c r="A270" t="inlineStr">
        <is>
          <t>A 40499-2025</t>
        </is>
      </c>
      <c r="B270" s="1" t="n">
        <v>45896.32517361111</v>
      </c>
      <c r="C270" s="1" t="n">
        <v>46131</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46131</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6749-2025</t>
        </is>
      </c>
      <c r="B272" s="1" t="n">
        <v>45700</v>
      </c>
      <c r="C272" s="1" t="n">
        <v>46131</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46131</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46131</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46131</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46131</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1681-2023</t>
        </is>
      </c>
      <c r="B277" s="1" t="n">
        <v>44938.39715277778</v>
      </c>
      <c r="C277" s="1" t="n">
        <v>46131</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52637-2025</t>
        </is>
      </c>
      <c r="B278" s="1" t="n">
        <v>45954.75099537037</v>
      </c>
      <c r="C278" s="1" t="n">
        <v>46131</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41435-2025</t>
        </is>
      </c>
      <c r="B279" s="1" t="n">
        <v>45901.39974537037</v>
      </c>
      <c r="C279" s="1" t="n">
        <v>46131</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46131</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46131</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46131</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46131</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46131</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45692-2023</t>
        </is>
      </c>
      <c r="B285" s="1" t="n">
        <v>45195</v>
      </c>
      <c r="C285" s="1" t="n">
        <v>46131</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33876-2024</t>
        </is>
      </c>
      <c r="B286" s="1" t="n">
        <v>45521.87988425926</v>
      </c>
      <c r="C286" s="1" t="n">
        <v>46131</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46131</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28285-2024</t>
        </is>
      </c>
      <c r="B288" s="1" t="n">
        <v>45477</v>
      </c>
      <c r="C288" s="1" t="n">
        <v>46131</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61100-2022</t>
        </is>
      </c>
      <c r="B289" s="1" t="n">
        <v>44915</v>
      </c>
      <c r="C289" s="1" t="n">
        <v>46131</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61682-2024</t>
        </is>
      </c>
      <c r="B290" s="1" t="n">
        <v>45647.48824074074</v>
      </c>
      <c r="C290" s="1" t="n">
        <v>46131</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42608-2025</t>
        </is>
      </c>
      <c r="B291" s="1" t="n">
        <v>45905</v>
      </c>
      <c r="C291" s="1" t="n">
        <v>46131</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46131</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46131</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46131</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46131</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46131</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46131</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46131</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46131</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53577-2025</t>
        </is>
      </c>
      <c r="B300" s="1" t="n">
        <v>45960.42224537037</v>
      </c>
      <c r="C300" s="1" t="n">
        <v>46131</v>
      </c>
      <c r="D300" t="inlineStr">
        <is>
          <t>GOTLANDS LÄN</t>
        </is>
      </c>
      <c r="E300" t="inlineStr">
        <is>
          <t>GOTLAND</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46131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46131</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44410-2025</t>
        </is>
      </c>
      <c r="B303" s="1" t="n">
        <v>45916.53699074074</v>
      </c>
      <c r="C303" s="1" t="n">
        <v>46131</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43951-2025</t>
        </is>
      </c>
      <c r="B304" s="1" t="n">
        <v>45915.38119212963</v>
      </c>
      <c r="C304" s="1" t="n">
        <v>46131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44405-2025</t>
        </is>
      </c>
      <c r="B305" s="1" t="n">
        <v>45916.52405092592</v>
      </c>
      <c r="C305" s="1" t="n">
        <v>46131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27371-2025</t>
        </is>
      </c>
      <c r="B306" s="1" t="n">
        <v>45812</v>
      </c>
      <c r="C306" s="1" t="n">
        <v>46131</v>
      </c>
      <c r="D306" t="inlineStr">
        <is>
          <t>GOTLANDS LÄN</t>
        </is>
      </c>
      <c r="E306" t="inlineStr">
        <is>
          <t>GOTLAND</t>
        </is>
      </c>
      <c r="G306" t="n">
        <v>8</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46131</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46131</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46131</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46131</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46131</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46131</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46131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5905-2024</t>
        </is>
      </c>
      <c r="B315" s="1" t="n">
        <v>45335.88993055555</v>
      </c>
      <c r="C315" s="1" t="n">
        <v>46131</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26391-2025</t>
        </is>
      </c>
      <c r="B316" s="1" t="n">
        <v>45806</v>
      </c>
      <c r="C316" s="1" t="n">
        <v>46131</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46131</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46131</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1291-2023</t>
        </is>
      </c>
      <c r="B319" s="1" t="n">
        <v>44936.47561342592</v>
      </c>
      <c r="C319" s="1" t="n">
        <v>46131</v>
      </c>
      <c r="D319" t="inlineStr">
        <is>
          <t>GOTLANDS LÄN</t>
        </is>
      </c>
      <c r="E319" t="inlineStr">
        <is>
          <t>GOTLAND</t>
        </is>
      </c>
      <c r="G319" t="n">
        <v>7.4</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46131</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46836-2025</t>
        </is>
      </c>
      <c r="B321" s="1" t="n">
        <v>45928.31511574074</v>
      </c>
      <c r="C321" s="1" t="n">
        <v>46131</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57652-2023</t>
        </is>
      </c>
      <c r="B322" s="1" t="n">
        <v>45246</v>
      </c>
      <c r="C322" s="1" t="n">
        <v>46131</v>
      </c>
      <c r="D322" t="inlineStr">
        <is>
          <t>GOTLANDS LÄN</t>
        </is>
      </c>
      <c r="E322" t="inlineStr">
        <is>
          <t>GOTLAND</t>
        </is>
      </c>
      <c r="G322" t="n">
        <v>7.2</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46131</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46131</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45106-2024</t>
        </is>
      </c>
      <c r="B325" s="1" t="n">
        <v>45575</v>
      </c>
      <c r="C325" s="1" t="n">
        <v>46131</v>
      </c>
      <c r="D325" t="inlineStr">
        <is>
          <t>GOTLANDS LÄN</t>
        </is>
      </c>
      <c r="E325" t="inlineStr">
        <is>
          <t>GOTLAND</t>
        </is>
      </c>
      <c r="G325" t="n">
        <v>10</v>
      </c>
      <c r="H325" t="n">
        <v>0</v>
      </c>
      <c r="I325" t="n">
        <v>0</v>
      </c>
      <c r="J325" t="n">
        <v>0</v>
      </c>
      <c r="K325" t="n">
        <v>0</v>
      </c>
      <c r="L325" t="n">
        <v>0</v>
      </c>
      <c r="M325" t="n">
        <v>0</v>
      </c>
      <c r="N325" t="n">
        <v>0</v>
      </c>
      <c r="O325" t="n">
        <v>0</v>
      </c>
      <c r="P325" t="n">
        <v>0</v>
      </c>
      <c r="Q325" t="n">
        <v>0</v>
      </c>
      <c r="R325" s="2" t="inlineStr"/>
    </row>
    <row r="326" ht="15" customHeight="1">
      <c r="A326" t="inlineStr">
        <is>
          <t>A 45112-2024</t>
        </is>
      </c>
      <c r="B326" s="1" t="n">
        <v>45575</v>
      </c>
      <c r="C326" s="1" t="n">
        <v>46131</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2676-2023</t>
        </is>
      </c>
      <c r="B327" s="1" t="n">
        <v>44944</v>
      </c>
      <c r="C327" s="1" t="n">
        <v>46131</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46131</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3150-2025</t>
        </is>
      </c>
      <c r="B329" s="1" t="n">
        <v>45679.28974537037</v>
      </c>
      <c r="C329" s="1" t="n">
        <v>46131</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46131</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46131</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46131</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46131</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46131</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46131</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46131</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46131</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46131</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46131</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35550-2025</t>
        </is>
      </c>
      <c r="B340" s="1" t="n">
        <v>45856.49324074074</v>
      </c>
      <c r="C340" s="1" t="n">
        <v>46131</v>
      </c>
      <c r="D340" t="inlineStr">
        <is>
          <t>GOTLANDS LÄN</t>
        </is>
      </c>
      <c r="E340" t="inlineStr">
        <is>
          <t>GOTLAND</t>
        </is>
      </c>
      <c r="G340" t="n">
        <v>3.2</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46131</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47578-2025</t>
        </is>
      </c>
      <c r="B342" s="1" t="n">
        <v>45931</v>
      </c>
      <c r="C342" s="1" t="n">
        <v>46131</v>
      </c>
      <c r="D342" t="inlineStr">
        <is>
          <t>GOTLANDS LÄN</t>
        </is>
      </c>
      <c r="E342" t="inlineStr">
        <is>
          <t>GOTLAND</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30815-2023</t>
        </is>
      </c>
      <c r="B343" s="1" t="n">
        <v>45112</v>
      </c>
      <c r="C343" s="1" t="n">
        <v>46131</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46131</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49724-2025</t>
        </is>
      </c>
      <c r="B345" s="1" t="n">
        <v>45939.83730324074</v>
      </c>
      <c r="C345" s="1" t="n">
        <v>46131</v>
      </c>
      <c r="D345" t="inlineStr">
        <is>
          <t>GOTLANDS LÄN</t>
        </is>
      </c>
      <c r="E345" t="inlineStr">
        <is>
          <t>GOTLAND</t>
        </is>
      </c>
      <c r="F345" t="inlineStr">
        <is>
          <t>Kyrkan</t>
        </is>
      </c>
      <c r="G345" t="n">
        <v>3.1</v>
      </c>
      <c r="H345" t="n">
        <v>0</v>
      </c>
      <c r="I345" t="n">
        <v>0</v>
      </c>
      <c r="J345" t="n">
        <v>0</v>
      </c>
      <c r="K345" t="n">
        <v>0</v>
      </c>
      <c r="L345" t="n">
        <v>0</v>
      </c>
      <c r="M345" t="n">
        <v>0</v>
      </c>
      <c r="N345" t="n">
        <v>0</v>
      </c>
      <c r="O345" t="n">
        <v>0</v>
      </c>
      <c r="P345" t="n">
        <v>0</v>
      </c>
      <c r="Q345" t="n">
        <v>0</v>
      </c>
      <c r="R345" s="2" t="inlineStr"/>
    </row>
    <row r="346" ht="15" customHeight="1">
      <c r="A346" t="inlineStr">
        <is>
          <t>A 49730-2025</t>
        </is>
      </c>
      <c r="B346" s="1" t="n">
        <v>45939.87613425926</v>
      </c>
      <c r="C346" s="1" t="n">
        <v>46131</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49690-2025</t>
        </is>
      </c>
      <c r="B347" s="1" t="n">
        <v>45939.66730324074</v>
      </c>
      <c r="C347" s="1" t="n">
        <v>46131</v>
      </c>
      <c r="D347" t="inlineStr">
        <is>
          <t>GOTLANDS LÄN</t>
        </is>
      </c>
      <c r="E347" t="inlineStr">
        <is>
          <t>GOTLAND</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46131</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33011-2025</t>
        </is>
      </c>
      <c r="B349" s="1" t="n">
        <v>45840</v>
      </c>
      <c r="C349" s="1" t="n">
        <v>46131</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46131</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46131</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23516-2023</t>
        </is>
      </c>
      <c r="B352" s="1" t="n">
        <v>45076.93391203704</v>
      </c>
      <c r="C352" s="1" t="n">
        <v>46131</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16109-2025</t>
        </is>
      </c>
      <c r="B353" s="1" t="n">
        <v>45750</v>
      </c>
      <c r="C353" s="1" t="n">
        <v>46131</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46131</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50421-2025</t>
        </is>
      </c>
      <c r="B355" s="1" t="n">
        <v>45944.66049768519</v>
      </c>
      <c r="C355" s="1" t="n">
        <v>46131</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63763-2023</t>
        </is>
      </c>
      <c r="B356" s="1" t="n">
        <v>45278.33944444444</v>
      </c>
      <c r="C356" s="1" t="n">
        <v>46131</v>
      </c>
      <c r="D356" t="inlineStr">
        <is>
          <t>GOTLANDS LÄN</t>
        </is>
      </c>
      <c r="E356" t="inlineStr">
        <is>
          <t>GOTLAND</t>
        </is>
      </c>
      <c r="G356" t="n">
        <v>0.5</v>
      </c>
      <c r="H356" t="n">
        <v>0</v>
      </c>
      <c r="I356" t="n">
        <v>0</v>
      </c>
      <c r="J356" t="n">
        <v>0</v>
      </c>
      <c r="K356" t="n">
        <v>0</v>
      </c>
      <c r="L356" t="n">
        <v>0</v>
      </c>
      <c r="M356" t="n">
        <v>0</v>
      </c>
      <c r="N356" t="n">
        <v>0</v>
      </c>
      <c r="O356" t="n">
        <v>0</v>
      </c>
      <c r="P356" t="n">
        <v>0</v>
      </c>
      <c r="Q356" t="n">
        <v>0</v>
      </c>
      <c r="R356" s="2" t="inlineStr"/>
    </row>
    <row r="357" ht="15" customHeight="1">
      <c r="A357" t="inlineStr">
        <is>
          <t>A 50431-2025</t>
        </is>
      </c>
      <c r="B357" s="1" t="n">
        <v>45944.68453703704</v>
      </c>
      <c r="C357" s="1" t="n">
        <v>46131</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46131</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46131</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46131</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50928-2025</t>
        </is>
      </c>
      <c r="B361" s="1" t="n">
        <v>45946.67896990741</v>
      </c>
      <c r="C361" s="1" t="n">
        <v>46131</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1734-2025</t>
        </is>
      </c>
      <c r="B362" s="1" t="n">
        <v>45671.3840625</v>
      </c>
      <c r="C362" s="1" t="n">
        <v>46131</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46131</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56799-2025</t>
        </is>
      </c>
      <c r="B364" s="1" t="n">
        <v>45978.43392361111</v>
      </c>
      <c r="C364" s="1" t="n">
        <v>46131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46131</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46131</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46131</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46131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46131</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46131</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30104-2025</t>
        </is>
      </c>
      <c r="B371" s="1" t="n">
        <v>45826.68806712963</v>
      </c>
      <c r="C371" s="1" t="n">
        <v>46131</v>
      </c>
      <c r="D371" t="inlineStr">
        <is>
          <t>GOTLANDS LÄN</t>
        </is>
      </c>
      <c r="E371" t="inlineStr">
        <is>
          <t>GOTLAND</t>
        </is>
      </c>
      <c r="G371" t="n">
        <v>15.4</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46131</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46131</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46131</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46131</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46131</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46131</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46131</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46131</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53934-2024</t>
        </is>
      </c>
      <c r="B380" s="1" t="n">
        <v>45615</v>
      </c>
      <c r="C380" s="1" t="n">
        <v>46131</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46131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46131</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46131</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46131</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46131</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46131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46131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46131</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46131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46131</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46131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16501-2023</t>
        </is>
      </c>
      <c r="B392" s="1" t="n">
        <v>45029</v>
      </c>
      <c r="C392" s="1" t="n">
        <v>46131</v>
      </c>
      <c r="D392" t="inlineStr">
        <is>
          <t>GOTLANDS LÄN</t>
        </is>
      </c>
      <c r="E392" t="inlineStr">
        <is>
          <t>GOTLAND</t>
        </is>
      </c>
      <c r="G392" t="n">
        <v>3.1</v>
      </c>
      <c r="H392" t="n">
        <v>0</v>
      </c>
      <c r="I392" t="n">
        <v>0</v>
      </c>
      <c r="J392" t="n">
        <v>0</v>
      </c>
      <c r="K392" t="n">
        <v>0</v>
      </c>
      <c r="L392" t="n">
        <v>0</v>
      </c>
      <c r="M392" t="n">
        <v>0</v>
      </c>
      <c r="N392" t="n">
        <v>0</v>
      </c>
      <c r="O392" t="n">
        <v>0</v>
      </c>
      <c r="P392" t="n">
        <v>0</v>
      </c>
      <c r="Q392" t="n">
        <v>0</v>
      </c>
      <c r="R392" s="2" t="inlineStr"/>
    </row>
    <row r="393" ht="15" customHeight="1">
      <c r="A393" t="inlineStr">
        <is>
          <t>A 27930-2021</t>
        </is>
      </c>
      <c r="B393" s="1" t="n">
        <v>44354</v>
      </c>
      <c r="C393" s="1" t="n">
        <v>46131</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46131</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6108-2025</t>
        </is>
      </c>
      <c r="B395" s="1" t="n">
        <v>45698.29880787037</v>
      </c>
      <c r="C395" s="1" t="n">
        <v>46131</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46131</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10492-2023</t>
        </is>
      </c>
      <c r="B397" s="1" t="n">
        <v>44987</v>
      </c>
      <c r="C397" s="1" t="n">
        <v>46131</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46131</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46131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46131</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46131</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20307-2025</t>
        </is>
      </c>
      <c r="B402" s="1" t="n">
        <v>45774.95546296296</v>
      </c>
      <c r="C402" s="1" t="n">
        <v>46131</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59197-2025</t>
        </is>
      </c>
      <c r="B403" s="1" t="n">
        <v>45988.59846064815</v>
      </c>
      <c r="C403" s="1" t="n">
        <v>46131</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46131</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4990-2025</t>
        </is>
      </c>
      <c r="B405" s="1" t="n">
        <v>45691</v>
      </c>
      <c r="C405" s="1" t="n">
        <v>46131</v>
      </c>
      <c r="D405" t="inlineStr">
        <is>
          <t>GOTLANDS LÄN</t>
        </is>
      </c>
      <c r="E405" t="inlineStr">
        <is>
          <t>GOTLAND</t>
        </is>
      </c>
      <c r="G405" t="n">
        <v>7.7</v>
      </c>
      <c r="H405" t="n">
        <v>0</v>
      </c>
      <c r="I405" t="n">
        <v>0</v>
      </c>
      <c r="J405" t="n">
        <v>0</v>
      </c>
      <c r="K405" t="n">
        <v>0</v>
      </c>
      <c r="L405" t="n">
        <v>0</v>
      </c>
      <c r="M405" t="n">
        <v>0</v>
      </c>
      <c r="N405" t="n">
        <v>0</v>
      </c>
      <c r="O405" t="n">
        <v>0</v>
      </c>
      <c r="P405" t="n">
        <v>0</v>
      </c>
      <c r="Q405" t="n">
        <v>0</v>
      </c>
      <c r="R405" s="2" t="inlineStr"/>
    </row>
    <row r="406" ht="15" customHeight="1">
      <c r="A406" t="inlineStr">
        <is>
          <t>A 36319-2025</t>
        </is>
      </c>
      <c r="B406" s="1" t="n">
        <v>45868</v>
      </c>
      <c r="C406" s="1" t="n">
        <v>46131</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46131</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32958-2021</t>
        </is>
      </c>
      <c r="B408" s="1" t="n">
        <v>44376</v>
      </c>
      <c r="C408" s="1" t="n">
        <v>46131</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46131</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46131</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49693-2023</t>
        </is>
      </c>
      <c r="B411" s="1" t="n">
        <v>45212.38138888889</v>
      </c>
      <c r="C411" s="1" t="n">
        <v>46131</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49697-2023</t>
        </is>
      </c>
      <c r="B412" s="1" t="n">
        <v>45212.38909722222</v>
      </c>
      <c r="C412" s="1" t="n">
        <v>46131</v>
      </c>
      <c r="D412" t="inlineStr">
        <is>
          <t>GOTLANDS LÄN</t>
        </is>
      </c>
      <c r="E412" t="inlineStr">
        <is>
          <t>GOTLAND</t>
        </is>
      </c>
      <c r="G412" t="n">
        <v>4.4</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46131</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52892-2021</t>
        </is>
      </c>
      <c r="B414" s="1" t="n">
        <v>44467.49048611111</v>
      </c>
      <c r="C414" s="1" t="n">
        <v>46131</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46131</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46131</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46131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62066-2025</t>
        </is>
      </c>
      <c r="B418" s="1" t="n">
        <v>46006.34738425926</v>
      </c>
      <c r="C418" s="1" t="n">
        <v>46131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62103-2025</t>
        </is>
      </c>
      <c r="B419" s="1" t="n">
        <v>46006</v>
      </c>
      <c r="C419" s="1" t="n">
        <v>46131</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46131</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7638-2025</t>
        </is>
      </c>
      <c r="B421" s="1" t="n">
        <v>45705.77306712963</v>
      </c>
      <c r="C421" s="1" t="n">
        <v>46131</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50482-2024</t>
        </is>
      </c>
      <c r="B422" s="1" t="n">
        <v>45601.48114583334</v>
      </c>
      <c r="C422" s="1" t="n">
        <v>46131</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46131</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58230-2024</t>
        </is>
      </c>
      <c r="B424" s="1" t="n">
        <v>45632.51625</v>
      </c>
      <c r="C424" s="1" t="n">
        <v>46131</v>
      </c>
      <c r="D424" t="inlineStr">
        <is>
          <t>GOTLANDS LÄN</t>
        </is>
      </c>
      <c r="E424" t="inlineStr">
        <is>
          <t>GOTLAND</t>
        </is>
      </c>
      <c r="G424" t="n">
        <v>7.3</v>
      </c>
      <c r="H424" t="n">
        <v>0</v>
      </c>
      <c r="I424" t="n">
        <v>0</v>
      </c>
      <c r="J424" t="n">
        <v>0</v>
      </c>
      <c r="K424" t="n">
        <v>0</v>
      </c>
      <c r="L424" t="n">
        <v>0</v>
      </c>
      <c r="M424" t="n">
        <v>0</v>
      </c>
      <c r="N424" t="n">
        <v>0</v>
      </c>
      <c r="O424" t="n">
        <v>0</v>
      </c>
      <c r="P424" t="n">
        <v>0</v>
      </c>
      <c r="Q424" t="n">
        <v>0</v>
      </c>
      <c r="R424" s="2" t="inlineStr"/>
    </row>
    <row r="425" ht="15" customHeight="1">
      <c r="A425" t="inlineStr">
        <is>
          <t>A 1462-2025</t>
        </is>
      </c>
      <c r="B425" s="1" t="n">
        <v>45670.36319444444</v>
      </c>
      <c r="C425" s="1" t="n">
        <v>46131</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46131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25129-2023</t>
        </is>
      </c>
      <c r="B427" s="1" t="n">
        <v>45086.44261574074</v>
      </c>
      <c r="C427" s="1" t="n">
        <v>46131</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24192-2023</t>
        </is>
      </c>
      <c r="B428" s="1" t="n">
        <v>45079</v>
      </c>
      <c r="C428" s="1" t="n">
        <v>46131</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5386-2023</t>
        </is>
      </c>
      <c r="B429" s="1" t="n">
        <v>44959</v>
      </c>
      <c r="C429" s="1" t="n">
        <v>46131</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46131</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7026-2023</t>
        </is>
      </c>
      <c r="B431" s="1" t="n">
        <v>44968.30340277778</v>
      </c>
      <c r="C431" s="1" t="n">
        <v>46131</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20855-2023</t>
        </is>
      </c>
      <c r="B432" s="1" t="n">
        <v>45058.82172453704</v>
      </c>
      <c r="C432" s="1" t="n">
        <v>46131</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61078-2025</t>
        </is>
      </c>
      <c r="B433" s="1" t="n">
        <v>46000</v>
      </c>
      <c r="C433" s="1" t="n">
        <v>46131</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1000-2024</t>
        </is>
      </c>
      <c r="B434" s="1" t="n">
        <v>45301.63371527778</v>
      </c>
      <c r="C434" s="1" t="n">
        <v>46131</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1010-2024</t>
        </is>
      </c>
      <c r="B435" s="1" t="n">
        <v>45301</v>
      </c>
      <c r="C435" s="1" t="n">
        <v>46131</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36-2026</t>
        </is>
      </c>
      <c r="B436" s="1" t="n">
        <v>46024.38886574074</v>
      </c>
      <c r="C436" s="1" t="n">
        <v>46131</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62674-2025</t>
        </is>
      </c>
      <c r="B437" s="1" t="n">
        <v>46008</v>
      </c>
      <c r="C437" s="1" t="n">
        <v>46131</v>
      </c>
      <c r="D437" t="inlineStr">
        <is>
          <t>GOTLANDS LÄN</t>
        </is>
      </c>
      <c r="E437" t="inlineStr">
        <is>
          <t>GOTLAND</t>
        </is>
      </c>
      <c r="G437" t="n">
        <v>5</v>
      </c>
      <c r="H437" t="n">
        <v>0</v>
      </c>
      <c r="I437" t="n">
        <v>0</v>
      </c>
      <c r="J437" t="n">
        <v>0</v>
      </c>
      <c r="K437" t="n">
        <v>0</v>
      </c>
      <c r="L437" t="n">
        <v>0</v>
      </c>
      <c r="M437" t="n">
        <v>0</v>
      </c>
      <c r="N437" t="n">
        <v>0</v>
      </c>
      <c r="O437" t="n">
        <v>0</v>
      </c>
      <c r="P437" t="n">
        <v>0</v>
      </c>
      <c r="Q437" t="n">
        <v>0</v>
      </c>
      <c r="R437" s="2" t="inlineStr"/>
    </row>
    <row r="438" ht="15" customHeight="1">
      <c r="A438" t="inlineStr">
        <is>
          <t>A 47762-2023</t>
        </is>
      </c>
      <c r="B438" s="1" t="n">
        <v>45203.86256944444</v>
      </c>
      <c r="C438" s="1" t="n">
        <v>46131</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46131</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60086-2022</t>
        </is>
      </c>
      <c r="B440" s="1" t="n">
        <v>44909</v>
      </c>
      <c r="C440" s="1" t="n">
        <v>46131</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28480-2023</t>
        </is>
      </c>
      <c r="B441" s="1" t="n">
        <v>45103</v>
      </c>
      <c r="C441" s="1" t="n">
        <v>46131</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28485-2023</t>
        </is>
      </c>
      <c r="B442" s="1" t="n">
        <v>45103.43731481482</v>
      </c>
      <c r="C442" s="1" t="n">
        <v>46131</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62915-2021</t>
        </is>
      </c>
      <c r="B443" s="1" t="n">
        <v>44504</v>
      </c>
      <c r="C443" s="1" t="n">
        <v>46131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44949-2023</t>
        </is>
      </c>
      <c r="B444" s="1" t="n">
        <v>45190.69520833333</v>
      </c>
      <c r="C444" s="1" t="n">
        <v>46131</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1355-2026</t>
        </is>
      </c>
      <c r="B445" s="1" t="n">
        <v>46031.59909722222</v>
      </c>
      <c r="C445" s="1" t="n">
        <v>46131</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46131</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46131</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3964-2024</t>
        </is>
      </c>
      <c r="B448" s="1" t="n">
        <v>45322</v>
      </c>
      <c r="C448" s="1" t="n">
        <v>46131</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46131</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2415-2026</t>
        </is>
      </c>
      <c r="B450" s="1" t="n">
        <v>46036.76203703704</v>
      </c>
      <c r="C450" s="1" t="n">
        <v>46131</v>
      </c>
      <c r="D450" t="inlineStr">
        <is>
          <t>GOTLANDS LÄN</t>
        </is>
      </c>
      <c r="E450" t="inlineStr">
        <is>
          <t>GOTLAND</t>
        </is>
      </c>
      <c r="G450" t="n">
        <v>6.9</v>
      </c>
      <c r="H450" t="n">
        <v>0</v>
      </c>
      <c r="I450" t="n">
        <v>0</v>
      </c>
      <c r="J450" t="n">
        <v>0</v>
      </c>
      <c r="K450" t="n">
        <v>0</v>
      </c>
      <c r="L450" t="n">
        <v>0</v>
      </c>
      <c r="M450" t="n">
        <v>0</v>
      </c>
      <c r="N450" t="n">
        <v>0</v>
      </c>
      <c r="O450" t="n">
        <v>0</v>
      </c>
      <c r="P450" t="n">
        <v>0</v>
      </c>
      <c r="Q450" t="n">
        <v>0</v>
      </c>
      <c r="R450" s="2" t="inlineStr"/>
    </row>
    <row r="451" ht="15" customHeight="1">
      <c r="A451" t="inlineStr">
        <is>
          <t>A 5217-2023</t>
        </is>
      </c>
      <c r="B451" s="1" t="n">
        <v>44959.39582175926</v>
      </c>
      <c r="C451" s="1" t="n">
        <v>46131</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3253-2026</t>
        </is>
      </c>
      <c r="B452" s="1" t="n">
        <v>46041.58902777778</v>
      </c>
      <c r="C452" s="1" t="n">
        <v>46131</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46131</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46131</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46131</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4646-2026</t>
        </is>
      </c>
      <c r="B456" s="1" t="n">
        <v>46048.40357638889</v>
      </c>
      <c r="C456" s="1" t="n">
        <v>46131</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64969-2023</t>
        </is>
      </c>
      <c r="B457" s="1" t="n">
        <v>45284.54009259259</v>
      </c>
      <c r="C457" s="1" t="n">
        <v>46131</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4662-2026</t>
        </is>
      </c>
      <c r="B458" s="1" t="n">
        <v>46048.40949074074</v>
      </c>
      <c r="C458" s="1" t="n">
        <v>46131</v>
      </c>
      <c r="D458" t="inlineStr">
        <is>
          <t>GOTLANDS LÄN</t>
        </is>
      </c>
      <c r="E458" t="inlineStr">
        <is>
          <t>GOTLAND</t>
        </is>
      </c>
      <c r="G458" t="n">
        <v>7.6</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46131</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46131</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46131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1839-2026</t>
        </is>
      </c>
      <c r="B462" s="1" t="n">
        <v>46035.3942824074</v>
      </c>
      <c r="C462" s="1" t="n">
        <v>46131</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4634-2026</t>
        </is>
      </c>
      <c r="B463" s="1" t="n">
        <v>46048.39304398148</v>
      </c>
      <c r="C463" s="1" t="n">
        <v>46131</v>
      </c>
      <c r="D463" t="inlineStr">
        <is>
          <t>GOTLANDS LÄN</t>
        </is>
      </c>
      <c r="E463" t="inlineStr">
        <is>
          <t>GOTLAND</t>
        </is>
      </c>
      <c r="G463" t="n">
        <v>7.8</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46131</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4670-2026</t>
        </is>
      </c>
      <c r="B465" s="1" t="n">
        <v>46048.41733796296</v>
      </c>
      <c r="C465" s="1" t="n">
        <v>46131</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15434-2024</t>
        </is>
      </c>
      <c r="B466" s="1" t="n">
        <v>45401.38836805556</v>
      </c>
      <c r="C466" s="1" t="n">
        <v>46131</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1854-2026</t>
        </is>
      </c>
      <c r="B467" s="1" t="n">
        <v>46035.4171875</v>
      </c>
      <c r="C467" s="1" t="n">
        <v>46131</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46131</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46131</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46131</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13486-2026</t>
        </is>
      </c>
      <c r="B471" s="1" t="n">
        <v>46094</v>
      </c>
      <c r="C471" s="1" t="n">
        <v>46131</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41038-2023</t>
        </is>
      </c>
      <c r="B472" s="1" t="n">
        <v>45173.60959490741</v>
      </c>
      <c r="C472" s="1" t="n">
        <v>46131</v>
      </c>
      <c r="D472" t="inlineStr">
        <is>
          <t>GOTLANDS LÄN</t>
        </is>
      </c>
      <c r="E472" t="inlineStr">
        <is>
          <t>GOTLAND</t>
        </is>
      </c>
      <c r="G472" t="n">
        <v>2.7</v>
      </c>
      <c r="H472" t="n">
        <v>0</v>
      </c>
      <c r="I472" t="n">
        <v>0</v>
      </c>
      <c r="J472" t="n">
        <v>0</v>
      </c>
      <c r="K472" t="n">
        <v>0</v>
      </c>
      <c r="L472" t="n">
        <v>0</v>
      </c>
      <c r="M472" t="n">
        <v>0</v>
      </c>
      <c r="N472" t="n">
        <v>0</v>
      </c>
      <c r="O472" t="n">
        <v>0</v>
      </c>
      <c r="P472" t="n">
        <v>0</v>
      </c>
      <c r="Q472" t="n">
        <v>0</v>
      </c>
      <c r="R472" s="2" t="inlineStr"/>
    </row>
    <row r="473" ht="15" customHeight="1">
      <c r="A473" t="inlineStr">
        <is>
          <t>A 6218-2026</t>
        </is>
      </c>
      <c r="B473" s="1" t="n">
        <v>46055.42859953704</v>
      </c>
      <c r="C473" s="1" t="n">
        <v>46131</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14427-2024</t>
        </is>
      </c>
      <c r="B474" s="1" t="n">
        <v>45394</v>
      </c>
      <c r="C474" s="1" t="n">
        <v>46131</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46131</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31802-2024</t>
        </is>
      </c>
      <c r="B476" s="1" t="n">
        <v>45509</v>
      </c>
      <c r="C476" s="1" t="n">
        <v>46131</v>
      </c>
      <c r="D476" t="inlineStr">
        <is>
          <t>GOTLANDS LÄN</t>
        </is>
      </c>
      <c r="E476" t="inlineStr">
        <is>
          <t>GOTLAND</t>
        </is>
      </c>
      <c r="G476" t="n">
        <v>2.8</v>
      </c>
      <c r="H476" t="n">
        <v>0</v>
      </c>
      <c r="I476" t="n">
        <v>0</v>
      </c>
      <c r="J476" t="n">
        <v>0</v>
      </c>
      <c r="K476" t="n">
        <v>0</v>
      </c>
      <c r="L476" t="n">
        <v>0</v>
      </c>
      <c r="M476" t="n">
        <v>0</v>
      </c>
      <c r="N476" t="n">
        <v>0</v>
      </c>
      <c r="O476" t="n">
        <v>0</v>
      </c>
      <c r="P476" t="n">
        <v>0</v>
      </c>
      <c r="Q476" t="n">
        <v>0</v>
      </c>
      <c r="R476" s="2" t="inlineStr"/>
    </row>
    <row r="477" ht="15" customHeight="1">
      <c r="A477" t="inlineStr">
        <is>
          <t>A 6959-2026</t>
        </is>
      </c>
      <c r="B477" s="1" t="n">
        <v>46057.580625</v>
      </c>
      <c r="C477" s="1" t="n">
        <v>46131</v>
      </c>
      <c r="D477" t="inlineStr">
        <is>
          <t>GOTLANDS LÄN</t>
        </is>
      </c>
      <c r="E477" t="inlineStr">
        <is>
          <t>GOTLAND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46131</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46131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6960-2026</t>
        </is>
      </c>
      <c r="B480" s="1" t="n">
        <v>46057.58105324074</v>
      </c>
      <c r="C480" s="1" t="n">
        <v>46131</v>
      </c>
      <c r="D480" t="inlineStr">
        <is>
          <t>GOTLANDS LÄN</t>
        </is>
      </c>
      <c r="E480" t="inlineStr">
        <is>
          <t>GOTLAND</t>
        </is>
      </c>
      <c r="F480" t="inlineStr">
        <is>
          <t>Kyrkan</t>
        </is>
      </c>
      <c r="G480" t="n">
        <v>2.4</v>
      </c>
      <c r="H480" t="n">
        <v>0</v>
      </c>
      <c r="I480" t="n">
        <v>0</v>
      </c>
      <c r="J480" t="n">
        <v>0</v>
      </c>
      <c r="K480" t="n">
        <v>0</v>
      </c>
      <c r="L480" t="n">
        <v>0</v>
      </c>
      <c r="M480" t="n">
        <v>0</v>
      </c>
      <c r="N480" t="n">
        <v>0</v>
      </c>
      <c r="O480" t="n">
        <v>0</v>
      </c>
      <c r="P480" t="n">
        <v>0</v>
      </c>
      <c r="Q480" t="n">
        <v>0</v>
      </c>
      <c r="R480" s="2" t="inlineStr"/>
    </row>
    <row r="481" ht="15" customHeight="1">
      <c r="A481" t="inlineStr">
        <is>
          <t>A 46949-2024</t>
        </is>
      </c>
      <c r="B481" s="1" t="n">
        <v>45585</v>
      </c>
      <c r="C481" s="1" t="n">
        <v>46131</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46131</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46131</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7625-2026</t>
        </is>
      </c>
      <c r="B484" s="1" t="n">
        <v>46062.35135416667</v>
      </c>
      <c r="C484" s="1" t="n">
        <v>46131</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7627-2026</t>
        </is>
      </c>
      <c r="B485" s="1" t="n">
        <v>46062.35465277778</v>
      </c>
      <c r="C485" s="1" t="n">
        <v>46131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62836-2025</t>
        </is>
      </c>
      <c r="B486" s="1" t="n">
        <v>46008</v>
      </c>
      <c r="C486" s="1" t="n">
        <v>46131</v>
      </c>
      <c r="D486" t="inlineStr">
        <is>
          <t>GOTLANDS LÄN</t>
        </is>
      </c>
      <c r="E486" t="inlineStr">
        <is>
          <t>GOTLAND</t>
        </is>
      </c>
      <c r="G486" t="n">
        <v>6.5</v>
      </c>
      <c r="H486" t="n">
        <v>0</v>
      </c>
      <c r="I486" t="n">
        <v>0</v>
      </c>
      <c r="J486" t="n">
        <v>0</v>
      </c>
      <c r="K486" t="n">
        <v>0</v>
      </c>
      <c r="L486" t="n">
        <v>0</v>
      </c>
      <c r="M486" t="n">
        <v>0</v>
      </c>
      <c r="N486" t="n">
        <v>0</v>
      </c>
      <c r="O486" t="n">
        <v>0</v>
      </c>
      <c r="P486" t="n">
        <v>0</v>
      </c>
      <c r="Q486" t="n">
        <v>0</v>
      </c>
      <c r="R486" s="2" t="inlineStr"/>
    </row>
    <row r="487" ht="15" customHeight="1">
      <c r="A487" t="inlineStr">
        <is>
          <t>A 63105-2025</t>
        </is>
      </c>
      <c r="B487" s="1" t="n">
        <v>46009</v>
      </c>
      <c r="C487" s="1" t="n">
        <v>46131</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46131</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1351-2025</t>
        </is>
      </c>
      <c r="B489" s="1" t="n">
        <v>45667.62246527777</v>
      </c>
      <c r="C489" s="1" t="n">
        <v>46131</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39496-2022</t>
        </is>
      </c>
      <c r="B490" s="1" t="n">
        <v>44818</v>
      </c>
      <c r="C490" s="1" t="n">
        <v>46131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5863-2026</t>
        </is>
      </c>
      <c r="B491" s="1" t="n">
        <v>46052.36697916667</v>
      </c>
      <c r="C491" s="1" t="n">
        <v>46131</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46131</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2135-2026</t>
        </is>
      </c>
      <c r="B493" s="1" t="n">
        <v>46036</v>
      </c>
      <c r="C493" s="1" t="n">
        <v>46131</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46131</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2134-2026</t>
        </is>
      </c>
      <c r="B495" s="1" t="n">
        <v>46036</v>
      </c>
      <c r="C495" s="1" t="n">
        <v>46131</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46131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46131</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46131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46131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63000-2025</t>
        </is>
      </c>
      <c r="B500" s="1" t="n">
        <v>46009</v>
      </c>
      <c r="C500" s="1" t="n">
        <v>46131</v>
      </c>
      <c r="D500" t="inlineStr">
        <is>
          <t>GOTLANDS LÄN</t>
        </is>
      </c>
      <c r="E500" t="inlineStr">
        <is>
          <t>GOTLAND</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22897-2023</t>
        </is>
      </c>
      <c r="B501" s="1" t="n">
        <v>45072.55239583334</v>
      </c>
      <c r="C501" s="1" t="n">
        <v>46131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46131</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53561-2025</t>
        </is>
      </c>
      <c r="B503" s="1" t="n">
        <v>45960.4059375</v>
      </c>
      <c r="C503" s="1" t="n">
        <v>46131</v>
      </c>
      <c r="D503" t="inlineStr">
        <is>
          <t>GOTLANDS LÄN</t>
        </is>
      </c>
      <c r="E503" t="inlineStr">
        <is>
          <t>GOTLAND</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49962-2023</t>
        </is>
      </c>
      <c r="B504" s="1" t="n">
        <v>45215.38775462963</v>
      </c>
      <c r="C504" s="1" t="n">
        <v>46131</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46131</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46131</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53587-2025</t>
        </is>
      </c>
      <c r="B507" s="1" t="n">
        <v>45960.43681712963</v>
      </c>
      <c r="C507" s="1" t="n">
        <v>46131</v>
      </c>
      <c r="D507" t="inlineStr">
        <is>
          <t>GOTLANDS LÄN</t>
        </is>
      </c>
      <c r="E507" t="inlineStr">
        <is>
          <t>GOTLAND</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46131</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46131</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9504-2026</t>
        </is>
      </c>
      <c r="B510" s="1" t="n">
        <v>46071.57730324074</v>
      </c>
      <c r="C510" s="1" t="n">
        <v>46131</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9518-2026</t>
        </is>
      </c>
      <c r="B511" s="1" t="n">
        <v>46071.59653935185</v>
      </c>
      <c r="C511" s="1" t="n">
        <v>46131</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9519-2026</t>
        </is>
      </c>
      <c r="B512" s="1" t="n">
        <v>46071.59820601852</v>
      </c>
      <c r="C512" s="1" t="n">
        <v>46131</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46131</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46131</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46131</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46131</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46131</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46131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46131</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46131</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46131</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17532-2024</t>
        </is>
      </c>
      <c r="B522" s="1" t="n">
        <v>45415</v>
      </c>
      <c r="C522" s="1" t="n">
        <v>46131</v>
      </c>
      <c r="D522" t="inlineStr">
        <is>
          <t>GOTLANDS LÄN</t>
        </is>
      </c>
      <c r="E522" t="inlineStr">
        <is>
          <t>GOTLAND</t>
        </is>
      </c>
      <c r="G522" t="n">
        <v>4.3</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46131</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63152-2025</t>
        </is>
      </c>
      <c r="B524" s="1" t="n">
        <v>46010</v>
      </c>
      <c r="C524" s="1" t="n">
        <v>46131</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10486-2026</t>
        </is>
      </c>
      <c r="B525" s="1" t="n">
        <v>46077.51425925926</v>
      </c>
      <c r="C525" s="1" t="n">
        <v>46131</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9901-2026</t>
        </is>
      </c>
      <c r="B526" s="1" t="n">
        <v>46073.40391203704</v>
      </c>
      <c r="C526" s="1" t="n">
        <v>46131</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17328-2026</t>
        </is>
      </c>
      <c r="B527" s="1" t="n">
        <v>46119.61216435185</v>
      </c>
      <c r="C527" s="1" t="n">
        <v>46131</v>
      </c>
      <c r="D527" t="inlineStr">
        <is>
          <t>GOTLANDS LÄN</t>
        </is>
      </c>
      <c r="E527" t="inlineStr">
        <is>
          <t>GOTLAND</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46131</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46131</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46131</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60384-2025</t>
        </is>
      </c>
      <c r="B531" s="1" t="n">
        <v>45995</v>
      </c>
      <c r="C531" s="1" t="n">
        <v>46131</v>
      </c>
      <c r="D531" t="inlineStr">
        <is>
          <t>GOTLANDS LÄN</t>
        </is>
      </c>
      <c r="E531" t="inlineStr">
        <is>
          <t>GOTLAND</t>
        </is>
      </c>
      <c r="G531" t="n">
        <v>2.5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46131</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46131</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46131</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46131</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46131</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46131</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46131</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17943-2026</t>
        </is>
      </c>
      <c r="B539" s="1" t="n">
        <v>46122</v>
      </c>
      <c r="C539" s="1" t="n">
        <v>46131</v>
      </c>
      <c r="D539" t="inlineStr">
        <is>
          <t>GOTLANDS LÄN</t>
        </is>
      </c>
      <c r="E539" t="inlineStr">
        <is>
          <t>GOTLAND</t>
        </is>
      </c>
      <c r="G539" t="n">
        <v>2.8</v>
      </c>
      <c r="H539" t="n">
        <v>0</v>
      </c>
      <c r="I539" t="n">
        <v>0</v>
      </c>
      <c r="J539" t="n">
        <v>0</v>
      </c>
      <c r="K539" t="n">
        <v>0</v>
      </c>
      <c r="L539" t="n">
        <v>0</v>
      </c>
      <c r="M539" t="n">
        <v>0</v>
      </c>
      <c r="N539" t="n">
        <v>0</v>
      </c>
      <c r="O539" t="n">
        <v>0</v>
      </c>
      <c r="P539" t="n">
        <v>0</v>
      </c>
      <c r="Q539" t="n">
        <v>0</v>
      </c>
      <c r="R539" s="2" t="inlineStr"/>
    </row>
    <row r="540" ht="15" customHeight="1">
      <c r="A540" t="inlineStr">
        <is>
          <t>A 54584-2025</t>
        </is>
      </c>
      <c r="B540" s="1" t="n">
        <v>45965.71788194445</v>
      </c>
      <c r="C540" s="1" t="n">
        <v>46131</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3067-2026</t>
        </is>
      </c>
      <c r="B541" s="1" t="n">
        <v>46040.59025462963</v>
      </c>
      <c r="C541" s="1" t="n">
        <v>46131</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46131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46131</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46131</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46131</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46131</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46131</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46131</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46131</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999-2024</t>
        </is>
      </c>
      <c r="B550" s="1" t="n">
        <v>45301</v>
      </c>
      <c r="C550" s="1" t="n">
        <v>46131</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61596-2023</t>
        </is>
      </c>
      <c r="B551" s="1" t="n">
        <v>45265</v>
      </c>
      <c r="C551" s="1" t="n">
        <v>46131</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46131</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46131</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18804-2026</t>
        </is>
      </c>
      <c r="B554" s="1" t="n">
        <v>46128.62366898148</v>
      </c>
      <c r="C554" s="1" t="n">
        <v>46131</v>
      </c>
      <c r="D554" t="inlineStr">
        <is>
          <t>GOTLANDS LÄN</t>
        </is>
      </c>
      <c r="E554" t="inlineStr">
        <is>
          <t>GOTLAND</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37728-2024</t>
        </is>
      </c>
      <c r="B555" s="1" t="n">
        <v>45541</v>
      </c>
      <c r="C555" s="1" t="n">
        <v>46131</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12135-2026</t>
        </is>
      </c>
      <c r="B556" s="1" t="n">
        <v>46086</v>
      </c>
      <c r="C556" s="1" t="n">
        <v>46131</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22287-2022</t>
        </is>
      </c>
      <c r="B557" s="1" t="n">
        <v>44712</v>
      </c>
      <c r="C557" s="1" t="n">
        <v>46131</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54074-2022</t>
        </is>
      </c>
      <c r="B558" s="1" t="n">
        <v>44881</v>
      </c>
      <c r="C558" s="1" t="n">
        <v>46131</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46131</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46131</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46131</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46131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46131</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46131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46131</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46131</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46131</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46131</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46131</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46131</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46131</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46131</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46131</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46131</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46131</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46131</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46131</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46131</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46131</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46131</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46131</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46131</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46131</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46131</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46131</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46131</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46131</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46131</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46131</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46131</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46131</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46131</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46131</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46131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46131</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46131</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46131</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46131</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46131</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46131</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46131</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46131</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46131</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46131</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46131</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46131</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46131</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46131</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46131</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46131</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46131</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46131</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46131</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46131</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46131</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46131</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46131</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46131</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46131</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46131</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46131</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46131</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46131</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46131</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46131</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46131</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46131</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46131</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46131</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46131</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46131</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46131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46131</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46131</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46131</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46131</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46131</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46131</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46131</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46131</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46131</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46131</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46131</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2026-04-19T10:25:23Z</dcterms:created>
  <dcterms:modified xmlns:dcterms="http://purl.org/dc/terms/" xmlns:xsi="http://www.w3.org/2001/XMLSchema-instance" xsi:type="dcterms:W3CDTF">2026-04-19T10:25:24Z</dcterms:modified>
</cp:coreProperties>
</file>