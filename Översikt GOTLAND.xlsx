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45982</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45982</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9921-2023</t>
        </is>
      </c>
      <c r="B7" s="1" t="n">
        <v>44985</v>
      </c>
      <c r="C7" s="1" t="n">
        <v>45982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45982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45982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45982</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45982</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45982</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45982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45982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45982</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6913-2025</t>
        </is>
      </c>
      <c r="B27" s="1" t="n">
        <v>45701.43809027778</v>
      </c>
      <c r="C27" s="1" t="n">
        <v>45982</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45982</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45982</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45982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45982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45982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45982</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445-2023</t>
        </is>
      </c>
      <c r="B35" s="1" t="n">
        <v>44929</v>
      </c>
      <c r="C35" s="1" t="n">
        <v>45982</v>
      </c>
      <c r="D35" t="inlineStr">
        <is>
          <t>GOTLANDS LÄN</t>
        </is>
      </c>
      <c r="E35" t="inlineStr">
        <is>
          <t>GOTLAND</t>
        </is>
      </c>
      <c r="G35" t="n">
        <v>4.9</v>
      </c>
      <c r="H35" t="n">
        <v>3</v>
      </c>
      <c r="I35" t="n">
        <v>3</v>
      </c>
      <c r="J35" t="n">
        <v>5</v>
      </c>
      <c r="K35" t="n">
        <v>4</v>
      </c>
      <c r="L35" t="n">
        <v>0</v>
      </c>
      <c r="M35" t="n">
        <v>0</v>
      </c>
      <c r="N35" t="n">
        <v>0</v>
      </c>
      <c r="O35" t="n">
        <v>10</v>
      </c>
      <c r="P35" t="n">
        <v>4</v>
      </c>
      <c r="Q35" t="n">
        <v>13</v>
      </c>
      <c r="R35" s="2" t="inlineStr">
        <is>
          <t>Garderönn
Granrotsspindling
Gulsträngad fagerspindling
Taggfingersvamp
Duvhök
Jordtistel
Odörspindling
Spillkråka
Svinrot
Trollspindling
Besk kastanjemusseron
Rödgul trumpetsvamp
Vårärt</t>
        </is>
      </c>
      <c r="S35">
        <f>HYPERLINK("https://klasma.github.io/Logging_0980/artfynd/A 445-2023 artfynd.xlsx", "A 445-2023")</f>
        <v/>
      </c>
      <c r="T35">
        <f>HYPERLINK("https://klasma.github.io/Logging_0980/kartor/A 445-2023 karta.png", "A 445-2023")</f>
        <v/>
      </c>
      <c r="V35">
        <f>HYPERLINK("https://klasma.github.io/Logging_0980/klagomål/A 445-2023 FSC-klagomål.docx", "A 445-2023")</f>
        <v/>
      </c>
      <c r="W35">
        <f>HYPERLINK("https://klasma.github.io/Logging_0980/klagomålsmail/A 445-2023 FSC-klagomål mail.docx", "A 445-2023")</f>
        <v/>
      </c>
      <c r="X35">
        <f>HYPERLINK("https://klasma.github.io/Logging_0980/tillsyn/A 445-2023 tillsynsbegäran.docx", "A 445-2023")</f>
        <v/>
      </c>
      <c r="Y35">
        <f>HYPERLINK("https://klasma.github.io/Logging_0980/tillsynsmail/A 445-2023 tillsynsbegäran mail.docx", "A 445-2023")</f>
        <v/>
      </c>
      <c r="Z35">
        <f>HYPERLINK("https://klasma.github.io/Logging_0980/fåglar/A 445-2023 prioriterade fågelarter.docx", "A 445-2023")</f>
        <v/>
      </c>
    </row>
    <row r="36" ht="15" customHeight="1">
      <c r="A36" t="inlineStr">
        <is>
          <t>A 44928-2022</t>
        </is>
      </c>
      <c r="B36" s="1" t="n">
        <v>44841</v>
      </c>
      <c r="C36" s="1" t="n">
        <v>45982</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2804-2023</t>
        </is>
      </c>
      <c r="B37" s="1" t="n">
        <v>44944</v>
      </c>
      <c r="C37" s="1" t="n">
        <v>45982</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45982</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45982</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45982</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45982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45982</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6052-2024</t>
        </is>
      </c>
      <c r="B46" s="1" t="n">
        <v>45336</v>
      </c>
      <c r="C46" s="1" t="n">
        <v>45982</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43201-2023</t>
        </is>
      </c>
      <c r="B47" s="1" t="n">
        <v>45183</v>
      </c>
      <c r="C47" s="1" t="n">
        <v>45982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584-2023</t>
        </is>
      </c>
      <c r="B48" s="1" t="n">
        <v>44930</v>
      </c>
      <c r="C48" s="1" t="n">
        <v>45982</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45982</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45982</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45982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45982</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17766-2024</t>
        </is>
      </c>
      <c r="B53" s="1" t="n">
        <v>45418</v>
      </c>
      <c r="C53" s="1" t="n">
        <v>45982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22404-2024</t>
        </is>
      </c>
      <c r="B54" s="1" t="n">
        <v>45446</v>
      </c>
      <c r="C54" s="1" t="n">
        <v>45982</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45982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45982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45982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45982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45982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45982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45982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27280-2023</t>
        </is>
      </c>
      <c r="B62" s="1" t="n">
        <v>45096</v>
      </c>
      <c r="C62" s="1" t="n">
        <v>45982</v>
      </c>
      <c r="D62" t="inlineStr">
        <is>
          <t>GOTLANDS LÄN</t>
        </is>
      </c>
      <c r="E62" t="inlineStr">
        <is>
          <t>GOTLAND</t>
        </is>
      </c>
      <c r="G62" t="n">
        <v>2.7</v>
      </c>
      <c r="H62" t="n">
        <v>7</v>
      </c>
      <c r="I62" t="n">
        <v>2</v>
      </c>
      <c r="J62" t="n">
        <v>1</v>
      </c>
      <c r="K62" t="n">
        <v>0</v>
      </c>
      <c r="L62" t="n">
        <v>0</v>
      </c>
      <c r="M62" t="n">
        <v>0</v>
      </c>
      <c r="N62" t="n">
        <v>0</v>
      </c>
      <c r="O62" t="n">
        <v>1</v>
      </c>
      <c r="P62" t="n">
        <v>0</v>
      </c>
      <c r="Q62" t="n">
        <v>7</v>
      </c>
      <c r="R62" s="2" t="inlineStr">
        <is>
          <t>Mindre hackspett
Skogsknipprot
Tvåblad
Brudsporre
Fläcknycklar
Grönvit nattviol
Nattviol</t>
        </is>
      </c>
      <c r="S62">
        <f>HYPERLINK("https://klasma.github.io/Logging_0980/artfynd/A 27280-2023 artfynd.xlsx", "A 27280-2023")</f>
        <v/>
      </c>
      <c r="T62">
        <f>HYPERLINK("https://klasma.github.io/Logging_0980/kartor/A 27280-2023 karta.png", "A 27280-2023")</f>
        <v/>
      </c>
      <c r="V62">
        <f>HYPERLINK("https://klasma.github.io/Logging_0980/klagomål/A 27280-2023 FSC-klagomål.docx", "A 27280-2023")</f>
        <v/>
      </c>
      <c r="W62">
        <f>HYPERLINK("https://klasma.github.io/Logging_0980/klagomålsmail/A 27280-2023 FSC-klagomål mail.docx", "A 27280-2023")</f>
        <v/>
      </c>
      <c r="X62">
        <f>HYPERLINK("https://klasma.github.io/Logging_0980/tillsyn/A 27280-2023 tillsynsbegäran.docx", "A 27280-2023")</f>
        <v/>
      </c>
      <c r="Y62">
        <f>HYPERLINK("https://klasma.github.io/Logging_0980/tillsynsmail/A 27280-2023 tillsynsbegäran mail.docx", "A 27280-2023")</f>
        <v/>
      </c>
      <c r="Z62">
        <f>HYPERLINK("https://klasma.github.io/Logging_0980/fåglar/A 27280-2023 prioriterade fågelarter.docx", "A 27280-2023")</f>
        <v/>
      </c>
    </row>
    <row r="63" ht="15" customHeight="1">
      <c r="A63" t="inlineStr">
        <is>
          <t>A 34142-2024</t>
        </is>
      </c>
      <c r="B63" s="1" t="n">
        <v>45524.36521990741</v>
      </c>
      <c r="C63" s="1" t="n">
        <v>45982</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45982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45982</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45982</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45982</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45982</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53584-2025</t>
        </is>
      </c>
      <c r="B69" s="1" t="n">
        <v>45960.43130787037</v>
      </c>
      <c r="C69" s="1" t="n">
        <v>45982</v>
      </c>
      <c r="D69" t="inlineStr">
        <is>
          <t>GOTLANDS LÄN</t>
        </is>
      </c>
      <c r="E69" t="inlineStr">
        <is>
          <t>GOTLAND</t>
        </is>
      </c>
      <c r="F69" t="inlineStr">
        <is>
          <t>Övriga Aktiebolag</t>
        </is>
      </c>
      <c r="G69" t="n">
        <v>18.1</v>
      </c>
      <c r="H69" t="n">
        <v>3</v>
      </c>
      <c r="I69" t="n">
        <v>0</v>
      </c>
      <c r="J69" t="n">
        <v>4</v>
      </c>
      <c r="K69" t="n">
        <v>0</v>
      </c>
      <c r="L69" t="n">
        <v>0</v>
      </c>
      <c r="M69" t="n">
        <v>0</v>
      </c>
      <c r="N69" t="n">
        <v>0</v>
      </c>
      <c r="O69" t="n">
        <v>4</v>
      </c>
      <c r="P69" t="n">
        <v>0</v>
      </c>
      <c r="Q69" t="n">
        <v>6</v>
      </c>
      <c r="R69" s="2" t="inlineStr">
        <is>
          <t>Apollofjäril
Jordtistel
Klasefibbla
Majviva
Gråkråka
Nattviol</t>
        </is>
      </c>
      <c r="S69">
        <f>HYPERLINK("https://klasma.github.io/Logging_0980/artfynd/A 53584-2025 artfynd.xlsx", "A 53584-2025")</f>
        <v/>
      </c>
      <c r="T69">
        <f>HYPERLINK("https://klasma.github.io/Logging_0980/kartor/A 53584-2025 karta.png", "A 53584-2025")</f>
        <v/>
      </c>
      <c r="V69">
        <f>HYPERLINK("https://klasma.github.io/Logging_0980/klagomål/A 53584-2025 FSC-klagomål.docx", "A 53584-2025")</f>
        <v/>
      </c>
      <c r="W69">
        <f>HYPERLINK("https://klasma.github.io/Logging_0980/klagomålsmail/A 53584-2025 FSC-klagomål mail.docx", "A 53584-2025")</f>
        <v/>
      </c>
      <c r="X69">
        <f>HYPERLINK("https://klasma.github.io/Logging_0980/tillsyn/A 53584-2025 tillsynsbegäran.docx", "A 53584-2025")</f>
        <v/>
      </c>
      <c r="Y69">
        <f>HYPERLINK("https://klasma.github.io/Logging_0980/tillsynsmail/A 53584-2025 tillsynsbegäran mail.docx", "A 53584-2025")</f>
        <v/>
      </c>
    </row>
    <row r="70" ht="15" customHeight="1">
      <c r="A70" t="inlineStr">
        <is>
          <t>A 16823-2024</t>
        </is>
      </c>
      <c r="B70" s="1" t="n">
        <v>45411</v>
      </c>
      <c r="C70" s="1" t="n">
        <v>45982</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65819-2020</t>
        </is>
      </c>
      <c r="B71" s="1" t="n">
        <v>44174</v>
      </c>
      <c r="C71" s="1" t="n">
        <v>45982</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7038-2023</t>
        </is>
      </c>
      <c r="B72" s="1" t="n">
        <v>44968</v>
      </c>
      <c r="C72" s="1" t="n">
        <v>45982</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45982</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45982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446-2023</t>
        </is>
      </c>
      <c r="B75" s="1" t="n">
        <v>44929</v>
      </c>
      <c r="C75" s="1" t="n">
        <v>45982</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54527-2023</t>
        </is>
      </c>
      <c r="B76" s="1" t="n">
        <v>45233</v>
      </c>
      <c r="C76" s="1" t="n">
        <v>45982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45982</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45982</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45982</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45982</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45982</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44944-2022</t>
        </is>
      </c>
      <c r="B82" s="1" t="n">
        <v>44841</v>
      </c>
      <c r="C82" s="1" t="n">
        <v>45982</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2213-2023</t>
        </is>
      </c>
      <c r="B83" s="1" t="n">
        <v>44942</v>
      </c>
      <c r="C83" s="1" t="n">
        <v>45982</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42936-2024</t>
        </is>
      </c>
      <c r="B84" s="1" t="n">
        <v>45567</v>
      </c>
      <c r="C84" s="1" t="n">
        <v>45982</v>
      </c>
      <c r="D84" t="inlineStr">
        <is>
          <t>GOTLANDS LÄN</t>
        </is>
      </c>
      <c r="E84" t="inlineStr">
        <is>
          <t>GOTLAND</t>
        </is>
      </c>
      <c r="G84" t="n">
        <v>3.4</v>
      </c>
      <c r="H84" t="n">
        <v>0</v>
      </c>
      <c r="I84" t="n">
        <v>3</v>
      </c>
      <c r="J84" t="n">
        <v>1</v>
      </c>
      <c r="K84" t="n">
        <v>1</v>
      </c>
      <c r="L84" t="n">
        <v>0</v>
      </c>
      <c r="M84" t="n">
        <v>0</v>
      </c>
      <c r="N84" t="n">
        <v>0</v>
      </c>
      <c r="O84" t="n">
        <v>2</v>
      </c>
      <c r="P84" t="n">
        <v>1</v>
      </c>
      <c r="Q84" t="n">
        <v>5</v>
      </c>
      <c r="R84" s="2" t="inlineStr">
        <is>
          <t>Vit taggsvamp
Äggspindling
Barrfagerspindling
Blå slemspindling
Svavelriska</t>
        </is>
      </c>
      <c r="S84">
        <f>HYPERLINK("https://klasma.github.io/Logging_0980/artfynd/A 42936-2024 artfynd.xlsx", "A 42936-2024")</f>
        <v/>
      </c>
      <c r="T84">
        <f>HYPERLINK("https://klasma.github.io/Logging_0980/kartor/A 42936-2024 karta.png", "A 42936-2024")</f>
        <v/>
      </c>
      <c r="V84">
        <f>HYPERLINK("https://klasma.github.io/Logging_0980/klagomål/A 42936-2024 FSC-klagomål.docx", "A 42936-2024")</f>
        <v/>
      </c>
      <c r="W84">
        <f>HYPERLINK("https://klasma.github.io/Logging_0980/klagomålsmail/A 42936-2024 FSC-klagomål mail.docx", "A 42936-2024")</f>
        <v/>
      </c>
      <c r="X84">
        <f>HYPERLINK("https://klasma.github.io/Logging_0980/tillsyn/A 42936-2024 tillsynsbegäran.docx", "A 42936-2024")</f>
        <v/>
      </c>
      <c r="Y84">
        <f>HYPERLINK("https://klasma.github.io/Logging_0980/tillsynsmail/A 42936-2024 tillsynsbegäran mail.docx", "A 42936-2024")</f>
        <v/>
      </c>
    </row>
    <row r="85" ht="15" customHeight="1">
      <c r="A85" t="inlineStr">
        <is>
          <t>A 54055-2022</t>
        </is>
      </c>
      <c r="B85" s="1" t="n">
        <v>44881</v>
      </c>
      <c r="C85" s="1" t="n">
        <v>45982</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29331-2021</t>
        </is>
      </c>
      <c r="B86" s="1" t="n">
        <v>44361</v>
      </c>
      <c r="C86" s="1" t="n">
        <v>45982</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40099-2025</t>
        </is>
      </c>
      <c r="B87" s="1" t="n">
        <v>45894.48462962963</v>
      </c>
      <c r="C87" s="1" t="n">
        <v>45982</v>
      </c>
      <c r="D87" t="inlineStr">
        <is>
          <t>GOTLANDS LÄN</t>
        </is>
      </c>
      <c r="E87" t="inlineStr">
        <is>
          <t>GOTLAND</t>
        </is>
      </c>
      <c r="G87" t="n">
        <v>6.5</v>
      </c>
      <c r="H87" t="n">
        <v>0</v>
      </c>
      <c r="I87" t="n">
        <v>3</v>
      </c>
      <c r="J87" t="n">
        <v>0</v>
      </c>
      <c r="K87" t="n">
        <v>1</v>
      </c>
      <c r="L87" t="n">
        <v>0</v>
      </c>
      <c r="M87" t="n">
        <v>0</v>
      </c>
      <c r="N87" t="n">
        <v>0</v>
      </c>
      <c r="O87" t="n">
        <v>1</v>
      </c>
      <c r="P87" t="n">
        <v>1</v>
      </c>
      <c r="Q87" t="n">
        <v>4</v>
      </c>
      <c r="R87" s="2" t="inlineStr">
        <is>
          <t>Mörkfjällig olivspindling
Fjällig taggsvamp s.str.
Olivspindling
Svavelriska</t>
        </is>
      </c>
      <c r="S87">
        <f>HYPERLINK("https://klasma.github.io/Logging_0980/artfynd/A 40099-2025 artfynd.xlsx", "A 40099-2025")</f>
        <v/>
      </c>
      <c r="T87">
        <f>HYPERLINK("https://klasma.github.io/Logging_0980/kartor/A 40099-2025 karta.png", "A 40099-2025")</f>
        <v/>
      </c>
      <c r="V87">
        <f>HYPERLINK("https://klasma.github.io/Logging_0980/klagomål/A 40099-2025 FSC-klagomål.docx", "A 40099-2025")</f>
        <v/>
      </c>
      <c r="W87">
        <f>HYPERLINK("https://klasma.github.io/Logging_0980/klagomålsmail/A 40099-2025 FSC-klagomål mail.docx", "A 40099-2025")</f>
        <v/>
      </c>
      <c r="X87">
        <f>HYPERLINK("https://klasma.github.io/Logging_0980/tillsyn/A 40099-2025 tillsynsbegäran.docx", "A 40099-2025")</f>
        <v/>
      </c>
      <c r="Y87">
        <f>HYPERLINK("https://klasma.github.io/Logging_0980/tillsynsmail/A 40099-2025 tillsynsbegäran mail.docx", "A 40099-2025")</f>
        <v/>
      </c>
    </row>
    <row r="88" ht="15" customHeight="1">
      <c r="A88" t="inlineStr">
        <is>
          <t>A 56717-2024</t>
        </is>
      </c>
      <c r="B88" s="1" t="n">
        <v>45628.3166550926</v>
      </c>
      <c r="C88" s="1" t="n">
        <v>45982</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52309-2025</t>
        </is>
      </c>
      <c r="B89" s="1" t="n">
        <v>45953.64381944444</v>
      </c>
      <c r="C89" s="1" t="n">
        <v>45982</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52309-2025 artfynd.xlsx", "A 52309-2025")</f>
        <v/>
      </c>
      <c r="T89">
        <f>HYPERLINK("https://klasma.github.io/Logging_0980/kartor/A 52309-2025 karta.png", "A 52309-2025")</f>
        <v/>
      </c>
      <c r="V89">
        <f>HYPERLINK("https://klasma.github.io/Logging_0980/klagomål/A 52309-2025 FSC-klagomål.docx", "A 52309-2025")</f>
        <v/>
      </c>
      <c r="W89">
        <f>HYPERLINK("https://klasma.github.io/Logging_0980/klagomålsmail/A 52309-2025 FSC-klagomål mail.docx", "A 52309-2025")</f>
        <v/>
      </c>
      <c r="X89">
        <f>HYPERLINK("https://klasma.github.io/Logging_0980/tillsyn/A 52309-2025 tillsynsbegäran.docx", "A 52309-2025")</f>
        <v/>
      </c>
      <c r="Y89">
        <f>HYPERLINK("https://klasma.github.io/Logging_0980/tillsynsmail/A 52309-2025 tillsynsbegäran mail.docx", "A 52309-2025")</f>
        <v/>
      </c>
    </row>
    <row r="90" ht="15" customHeight="1">
      <c r="A90" t="inlineStr">
        <is>
          <t>A 52250-2025</t>
        </is>
      </c>
      <c r="B90" s="1" t="n">
        <v>45953.48998842593</v>
      </c>
      <c r="C90" s="1" t="n">
        <v>45982</v>
      </c>
      <c r="D90" t="inlineStr">
        <is>
          <t>GOTLANDS LÄN</t>
        </is>
      </c>
      <c r="E90" t="inlineStr">
        <is>
          <t>GOTLAND</t>
        </is>
      </c>
      <c r="F90" t="inlineStr">
        <is>
          <t>Övriga Aktiebolag</t>
        </is>
      </c>
      <c r="G90" t="n">
        <v>1.2</v>
      </c>
      <c r="H90" t="n">
        <v>2</v>
      </c>
      <c r="I90" t="n">
        <v>1</v>
      </c>
      <c r="J90" t="n">
        <v>2</v>
      </c>
      <c r="K90" t="n">
        <v>0</v>
      </c>
      <c r="L90" t="n">
        <v>0</v>
      </c>
      <c r="M90" t="n">
        <v>0</v>
      </c>
      <c r="N90" t="n">
        <v>0</v>
      </c>
      <c r="O90" t="n">
        <v>2</v>
      </c>
      <c r="P90" t="n">
        <v>0</v>
      </c>
      <c r="Q90" t="n">
        <v>4</v>
      </c>
      <c r="R90" s="2" t="inlineStr">
        <is>
          <t>Backtimjan
Spillkråka
Anisspindling
Nattviol</t>
        </is>
      </c>
      <c r="S90">
        <f>HYPERLINK("https://klasma.github.io/Logging_0980/artfynd/A 52250-2025 artfynd.xlsx", "A 52250-2025")</f>
        <v/>
      </c>
      <c r="T90">
        <f>HYPERLINK("https://klasma.github.io/Logging_0980/kartor/A 52250-2025 karta.png", "A 52250-2025")</f>
        <v/>
      </c>
      <c r="V90">
        <f>HYPERLINK("https://klasma.github.io/Logging_0980/klagomål/A 52250-2025 FSC-klagomål.docx", "A 52250-2025")</f>
        <v/>
      </c>
      <c r="W90">
        <f>HYPERLINK("https://klasma.github.io/Logging_0980/klagomålsmail/A 52250-2025 FSC-klagomål mail.docx", "A 52250-2025")</f>
        <v/>
      </c>
      <c r="X90">
        <f>HYPERLINK("https://klasma.github.io/Logging_0980/tillsyn/A 52250-2025 tillsynsbegäran.docx", "A 52250-2025")</f>
        <v/>
      </c>
      <c r="Y90">
        <f>HYPERLINK("https://klasma.github.io/Logging_0980/tillsynsmail/A 52250-2025 tillsynsbegäran mail.docx", "A 52250-2025")</f>
        <v/>
      </c>
      <c r="Z90">
        <f>HYPERLINK("https://klasma.github.io/Logging_0980/fåglar/A 52250-2025 prioriterade fågelarter.docx", "A 52250-2025")</f>
        <v/>
      </c>
    </row>
    <row r="91" ht="15" customHeight="1">
      <c r="A91" t="inlineStr">
        <is>
          <t>A 20833-2024</t>
        </is>
      </c>
      <c r="B91" s="1" t="n">
        <v>45439</v>
      </c>
      <c r="C91" s="1" t="n">
        <v>45982</v>
      </c>
      <c r="D91" t="inlineStr">
        <is>
          <t>GOTLANDS LÄN</t>
        </is>
      </c>
      <c r="E91" t="inlineStr">
        <is>
          <t>GOTLAND</t>
        </is>
      </c>
      <c r="G91" t="n">
        <v>0.9</v>
      </c>
      <c r="H91" t="n">
        <v>3</v>
      </c>
      <c r="I91" t="n">
        <v>1</v>
      </c>
      <c r="J91" t="n">
        <v>3</v>
      </c>
      <c r="K91" t="n">
        <v>0</v>
      </c>
      <c r="L91" t="n">
        <v>0</v>
      </c>
      <c r="M91" t="n">
        <v>0</v>
      </c>
      <c r="N91" t="n">
        <v>0</v>
      </c>
      <c r="O91" t="n">
        <v>3</v>
      </c>
      <c r="P91" t="n">
        <v>0</v>
      </c>
      <c r="Q91" t="n">
        <v>4</v>
      </c>
      <c r="R91" s="2" t="inlineStr">
        <is>
          <t>Dårgräsfjäril
Spillkråka
Svinrot
Skogsknipprot</t>
        </is>
      </c>
      <c r="S91">
        <f>HYPERLINK("https://klasma.github.io/Logging_0980/artfynd/A 20833-2024 artfynd.xlsx", "A 20833-2024")</f>
        <v/>
      </c>
      <c r="T91">
        <f>HYPERLINK("https://klasma.github.io/Logging_0980/kartor/A 20833-2024 karta.png", "A 20833-2024")</f>
        <v/>
      </c>
      <c r="V91">
        <f>HYPERLINK("https://klasma.github.io/Logging_0980/klagomål/A 20833-2024 FSC-klagomål.docx", "A 20833-2024")</f>
        <v/>
      </c>
      <c r="W91">
        <f>HYPERLINK("https://klasma.github.io/Logging_0980/klagomålsmail/A 20833-2024 FSC-klagomål mail.docx", "A 20833-2024")</f>
        <v/>
      </c>
      <c r="X91">
        <f>HYPERLINK("https://klasma.github.io/Logging_0980/tillsyn/A 20833-2024 tillsynsbegäran.docx", "A 20833-2024")</f>
        <v/>
      </c>
      <c r="Y91">
        <f>HYPERLINK("https://klasma.github.io/Logging_0980/tillsynsmail/A 20833-2024 tillsynsbegäran mail.docx", "A 20833-2024")</f>
        <v/>
      </c>
      <c r="Z91">
        <f>HYPERLINK("https://klasma.github.io/Logging_0980/fåglar/A 20833-2024 prioriterade fågelarter.docx", "A 20833-2024")</f>
        <v/>
      </c>
    </row>
    <row r="92" ht="15" customHeight="1">
      <c r="A92" t="inlineStr">
        <is>
          <t>A 54523-2023</t>
        </is>
      </c>
      <c r="B92" s="1" t="n">
        <v>45233</v>
      </c>
      <c r="C92" s="1" t="n">
        <v>45982</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2485-2025</t>
        </is>
      </c>
      <c r="B93" s="1" t="n">
        <v>45673</v>
      </c>
      <c r="C93" s="1" t="n">
        <v>45982</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45982</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57463-2025</t>
        </is>
      </c>
      <c r="B95" s="1" t="n">
        <v>45980.54174768519</v>
      </c>
      <c r="C95" s="1" t="n">
        <v>45982</v>
      </c>
      <c r="D95" t="inlineStr">
        <is>
          <t>GOTLANDS LÄN</t>
        </is>
      </c>
      <c r="E95" t="inlineStr">
        <is>
          <t>GOTLAND</t>
        </is>
      </c>
      <c r="G95" t="n">
        <v>3.8</v>
      </c>
      <c r="H95" t="n">
        <v>0</v>
      </c>
      <c r="I95" t="n">
        <v>1</v>
      </c>
      <c r="J95" t="n">
        <v>1</v>
      </c>
      <c r="K95" t="n">
        <v>2</v>
      </c>
      <c r="L95" t="n">
        <v>0</v>
      </c>
      <c r="M95" t="n">
        <v>0</v>
      </c>
      <c r="N95" t="n">
        <v>0</v>
      </c>
      <c r="O95" t="n">
        <v>3</v>
      </c>
      <c r="P95" t="n">
        <v>2</v>
      </c>
      <c r="Q95" t="n">
        <v>4</v>
      </c>
      <c r="R95" s="2" t="inlineStr">
        <is>
          <t>Gulsträngad fagerspindling
Tvillingspindling
Odörspindling
Blå slemspindling</t>
        </is>
      </c>
      <c r="S95">
        <f>HYPERLINK("https://klasma.github.io/Logging_0980/artfynd/A 57463-2025 artfynd.xlsx", "A 57463-2025")</f>
        <v/>
      </c>
      <c r="T95">
        <f>HYPERLINK("https://klasma.github.io/Logging_0980/kartor/A 57463-2025 karta.png", "A 57463-2025")</f>
        <v/>
      </c>
      <c r="V95">
        <f>HYPERLINK("https://klasma.github.io/Logging_0980/klagomål/A 57463-2025 FSC-klagomål.docx", "A 57463-2025")</f>
        <v/>
      </c>
      <c r="W95">
        <f>HYPERLINK("https://klasma.github.io/Logging_0980/klagomålsmail/A 57463-2025 FSC-klagomål mail.docx", "A 57463-2025")</f>
        <v/>
      </c>
      <c r="X95">
        <f>HYPERLINK("https://klasma.github.io/Logging_0980/tillsyn/A 57463-2025 tillsynsbegäran.docx", "A 57463-2025")</f>
        <v/>
      </c>
      <c r="Y95">
        <f>HYPERLINK("https://klasma.github.io/Logging_0980/tillsynsmail/A 57463-2025 tillsynsbegäran mail.docx", "A 57463-2025")</f>
        <v/>
      </c>
    </row>
    <row r="96" ht="15" customHeight="1">
      <c r="A96" t="inlineStr">
        <is>
          <t>A 6159-2023</t>
        </is>
      </c>
      <c r="B96" s="1" t="n">
        <v>44964</v>
      </c>
      <c r="C96" s="1" t="n">
        <v>45982</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45982</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1971-2023</t>
        </is>
      </c>
      <c r="B98" s="1" t="n">
        <v>44939</v>
      </c>
      <c r="C98" s="1" t="n">
        <v>45982</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186-2023</t>
        </is>
      </c>
      <c r="B99" s="1" t="n">
        <v>44928</v>
      </c>
      <c r="C99" s="1" t="n">
        <v>45982</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8265-2023</t>
        </is>
      </c>
      <c r="B100" s="1" t="n">
        <v>44974</v>
      </c>
      <c r="C100" s="1" t="n">
        <v>45982</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44933-2022</t>
        </is>
      </c>
      <c r="B101" s="1" t="n">
        <v>44841</v>
      </c>
      <c r="C101" s="1" t="n">
        <v>45982</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64378-2020</t>
        </is>
      </c>
      <c r="B102" s="1" t="n">
        <v>44168</v>
      </c>
      <c r="C102" s="1" t="n">
        <v>45982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65537-2020</t>
        </is>
      </c>
      <c r="B103" s="1" t="n">
        <v>44173</v>
      </c>
      <c r="C103" s="1" t="n">
        <v>45982</v>
      </c>
      <c r="D103" t="inlineStr">
        <is>
          <t>GOTLANDS LÄN</t>
        </is>
      </c>
      <c r="E103" t="inlineStr">
        <is>
          <t>GOTLAND</t>
        </is>
      </c>
      <c r="G103" t="n">
        <v>1.6</v>
      </c>
      <c r="H103" t="n">
        <v>0</v>
      </c>
      <c r="I103" t="n">
        <v>0</v>
      </c>
      <c r="J103" t="n">
        <v>3</v>
      </c>
      <c r="K103" t="n">
        <v>0</v>
      </c>
      <c r="L103" t="n">
        <v>0</v>
      </c>
      <c r="M103" t="n">
        <v>0</v>
      </c>
      <c r="N103" t="n">
        <v>0</v>
      </c>
      <c r="O103" t="n">
        <v>3</v>
      </c>
      <c r="P103" t="n">
        <v>0</v>
      </c>
      <c r="Q103" t="n">
        <v>3</v>
      </c>
      <c r="R103" s="2" t="inlineStr">
        <is>
          <t>Axveronika
Backtimjan
Solvända</t>
        </is>
      </c>
      <c r="S103">
        <f>HYPERLINK("https://klasma.github.io/Logging_0980/artfynd/A 65537-2020 artfynd.xlsx", "A 65537-2020")</f>
        <v/>
      </c>
      <c r="T103">
        <f>HYPERLINK("https://klasma.github.io/Logging_0980/kartor/A 65537-2020 karta.png", "A 65537-2020")</f>
        <v/>
      </c>
      <c r="V103">
        <f>HYPERLINK("https://klasma.github.io/Logging_0980/klagomål/A 65537-2020 FSC-klagomål.docx", "A 65537-2020")</f>
        <v/>
      </c>
      <c r="W103">
        <f>HYPERLINK("https://klasma.github.io/Logging_0980/klagomålsmail/A 65537-2020 FSC-klagomål mail.docx", "A 65537-2020")</f>
        <v/>
      </c>
      <c r="X103">
        <f>HYPERLINK("https://klasma.github.io/Logging_0980/tillsyn/A 65537-2020 tillsynsbegäran.docx", "A 65537-2020")</f>
        <v/>
      </c>
      <c r="Y103">
        <f>HYPERLINK("https://klasma.github.io/Logging_0980/tillsynsmail/A 65537-2020 tillsynsbegäran mail.docx", "A 65537-2020")</f>
        <v/>
      </c>
    </row>
    <row r="104" ht="15" customHeight="1">
      <c r="A104" t="inlineStr">
        <is>
          <t>A 44323-2021</t>
        </is>
      </c>
      <c r="B104" s="1" t="n">
        <v>44434</v>
      </c>
      <c r="C104" s="1" t="n">
        <v>45982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45982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45982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45982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45982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45982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45982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45982</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45982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45982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48126-2022</t>
        </is>
      </c>
      <c r="B114" s="1" t="n">
        <v>44857</v>
      </c>
      <c r="C114" s="1" t="n">
        <v>45982</v>
      </c>
      <c r="D114" t="inlineStr">
        <is>
          <t>GOTLANDS LÄN</t>
        </is>
      </c>
      <c r="E114" t="inlineStr">
        <is>
          <t>GOTLAND</t>
        </is>
      </c>
      <c r="G114" t="n">
        <v>9.800000000000001</v>
      </c>
      <c r="H114" t="n">
        <v>1</v>
      </c>
      <c r="I114" t="n">
        <v>0</v>
      </c>
      <c r="J114" t="n">
        <v>3</v>
      </c>
      <c r="K114" t="n">
        <v>0</v>
      </c>
      <c r="L114" t="n">
        <v>0</v>
      </c>
      <c r="M114" t="n">
        <v>0</v>
      </c>
      <c r="N114" t="n">
        <v>0</v>
      </c>
      <c r="O114" t="n">
        <v>3</v>
      </c>
      <c r="P114" t="n">
        <v>0</v>
      </c>
      <c r="Q114" t="n">
        <v>3</v>
      </c>
      <c r="R114" s="2" t="inlineStr">
        <is>
          <t>Jordtistel
Spillkråka
Svinrot</t>
        </is>
      </c>
      <c r="S114">
        <f>HYPERLINK("https://klasma.github.io/Logging_0980/artfynd/A 48126-2022 artfynd.xlsx", "A 48126-2022")</f>
        <v/>
      </c>
      <c r="T114">
        <f>HYPERLINK("https://klasma.github.io/Logging_0980/kartor/A 48126-2022 karta.png", "A 48126-2022")</f>
        <v/>
      </c>
      <c r="V114">
        <f>HYPERLINK("https://klasma.github.io/Logging_0980/klagomål/A 48126-2022 FSC-klagomål.docx", "A 48126-2022")</f>
        <v/>
      </c>
      <c r="W114">
        <f>HYPERLINK("https://klasma.github.io/Logging_0980/klagomålsmail/A 48126-2022 FSC-klagomål mail.docx", "A 48126-2022")</f>
        <v/>
      </c>
      <c r="X114">
        <f>HYPERLINK("https://klasma.github.io/Logging_0980/tillsyn/A 48126-2022 tillsynsbegäran.docx", "A 48126-2022")</f>
        <v/>
      </c>
      <c r="Y114">
        <f>HYPERLINK("https://klasma.github.io/Logging_0980/tillsynsmail/A 48126-2022 tillsynsbegäran mail.docx", "A 48126-2022")</f>
        <v/>
      </c>
      <c r="Z114">
        <f>HYPERLINK("https://klasma.github.io/Logging_0980/fåglar/A 48126-2022 prioriterade fågelarter.docx", "A 48126-2022")</f>
        <v/>
      </c>
    </row>
    <row r="115" ht="15" customHeight="1">
      <c r="A115" t="inlineStr">
        <is>
          <t>A 20831-2024</t>
        </is>
      </c>
      <c r="B115" s="1" t="n">
        <v>45439</v>
      </c>
      <c r="C115" s="1" t="n">
        <v>45982</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55334-2024</t>
        </is>
      </c>
      <c r="B116" s="1" t="n">
        <v>45621</v>
      </c>
      <c r="C116" s="1" t="n">
        <v>45982</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45982</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17975-2024</t>
        </is>
      </c>
      <c r="B118" s="1" t="n">
        <v>45419.85546296297</v>
      </c>
      <c r="C118" s="1" t="n">
        <v>45982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62326-2020</t>
        </is>
      </c>
      <c r="B119" s="1" t="n">
        <v>44160</v>
      </c>
      <c r="C119" s="1" t="n">
        <v>45982</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17982-2023</t>
        </is>
      </c>
      <c r="B120" s="1" t="n">
        <v>45040</v>
      </c>
      <c r="C120" s="1" t="n">
        <v>45982</v>
      </c>
      <c r="D120" t="inlineStr">
        <is>
          <t>GOTLANDS LÄN</t>
        </is>
      </c>
      <c r="E120" t="inlineStr">
        <is>
          <t>GOTLAND</t>
        </is>
      </c>
      <c r="G120" t="n">
        <v>2.2</v>
      </c>
      <c r="H120" t="n">
        <v>0</v>
      </c>
      <c r="I120" t="n">
        <v>0</v>
      </c>
      <c r="J120" t="n">
        <v>2</v>
      </c>
      <c r="K120" t="n">
        <v>0</v>
      </c>
      <c r="L120" t="n">
        <v>0</v>
      </c>
      <c r="M120" t="n">
        <v>1</v>
      </c>
      <c r="N120" t="n">
        <v>0</v>
      </c>
      <c r="O120" t="n">
        <v>3</v>
      </c>
      <c r="P120" t="n">
        <v>1</v>
      </c>
      <c r="Q120" t="n">
        <v>3</v>
      </c>
      <c r="R120" s="2" t="inlineStr">
        <is>
          <t>Lundalm
Krusfrö
Ängsskära</t>
        </is>
      </c>
      <c r="S120">
        <f>HYPERLINK("https://klasma.github.io/Logging_0980/artfynd/A 17982-2023 artfynd.xlsx", "A 17982-2023")</f>
        <v/>
      </c>
      <c r="T120">
        <f>HYPERLINK("https://klasma.github.io/Logging_0980/kartor/A 17982-2023 karta.png", "A 17982-2023")</f>
        <v/>
      </c>
      <c r="V120">
        <f>HYPERLINK("https://klasma.github.io/Logging_0980/klagomål/A 17982-2023 FSC-klagomål.docx", "A 17982-2023")</f>
        <v/>
      </c>
      <c r="W120">
        <f>HYPERLINK("https://klasma.github.io/Logging_0980/klagomålsmail/A 17982-2023 FSC-klagomål mail.docx", "A 17982-2023")</f>
        <v/>
      </c>
      <c r="X120">
        <f>HYPERLINK("https://klasma.github.io/Logging_0980/tillsyn/A 17982-2023 tillsynsbegäran.docx", "A 17982-2023")</f>
        <v/>
      </c>
      <c r="Y120">
        <f>HYPERLINK("https://klasma.github.io/Logging_0980/tillsynsmail/A 17982-2023 tillsynsbegäran mail.docx", "A 17982-2023")</f>
        <v/>
      </c>
    </row>
    <row r="121" ht="15" customHeight="1">
      <c r="A121" t="inlineStr">
        <is>
          <t>A 53552-2021</t>
        </is>
      </c>
      <c r="B121" s="1" t="n">
        <v>44468</v>
      </c>
      <c r="C121" s="1" t="n">
        <v>45982</v>
      </c>
      <c r="D121" t="inlineStr">
        <is>
          <t>GOTLANDS LÄN</t>
        </is>
      </c>
      <c r="E121" t="inlineStr">
        <is>
          <t>GOTLAND</t>
        </is>
      </c>
      <c r="G121" t="n">
        <v>6.2</v>
      </c>
      <c r="H121" t="n">
        <v>2</v>
      </c>
      <c r="I121" t="n">
        <v>0</v>
      </c>
      <c r="J121" t="n">
        <v>1</v>
      </c>
      <c r="K121" t="n">
        <v>0</v>
      </c>
      <c r="L121" t="n">
        <v>0</v>
      </c>
      <c r="M121" t="n">
        <v>0</v>
      </c>
      <c r="N121" t="n">
        <v>0</v>
      </c>
      <c r="O121" t="n">
        <v>1</v>
      </c>
      <c r="P121" t="n">
        <v>0</v>
      </c>
      <c r="Q121" t="n">
        <v>3</v>
      </c>
      <c r="R121" s="2" t="inlineStr">
        <is>
          <t>Bredbrämad bastardsvärmare
Grönvit nattviol
Gullviva</t>
        </is>
      </c>
      <c r="S121">
        <f>HYPERLINK("https://klasma.github.io/Logging_0980/artfynd/A 53552-2021 artfynd.xlsx", "A 53552-2021")</f>
        <v/>
      </c>
      <c r="T121">
        <f>HYPERLINK("https://klasma.github.io/Logging_0980/kartor/A 53552-2021 karta.png", "A 53552-2021")</f>
        <v/>
      </c>
      <c r="V121">
        <f>HYPERLINK("https://klasma.github.io/Logging_0980/klagomål/A 53552-2021 FSC-klagomål.docx", "A 53552-2021")</f>
        <v/>
      </c>
      <c r="W121">
        <f>HYPERLINK("https://klasma.github.io/Logging_0980/klagomålsmail/A 53552-2021 FSC-klagomål mail.docx", "A 53552-2021")</f>
        <v/>
      </c>
      <c r="X121">
        <f>HYPERLINK("https://klasma.github.io/Logging_0980/tillsyn/A 53552-2021 tillsynsbegäran.docx", "A 53552-2021")</f>
        <v/>
      </c>
      <c r="Y121">
        <f>HYPERLINK("https://klasma.github.io/Logging_0980/tillsynsmail/A 53552-2021 tillsynsbegäran mail.docx", "A 53552-2021")</f>
        <v/>
      </c>
    </row>
    <row r="122" ht="15" customHeight="1">
      <c r="A122" t="inlineStr">
        <is>
          <t>A 12315-2024</t>
        </is>
      </c>
      <c r="B122" s="1" t="n">
        <v>45378.6434837963</v>
      </c>
      <c r="C122" s="1" t="n">
        <v>45982</v>
      </c>
      <c r="D122" t="inlineStr">
        <is>
          <t>GOTLANDS LÄN</t>
        </is>
      </c>
      <c r="E122" t="inlineStr">
        <is>
          <t>GOTLAND</t>
        </is>
      </c>
      <c r="G122" t="n">
        <v>6</v>
      </c>
      <c r="H122" t="n">
        <v>3</v>
      </c>
      <c r="I122" t="n">
        <v>1</v>
      </c>
      <c r="J122" t="n">
        <v>1</v>
      </c>
      <c r="K122" t="n">
        <v>0</v>
      </c>
      <c r="L122" t="n">
        <v>0</v>
      </c>
      <c r="M122" t="n">
        <v>0</v>
      </c>
      <c r="N122" t="n">
        <v>0</v>
      </c>
      <c r="O122" t="n">
        <v>1</v>
      </c>
      <c r="P122" t="n">
        <v>0</v>
      </c>
      <c r="Q122" t="n">
        <v>3</v>
      </c>
      <c r="R122" s="2" t="inlineStr">
        <is>
          <t>Buskskvätta
Tvåblad
Fläcknycklar</t>
        </is>
      </c>
      <c r="S122">
        <f>HYPERLINK("https://klasma.github.io/Logging_0980/artfynd/A 12315-2024 artfynd.xlsx", "A 12315-2024")</f>
        <v/>
      </c>
      <c r="T122">
        <f>HYPERLINK("https://klasma.github.io/Logging_0980/kartor/A 12315-2024 karta.png", "A 12315-2024")</f>
        <v/>
      </c>
      <c r="V122">
        <f>HYPERLINK("https://klasma.github.io/Logging_0980/klagomål/A 12315-2024 FSC-klagomål.docx", "A 12315-2024")</f>
        <v/>
      </c>
      <c r="W122">
        <f>HYPERLINK("https://klasma.github.io/Logging_0980/klagomålsmail/A 12315-2024 FSC-klagomål mail.docx", "A 12315-2024")</f>
        <v/>
      </c>
      <c r="X122">
        <f>HYPERLINK("https://klasma.github.io/Logging_0980/tillsyn/A 12315-2024 tillsynsbegäran.docx", "A 12315-2024")</f>
        <v/>
      </c>
      <c r="Y122">
        <f>HYPERLINK("https://klasma.github.io/Logging_0980/tillsynsmail/A 12315-2024 tillsynsbegäran mail.docx", "A 12315-2024")</f>
        <v/>
      </c>
      <c r="Z122">
        <f>HYPERLINK("https://klasma.github.io/Logging_0980/fåglar/A 12315-2024 prioriterade fågelarter.docx", "A 12315-2024")</f>
        <v/>
      </c>
    </row>
    <row r="123" ht="15" customHeight="1">
      <c r="A123" t="inlineStr">
        <is>
          <t>A 29870-2021</t>
        </is>
      </c>
      <c r="B123" s="1" t="n">
        <v>44362</v>
      </c>
      <c r="C123" s="1" t="n">
        <v>45982</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45982</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45982</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45982</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45982</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45982</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45982</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45982</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45982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64263-2020</t>
        </is>
      </c>
      <c r="B132" s="1" t="n">
        <v>44168</v>
      </c>
      <c r="C132" s="1" t="n">
        <v>45982</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52245-2025</t>
        </is>
      </c>
      <c r="B133" s="1" t="n">
        <v>45953.47115740741</v>
      </c>
      <c r="C133" s="1" t="n">
        <v>45982</v>
      </c>
      <c r="D133" t="inlineStr">
        <is>
          <t>GOTLANDS LÄN</t>
        </is>
      </c>
      <c r="E133" t="inlineStr">
        <is>
          <t>GOTLAND</t>
        </is>
      </c>
      <c r="F133" t="inlineStr">
        <is>
          <t>Övriga Aktiebolag</t>
        </is>
      </c>
      <c r="G133" t="n">
        <v>10.1</v>
      </c>
      <c r="H133" t="n">
        <v>0</v>
      </c>
      <c r="I133" t="n">
        <v>1</v>
      </c>
      <c r="J133" t="n">
        <v>0</v>
      </c>
      <c r="K133" t="n">
        <v>1</v>
      </c>
      <c r="L133" t="n">
        <v>0</v>
      </c>
      <c r="M133" t="n">
        <v>0</v>
      </c>
      <c r="N133" t="n">
        <v>0</v>
      </c>
      <c r="O133" t="n">
        <v>1</v>
      </c>
      <c r="P133" t="n">
        <v>1</v>
      </c>
      <c r="Q133" t="n">
        <v>2</v>
      </c>
      <c r="R133" s="2" t="inlineStr">
        <is>
          <t>Källnate
Underviol</t>
        </is>
      </c>
      <c r="S133">
        <f>HYPERLINK("https://klasma.github.io/Logging_0980/artfynd/A 52245-2025 artfynd.xlsx", "A 52245-2025")</f>
        <v/>
      </c>
      <c r="T133">
        <f>HYPERLINK("https://klasma.github.io/Logging_0980/kartor/A 52245-2025 karta.png", "A 52245-2025")</f>
        <v/>
      </c>
      <c r="V133">
        <f>HYPERLINK("https://klasma.github.io/Logging_0980/klagomål/A 52245-2025 FSC-klagomål.docx", "A 52245-2025")</f>
        <v/>
      </c>
      <c r="W133">
        <f>HYPERLINK("https://klasma.github.io/Logging_0980/klagomålsmail/A 52245-2025 FSC-klagomål mail.docx", "A 52245-2025")</f>
        <v/>
      </c>
      <c r="X133">
        <f>HYPERLINK("https://klasma.github.io/Logging_0980/tillsyn/A 52245-2025 tillsynsbegäran.docx", "A 52245-2025")</f>
        <v/>
      </c>
      <c r="Y133">
        <f>HYPERLINK("https://klasma.github.io/Logging_0980/tillsynsmail/A 52245-2025 tillsynsbegäran mail.docx", "A 52245-2025")</f>
        <v/>
      </c>
    </row>
    <row r="134" ht="15" customHeight="1">
      <c r="A134" t="inlineStr">
        <is>
          <t>A 12914-2025</t>
        </is>
      </c>
      <c r="B134" s="1" t="n">
        <v>45733</v>
      </c>
      <c r="C134" s="1" t="n">
        <v>45982</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45982</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45982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45982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45982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45982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45982</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45982</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45982</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45982</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45982</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22883-2024</t>
        </is>
      </c>
      <c r="B145" s="1" t="n">
        <v>45448.66368055555</v>
      </c>
      <c r="C145" s="1" t="n">
        <v>45982</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24245-2022</t>
        </is>
      </c>
      <c r="B146" s="1" t="n">
        <v>44725</v>
      </c>
      <c r="C146" s="1" t="n">
        <v>45982</v>
      </c>
      <c r="D146" t="inlineStr">
        <is>
          <t>GOTLANDS LÄN</t>
        </is>
      </c>
      <c r="E146" t="inlineStr">
        <is>
          <t>GOTLAND</t>
        </is>
      </c>
      <c r="G146" t="n">
        <v>4.9</v>
      </c>
      <c r="H146" t="n">
        <v>0</v>
      </c>
      <c r="I146" t="n">
        <v>0</v>
      </c>
      <c r="J146" t="n">
        <v>0</v>
      </c>
      <c r="K146" t="n">
        <v>0</v>
      </c>
      <c r="L146" t="n">
        <v>1</v>
      </c>
      <c r="M146" t="n">
        <v>0</v>
      </c>
      <c r="N146" t="n">
        <v>0</v>
      </c>
      <c r="O146" t="n">
        <v>1</v>
      </c>
      <c r="P146" t="n">
        <v>1</v>
      </c>
      <c r="Q146" t="n">
        <v>1</v>
      </c>
      <c r="R146" s="2" t="inlineStr">
        <is>
          <t>Slät taggsvamp</t>
        </is>
      </c>
      <c r="S146">
        <f>HYPERLINK("https://klasma.github.io/Logging_0980/artfynd/A 24245-2022 artfynd.xlsx", "A 24245-2022")</f>
        <v/>
      </c>
      <c r="T146">
        <f>HYPERLINK("https://klasma.github.io/Logging_0980/kartor/A 24245-2022 karta.png", "A 24245-2022")</f>
        <v/>
      </c>
      <c r="V146">
        <f>HYPERLINK("https://klasma.github.io/Logging_0980/klagomål/A 24245-2022 FSC-klagomål.docx", "A 24245-2022")</f>
        <v/>
      </c>
      <c r="W146">
        <f>HYPERLINK("https://klasma.github.io/Logging_0980/klagomålsmail/A 24245-2022 FSC-klagomål mail.docx", "A 24245-2022")</f>
        <v/>
      </c>
      <c r="X146">
        <f>HYPERLINK("https://klasma.github.io/Logging_0980/tillsyn/A 24245-2022 tillsynsbegäran.docx", "A 24245-2022")</f>
        <v/>
      </c>
      <c r="Y146">
        <f>HYPERLINK("https://klasma.github.io/Logging_0980/tillsynsmail/A 24245-2022 tillsynsbegäran mail.docx", "A 24245-2022")</f>
        <v/>
      </c>
    </row>
    <row r="147" ht="15" customHeight="1">
      <c r="A147" t="inlineStr">
        <is>
          <t>A 10440-2024</t>
        </is>
      </c>
      <c r="B147" s="1" t="n">
        <v>45366.32818287037</v>
      </c>
      <c r="C147" s="1" t="n">
        <v>45982</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39812-2025</t>
        </is>
      </c>
      <c r="B148" s="1" t="n">
        <v>45891</v>
      </c>
      <c r="C148" s="1" t="n">
        <v>45982</v>
      </c>
      <c r="D148" t="inlineStr">
        <is>
          <t>GOTLANDS LÄN</t>
        </is>
      </c>
      <c r="E148" t="inlineStr">
        <is>
          <t>GOTLAND</t>
        </is>
      </c>
      <c r="G148" t="n">
        <v>6</v>
      </c>
      <c r="H148" t="n">
        <v>1</v>
      </c>
      <c r="I148" t="n">
        <v>0</v>
      </c>
      <c r="J148" t="n">
        <v>0</v>
      </c>
      <c r="K148" t="n">
        <v>0</v>
      </c>
      <c r="L148" t="n">
        <v>1</v>
      </c>
      <c r="M148" t="n">
        <v>0</v>
      </c>
      <c r="N148" t="n">
        <v>0</v>
      </c>
      <c r="O148" t="n">
        <v>1</v>
      </c>
      <c r="P148" t="n">
        <v>1</v>
      </c>
      <c r="Q148" t="n">
        <v>1</v>
      </c>
      <c r="R148" s="2" t="inlineStr">
        <is>
          <t>Nålkörvel</t>
        </is>
      </c>
      <c r="S148">
        <f>HYPERLINK("https://klasma.github.io/Logging_0980/artfynd/A 39812-2025 artfynd.xlsx", "A 39812-2025")</f>
        <v/>
      </c>
      <c r="T148">
        <f>HYPERLINK("https://klasma.github.io/Logging_0980/kartor/A 39812-2025 karta.png", "A 39812-2025")</f>
        <v/>
      </c>
      <c r="V148">
        <f>HYPERLINK("https://klasma.github.io/Logging_0980/klagomål/A 39812-2025 FSC-klagomål.docx", "A 39812-2025")</f>
        <v/>
      </c>
      <c r="W148">
        <f>HYPERLINK("https://klasma.github.io/Logging_0980/klagomålsmail/A 39812-2025 FSC-klagomål mail.docx", "A 39812-2025")</f>
        <v/>
      </c>
      <c r="X148">
        <f>HYPERLINK("https://klasma.github.io/Logging_0980/tillsyn/A 39812-2025 tillsynsbegäran.docx", "A 39812-2025")</f>
        <v/>
      </c>
      <c r="Y148">
        <f>HYPERLINK("https://klasma.github.io/Logging_0980/tillsynsmail/A 39812-2025 tillsynsbegäran mail.docx", "A 39812-2025")</f>
        <v/>
      </c>
    </row>
    <row r="149" ht="15" customHeight="1">
      <c r="A149" t="inlineStr">
        <is>
          <t>A 44308-2021</t>
        </is>
      </c>
      <c r="B149" s="1" t="n">
        <v>44434</v>
      </c>
      <c r="C149" s="1" t="n">
        <v>45982</v>
      </c>
      <c r="D149" t="inlineStr">
        <is>
          <t>GOTLANDS LÄN</t>
        </is>
      </c>
      <c r="E149" t="inlineStr">
        <is>
          <t>GOTLAND</t>
        </is>
      </c>
      <c r="G149" t="n">
        <v>5.9</v>
      </c>
      <c r="H149" t="n">
        <v>0</v>
      </c>
      <c r="I149" t="n">
        <v>1</v>
      </c>
      <c r="J149" t="n">
        <v>0</v>
      </c>
      <c r="K149" t="n">
        <v>0</v>
      </c>
      <c r="L149" t="n">
        <v>0</v>
      </c>
      <c r="M149" t="n">
        <v>0</v>
      </c>
      <c r="N149" t="n">
        <v>0</v>
      </c>
      <c r="O149" t="n">
        <v>0</v>
      </c>
      <c r="P149" t="n">
        <v>0</v>
      </c>
      <c r="Q149" t="n">
        <v>1</v>
      </c>
      <c r="R149" s="2" t="inlineStr">
        <is>
          <t>Svavelriska</t>
        </is>
      </c>
      <c r="S149">
        <f>HYPERLINK("https://klasma.github.io/Logging_0980/artfynd/A 44308-2021 artfynd.xlsx", "A 44308-2021")</f>
        <v/>
      </c>
      <c r="T149">
        <f>HYPERLINK("https://klasma.github.io/Logging_0980/kartor/A 44308-2021 karta.png", "A 44308-2021")</f>
        <v/>
      </c>
      <c r="V149">
        <f>HYPERLINK("https://klasma.github.io/Logging_0980/klagomål/A 44308-2021 FSC-klagomål.docx", "A 44308-2021")</f>
        <v/>
      </c>
      <c r="W149">
        <f>HYPERLINK("https://klasma.github.io/Logging_0980/klagomålsmail/A 44308-2021 FSC-klagomål mail.docx", "A 44308-2021")</f>
        <v/>
      </c>
      <c r="X149">
        <f>HYPERLINK("https://klasma.github.io/Logging_0980/tillsyn/A 44308-2021 tillsynsbegäran.docx", "A 44308-2021")</f>
        <v/>
      </c>
      <c r="Y149">
        <f>HYPERLINK("https://klasma.github.io/Logging_0980/tillsynsmail/A 44308-2021 tillsynsbegäran mail.docx", "A 44308-2021")</f>
        <v/>
      </c>
    </row>
    <row r="150" ht="15" customHeight="1">
      <c r="A150" t="inlineStr">
        <is>
          <t>A 49726-2025</t>
        </is>
      </c>
      <c r="B150" s="1" t="n">
        <v>45939.84466435185</v>
      </c>
      <c r="C150" s="1" t="n">
        <v>45982</v>
      </c>
      <c r="D150" t="inlineStr">
        <is>
          <t>GOTLANDS LÄN</t>
        </is>
      </c>
      <c r="E150" t="inlineStr">
        <is>
          <t>GOTLAND</t>
        </is>
      </c>
      <c r="F150" t="inlineStr">
        <is>
          <t>Kyrkan</t>
        </is>
      </c>
      <c r="G150" t="n">
        <v>5.4</v>
      </c>
      <c r="H150" t="n">
        <v>0</v>
      </c>
      <c r="I150" t="n">
        <v>0</v>
      </c>
      <c r="J150" t="n">
        <v>1</v>
      </c>
      <c r="K150" t="n">
        <v>0</v>
      </c>
      <c r="L150" t="n">
        <v>0</v>
      </c>
      <c r="M150" t="n">
        <v>0</v>
      </c>
      <c r="N150" t="n">
        <v>0</v>
      </c>
      <c r="O150" t="n">
        <v>1</v>
      </c>
      <c r="P150" t="n">
        <v>0</v>
      </c>
      <c r="Q150" t="n">
        <v>1</v>
      </c>
      <c r="R150" s="2" t="inlineStr">
        <is>
          <t>Odörspindling</t>
        </is>
      </c>
      <c r="S150">
        <f>HYPERLINK("https://klasma.github.io/Logging_0980/artfynd/A 49726-2025 artfynd.xlsx", "A 49726-2025")</f>
        <v/>
      </c>
      <c r="T150">
        <f>HYPERLINK("https://klasma.github.io/Logging_0980/kartor/A 49726-2025 karta.png", "A 49726-2025")</f>
        <v/>
      </c>
      <c r="V150">
        <f>HYPERLINK("https://klasma.github.io/Logging_0980/klagomål/A 49726-2025 FSC-klagomål.docx", "A 49726-2025")</f>
        <v/>
      </c>
      <c r="W150">
        <f>HYPERLINK("https://klasma.github.io/Logging_0980/klagomålsmail/A 49726-2025 FSC-klagomål mail.docx", "A 49726-2025")</f>
        <v/>
      </c>
      <c r="X150">
        <f>HYPERLINK("https://klasma.github.io/Logging_0980/tillsyn/A 49726-2025 tillsynsbegäran.docx", "A 49726-2025")</f>
        <v/>
      </c>
      <c r="Y150">
        <f>HYPERLINK("https://klasma.github.io/Logging_0980/tillsynsmail/A 49726-2025 tillsynsbegäran mail.docx", "A 49726-2025")</f>
        <v/>
      </c>
    </row>
    <row r="151" ht="15" customHeight="1">
      <c r="A151" t="inlineStr">
        <is>
          <t>A 26461-2025</t>
        </is>
      </c>
      <c r="B151" s="1" t="n">
        <v>45807.43337962963</v>
      </c>
      <c r="C151" s="1" t="n">
        <v>45982</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46527-2023</t>
        </is>
      </c>
      <c r="B152" s="1" t="n">
        <v>45197</v>
      </c>
      <c r="C152" s="1" t="n">
        <v>45982</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17723-2021</t>
        </is>
      </c>
      <c r="B153" s="1" t="n">
        <v>44300</v>
      </c>
      <c r="C153" s="1" t="n">
        <v>45982</v>
      </c>
      <c r="D153" t="inlineStr">
        <is>
          <t>GOTLANDS LÄN</t>
        </is>
      </c>
      <c r="E153" t="inlineStr">
        <is>
          <t>GOTLAND</t>
        </is>
      </c>
      <c r="G153" t="n">
        <v>1.5</v>
      </c>
      <c r="H153" t="n">
        <v>1</v>
      </c>
      <c r="I153" t="n">
        <v>1</v>
      </c>
      <c r="J153" t="n">
        <v>0</v>
      </c>
      <c r="K153" t="n">
        <v>0</v>
      </c>
      <c r="L153" t="n">
        <v>0</v>
      </c>
      <c r="M153" t="n">
        <v>0</v>
      </c>
      <c r="N153" t="n">
        <v>0</v>
      </c>
      <c r="O153" t="n">
        <v>0</v>
      </c>
      <c r="P153" t="n">
        <v>0</v>
      </c>
      <c r="Q153" t="n">
        <v>1</v>
      </c>
      <c r="R153" s="2" t="inlineStr">
        <is>
          <t>Vit skogslilja</t>
        </is>
      </c>
      <c r="S153">
        <f>HYPERLINK("https://klasma.github.io/Logging_0980/artfynd/A 17723-2021 artfynd.xlsx", "A 17723-2021")</f>
        <v/>
      </c>
      <c r="T153">
        <f>HYPERLINK("https://klasma.github.io/Logging_0980/kartor/A 17723-2021 karta.png", "A 17723-2021")</f>
        <v/>
      </c>
      <c r="V153">
        <f>HYPERLINK("https://klasma.github.io/Logging_0980/klagomål/A 17723-2021 FSC-klagomål.docx", "A 17723-2021")</f>
        <v/>
      </c>
      <c r="W153">
        <f>HYPERLINK("https://klasma.github.io/Logging_0980/klagomålsmail/A 17723-2021 FSC-klagomål mail.docx", "A 17723-2021")</f>
        <v/>
      </c>
      <c r="X153">
        <f>HYPERLINK("https://klasma.github.io/Logging_0980/tillsyn/A 17723-2021 tillsynsbegäran.docx", "A 17723-2021")</f>
        <v/>
      </c>
      <c r="Y153">
        <f>HYPERLINK("https://klasma.github.io/Logging_0980/tillsynsmail/A 17723-2021 tillsynsbegäran mail.docx", "A 17723-2021")</f>
        <v/>
      </c>
    </row>
    <row r="154" ht="15" customHeight="1">
      <c r="A154" t="inlineStr">
        <is>
          <t>A 6303-2024</t>
        </is>
      </c>
      <c r="B154" s="1" t="n">
        <v>45338.35376157407</v>
      </c>
      <c r="C154" s="1" t="n">
        <v>45982</v>
      </c>
      <c r="D154" t="inlineStr">
        <is>
          <t>GOTLANDS LÄN</t>
        </is>
      </c>
      <c r="E154" t="inlineStr">
        <is>
          <t>GOTLAND</t>
        </is>
      </c>
      <c r="G154" t="n">
        <v>0.6</v>
      </c>
      <c r="H154" t="n">
        <v>0</v>
      </c>
      <c r="I154" t="n">
        <v>1</v>
      </c>
      <c r="J154" t="n">
        <v>0</v>
      </c>
      <c r="K154" t="n">
        <v>0</v>
      </c>
      <c r="L154" t="n">
        <v>0</v>
      </c>
      <c r="M154" t="n">
        <v>0</v>
      </c>
      <c r="N154" t="n">
        <v>0</v>
      </c>
      <c r="O154" t="n">
        <v>0</v>
      </c>
      <c r="P154" t="n">
        <v>0</v>
      </c>
      <c r="Q154" t="n">
        <v>1</v>
      </c>
      <c r="R154" s="2" t="inlineStr">
        <is>
          <t>Strävlosta</t>
        </is>
      </c>
      <c r="S154">
        <f>HYPERLINK("https://klasma.github.io/Logging_0980/artfynd/A 6303-2024 artfynd.xlsx", "A 6303-2024")</f>
        <v/>
      </c>
      <c r="T154">
        <f>HYPERLINK("https://klasma.github.io/Logging_0980/kartor/A 6303-2024 karta.png", "A 6303-2024")</f>
        <v/>
      </c>
      <c r="V154">
        <f>HYPERLINK("https://klasma.github.io/Logging_0980/klagomål/A 6303-2024 FSC-klagomål.docx", "A 6303-2024")</f>
        <v/>
      </c>
      <c r="W154">
        <f>HYPERLINK("https://klasma.github.io/Logging_0980/klagomålsmail/A 6303-2024 FSC-klagomål mail.docx", "A 6303-2024")</f>
        <v/>
      </c>
      <c r="X154">
        <f>HYPERLINK("https://klasma.github.io/Logging_0980/tillsyn/A 6303-2024 tillsynsbegäran.docx", "A 6303-2024")</f>
        <v/>
      </c>
      <c r="Y154">
        <f>HYPERLINK("https://klasma.github.io/Logging_0980/tillsynsmail/A 6303-2024 tillsynsbegäran mail.docx", "A 6303-2024")</f>
        <v/>
      </c>
    </row>
    <row r="155" ht="15" customHeight="1">
      <c r="A155" t="inlineStr">
        <is>
          <t>A 62552-2022</t>
        </is>
      </c>
      <c r="B155" s="1" t="n">
        <v>44924</v>
      </c>
      <c r="C155" s="1" t="n">
        <v>45982</v>
      </c>
      <c r="D155" t="inlineStr">
        <is>
          <t>GOTLANDS LÄN</t>
        </is>
      </c>
      <c r="E155" t="inlineStr">
        <is>
          <t>GOTLAND</t>
        </is>
      </c>
      <c r="G155" t="n">
        <v>1.6</v>
      </c>
      <c r="H155" t="n">
        <v>0</v>
      </c>
      <c r="I155" t="n">
        <v>0</v>
      </c>
      <c r="J155" t="n">
        <v>1</v>
      </c>
      <c r="K155" t="n">
        <v>0</v>
      </c>
      <c r="L155" t="n">
        <v>0</v>
      </c>
      <c r="M155" t="n">
        <v>0</v>
      </c>
      <c r="N155" t="n">
        <v>0</v>
      </c>
      <c r="O155" t="n">
        <v>1</v>
      </c>
      <c r="P155" t="n">
        <v>0</v>
      </c>
      <c r="Q155" t="n">
        <v>1</v>
      </c>
      <c r="R155" s="2" t="inlineStr">
        <is>
          <t>Äggspindling</t>
        </is>
      </c>
      <c r="S155">
        <f>HYPERLINK("https://klasma.github.io/Logging_0980/artfynd/A 62552-2022 artfynd.xlsx", "A 62552-2022")</f>
        <v/>
      </c>
      <c r="T155">
        <f>HYPERLINK("https://klasma.github.io/Logging_0980/kartor/A 62552-2022 karta.png", "A 62552-2022")</f>
        <v/>
      </c>
      <c r="V155">
        <f>HYPERLINK("https://klasma.github.io/Logging_0980/klagomål/A 62552-2022 FSC-klagomål.docx", "A 62552-2022")</f>
        <v/>
      </c>
      <c r="W155">
        <f>HYPERLINK("https://klasma.github.io/Logging_0980/klagomålsmail/A 62552-2022 FSC-klagomål mail.docx", "A 62552-2022")</f>
        <v/>
      </c>
      <c r="X155">
        <f>HYPERLINK("https://klasma.github.io/Logging_0980/tillsyn/A 62552-2022 tillsynsbegäran.docx", "A 62552-2022")</f>
        <v/>
      </c>
      <c r="Y155">
        <f>HYPERLINK("https://klasma.github.io/Logging_0980/tillsynsmail/A 62552-2022 tillsynsbegäran mail.docx", "A 62552-2022")</f>
        <v/>
      </c>
    </row>
    <row r="156" ht="15" customHeight="1">
      <c r="A156" t="inlineStr">
        <is>
          <t>A 35467-2021</t>
        </is>
      </c>
      <c r="B156" s="1" t="n">
        <v>44385</v>
      </c>
      <c r="C156" s="1" t="n">
        <v>45982</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27168-2022</t>
        </is>
      </c>
      <c r="B157" s="1" t="n">
        <v>44741</v>
      </c>
      <c r="C157" s="1" t="n">
        <v>45982</v>
      </c>
      <c r="D157" t="inlineStr">
        <is>
          <t>GOTLANDS LÄN</t>
        </is>
      </c>
      <c r="E157" t="inlineStr">
        <is>
          <t>GOTLAND</t>
        </is>
      </c>
      <c r="G157" t="n">
        <v>2.2</v>
      </c>
      <c r="H157" t="n">
        <v>1</v>
      </c>
      <c r="I157" t="n">
        <v>1</v>
      </c>
      <c r="J157" t="n">
        <v>0</v>
      </c>
      <c r="K157" t="n">
        <v>0</v>
      </c>
      <c r="L157" t="n">
        <v>0</v>
      </c>
      <c r="M157" t="n">
        <v>0</v>
      </c>
      <c r="N157" t="n">
        <v>0</v>
      </c>
      <c r="O157" t="n">
        <v>0</v>
      </c>
      <c r="P157" t="n">
        <v>0</v>
      </c>
      <c r="Q157" t="n">
        <v>1</v>
      </c>
      <c r="R157" s="2" t="inlineStr">
        <is>
          <t>Purpurknipprot</t>
        </is>
      </c>
      <c r="S157">
        <f>HYPERLINK("https://klasma.github.io/Logging_0980/artfynd/A 27168-2022 artfynd.xlsx", "A 27168-2022")</f>
        <v/>
      </c>
      <c r="T157">
        <f>HYPERLINK("https://klasma.github.io/Logging_0980/kartor/A 27168-2022 karta.png", "A 27168-2022")</f>
        <v/>
      </c>
      <c r="V157">
        <f>HYPERLINK("https://klasma.github.io/Logging_0980/klagomål/A 27168-2022 FSC-klagomål.docx", "A 27168-2022")</f>
        <v/>
      </c>
      <c r="W157">
        <f>HYPERLINK("https://klasma.github.io/Logging_0980/klagomålsmail/A 27168-2022 FSC-klagomål mail.docx", "A 27168-2022")</f>
        <v/>
      </c>
      <c r="X157">
        <f>HYPERLINK("https://klasma.github.io/Logging_0980/tillsyn/A 27168-2022 tillsynsbegäran.docx", "A 27168-2022")</f>
        <v/>
      </c>
      <c r="Y157">
        <f>HYPERLINK("https://klasma.github.io/Logging_0980/tillsynsmail/A 27168-2022 tillsynsbegäran mail.docx", "A 27168-2022")</f>
        <v/>
      </c>
    </row>
    <row r="158" ht="15" customHeight="1">
      <c r="A158" t="inlineStr">
        <is>
          <t>A 25977-2024</t>
        </is>
      </c>
      <c r="B158" s="1" t="n">
        <v>45467.69356481481</v>
      </c>
      <c r="C158" s="1" t="n">
        <v>45982</v>
      </c>
      <c r="D158" t="inlineStr">
        <is>
          <t>GOTLANDS LÄN</t>
        </is>
      </c>
      <c r="E158" t="inlineStr">
        <is>
          <t>GOTLAND</t>
        </is>
      </c>
      <c r="G158" t="n">
        <v>3</v>
      </c>
      <c r="H158" t="n">
        <v>1</v>
      </c>
      <c r="I158" t="n">
        <v>0</v>
      </c>
      <c r="J158" t="n">
        <v>0</v>
      </c>
      <c r="K158" t="n">
        <v>0</v>
      </c>
      <c r="L158" t="n">
        <v>0</v>
      </c>
      <c r="M158" t="n">
        <v>0</v>
      </c>
      <c r="N158" t="n">
        <v>0</v>
      </c>
      <c r="O158" t="n">
        <v>0</v>
      </c>
      <c r="P158" t="n">
        <v>0</v>
      </c>
      <c r="Q158" t="n">
        <v>1</v>
      </c>
      <c r="R158" s="2" t="inlineStr">
        <is>
          <t>Nattviol</t>
        </is>
      </c>
      <c r="S158">
        <f>HYPERLINK("https://klasma.github.io/Logging_0980/artfynd/A 25977-2024 artfynd.xlsx", "A 25977-2024")</f>
        <v/>
      </c>
      <c r="T158">
        <f>HYPERLINK("https://klasma.github.io/Logging_0980/kartor/A 25977-2024 karta.png", "A 25977-2024")</f>
        <v/>
      </c>
      <c r="V158">
        <f>HYPERLINK("https://klasma.github.io/Logging_0980/klagomål/A 25977-2024 FSC-klagomål.docx", "A 25977-2024")</f>
        <v/>
      </c>
      <c r="W158">
        <f>HYPERLINK("https://klasma.github.io/Logging_0980/klagomålsmail/A 25977-2024 FSC-klagomål mail.docx", "A 25977-2024")</f>
        <v/>
      </c>
      <c r="X158">
        <f>HYPERLINK("https://klasma.github.io/Logging_0980/tillsyn/A 25977-2024 tillsynsbegäran.docx", "A 25977-2024")</f>
        <v/>
      </c>
      <c r="Y158">
        <f>HYPERLINK("https://klasma.github.io/Logging_0980/tillsynsmail/A 25977-2024 tillsynsbegäran mail.docx", "A 25977-2024")</f>
        <v/>
      </c>
    </row>
    <row r="159" ht="15" customHeight="1">
      <c r="A159" t="inlineStr">
        <is>
          <t>A 44619-2025</t>
        </is>
      </c>
      <c r="B159" s="1" t="n">
        <v>45917</v>
      </c>
      <c r="C159" s="1" t="n">
        <v>45982</v>
      </c>
      <c r="D159" t="inlineStr">
        <is>
          <t>GOTLANDS LÄN</t>
        </is>
      </c>
      <c r="E159" t="inlineStr">
        <is>
          <t>GOTLAND</t>
        </is>
      </c>
      <c r="G159" t="n">
        <v>4.3</v>
      </c>
      <c r="H159" t="n">
        <v>0</v>
      </c>
      <c r="I159" t="n">
        <v>1</v>
      </c>
      <c r="J159" t="n">
        <v>0</v>
      </c>
      <c r="K159" t="n">
        <v>0</v>
      </c>
      <c r="L159" t="n">
        <v>0</v>
      </c>
      <c r="M159" t="n">
        <v>0</v>
      </c>
      <c r="N159" t="n">
        <v>0</v>
      </c>
      <c r="O159" t="n">
        <v>0</v>
      </c>
      <c r="P159" t="n">
        <v>0</v>
      </c>
      <c r="Q159" t="n">
        <v>1</v>
      </c>
      <c r="R159" s="2" t="inlineStr">
        <is>
          <t>Ögonpyrola</t>
        </is>
      </c>
      <c r="S159">
        <f>HYPERLINK("https://klasma.github.io/Logging_0980/artfynd/A 44619-2025 artfynd.xlsx", "A 44619-2025")</f>
        <v/>
      </c>
      <c r="T159">
        <f>HYPERLINK("https://klasma.github.io/Logging_0980/kartor/A 44619-2025 karta.png", "A 44619-2025")</f>
        <v/>
      </c>
      <c r="V159">
        <f>HYPERLINK("https://klasma.github.io/Logging_0980/klagomål/A 44619-2025 FSC-klagomål.docx", "A 44619-2025")</f>
        <v/>
      </c>
      <c r="W159">
        <f>HYPERLINK("https://klasma.github.io/Logging_0980/klagomålsmail/A 44619-2025 FSC-klagomål mail.docx", "A 44619-2025")</f>
        <v/>
      </c>
      <c r="X159">
        <f>HYPERLINK("https://klasma.github.io/Logging_0980/tillsyn/A 44619-2025 tillsynsbegäran.docx", "A 44619-2025")</f>
        <v/>
      </c>
      <c r="Y159">
        <f>HYPERLINK("https://klasma.github.io/Logging_0980/tillsynsmail/A 44619-2025 tillsynsbegäran mail.docx", "A 44619-2025")</f>
        <v/>
      </c>
    </row>
    <row r="160" ht="15" customHeight="1">
      <c r="A160" t="inlineStr">
        <is>
          <t>A 27589-2023</t>
        </is>
      </c>
      <c r="B160" s="1" t="n">
        <v>45097</v>
      </c>
      <c r="C160" s="1" t="n">
        <v>45982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9862-2024</t>
        </is>
      </c>
      <c r="B161" s="1" t="n">
        <v>45363</v>
      </c>
      <c r="C161" s="1" t="n">
        <v>45982</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45982</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65927-2021</t>
        </is>
      </c>
      <c r="B163" s="1" t="n">
        <v>44516</v>
      </c>
      <c r="C163" s="1" t="n">
        <v>45982</v>
      </c>
      <c r="D163" t="inlineStr">
        <is>
          <t>GOTLANDS LÄN</t>
        </is>
      </c>
      <c r="E163" t="inlineStr">
        <is>
          <t>GOTLAND</t>
        </is>
      </c>
      <c r="G163" t="n">
        <v>3.1</v>
      </c>
      <c r="H163" t="n">
        <v>1</v>
      </c>
      <c r="I163" t="n">
        <v>0</v>
      </c>
      <c r="J163" t="n">
        <v>0</v>
      </c>
      <c r="K163" t="n">
        <v>1</v>
      </c>
      <c r="L163" t="n">
        <v>0</v>
      </c>
      <c r="M163" t="n">
        <v>0</v>
      </c>
      <c r="N163" t="n">
        <v>0</v>
      </c>
      <c r="O163" t="n">
        <v>1</v>
      </c>
      <c r="P163" t="n">
        <v>1</v>
      </c>
      <c r="Q163" t="n">
        <v>1</v>
      </c>
      <c r="R163" s="2" t="inlineStr">
        <is>
          <t>Grenigt kungsljus</t>
        </is>
      </c>
      <c r="S163">
        <f>HYPERLINK("https://klasma.github.io/Logging_0980/artfynd/A 65927-2021 artfynd.xlsx", "A 65927-2021")</f>
        <v/>
      </c>
      <c r="T163">
        <f>HYPERLINK("https://klasma.github.io/Logging_0980/kartor/A 65927-2021 karta.png", "A 65927-2021")</f>
        <v/>
      </c>
      <c r="V163">
        <f>HYPERLINK("https://klasma.github.io/Logging_0980/klagomål/A 65927-2021 FSC-klagomål.docx", "A 65927-2021")</f>
        <v/>
      </c>
      <c r="W163">
        <f>HYPERLINK("https://klasma.github.io/Logging_0980/klagomålsmail/A 65927-2021 FSC-klagomål mail.docx", "A 65927-2021")</f>
        <v/>
      </c>
      <c r="X163">
        <f>HYPERLINK("https://klasma.github.io/Logging_0980/tillsyn/A 65927-2021 tillsynsbegäran.docx", "A 65927-2021")</f>
        <v/>
      </c>
      <c r="Y163">
        <f>HYPERLINK("https://klasma.github.io/Logging_0980/tillsynsmail/A 65927-2021 tillsynsbegäran mail.docx", "A 65927-2021")</f>
        <v/>
      </c>
    </row>
    <row r="164" ht="15" customHeight="1">
      <c r="A164" t="inlineStr">
        <is>
          <t>A 947-2023</t>
        </is>
      </c>
      <c r="B164" s="1" t="n">
        <v>44934</v>
      </c>
      <c r="C164" s="1" t="n">
        <v>45982</v>
      </c>
      <c r="D164" t="inlineStr">
        <is>
          <t>GOTLANDS LÄN</t>
        </is>
      </c>
      <c r="E164" t="inlineStr">
        <is>
          <t>GOTLAND</t>
        </is>
      </c>
      <c r="G164" t="n">
        <v>0.7</v>
      </c>
      <c r="H164" t="n">
        <v>1</v>
      </c>
      <c r="I164" t="n">
        <v>0</v>
      </c>
      <c r="J164" t="n">
        <v>0</v>
      </c>
      <c r="K164" t="n">
        <v>1</v>
      </c>
      <c r="L164" t="n">
        <v>0</v>
      </c>
      <c r="M164" t="n">
        <v>0</v>
      </c>
      <c r="N164" t="n">
        <v>0</v>
      </c>
      <c r="O164" t="n">
        <v>1</v>
      </c>
      <c r="P164" t="n">
        <v>1</v>
      </c>
      <c r="Q164" t="n">
        <v>1</v>
      </c>
      <c r="R164" s="2" t="inlineStr">
        <is>
          <t>Garderönn</t>
        </is>
      </c>
      <c r="S164">
        <f>HYPERLINK("https://klasma.github.io/Logging_0980/artfynd/A 947-2023 artfynd.xlsx", "A 947-2023")</f>
        <v/>
      </c>
      <c r="T164">
        <f>HYPERLINK("https://klasma.github.io/Logging_0980/kartor/A 947-2023 karta.png", "A 947-2023")</f>
        <v/>
      </c>
      <c r="V164">
        <f>HYPERLINK("https://klasma.github.io/Logging_0980/klagomål/A 947-2023 FSC-klagomål.docx", "A 947-2023")</f>
        <v/>
      </c>
      <c r="W164">
        <f>HYPERLINK("https://klasma.github.io/Logging_0980/klagomålsmail/A 947-2023 FSC-klagomål mail.docx", "A 947-2023")</f>
        <v/>
      </c>
      <c r="X164">
        <f>HYPERLINK("https://klasma.github.io/Logging_0980/tillsyn/A 947-2023 tillsynsbegäran.docx", "A 947-2023")</f>
        <v/>
      </c>
      <c r="Y164">
        <f>HYPERLINK("https://klasma.github.io/Logging_0980/tillsynsmail/A 947-2023 tillsynsbegäran mail.docx", "A 947-2023")</f>
        <v/>
      </c>
    </row>
    <row r="165" ht="15" customHeight="1">
      <c r="A165" t="inlineStr">
        <is>
          <t>A 12924-2025</t>
        </is>
      </c>
      <c r="B165" s="1" t="n">
        <v>45734</v>
      </c>
      <c r="C165" s="1" t="n">
        <v>45982</v>
      </c>
      <c r="D165" t="inlineStr">
        <is>
          <t>GOTLANDS LÄN</t>
        </is>
      </c>
      <c r="E165" t="inlineStr">
        <is>
          <t>GOTLAND</t>
        </is>
      </c>
      <c r="G165" t="n">
        <v>11.7</v>
      </c>
      <c r="H165" t="n">
        <v>0</v>
      </c>
      <c r="I165" t="n">
        <v>0</v>
      </c>
      <c r="J165" t="n">
        <v>0</v>
      </c>
      <c r="K165" t="n">
        <v>1</v>
      </c>
      <c r="L165" t="n">
        <v>0</v>
      </c>
      <c r="M165" t="n">
        <v>0</v>
      </c>
      <c r="N165" t="n">
        <v>0</v>
      </c>
      <c r="O165" t="n">
        <v>1</v>
      </c>
      <c r="P165" t="n">
        <v>1</v>
      </c>
      <c r="Q165" t="n">
        <v>1</v>
      </c>
      <c r="R165" s="2" t="inlineStr">
        <is>
          <t>Gotlandsmåra</t>
        </is>
      </c>
      <c r="S165">
        <f>HYPERLINK("https://klasma.github.io/Logging_0980/artfynd/A 12924-2025 artfynd.xlsx", "A 12924-2025")</f>
        <v/>
      </c>
      <c r="T165">
        <f>HYPERLINK("https://klasma.github.io/Logging_0980/kartor/A 12924-2025 karta.png", "A 12924-2025")</f>
        <v/>
      </c>
      <c r="V165">
        <f>HYPERLINK("https://klasma.github.io/Logging_0980/klagomål/A 12924-2025 FSC-klagomål.docx", "A 12924-2025")</f>
        <v/>
      </c>
      <c r="W165">
        <f>HYPERLINK("https://klasma.github.io/Logging_0980/klagomålsmail/A 12924-2025 FSC-klagomål mail.docx", "A 12924-2025")</f>
        <v/>
      </c>
      <c r="X165">
        <f>HYPERLINK("https://klasma.github.io/Logging_0980/tillsyn/A 12924-2025 tillsynsbegäran.docx", "A 12924-2025")</f>
        <v/>
      </c>
      <c r="Y165">
        <f>HYPERLINK("https://klasma.github.io/Logging_0980/tillsynsmail/A 12924-2025 tillsynsbegäran mail.docx", "A 12924-2025")</f>
        <v/>
      </c>
    </row>
    <row r="166" ht="15" customHeight="1">
      <c r="A166" t="inlineStr">
        <is>
          <t>A 61561-2023</t>
        </is>
      </c>
      <c r="B166" s="1" t="n">
        <v>45265</v>
      </c>
      <c r="C166" s="1" t="n">
        <v>45982</v>
      </c>
      <c r="D166" t="inlineStr">
        <is>
          <t>GOTLANDS LÄN</t>
        </is>
      </c>
      <c r="E166" t="inlineStr">
        <is>
          <t>GOTLAND</t>
        </is>
      </c>
      <c r="G166" t="n">
        <v>7.4</v>
      </c>
      <c r="H166" t="n">
        <v>0</v>
      </c>
      <c r="I166" t="n">
        <v>0</v>
      </c>
      <c r="J166" t="n">
        <v>1</v>
      </c>
      <c r="K166" t="n">
        <v>0</v>
      </c>
      <c r="L166" t="n">
        <v>0</v>
      </c>
      <c r="M166" t="n">
        <v>0</v>
      </c>
      <c r="N166" t="n">
        <v>0</v>
      </c>
      <c r="O166" t="n">
        <v>1</v>
      </c>
      <c r="P166" t="n">
        <v>0</v>
      </c>
      <c r="Q166" t="n">
        <v>1</v>
      </c>
      <c r="R166" s="2" t="inlineStr">
        <is>
          <t>Loppstarr</t>
        </is>
      </c>
      <c r="S166">
        <f>HYPERLINK("https://klasma.github.io/Logging_0980/artfynd/A 61561-2023 artfynd.xlsx", "A 61561-2023")</f>
        <v/>
      </c>
      <c r="T166">
        <f>HYPERLINK("https://klasma.github.io/Logging_0980/kartor/A 61561-2023 karta.png", "A 61561-2023")</f>
        <v/>
      </c>
      <c r="V166">
        <f>HYPERLINK("https://klasma.github.io/Logging_0980/klagomål/A 61561-2023 FSC-klagomål.docx", "A 61561-2023")</f>
        <v/>
      </c>
      <c r="W166">
        <f>HYPERLINK("https://klasma.github.io/Logging_0980/klagomålsmail/A 61561-2023 FSC-klagomål mail.docx", "A 61561-2023")</f>
        <v/>
      </c>
      <c r="X166">
        <f>HYPERLINK("https://klasma.github.io/Logging_0980/tillsyn/A 61561-2023 tillsynsbegäran.docx", "A 61561-2023")</f>
        <v/>
      </c>
      <c r="Y166">
        <f>HYPERLINK("https://klasma.github.io/Logging_0980/tillsynsmail/A 61561-2023 tillsynsbegäran mail.docx", "A 61561-2023")</f>
        <v/>
      </c>
    </row>
    <row r="167" ht="15" customHeight="1">
      <c r="A167" t="inlineStr">
        <is>
          <t>A 13939-2021</t>
        </is>
      </c>
      <c r="B167" s="1" t="n">
        <v>44277</v>
      </c>
      <c r="C167" s="1" t="n">
        <v>45982</v>
      </c>
      <c r="D167" t="inlineStr">
        <is>
          <t>GOTLANDS LÄN</t>
        </is>
      </c>
      <c r="E167" t="inlineStr">
        <is>
          <t>GOTLAND</t>
        </is>
      </c>
      <c r="G167" t="n">
        <v>1</v>
      </c>
      <c r="H167" t="n">
        <v>0</v>
      </c>
      <c r="I167" t="n">
        <v>0</v>
      </c>
      <c r="J167" t="n">
        <v>1</v>
      </c>
      <c r="K167" t="n">
        <v>0</v>
      </c>
      <c r="L167" t="n">
        <v>0</v>
      </c>
      <c r="M167" t="n">
        <v>0</v>
      </c>
      <c r="N167" t="n">
        <v>0</v>
      </c>
      <c r="O167" t="n">
        <v>1</v>
      </c>
      <c r="P167" t="n">
        <v>0</v>
      </c>
      <c r="Q167" t="n">
        <v>1</v>
      </c>
      <c r="R167" s="2" t="inlineStr">
        <is>
          <t>Axveronika</t>
        </is>
      </c>
      <c r="S167">
        <f>HYPERLINK("https://klasma.github.io/Logging_0980/artfynd/A 13939-2021 artfynd.xlsx", "A 13939-2021")</f>
        <v/>
      </c>
      <c r="T167">
        <f>HYPERLINK("https://klasma.github.io/Logging_0980/kartor/A 13939-2021 karta.png", "A 13939-2021")</f>
        <v/>
      </c>
      <c r="V167">
        <f>HYPERLINK("https://klasma.github.io/Logging_0980/klagomål/A 13939-2021 FSC-klagomål.docx", "A 13939-2021")</f>
        <v/>
      </c>
      <c r="W167">
        <f>HYPERLINK("https://klasma.github.io/Logging_0980/klagomålsmail/A 13939-2021 FSC-klagomål mail.docx", "A 13939-2021")</f>
        <v/>
      </c>
      <c r="X167">
        <f>HYPERLINK("https://klasma.github.io/Logging_0980/tillsyn/A 13939-2021 tillsynsbegäran.docx", "A 13939-2021")</f>
        <v/>
      </c>
      <c r="Y167">
        <f>HYPERLINK("https://klasma.github.io/Logging_0980/tillsynsmail/A 13939-2021 tillsynsbegäran mail.docx", "A 13939-2021")</f>
        <v/>
      </c>
    </row>
    <row r="168" ht="15" customHeight="1">
      <c r="A168" t="inlineStr">
        <is>
          <t>A 56687-2025</t>
        </is>
      </c>
      <c r="B168" s="1" t="n">
        <v>45975.84065972222</v>
      </c>
      <c r="C168" s="1" t="n">
        <v>45982</v>
      </c>
      <c r="D168" t="inlineStr">
        <is>
          <t>GOTLANDS LÄN</t>
        </is>
      </c>
      <c r="E168" t="inlineStr">
        <is>
          <t>GOTLAND</t>
        </is>
      </c>
      <c r="G168" t="n">
        <v>2.4</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56687-2025 artfynd.xlsx", "A 56687-2025")</f>
        <v/>
      </c>
      <c r="T168">
        <f>HYPERLINK("https://klasma.github.io/Logging_0980/kartor/A 56687-2025 karta.png", "A 56687-2025")</f>
        <v/>
      </c>
      <c r="V168">
        <f>HYPERLINK("https://klasma.github.io/Logging_0980/klagomål/A 56687-2025 FSC-klagomål.docx", "A 56687-2025")</f>
        <v/>
      </c>
      <c r="W168">
        <f>HYPERLINK("https://klasma.github.io/Logging_0980/klagomålsmail/A 56687-2025 FSC-klagomål mail.docx", "A 56687-2025")</f>
        <v/>
      </c>
      <c r="X168">
        <f>HYPERLINK("https://klasma.github.io/Logging_0980/tillsyn/A 56687-2025 tillsynsbegäran.docx", "A 56687-2025")</f>
        <v/>
      </c>
      <c r="Y168">
        <f>HYPERLINK("https://klasma.github.io/Logging_0980/tillsynsmail/A 56687-2025 tillsynsbegäran mail.docx", "A 56687-2025")</f>
        <v/>
      </c>
    </row>
    <row r="169" ht="15" customHeight="1">
      <c r="A169" t="inlineStr">
        <is>
          <t>A 12324-2025</t>
        </is>
      </c>
      <c r="B169" s="1" t="n">
        <v>45730</v>
      </c>
      <c r="C169" s="1" t="n">
        <v>45982</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20429-2025</t>
        </is>
      </c>
      <c r="B170" s="1" t="n">
        <v>45775.47728009259</v>
      </c>
      <c r="C170" s="1" t="n">
        <v>45982</v>
      </c>
      <c r="D170" t="inlineStr">
        <is>
          <t>GOTLANDS LÄN</t>
        </is>
      </c>
      <c r="E170" t="inlineStr">
        <is>
          <t>GOTLAND</t>
        </is>
      </c>
      <c r="G170" t="n">
        <v>1.4</v>
      </c>
      <c r="H170" t="n">
        <v>1</v>
      </c>
      <c r="I170" t="n">
        <v>0</v>
      </c>
      <c r="J170" t="n">
        <v>0</v>
      </c>
      <c r="K170" t="n">
        <v>0</v>
      </c>
      <c r="L170" t="n">
        <v>0</v>
      </c>
      <c r="M170" t="n">
        <v>0</v>
      </c>
      <c r="N170" t="n">
        <v>0</v>
      </c>
      <c r="O170" t="n">
        <v>0</v>
      </c>
      <c r="P170" t="n">
        <v>0</v>
      </c>
      <c r="Q170" t="n">
        <v>1</v>
      </c>
      <c r="R170" s="2" t="inlineStr">
        <is>
          <t>Äkta lopplummer</t>
        </is>
      </c>
      <c r="S170">
        <f>HYPERLINK("https://klasma.github.io/Logging_0980/artfynd/A 20429-2025 artfynd.xlsx", "A 20429-2025")</f>
        <v/>
      </c>
      <c r="T170">
        <f>HYPERLINK("https://klasma.github.io/Logging_0980/kartor/A 20429-2025 karta.png", "A 20429-2025")</f>
        <v/>
      </c>
      <c r="V170">
        <f>HYPERLINK("https://klasma.github.io/Logging_0980/klagomål/A 20429-2025 FSC-klagomål.docx", "A 20429-2025")</f>
        <v/>
      </c>
      <c r="W170">
        <f>HYPERLINK("https://klasma.github.io/Logging_0980/klagomålsmail/A 20429-2025 FSC-klagomål mail.docx", "A 20429-2025")</f>
        <v/>
      </c>
      <c r="X170">
        <f>HYPERLINK("https://klasma.github.io/Logging_0980/tillsyn/A 20429-2025 tillsynsbegäran.docx", "A 20429-2025")</f>
        <v/>
      </c>
      <c r="Y170">
        <f>HYPERLINK("https://klasma.github.io/Logging_0980/tillsynsmail/A 20429-2025 tillsynsbegäran mail.docx", "A 20429-2025")</f>
        <v/>
      </c>
    </row>
    <row r="171" ht="15" customHeight="1">
      <c r="A171" t="inlineStr">
        <is>
          <t>A 2476-2025</t>
        </is>
      </c>
      <c r="B171" s="1" t="n">
        <v>45673</v>
      </c>
      <c r="C171" s="1" t="n">
        <v>45982</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447-2023</t>
        </is>
      </c>
      <c r="B172" s="1" t="n">
        <v>44929</v>
      </c>
      <c r="C172" s="1" t="n">
        <v>45982</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45982</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49304-2024</t>
        </is>
      </c>
      <c r="B174" s="1" t="n">
        <v>45595.54996527778</v>
      </c>
      <c r="C174" s="1" t="n">
        <v>45982</v>
      </c>
      <c r="D174" t="inlineStr">
        <is>
          <t>GOTLANDS LÄN</t>
        </is>
      </c>
      <c r="E174" t="inlineStr">
        <is>
          <t>GOTLAND</t>
        </is>
      </c>
      <c r="G174" t="n">
        <v>10.8</v>
      </c>
      <c r="H174" t="n">
        <v>0</v>
      </c>
      <c r="I174" t="n">
        <v>0</v>
      </c>
      <c r="J174" t="n">
        <v>1</v>
      </c>
      <c r="K174" t="n">
        <v>0</v>
      </c>
      <c r="L174" t="n">
        <v>0</v>
      </c>
      <c r="M174" t="n">
        <v>0</v>
      </c>
      <c r="N174" t="n">
        <v>0</v>
      </c>
      <c r="O174" t="n">
        <v>1</v>
      </c>
      <c r="P174" t="n">
        <v>0</v>
      </c>
      <c r="Q174" t="n">
        <v>1</v>
      </c>
      <c r="R174" s="2" t="inlineStr">
        <is>
          <t>Åkerranunkel</t>
        </is>
      </c>
      <c r="S174">
        <f>HYPERLINK("https://klasma.github.io/Logging_0980/artfynd/A 49304-2024 artfynd.xlsx", "A 49304-2024")</f>
        <v/>
      </c>
      <c r="T174">
        <f>HYPERLINK("https://klasma.github.io/Logging_0980/kartor/A 49304-2024 karta.png", "A 49304-2024")</f>
        <v/>
      </c>
      <c r="V174">
        <f>HYPERLINK("https://klasma.github.io/Logging_0980/klagomål/A 49304-2024 FSC-klagomål.docx", "A 49304-2024")</f>
        <v/>
      </c>
      <c r="W174">
        <f>HYPERLINK("https://klasma.github.io/Logging_0980/klagomålsmail/A 49304-2024 FSC-klagomål mail.docx", "A 49304-2024")</f>
        <v/>
      </c>
      <c r="X174">
        <f>HYPERLINK("https://klasma.github.io/Logging_0980/tillsyn/A 49304-2024 tillsynsbegäran.docx", "A 49304-2024")</f>
        <v/>
      </c>
      <c r="Y174">
        <f>HYPERLINK("https://klasma.github.io/Logging_0980/tillsynsmail/A 49304-2024 tillsynsbegäran mail.docx", "A 49304-2024")</f>
        <v/>
      </c>
    </row>
    <row r="175" ht="15" customHeight="1">
      <c r="A175" t="inlineStr">
        <is>
          <t>A 22782-2023</t>
        </is>
      </c>
      <c r="B175" s="1" t="n">
        <v>45072</v>
      </c>
      <c r="C175" s="1" t="n">
        <v>45982</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44088-2022</t>
        </is>
      </c>
      <c r="B176" s="1" t="n">
        <v>44839</v>
      </c>
      <c r="C176" s="1" t="n">
        <v>45982</v>
      </c>
      <c r="D176" t="inlineStr">
        <is>
          <t>GOTLANDS LÄN</t>
        </is>
      </c>
      <c r="E176" t="inlineStr">
        <is>
          <t>GOTLAND</t>
        </is>
      </c>
      <c r="G176" t="n">
        <v>1.5</v>
      </c>
      <c r="H176" t="n">
        <v>0</v>
      </c>
      <c r="I176" t="n">
        <v>1</v>
      </c>
      <c r="J176" t="n">
        <v>0</v>
      </c>
      <c r="K176" t="n">
        <v>0</v>
      </c>
      <c r="L176" t="n">
        <v>0</v>
      </c>
      <c r="M176" t="n">
        <v>0</v>
      </c>
      <c r="N176" t="n">
        <v>0</v>
      </c>
      <c r="O176" t="n">
        <v>0</v>
      </c>
      <c r="P176" t="n">
        <v>0</v>
      </c>
      <c r="Q176" t="n">
        <v>1</v>
      </c>
      <c r="R176" s="2" t="inlineStr">
        <is>
          <t>Strävlosta</t>
        </is>
      </c>
      <c r="S176">
        <f>HYPERLINK("https://klasma.github.io/Logging_0980/artfynd/A 44088-2022 artfynd.xlsx", "A 44088-2022")</f>
        <v/>
      </c>
      <c r="T176">
        <f>HYPERLINK("https://klasma.github.io/Logging_0980/kartor/A 44088-2022 karta.png", "A 44088-2022")</f>
        <v/>
      </c>
      <c r="V176">
        <f>HYPERLINK("https://klasma.github.io/Logging_0980/klagomål/A 44088-2022 FSC-klagomål.docx", "A 44088-2022")</f>
        <v/>
      </c>
      <c r="W176">
        <f>HYPERLINK("https://klasma.github.io/Logging_0980/klagomålsmail/A 44088-2022 FSC-klagomål mail.docx", "A 44088-2022")</f>
        <v/>
      </c>
      <c r="X176">
        <f>HYPERLINK("https://klasma.github.io/Logging_0980/tillsyn/A 44088-2022 tillsynsbegäran.docx", "A 44088-2022")</f>
        <v/>
      </c>
      <c r="Y176">
        <f>HYPERLINK("https://klasma.github.io/Logging_0980/tillsynsmail/A 44088-2022 tillsynsbegäran mail.docx", "A 44088-2022")</f>
        <v/>
      </c>
    </row>
    <row r="177" ht="15" customHeight="1">
      <c r="A177" t="inlineStr">
        <is>
          <t>A 1477-2024</t>
        </is>
      </c>
      <c r="B177" s="1" t="n">
        <v>45305.37987268518</v>
      </c>
      <c r="C177" s="1" t="n">
        <v>45982</v>
      </c>
      <c r="D177" t="inlineStr">
        <is>
          <t>GOTLANDS LÄN</t>
        </is>
      </c>
      <c r="E177" t="inlineStr">
        <is>
          <t>GOTLAND</t>
        </is>
      </c>
      <c r="G177" t="n">
        <v>6.9</v>
      </c>
      <c r="H177" t="n">
        <v>0</v>
      </c>
      <c r="I177" t="n">
        <v>0</v>
      </c>
      <c r="J177" t="n">
        <v>1</v>
      </c>
      <c r="K177" t="n">
        <v>0</v>
      </c>
      <c r="L177" t="n">
        <v>0</v>
      </c>
      <c r="M177" t="n">
        <v>0</v>
      </c>
      <c r="N177" t="n">
        <v>0</v>
      </c>
      <c r="O177" t="n">
        <v>1</v>
      </c>
      <c r="P177" t="n">
        <v>0</v>
      </c>
      <c r="Q177" t="n">
        <v>1</v>
      </c>
      <c r="R177" s="2" t="inlineStr">
        <is>
          <t>Igelkott</t>
        </is>
      </c>
      <c r="S177">
        <f>HYPERLINK("https://klasma.github.io/Logging_0980/artfynd/A 1477-2024 artfynd.xlsx", "A 1477-2024")</f>
        <v/>
      </c>
      <c r="T177">
        <f>HYPERLINK("https://klasma.github.io/Logging_0980/kartor/A 1477-2024 karta.png", "A 1477-2024")</f>
        <v/>
      </c>
      <c r="V177">
        <f>HYPERLINK("https://klasma.github.io/Logging_0980/klagomål/A 1477-2024 FSC-klagomål.docx", "A 1477-2024")</f>
        <v/>
      </c>
      <c r="W177">
        <f>HYPERLINK("https://klasma.github.io/Logging_0980/klagomålsmail/A 1477-2024 FSC-klagomål mail.docx", "A 1477-2024")</f>
        <v/>
      </c>
      <c r="X177">
        <f>HYPERLINK("https://klasma.github.io/Logging_0980/tillsyn/A 1477-2024 tillsynsbegäran.docx", "A 1477-2024")</f>
        <v/>
      </c>
      <c r="Y177">
        <f>HYPERLINK("https://klasma.github.io/Logging_0980/tillsynsmail/A 1477-2024 tillsynsbegäran mail.docx", "A 1477-2024")</f>
        <v/>
      </c>
    </row>
    <row r="178" ht="15" customHeight="1">
      <c r="A178" t="inlineStr">
        <is>
          <t>A 7637-2025</t>
        </is>
      </c>
      <c r="B178" s="1" t="n">
        <v>45705.77181712963</v>
      </c>
      <c r="C178" s="1" t="n">
        <v>45982</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61796-2022</t>
        </is>
      </c>
      <c r="B179" s="1" t="n">
        <v>44917</v>
      </c>
      <c r="C179" s="1" t="n">
        <v>45982</v>
      </c>
      <c r="D179" t="inlineStr">
        <is>
          <t>GOTLANDS LÄN</t>
        </is>
      </c>
      <c r="E179" t="inlineStr">
        <is>
          <t>GOTLAND</t>
        </is>
      </c>
      <c r="G179" t="n">
        <v>1.5</v>
      </c>
      <c r="H179" t="n">
        <v>1</v>
      </c>
      <c r="I179" t="n">
        <v>0</v>
      </c>
      <c r="J179" t="n">
        <v>0</v>
      </c>
      <c r="K179" t="n">
        <v>0</v>
      </c>
      <c r="L179" t="n">
        <v>0</v>
      </c>
      <c r="M179" t="n">
        <v>0</v>
      </c>
      <c r="N179" t="n">
        <v>0</v>
      </c>
      <c r="O179" t="n">
        <v>0</v>
      </c>
      <c r="P179" t="n">
        <v>0</v>
      </c>
      <c r="Q179" t="n">
        <v>1</v>
      </c>
      <c r="R179" s="2" t="inlineStr">
        <is>
          <t>Skogsduva</t>
        </is>
      </c>
      <c r="S179">
        <f>HYPERLINK("https://klasma.github.io/Logging_0980/artfynd/A 61796-2022 artfynd.xlsx", "A 61796-2022")</f>
        <v/>
      </c>
      <c r="T179">
        <f>HYPERLINK("https://klasma.github.io/Logging_0980/kartor/A 61796-2022 karta.png", "A 61796-2022")</f>
        <v/>
      </c>
      <c r="V179">
        <f>HYPERLINK("https://klasma.github.io/Logging_0980/klagomål/A 61796-2022 FSC-klagomål.docx", "A 61796-2022")</f>
        <v/>
      </c>
      <c r="W179">
        <f>HYPERLINK("https://klasma.github.io/Logging_0980/klagomålsmail/A 61796-2022 FSC-klagomål mail.docx", "A 61796-2022")</f>
        <v/>
      </c>
      <c r="X179">
        <f>HYPERLINK("https://klasma.github.io/Logging_0980/tillsyn/A 61796-2022 tillsynsbegäran.docx", "A 61796-2022")</f>
        <v/>
      </c>
      <c r="Y179">
        <f>HYPERLINK("https://klasma.github.io/Logging_0980/tillsynsmail/A 61796-2022 tillsynsbegäran mail.docx", "A 61796-2022")</f>
        <v/>
      </c>
      <c r="Z179">
        <f>HYPERLINK("https://klasma.github.io/Logging_0980/fåglar/A 61796-2022 prioriterade fågelarter.docx", "A 61796-2022")</f>
        <v/>
      </c>
    </row>
    <row r="180" ht="15" customHeight="1">
      <c r="A180" t="inlineStr">
        <is>
          <t>A 10218-2025</t>
        </is>
      </c>
      <c r="B180" s="1" t="n">
        <v>45720</v>
      </c>
      <c r="C180" s="1" t="n">
        <v>45982</v>
      </c>
      <c r="D180" t="inlineStr">
        <is>
          <t>GOTLANDS LÄN</t>
        </is>
      </c>
      <c r="E180" t="inlineStr">
        <is>
          <t>GOTLAND</t>
        </is>
      </c>
      <c r="G180" t="n">
        <v>8.1</v>
      </c>
      <c r="H180" t="n">
        <v>0</v>
      </c>
      <c r="I180" t="n">
        <v>1</v>
      </c>
      <c r="J180" t="n">
        <v>0</v>
      </c>
      <c r="K180" t="n">
        <v>0</v>
      </c>
      <c r="L180" t="n">
        <v>0</v>
      </c>
      <c r="M180" t="n">
        <v>0</v>
      </c>
      <c r="N180" t="n">
        <v>0</v>
      </c>
      <c r="O180" t="n">
        <v>0</v>
      </c>
      <c r="P180" t="n">
        <v>0</v>
      </c>
      <c r="Q180" t="n">
        <v>1</v>
      </c>
      <c r="R180" s="2" t="inlineStr">
        <is>
          <t>Kalktallört</t>
        </is>
      </c>
      <c r="S180">
        <f>HYPERLINK("https://klasma.github.io/Logging_0980/artfynd/A 10218-2025 artfynd.xlsx", "A 10218-2025")</f>
        <v/>
      </c>
      <c r="T180">
        <f>HYPERLINK("https://klasma.github.io/Logging_0980/kartor/A 10218-2025 karta.png", "A 10218-2025")</f>
        <v/>
      </c>
      <c r="V180">
        <f>HYPERLINK("https://klasma.github.io/Logging_0980/klagomål/A 10218-2025 FSC-klagomål.docx", "A 10218-2025")</f>
        <v/>
      </c>
      <c r="W180">
        <f>HYPERLINK("https://klasma.github.io/Logging_0980/klagomålsmail/A 10218-2025 FSC-klagomål mail.docx", "A 10218-2025")</f>
        <v/>
      </c>
      <c r="X180">
        <f>HYPERLINK("https://klasma.github.io/Logging_0980/tillsyn/A 10218-2025 tillsynsbegäran.docx", "A 10218-2025")</f>
        <v/>
      </c>
      <c r="Y180">
        <f>HYPERLINK("https://klasma.github.io/Logging_0980/tillsynsmail/A 10218-2025 tillsynsbegäran mail.docx", "A 10218-2025")</f>
        <v/>
      </c>
    </row>
    <row r="181" ht="15" customHeight="1">
      <c r="A181" t="inlineStr">
        <is>
          <t>A 12379-2024</t>
        </is>
      </c>
      <c r="B181" s="1" t="n">
        <v>45379.28155092592</v>
      </c>
      <c r="C181" s="1" t="n">
        <v>45982</v>
      </c>
      <c r="D181" t="inlineStr">
        <is>
          <t>GOTLANDS LÄN</t>
        </is>
      </c>
      <c r="E181" t="inlineStr">
        <is>
          <t>GOTLAND</t>
        </is>
      </c>
      <c r="G181" t="n">
        <v>4.4</v>
      </c>
      <c r="H181" t="n">
        <v>0</v>
      </c>
      <c r="I181" t="n">
        <v>0</v>
      </c>
      <c r="J181" t="n">
        <v>1</v>
      </c>
      <c r="K181" t="n">
        <v>0</v>
      </c>
      <c r="L181" t="n">
        <v>0</v>
      </c>
      <c r="M181" t="n">
        <v>0</v>
      </c>
      <c r="N181" t="n">
        <v>0</v>
      </c>
      <c r="O181" t="n">
        <v>1</v>
      </c>
      <c r="P181" t="n">
        <v>0</v>
      </c>
      <c r="Q181" t="n">
        <v>1</v>
      </c>
      <c r="R181" s="2" t="inlineStr">
        <is>
          <t>Svinrot</t>
        </is>
      </c>
      <c r="S181">
        <f>HYPERLINK("https://klasma.github.io/Logging_0980/artfynd/A 12379-2024 artfynd.xlsx", "A 12379-2024")</f>
        <v/>
      </c>
      <c r="T181">
        <f>HYPERLINK("https://klasma.github.io/Logging_0980/kartor/A 12379-2024 karta.png", "A 12379-2024")</f>
        <v/>
      </c>
      <c r="V181">
        <f>HYPERLINK("https://klasma.github.io/Logging_0980/klagomål/A 12379-2024 FSC-klagomål.docx", "A 12379-2024")</f>
        <v/>
      </c>
      <c r="W181">
        <f>HYPERLINK("https://klasma.github.io/Logging_0980/klagomålsmail/A 12379-2024 FSC-klagomål mail.docx", "A 12379-2024")</f>
        <v/>
      </c>
      <c r="X181">
        <f>HYPERLINK("https://klasma.github.io/Logging_0980/tillsyn/A 12379-2024 tillsynsbegäran.docx", "A 12379-2024")</f>
        <v/>
      </c>
      <c r="Y181">
        <f>HYPERLINK("https://klasma.github.io/Logging_0980/tillsynsmail/A 12379-2024 tillsynsbegäran mail.docx", "A 12379-2024")</f>
        <v/>
      </c>
    </row>
    <row r="182" ht="15" customHeight="1">
      <c r="A182" t="inlineStr">
        <is>
          <t>A 64700-2021</t>
        </is>
      </c>
      <c r="B182" s="1" t="n">
        <v>44511</v>
      </c>
      <c r="C182" s="1" t="n">
        <v>45982</v>
      </c>
      <c r="D182" t="inlineStr">
        <is>
          <t>GOTLANDS LÄN</t>
        </is>
      </c>
      <c r="E182" t="inlineStr">
        <is>
          <t>GOTLAND</t>
        </is>
      </c>
      <c r="F182" t="inlineStr">
        <is>
          <t>Naturvårdsverket</t>
        </is>
      </c>
      <c r="G182" t="n">
        <v>2.4</v>
      </c>
      <c r="H182" t="n">
        <v>1</v>
      </c>
      <c r="I182" t="n">
        <v>0</v>
      </c>
      <c r="J182" t="n">
        <v>0</v>
      </c>
      <c r="K182" t="n">
        <v>1</v>
      </c>
      <c r="L182" t="n">
        <v>0</v>
      </c>
      <c r="M182" t="n">
        <v>0</v>
      </c>
      <c r="N182" t="n">
        <v>0</v>
      </c>
      <c r="O182" t="n">
        <v>1</v>
      </c>
      <c r="P182" t="n">
        <v>1</v>
      </c>
      <c r="Q182" t="n">
        <v>1</v>
      </c>
      <c r="R182" s="2" t="inlineStr">
        <is>
          <t>Kalkdån</t>
        </is>
      </c>
      <c r="S182">
        <f>HYPERLINK("https://klasma.github.io/Logging_0980/artfynd/A 64700-2021 artfynd.xlsx", "A 64700-2021")</f>
        <v/>
      </c>
      <c r="T182">
        <f>HYPERLINK("https://klasma.github.io/Logging_0980/kartor/A 64700-2021 karta.png", "A 64700-2021")</f>
        <v/>
      </c>
      <c r="V182">
        <f>HYPERLINK("https://klasma.github.io/Logging_0980/klagomål/A 64700-2021 FSC-klagomål.docx", "A 64700-2021")</f>
        <v/>
      </c>
      <c r="W182">
        <f>HYPERLINK("https://klasma.github.io/Logging_0980/klagomålsmail/A 64700-2021 FSC-klagomål mail.docx", "A 64700-2021")</f>
        <v/>
      </c>
      <c r="X182">
        <f>HYPERLINK("https://klasma.github.io/Logging_0980/tillsyn/A 64700-2021 tillsynsbegäran.docx", "A 64700-2021")</f>
        <v/>
      </c>
      <c r="Y182">
        <f>HYPERLINK("https://klasma.github.io/Logging_0980/tillsynsmail/A 64700-2021 tillsynsbegäran mail.docx", "A 64700-2021")</f>
        <v/>
      </c>
    </row>
    <row r="183" ht="15" customHeight="1">
      <c r="A183" t="inlineStr">
        <is>
          <t>A 35574-2024</t>
        </is>
      </c>
      <c r="B183" s="1" t="n">
        <v>45531</v>
      </c>
      <c r="C183" s="1" t="n">
        <v>45982</v>
      </c>
      <c r="D183" t="inlineStr">
        <is>
          <t>GOTLANDS LÄN</t>
        </is>
      </c>
      <c r="E183" t="inlineStr">
        <is>
          <t>GOTLAND</t>
        </is>
      </c>
      <c r="G183" t="n">
        <v>5.7</v>
      </c>
      <c r="H183" t="n">
        <v>0</v>
      </c>
      <c r="I183" t="n">
        <v>1</v>
      </c>
      <c r="J183" t="n">
        <v>0</v>
      </c>
      <c r="K183" t="n">
        <v>0</v>
      </c>
      <c r="L183" t="n">
        <v>0</v>
      </c>
      <c r="M183" t="n">
        <v>0</v>
      </c>
      <c r="N183" t="n">
        <v>0</v>
      </c>
      <c r="O183" t="n">
        <v>0</v>
      </c>
      <c r="P183" t="n">
        <v>0</v>
      </c>
      <c r="Q183" t="n">
        <v>1</v>
      </c>
      <c r="R183" s="2" t="inlineStr">
        <is>
          <t>Murgröna</t>
        </is>
      </c>
      <c r="S183">
        <f>HYPERLINK("https://klasma.github.io/Logging_0980/artfynd/A 35574-2024 artfynd.xlsx", "A 35574-2024")</f>
        <v/>
      </c>
      <c r="T183">
        <f>HYPERLINK("https://klasma.github.io/Logging_0980/kartor/A 35574-2024 karta.png", "A 35574-2024")</f>
        <v/>
      </c>
      <c r="V183">
        <f>HYPERLINK("https://klasma.github.io/Logging_0980/klagomål/A 35574-2024 FSC-klagomål.docx", "A 35574-2024")</f>
        <v/>
      </c>
      <c r="W183">
        <f>HYPERLINK("https://klasma.github.io/Logging_0980/klagomålsmail/A 35574-2024 FSC-klagomål mail.docx", "A 35574-2024")</f>
        <v/>
      </c>
      <c r="X183">
        <f>HYPERLINK("https://klasma.github.io/Logging_0980/tillsyn/A 35574-2024 tillsynsbegäran.docx", "A 35574-2024")</f>
        <v/>
      </c>
      <c r="Y183">
        <f>HYPERLINK("https://klasma.github.io/Logging_0980/tillsynsmail/A 35574-2024 tillsynsbegäran mail.docx", "A 35574-2024")</f>
        <v/>
      </c>
    </row>
    <row r="184" ht="15" customHeight="1">
      <c r="A184" t="inlineStr">
        <is>
          <t>A 37591-2023</t>
        </is>
      </c>
      <c r="B184" s="1" t="n">
        <v>45159</v>
      </c>
      <c r="C184" s="1" t="n">
        <v>45982</v>
      </c>
      <c r="D184" t="inlineStr">
        <is>
          <t>GOTLANDS LÄN</t>
        </is>
      </c>
      <c r="E184" t="inlineStr">
        <is>
          <t>GOTLAND</t>
        </is>
      </c>
      <c r="G184" t="n">
        <v>8.300000000000001</v>
      </c>
      <c r="H184" t="n">
        <v>0</v>
      </c>
      <c r="I184" t="n">
        <v>0</v>
      </c>
      <c r="J184" t="n">
        <v>1</v>
      </c>
      <c r="K184" t="n">
        <v>0</v>
      </c>
      <c r="L184" t="n">
        <v>0</v>
      </c>
      <c r="M184" t="n">
        <v>0</v>
      </c>
      <c r="N184" t="n">
        <v>0</v>
      </c>
      <c r="O184" t="n">
        <v>1</v>
      </c>
      <c r="P184" t="n">
        <v>0</v>
      </c>
      <c r="Q184" t="n">
        <v>1</v>
      </c>
      <c r="R184" s="2" t="inlineStr">
        <is>
          <t>Ängsstarr</t>
        </is>
      </c>
      <c r="S184">
        <f>HYPERLINK("https://klasma.github.io/Logging_0980/artfynd/A 37591-2023 artfynd.xlsx", "A 37591-2023")</f>
        <v/>
      </c>
      <c r="T184">
        <f>HYPERLINK("https://klasma.github.io/Logging_0980/kartor/A 37591-2023 karta.png", "A 37591-2023")</f>
        <v/>
      </c>
      <c r="V184">
        <f>HYPERLINK("https://klasma.github.io/Logging_0980/klagomål/A 37591-2023 FSC-klagomål.docx", "A 37591-2023")</f>
        <v/>
      </c>
      <c r="W184">
        <f>HYPERLINK("https://klasma.github.io/Logging_0980/klagomålsmail/A 37591-2023 FSC-klagomål mail.docx", "A 37591-2023")</f>
        <v/>
      </c>
      <c r="X184">
        <f>HYPERLINK("https://klasma.github.io/Logging_0980/tillsyn/A 37591-2023 tillsynsbegäran.docx", "A 37591-2023")</f>
        <v/>
      </c>
      <c r="Y184">
        <f>HYPERLINK("https://klasma.github.io/Logging_0980/tillsynsmail/A 37591-2023 tillsynsbegäran mail.docx", "A 37591-2023")</f>
        <v/>
      </c>
    </row>
    <row r="185" ht="15" customHeight="1">
      <c r="A185" t="inlineStr">
        <is>
          <t>A 15637-2024</t>
        </is>
      </c>
      <c r="B185" s="1" t="n">
        <v>45403.6684837963</v>
      </c>
      <c r="C185" s="1" t="n">
        <v>45982</v>
      </c>
      <c r="D185" t="inlineStr">
        <is>
          <t>GOTLANDS LÄN</t>
        </is>
      </c>
      <c r="E185" t="inlineStr">
        <is>
          <t>GOTLAND</t>
        </is>
      </c>
      <c r="G185" t="n">
        <v>4.1</v>
      </c>
      <c r="H185" t="n">
        <v>1</v>
      </c>
      <c r="I185" t="n">
        <v>0</v>
      </c>
      <c r="J185" t="n">
        <v>0</v>
      </c>
      <c r="K185" t="n">
        <v>0</v>
      </c>
      <c r="L185" t="n">
        <v>0</v>
      </c>
      <c r="M185" t="n">
        <v>0</v>
      </c>
      <c r="N185" t="n">
        <v>0</v>
      </c>
      <c r="O185" t="n">
        <v>0</v>
      </c>
      <c r="P185" t="n">
        <v>0</v>
      </c>
      <c r="Q185" t="n">
        <v>1</v>
      </c>
      <c r="R185" s="2" t="inlineStr">
        <is>
          <t>Blåsippa</t>
        </is>
      </c>
      <c r="S185">
        <f>HYPERLINK("https://klasma.github.io/Logging_0980/artfynd/A 15637-2024 artfynd.xlsx", "A 15637-2024")</f>
        <v/>
      </c>
      <c r="T185">
        <f>HYPERLINK("https://klasma.github.io/Logging_0980/kartor/A 15637-2024 karta.png", "A 15637-2024")</f>
        <v/>
      </c>
      <c r="V185">
        <f>HYPERLINK("https://klasma.github.io/Logging_0980/klagomål/A 15637-2024 FSC-klagomål.docx", "A 15637-2024")</f>
        <v/>
      </c>
      <c r="W185">
        <f>HYPERLINK("https://klasma.github.io/Logging_0980/klagomålsmail/A 15637-2024 FSC-klagomål mail.docx", "A 15637-2024")</f>
        <v/>
      </c>
      <c r="X185">
        <f>HYPERLINK("https://klasma.github.io/Logging_0980/tillsyn/A 15637-2024 tillsynsbegäran.docx", "A 15637-2024")</f>
        <v/>
      </c>
      <c r="Y185">
        <f>HYPERLINK("https://klasma.github.io/Logging_0980/tillsynsmail/A 15637-2024 tillsynsbegäran mail.docx", "A 15637-2024")</f>
        <v/>
      </c>
    </row>
    <row r="186" ht="15" customHeight="1">
      <c r="A186" t="inlineStr">
        <is>
          <t>A 63299-2020</t>
        </is>
      </c>
      <c r="B186" s="1" t="n">
        <v>44165</v>
      </c>
      <c r="C186" s="1" t="n">
        <v>45982</v>
      </c>
      <c r="D186" t="inlineStr">
        <is>
          <t>GOTLANDS LÄN</t>
        </is>
      </c>
      <c r="E186" t="inlineStr">
        <is>
          <t>GOTLAND</t>
        </is>
      </c>
      <c r="G186" t="n">
        <v>12.9</v>
      </c>
      <c r="H186" t="n">
        <v>1</v>
      </c>
      <c r="I186" t="n">
        <v>0</v>
      </c>
      <c r="J186" t="n">
        <v>1</v>
      </c>
      <c r="K186" t="n">
        <v>0</v>
      </c>
      <c r="L186" t="n">
        <v>0</v>
      </c>
      <c r="M186" t="n">
        <v>0</v>
      </c>
      <c r="N186" t="n">
        <v>0</v>
      </c>
      <c r="O186" t="n">
        <v>1</v>
      </c>
      <c r="P186" t="n">
        <v>0</v>
      </c>
      <c r="Q186" t="n">
        <v>1</v>
      </c>
      <c r="R186" s="2" t="inlineStr">
        <is>
          <t>Svartfläckig blåvinge</t>
        </is>
      </c>
      <c r="S186">
        <f>HYPERLINK("https://klasma.github.io/Logging_0980/artfynd/A 63299-2020 artfynd.xlsx", "A 63299-2020")</f>
        <v/>
      </c>
      <c r="T186">
        <f>HYPERLINK("https://klasma.github.io/Logging_0980/kartor/A 63299-2020 karta.png", "A 63299-2020")</f>
        <v/>
      </c>
      <c r="V186">
        <f>HYPERLINK("https://klasma.github.io/Logging_0980/klagomål/A 63299-2020 FSC-klagomål.docx", "A 63299-2020")</f>
        <v/>
      </c>
      <c r="W186">
        <f>HYPERLINK("https://klasma.github.io/Logging_0980/klagomålsmail/A 63299-2020 FSC-klagomål mail.docx", "A 63299-2020")</f>
        <v/>
      </c>
      <c r="X186">
        <f>HYPERLINK("https://klasma.github.io/Logging_0980/tillsyn/A 63299-2020 tillsynsbegäran.docx", "A 63299-2020")</f>
        <v/>
      </c>
      <c r="Y186">
        <f>HYPERLINK("https://klasma.github.io/Logging_0980/tillsynsmail/A 63299-2020 tillsynsbegäran mail.docx", "A 63299-2020")</f>
        <v/>
      </c>
    </row>
    <row r="187" ht="15" customHeight="1">
      <c r="A187" t="inlineStr">
        <is>
          <t>A 49847-2023</t>
        </is>
      </c>
      <c r="B187" s="1" t="n">
        <v>45212</v>
      </c>
      <c r="C187" s="1" t="n">
        <v>45982</v>
      </c>
      <c r="D187" t="inlineStr">
        <is>
          <t>GOTLANDS LÄN</t>
        </is>
      </c>
      <c r="E187" t="inlineStr">
        <is>
          <t>GOTLAND</t>
        </is>
      </c>
      <c r="G187" t="n">
        <v>35.2</v>
      </c>
      <c r="H187" t="n">
        <v>0</v>
      </c>
      <c r="I187" t="n">
        <v>0</v>
      </c>
      <c r="J187" t="n">
        <v>0</v>
      </c>
      <c r="K187" t="n">
        <v>1</v>
      </c>
      <c r="L187" t="n">
        <v>0</v>
      </c>
      <c r="M187" t="n">
        <v>0</v>
      </c>
      <c r="N187" t="n">
        <v>0</v>
      </c>
      <c r="O187" t="n">
        <v>1</v>
      </c>
      <c r="P187" t="n">
        <v>1</v>
      </c>
      <c r="Q187" t="n">
        <v>1</v>
      </c>
      <c r="R187" s="2" t="inlineStr">
        <is>
          <t>Strandviol</t>
        </is>
      </c>
      <c r="S187">
        <f>HYPERLINK("https://klasma.github.io/Logging_0980/artfynd/A 49847-2023 artfynd.xlsx", "A 49847-2023")</f>
        <v/>
      </c>
      <c r="T187">
        <f>HYPERLINK("https://klasma.github.io/Logging_0980/kartor/A 49847-2023 karta.png", "A 49847-2023")</f>
        <v/>
      </c>
      <c r="V187">
        <f>HYPERLINK("https://klasma.github.io/Logging_0980/klagomål/A 49847-2023 FSC-klagomål.docx", "A 49847-2023")</f>
        <v/>
      </c>
      <c r="W187">
        <f>HYPERLINK("https://klasma.github.io/Logging_0980/klagomålsmail/A 49847-2023 FSC-klagomål mail.docx", "A 49847-2023")</f>
        <v/>
      </c>
      <c r="X187">
        <f>HYPERLINK("https://klasma.github.io/Logging_0980/tillsyn/A 49847-2023 tillsynsbegäran.docx", "A 49847-2023")</f>
        <v/>
      </c>
      <c r="Y187">
        <f>HYPERLINK("https://klasma.github.io/Logging_0980/tillsynsmail/A 49847-2023 tillsynsbegäran mail.docx", "A 49847-2023")</f>
        <v/>
      </c>
    </row>
    <row r="188" ht="15" customHeight="1">
      <c r="A188" t="inlineStr">
        <is>
          <t>A 10995-2023</t>
        </is>
      </c>
      <c r="B188" s="1" t="n">
        <v>44986</v>
      </c>
      <c r="C188" s="1" t="n">
        <v>45982</v>
      </c>
      <c r="D188" t="inlineStr">
        <is>
          <t>GOTLANDS LÄN</t>
        </is>
      </c>
      <c r="E188" t="inlineStr">
        <is>
          <t>GOTLAND</t>
        </is>
      </c>
      <c r="G188" t="n">
        <v>2.8</v>
      </c>
      <c r="H188" t="n">
        <v>0</v>
      </c>
      <c r="I188" t="n">
        <v>0</v>
      </c>
      <c r="J188" t="n">
        <v>0</v>
      </c>
      <c r="K188" t="n">
        <v>1</v>
      </c>
      <c r="L188" t="n">
        <v>0</v>
      </c>
      <c r="M188" t="n">
        <v>0</v>
      </c>
      <c r="N188" t="n">
        <v>0</v>
      </c>
      <c r="O188" t="n">
        <v>1</v>
      </c>
      <c r="P188" t="n">
        <v>1</v>
      </c>
      <c r="Q188" t="n">
        <v>1</v>
      </c>
      <c r="R188" s="2" t="inlineStr">
        <is>
          <t>Violettfläckig spindling</t>
        </is>
      </c>
      <c r="S188">
        <f>HYPERLINK("https://klasma.github.io/Logging_0980/artfynd/A 10995-2023 artfynd.xlsx", "A 10995-2023")</f>
        <v/>
      </c>
      <c r="T188">
        <f>HYPERLINK("https://klasma.github.io/Logging_0980/kartor/A 10995-2023 karta.png", "A 10995-2023")</f>
        <v/>
      </c>
      <c r="V188">
        <f>HYPERLINK("https://klasma.github.io/Logging_0980/klagomål/A 10995-2023 FSC-klagomål.docx", "A 10995-2023")</f>
        <v/>
      </c>
      <c r="W188">
        <f>HYPERLINK("https://klasma.github.io/Logging_0980/klagomålsmail/A 10995-2023 FSC-klagomål mail.docx", "A 10995-2023")</f>
        <v/>
      </c>
      <c r="X188">
        <f>HYPERLINK("https://klasma.github.io/Logging_0980/tillsyn/A 10995-2023 tillsynsbegäran.docx", "A 10995-2023")</f>
        <v/>
      </c>
      <c r="Y188">
        <f>HYPERLINK("https://klasma.github.io/Logging_0980/tillsynsmail/A 10995-2023 tillsynsbegäran mail.docx", "A 10995-2023")</f>
        <v/>
      </c>
    </row>
    <row r="189" ht="15" customHeight="1">
      <c r="A189" t="inlineStr">
        <is>
          <t>A 63576-2021</t>
        </is>
      </c>
      <c r="B189" s="1" t="n">
        <v>44508</v>
      </c>
      <c r="C189" s="1" t="n">
        <v>45982</v>
      </c>
      <c r="D189" t="inlineStr">
        <is>
          <t>GOTLANDS LÄN</t>
        </is>
      </c>
      <c r="E189" t="inlineStr">
        <is>
          <t>GOTLAND</t>
        </is>
      </c>
      <c r="F189" t="inlineStr">
        <is>
          <t>Kyrkan</t>
        </is>
      </c>
      <c r="G189" t="n">
        <v>4.1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63576-2021 artfynd.xlsx", "A 63576-2021")</f>
        <v/>
      </c>
      <c r="T189">
        <f>HYPERLINK("https://klasma.github.io/Logging_0980/kartor/A 63576-2021 karta.png", "A 63576-2021")</f>
        <v/>
      </c>
      <c r="V189">
        <f>HYPERLINK("https://klasma.github.io/Logging_0980/klagomål/A 63576-2021 FSC-klagomål.docx", "A 63576-2021")</f>
        <v/>
      </c>
      <c r="W189">
        <f>HYPERLINK("https://klasma.github.io/Logging_0980/klagomålsmail/A 63576-2021 FSC-klagomål mail.docx", "A 63576-2021")</f>
        <v/>
      </c>
      <c r="X189">
        <f>HYPERLINK("https://klasma.github.io/Logging_0980/tillsyn/A 63576-2021 tillsynsbegäran.docx", "A 63576-2021")</f>
        <v/>
      </c>
      <c r="Y189">
        <f>HYPERLINK("https://klasma.github.io/Logging_0980/tillsynsmail/A 63576-2021 tillsynsbegäran mail.docx", "A 63576-2021")</f>
        <v/>
      </c>
    </row>
    <row r="190" ht="15" customHeight="1">
      <c r="A190" t="inlineStr">
        <is>
          <t>A 21466-2025</t>
        </is>
      </c>
      <c r="B190" s="1" t="n">
        <v>45782</v>
      </c>
      <c r="C190" s="1" t="n">
        <v>45982</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45982</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45982</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45982</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45982</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17199-2021</t>
        </is>
      </c>
      <c r="B196" s="1" t="n">
        <v>44298</v>
      </c>
      <c r="C196" s="1" t="n">
        <v>45982</v>
      </c>
      <c r="D196" t="inlineStr">
        <is>
          <t>GOTLANDS LÄN</t>
        </is>
      </c>
      <c r="E196" t="inlineStr">
        <is>
          <t>GOTLAND</t>
        </is>
      </c>
      <c r="G196" t="n">
        <v>9.6</v>
      </c>
      <c r="H196" t="n">
        <v>0</v>
      </c>
      <c r="I196" t="n">
        <v>0</v>
      </c>
      <c r="J196" t="n">
        <v>0</v>
      </c>
      <c r="K196" t="n">
        <v>0</v>
      </c>
      <c r="L196" t="n">
        <v>0</v>
      </c>
      <c r="M196" t="n">
        <v>0</v>
      </c>
      <c r="N196" t="n">
        <v>0</v>
      </c>
      <c r="O196" t="n">
        <v>0</v>
      </c>
      <c r="P196" t="n">
        <v>0</v>
      </c>
      <c r="Q196" t="n">
        <v>0</v>
      </c>
      <c r="R196" s="2" t="inlineStr"/>
    </row>
    <row r="197" ht="15" customHeight="1">
      <c r="A197" t="inlineStr">
        <is>
          <t>A 11400-2021</t>
        </is>
      </c>
      <c r="B197" s="1" t="n">
        <v>44263</v>
      </c>
      <c r="C197" s="1" t="n">
        <v>45982</v>
      </c>
      <c r="D197" t="inlineStr">
        <is>
          <t>GOTLANDS LÄN</t>
        </is>
      </c>
      <c r="E197" t="inlineStr">
        <is>
          <t>GOTLAND</t>
        </is>
      </c>
      <c r="G197" t="n">
        <v>5.6</v>
      </c>
      <c r="H197" t="n">
        <v>0</v>
      </c>
      <c r="I197" t="n">
        <v>0</v>
      </c>
      <c r="J197" t="n">
        <v>0</v>
      </c>
      <c r="K197" t="n">
        <v>0</v>
      </c>
      <c r="L197" t="n">
        <v>0</v>
      </c>
      <c r="M197" t="n">
        <v>0</v>
      </c>
      <c r="N197" t="n">
        <v>0</v>
      </c>
      <c r="O197" t="n">
        <v>0</v>
      </c>
      <c r="P197" t="n">
        <v>0</v>
      </c>
      <c r="Q197" t="n">
        <v>0</v>
      </c>
      <c r="R197" s="2" t="inlineStr"/>
    </row>
    <row r="198" ht="15" customHeight="1">
      <c r="A198" t="inlineStr">
        <is>
          <t>A 8329-2021</t>
        </is>
      </c>
      <c r="B198" s="1" t="n">
        <v>44244</v>
      </c>
      <c r="C198" s="1" t="n">
        <v>45982</v>
      </c>
      <c r="D198" t="inlineStr">
        <is>
          <t>GOTLANDS LÄN</t>
        </is>
      </c>
      <c r="E198" t="inlineStr">
        <is>
          <t>GOTLAND</t>
        </is>
      </c>
      <c r="F198" t="inlineStr">
        <is>
          <t>Kyrkan</t>
        </is>
      </c>
      <c r="G198" t="n">
        <v>4.5</v>
      </c>
      <c r="H198" t="n">
        <v>0</v>
      </c>
      <c r="I198" t="n">
        <v>0</v>
      </c>
      <c r="J198" t="n">
        <v>0</v>
      </c>
      <c r="K198" t="n">
        <v>0</v>
      </c>
      <c r="L198" t="n">
        <v>0</v>
      </c>
      <c r="M198" t="n">
        <v>0</v>
      </c>
      <c r="N198" t="n">
        <v>0</v>
      </c>
      <c r="O198" t="n">
        <v>0</v>
      </c>
      <c r="P198" t="n">
        <v>0</v>
      </c>
      <c r="Q198" t="n">
        <v>0</v>
      </c>
      <c r="R198" s="2" t="inlineStr"/>
    </row>
    <row r="199" ht="15" customHeight="1">
      <c r="A199" t="inlineStr">
        <is>
          <t>A 17585-2021</t>
        </is>
      </c>
      <c r="B199" s="1" t="n">
        <v>44299</v>
      </c>
      <c r="C199" s="1" t="n">
        <v>45982</v>
      </c>
      <c r="D199" t="inlineStr">
        <is>
          <t>GOTLANDS LÄN</t>
        </is>
      </c>
      <c r="E199" t="inlineStr">
        <is>
          <t>GOTLAND</t>
        </is>
      </c>
      <c r="G199" t="n">
        <v>5.4</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45982</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45982</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45982</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45982</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45982</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45982</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11402-2021</t>
        </is>
      </c>
      <c r="B206" s="1" t="n">
        <v>44263</v>
      </c>
      <c r="C206" s="1" t="n">
        <v>45982</v>
      </c>
      <c r="D206" t="inlineStr">
        <is>
          <t>GOTLANDS LÄN</t>
        </is>
      </c>
      <c r="E206" t="inlineStr">
        <is>
          <t>GOTLAND</t>
        </is>
      </c>
      <c r="G206" t="n">
        <v>2.9</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45982</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45982</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45982</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45982</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45982</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45982</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45982</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45982</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45982</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45982</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45982</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45982</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45982</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45982</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45982</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45982</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45982</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45982</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45982</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45982</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45982</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45982</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45982</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45982</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62120-2020</t>
        </is>
      </c>
      <c r="B234" s="1" t="n">
        <v>44158</v>
      </c>
      <c r="C234" s="1" t="n">
        <v>45982</v>
      </c>
      <c r="D234" t="inlineStr">
        <is>
          <t>GOTLANDS LÄN</t>
        </is>
      </c>
      <c r="E234" t="inlineStr">
        <is>
          <t>GOTLAND</t>
        </is>
      </c>
      <c r="G234" t="n">
        <v>2.3</v>
      </c>
      <c r="H234" t="n">
        <v>0</v>
      </c>
      <c r="I234" t="n">
        <v>0</v>
      </c>
      <c r="J234" t="n">
        <v>0</v>
      </c>
      <c r="K234" t="n">
        <v>0</v>
      </c>
      <c r="L234" t="n">
        <v>0</v>
      </c>
      <c r="M234" t="n">
        <v>0</v>
      </c>
      <c r="N234" t="n">
        <v>0</v>
      </c>
      <c r="O234" t="n">
        <v>0</v>
      </c>
      <c r="P234" t="n">
        <v>0</v>
      </c>
      <c r="Q234" t="n">
        <v>0</v>
      </c>
      <c r="R234" s="2" t="inlineStr"/>
    </row>
    <row r="235" ht="15" customHeight="1">
      <c r="A235" t="inlineStr">
        <is>
          <t>A 1229-2021</t>
        </is>
      </c>
      <c r="B235" s="1" t="n">
        <v>44208</v>
      </c>
      <c r="C235" s="1" t="n">
        <v>45982</v>
      </c>
      <c r="D235" t="inlineStr">
        <is>
          <t>GOTLANDS LÄN</t>
        </is>
      </c>
      <c r="E235" t="inlineStr">
        <is>
          <t>GOTLAND</t>
        </is>
      </c>
      <c r="G235" t="n">
        <v>5.3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45982</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45982</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45982</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45982</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45982</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45982</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45982</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45982</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17901-2023</t>
        </is>
      </c>
      <c r="B244" s="1" t="n">
        <v>45039</v>
      </c>
      <c r="C244" s="1" t="n">
        <v>45982</v>
      </c>
      <c r="D244" t="inlineStr">
        <is>
          <t>GOTLANDS LÄN</t>
        </is>
      </c>
      <c r="E244" t="inlineStr">
        <is>
          <t>GOTLAND</t>
        </is>
      </c>
      <c r="F244" t="inlineStr">
        <is>
          <t>Kyrkan</t>
        </is>
      </c>
      <c r="G244" t="n">
        <v>0.6</v>
      </c>
      <c r="H244" t="n">
        <v>0</v>
      </c>
      <c r="I244" t="n">
        <v>0</v>
      </c>
      <c r="J244" t="n">
        <v>0</v>
      </c>
      <c r="K244" t="n">
        <v>0</v>
      </c>
      <c r="L244" t="n">
        <v>0</v>
      </c>
      <c r="M244" t="n">
        <v>0</v>
      </c>
      <c r="N244" t="n">
        <v>0</v>
      </c>
      <c r="O244" t="n">
        <v>0</v>
      </c>
      <c r="P244" t="n">
        <v>0</v>
      </c>
      <c r="Q244" t="n">
        <v>0</v>
      </c>
      <c r="R244" s="2" t="inlineStr"/>
    </row>
    <row r="245" ht="15" customHeight="1">
      <c r="A245" t="inlineStr">
        <is>
          <t>A 456-2023</t>
        </is>
      </c>
      <c r="B245" s="1" t="n">
        <v>44929.87122685185</v>
      </c>
      <c r="C245" s="1" t="n">
        <v>45982</v>
      </c>
      <c r="D245" t="inlineStr">
        <is>
          <t>GOTLANDS LÄN</t>
        </is>
      </c>
      <c r="E245" t="inlineStr">
        <is>
          <t>GOTLAND</t>
        </is>
      </c>
      <c r="G245" t="n">
        <v>3.2</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45982</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61596-2023</t>
        </is>
      </c>
      <c r="B247" s="1" t="n">
        <v>45265</v>
      </c>
      <c r="C247" s="1" t="n">
        <v>45982</v>
      </c>
      <c r="D247" t="inlineStr">
        <is>
          <t>GOTLANDS LÄN</t>
        </is>
      </c>
      <c r="E247" t="inlineStr">
        <is>
          <t>GOTLAND</t>
        </is>
      </c>
      <c r="G247" t="n">
        <v>1.7</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45982</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873-2024</t>
        </is>
      </c>
      <c r="B249" s="1" t="n">
        <v>45301</v>
      </c>
      <c r="C249" s="1" t="n">
        <v>45982</v>
      </c>
      <c r="D249" t="inlineStr">
        <is>
          <t>GOTLANDS LÄN</t>
        </is>
      </c>
      <c r="E249" t="inlineStr">
        <is>
          <t>GOTLAND</t>
        </is>
      </c>
      <c r="G249" t="n">
        <v>2.7</v>
      </c>
      <c r="H249" t="n">
        <v>0</v>
      </c>
      <c r="I249" t="n">
        <v>0</v>
      </c>
      <c r="J249" t="n">
        <v>0</v>
      </c>
      <c r="K249" t="n">
        <v>0</v>
      </c>
      <c r="L249" t="n">
        <v>0</v>
      </c>
      <c r="M249" t="n">
        <v>0</v>
      </c>
      <c r="N249" t="n">
        <v>0</v>
      </c>
      <c r="O249" t="n">
        <v>0</v>
      </c>
      <c r="P249" t="n">
        <v>0</v>
      </c>
      <c r="Q249" t="n">
        <v>0</v>
      </c>
      <c r="R249" s="2" t="inlineStr"/>
    </row>
    <row r="250" ht="15" customHeight="1">
      <c r="A250" t="inlineStr">
        <is>
          <t>A 44228-2022</t>
        </is>
      </c>
      <c r="B250" s="1" t="n">
        <v>44839.51599537037</v>
      </c>
      <c r="C250" s="1" t="n">
        <v>45982</v>
      </c>
      <c r="D250" t="inlineStr">
        <is>
          <t>GOTLANDS LÄN</t>
        </is>
      </c>
      <c r="E250" t="inlineStr">
        <is>
          <t>GOTLAND</t>
        </is>
      </c>
      <c r="G250" t="n">
        <v>2.1</v>
      </c>
      <c r="H250" t="n">
        <v>0</v>
      </c>
      <c r="I250" t="n">
        <v>0</v>
      </c>
      <c r="J250" t="n">
        <v>0</v>
      </c>
      <c r="K250" t="n">
        <v>0</v>
      </c>
      <c r="L250" t="n">
        <v>0</v>
      </c>
      <c r="M250" t="n">
        <v>0</v>
      </c>
      <c r="N250" t="n">
        <v>0</v>
      </c>
      <c r="O250" t="n">
        <v>0</v>
      </c>
      <c r="P250" t="n">
        <v>0</v>
      </c>
      <c r="Q250" t="n">
        <v>0</v>
      </c>
      <c r="R250" s="2" t="inlineStr"/>
    </row>
    <row r="251" ht="15" customHeight="1">
      <c r="A251" t="inlineStr">
        <is>
          <t>A 27593-2023</t>
        </is>
      </c>
      <c r="B251" s="1" t="n">
        <v>45097</v>
      </c>
      <c r="C251" s="1" t="n">
        <v>45982</v>
      </c>
      <c r="D251" t="inlineStr">
        <is>
          <t>GOTLANDS LÄN</t>
        </is>
      </c>
      <c r="E251" t="inlineStr">
        <is>
          <t>GOTLAND</t>
        </is>
      </c>
      <c r="G251" t="n">
        <v>3.1</v>
      </c>
      <c r="H251" t="n">
        <v>0</v>
      </c>
      <c r="I251" t="n">
        <v>0</v>
      </c>
      <c r="J251" t="n">
        <v>0</v>
      </c>
      <c r="K251" t="n">
        <v>0</v>
      </c>
      <c r="L251" t="n">
        <v>0</v>
      </c>
      <c r="M251" t="n">
        <v>0</v>
      </c>
      <c r="N251" t="n">
        <v>0</v>
      </c>
      <c r="O251" t="n">
        <v>0</v>
      </c>
      <c r="P251" t="n">
        <v>0</v>
      </c>
      <c r="Q251" t="n">
        <v>0</v>
      </c>
      <c r="R251" s="2" t="inlineStr"/>
    </row>
    <row r="252" ht="15" customHeight="1">
      <c r="A252" t="inlineStr">
        <is>
          <t>A 61386-2023</t>
        </is>
      </c>
      <c r="B252" s="1" t="n">
        <v>45264</v>
      </c>
      <c r="C252" s="1" t="n">
        <v>45982</v>
      </c>
      <c r="D252" t="inlineStr">
        <is>
          <t>GOTLANDS LÄN</t>
        </is>
      </c>
      <c r="E252" t="inlineStr">
        <is>
          <t>GOTLAND</t>
        </is>
      </c>
      <c r="G252" t="n">
        <v>0.7</v>
      </c>
      <c r="H252" t="n">
        <v>0</v>
      </c>
      <c r="I252" t="n">
        <v>0</v>
      </c>
      <c r="J252" t="n">
        <v>0</v>
      </c>
      <c r="K252" t="n">
        <v>0</v>
      </c>
      <c r="L252" t="n">
        <v>0</v>
      </c>
      <c r="M252" t="n">
        <v>0</v>
      </c>
      <c r="N252" t="n">
        <v>0</v>
      </c>
      <c r="O252" t="n">
        <v>0</v>
      </c>
      <c r="P252" t="n">
        <v>0</v>
      </c>
      <c r="Q252" t="n">
        <v>0</v>
      </c>
      <c r="R252" s="2" t="inlineStr"/>
    </row>
    <row r="253" ht="15" customHeight="1">
      <c r="A253" t="inlineStr">
        <is>
          <t>A 25129-2023</t>
        </is>
      </c>
      <c r="B253" s="1" t="n">
        <v>45086.44261574074</v>
      </c>
      <c r="C253" s="1" t="n">
        <v>45982</v>
      </c>
      <c r="D253" t="inlineStr">
        <is>
          <t>GOTLANDS LÄN</t>
        </is>
      </c>
      <c r="E253" t="inlineStr">
        <is>
          <t>GOTLAND</t>
        </is>
      </c>
      <c r="G253" t="n">
        <v>1.5</v>
      </c>
      <c r="H253" t="n">
        <v>0</v>
      </c>
      <c r="I253" t="n">
        <v>0</v>
      </c>
      <c r="J253" t="n">
        <v>0</v>
      </c>
      <c r="K253" t="n">
        <v>0</v>
      </c>
      <c r="L253" t="n">
        <v>0</v>
      </c>
      <c r="M253" t="n">
        <v>0</v>
      </c>
      <c r="N253" t="n">
        <v>0</v>
      </c>
      <c r="O253" t="n">
        <v>0</v>
      </c>
      <c r="P253" t="n">
        <v>0</v>
      </c>
      <c r="Q253" t="n">
        <v>0</v>
      </c>
      <c r="R253" s="2" t="inlineStr"/>
    </row>
    <row r="254" ht="15" customHeight="1">
      <c r="A254" t="inlineStr">
        <is>
          <t>A 45106-2024</t>
        </is>
      </c>
      <c r="B254" s="1" t="n">
        <v>45575</v>
      </c>
      <c r="C254" s="1" t="n">
        <v>45982</v>
      </c>
      <c r="D254" t="inlineStr">
        <is>
          <t>GOTLANDS LÄN</t>
        </is>
      </c>
      <c r="E254" t="inlineStr">
        <is>
          <t>GOTLAND</t>
        </is>
      </c>
      <c r="G254" t="n">
        <v>10</v>
      </c>
      <c r="H254" t="n">
        <v>0</v>
      </c>
      <c r="I254" t="n">
        <v>0</v>
      </c>
      <c r="J254" t="n">
        <v>0</v>
      </c>
      <c r="K254" t="n">
        <v>0</v>
      </c>
      <c r="L254" t="n">
        <v>0</v>
      </c>
      <c r="M254" t="n">
        <v>0</v>
      </c>
      <c r="N254" t="n">
        <v>0</v>
      </c>
      <c r="O254" t="n">
        <v>0</v>
      </c>
      <c r="P254" t="n">
        <v>0</v>
      </c>
      <c r="Q254" t="n">
        <v>0</v>
      </c>
      <c r="R254" s="2" t="inlineStr"/>
    </row>
    <row r="255" ht="15" customHeight="1">
      <c r="A255" t="inlineStr">
        <is>
          <t>A 45112-2024</t>
        </is>
      </c>
      <c r="B255" s="1" t="n">
        <v>45575</v>
      </c>
      <c r="C255" s="1" t="n">
        <v>45982</v>
      </c>
      <c r="D255" t="inlineStr">
        <is>
          <t>GOTLANDS LÄN</t>
        </is>
      </c>
      <c r="E255" t="inlineStr">
        <is>
          <t>GOTLAND</t>
        </is>
      </c>
      <c r="G255" t="n">
        <v>5.1</v>
      </c>
      <c r="H255" t="n">
        <v>0</v>
      </c>
      <c r="I255" t="n">
        <v>0</v>
      </c>
      <c r="J255" t="n">
        <v>0</v>
      </c>
      <c r="K255" t="n">
        <v>0</v>
      </c>
      <c r="L255" t="n">
        <v>0</v>
      </c>
      <c r="M255" t="n">
        <v>0</v>
      </c>
      <c r="N255" t="n">
        <v>0</v>
      </c>
      <c r="O255" t="n">
        <v>0</v>
      </c>
      <c r="P255" t="n">
        <v>0</v>
      </c>
      <c r="Q255" t="n">
        <v>0</v>
      </c>
      <c r="R255" s="2" t="inlineStr"/>
    </row>
    <row r="256" ht="15" customHeight="1">
      <c r="A256" t="inlineStr">
        <is>
          <t>A 7026-2023</t>
        </is>
      </c>
      <c r="B256" s="1" t="n">
        <v>44968.30340277778</v>
      </c>
      <c r="C256" s="1" t="n">
        <v>45982</v>
      </c>
      <c r="D256" t="inlineStr">
        <is>
          <t>GOTLANDS LÄN</t>
        </is>
      </c>
      <c r="E256" t="inlineStr">
        <is>
          <t>GOTLAND</t>
        </is>
      </c>
      <c r="G256" t="n">
        <v>2.9</v>
      </c>
      <c r="H256" t="n">
        <v>0</v>
      </c>
      <c r="I256" t="n">
        <v>0</v>
      </c>
      <c r="J256" t="n">
        <v>0</v>
      </c>
      <c r="K256" t="n">
        <v>0</v>
      </c>
      <c r="L256" t="n">
        <v>0</v>
      </c>
      <c r="M256" t="n">
        <v>0</v>
      </c>
      <c r="N256" t="n">
        <v>0</v>
      </c>
      <c r="O256" t="n">
        <v>0</v>
      </c>
      <c r="P256" t="n">
        <v>0</v>
      </c>
      <c r="Q256" t="n">
        <v>0</v>
      </c>
      <c r="R256" s="2" t="inlineStr"/>
    </row>
    <row r="257" ht="15" customHeight="1">
      <c r="A257" t="inlineStr">
        <is>
          <t>A 3964-2024</t>
        </is>
      </c>
      <c r="B257" s="1" t="n">
        <v>45322</v>
      </c>
      <c r="C257" s="1" t="n">
        <v>45982</v>
      </c>
      <c r="D257" t="inlineStr">
        <is>
          <t>GOTLANDS LÄN</t>
        </is>
      </c>
      <c r="E257" t="inlineStr">
        <is>
          <t>GOTLAND</t>
        </is>
      </c>
      <c r="G257" t="n">
        <v>1.4</v>
      </c>
      <c r="H257" t="n">
        <v>0</v>
      </c>
      <c r="I257" t="n">
        <v>0</v>
      </c>
      <c r="J257" t="n">
        <v>0</v>
      </c>
      <c r="K257" t="n">
        <v>0</v>
      </c>
      <c r="L257" t="n">
        <v>0</v>
      </c>
      <c r="M257" t="n">
        <v>0</v>
      </c>
      <c r="N257" t="n">
        <v>0</v>
      </c>
      <c r="O257" t="n">
        <v>0</v>
      </c>
      <c r="P257" t="n">
        <v>0</v>
      </c>
      <c r="Q257" t="n">
        <v>0</v>
      </c>
      <c r="R257" s="2" t="inlineStr"/>
    </row>
    <row r="258" ht="15" customHeight="1">
      <c r="A258" t="inlineStr">
        <is>
          <t>A 52892-2021</t>
        </is>
      </c>
      <c r="B258" s="1" t="n">
        <v>44467.49048611111</v>
      </c>
      <c r="C258" s="1" t="n">
        <v>45982</v>
      </c>
      <c r="D258" t="inlineStr">
        <is>
          <t>GOTLANDS LÄN</t>
        </is>
      </c>
      <c r="E258" t="inlineStr">
        <is>
          <t>GOTLAND</t>
        </is>
      </c>
      <c r="G258" t="n">
        <v>2</v>
      </c>
      <c r="H258" t="n">
        <v>0</v>
      </c>
      <c r="I258" t="n">
        <v>0</v>
      </c>
      <c r="J258" t="n">
        <v>0</v>
      </c>
      <c r="K258" t="n">
        <v>0</v>
      </c>
      <c r="L258" t="n">
        <v>0</v>
      </c>
      <c r="M258" t="n">
        <v>0</v>
      </c>
      <c r="N258" t="n">
        <v>0</v>
      </c>
      <c r="O258" t="n">
        <v>0</v>
      </c>
      <c r="P258" t="n">
        <v>0</v>
      </c>
      <c r="Q258" t="n">
        <v>0</v>
      </c>
      <c r="R258" s="2" t="inlineStr"/>
    </row>
    <row r="259" ht="15" customHeight="1">
      <c r="A259" t="inlineStr">
        <is>
          <t>A 1351-2025</t>
        </is>
      </c>
      <c r="B259" s="1" t="n">
        <v>45667.62246527777</v>
      </c>
      <c r="C259" s="1" t="n">
        <v>45982</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21420-2024</t>
        </is>
      </c>
      <c r="B260" s="1" t="n">
        <v>45441.38293981482</v>
      </c>
      <c r="C260" s="1" t="n">
        <v>45982</v>
      </c>
      <c r="D260" t="inlineStr">
        <is>
          <t>GOTLANDS LÄN</t>
        </is>
      </c>
      <c r="E260" t="inlineStr">
        <is>
          <t>GOTLAND</t>
        </is>
      </c>
      <c r="G260" t="n">
        <v>4.1</v>
      </c>
      <c r="H260" t="n">
        <v>0</v>
      </c>
      <c r="I260" t="n">
        <v>0</v>
      </c>
      <c r="J260" t="n">
        <v>0</v>
      </c>
      <c r="K260" t="n">
        <v>0</v>
      </c>
      <c r="L260" t="n">
        <v>0</v>
      </c>
      <c r="M260" t="n">
        <v>0</v>
      </c>
      <c r="N260" t="n">
        <v>0</v>
      </c>
      <c r="O260" t="n">
        <v>0</v>
      </c>
      <c r="P260" t="n">
        <v>0</v>
      </c>
      <c r="Q260" t="n">
        <v>0</v>
      </c>
      <c r="R260" s="2" t="inlineStr"/>
    </row>
    <row r="261" ht="15" customHeight="1">
      <c r="A261" t="inlineStr">
        <is>
          <t>A 10656-2024</t>
        </is>
      </c>
      <c r="B261" s="1" t="n">
        <v>45368</v>
      </c>
      <c r="C261" s="1" t="n">
        <v>45982</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45982</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57356-2023</t>
        </is>
      </c>
      <c r="B263" s="1" t="n">
        <v>45240</v>
      </c>
      <c r="C263" s="1" t="n">
        <v>45982</v>
      </c>
      <c r="D263" t="inlineStr">
        <is>
          <t>GOTLANDS LÄN</t>
        </is>
      </c>
      <c r="E263" t="inlineStr">
        <is>
          <t>GOTLAND</t>
        </is>
      </c>
      <c r="G263" t="n">
        <v>6.4</v>
      </c>
      <c r="H263" t="n">
        <v>0</v>
      </c>
      <c r="I263" t="n">
        <v>0</v>
      </c>
      <c r="J263" t="n">
        <v>0</v>
      </c>
      <c r="K263" t="n">
        <v>0</v>
      </c>
      <c r="L263" t="n">
        <v>0</v>
      </c>
      <c r="M263" t="n">
        <v>0</v>
      </c>
      <c r="N263" t="n">
        <v>0</v>
      </c>
      <c r="O263" t="n">
        <v>0</v>
      </c>
      <c r="P263" t="n">
        <v>0</v>
      </c>
      <c r="Q263" t="n">
        <v>0</v>
      </c>
      <c r="R263" s="2" t="inlineStr"/>
    </row>
    <row r="264" ht="15" customHeight="1">
      <c r="A264" t="inlineStr">
        <is>
          <t>A 54073-2022</t>
        </is>
      </c>
      <c r="B264" s="1" t="n">
        <v>44881.50380787037</v>
      </c>
      <c r="C264" s="1" t="n">
        <v>45982</v>
      </c>
      <c r="D264" t="inlineStr">
        <is>
          <t>GOTLANDS LÄN</t>
        </is>
      </c>
      <c r="E264" t="inlineStr">
        <is>
          <t>GOTLAND</t>
        </is>
      </c>
      <c r="G264" t="n">
        <v>3.8</v>
      </c>
      <c r="H264" t="n">
        <v>0</v>
      </c>
      <c r="I264" t="n">
        <v>0</v>
      </c>
      <c r="J264" t="n">
        <v>0</v>
      </c>
      <c r="K264" t="n">
        <v>0</v>
      </c>
      <c r="L264" t="n">
        <v>0</v>
      </c>
      <c r="M264" t="n">
        <v>0</v>
      </c>
      <c r="N264" t="n">
        <v>0</v>
      </c>
      <c r="O264" t="n">
        <v>0</v>
      </c>
      <c r="P264" t="n">
        <v>0</v>
      </c>
      <c r="Q264" t="n">
        <v>0</v>
      </c>
      <c r="R264" s="2" t="inlineStr"/>
    </row>
    <row r="265" ht="15" customHeight="1">
      <c r="A265" t="inlineStr">
        <is>
          <t>A 28506-2023</t>
        </is>
      </c>
      <c r="B265" s="1" t="n">
        <v>45103</v>
      </c>
      <c r="C265" s="1" t="n">
        <v>45982</v>
      </c>
      <c r="D265" t="inlineStr">
        <is>
          <t>GOTLANDS LÄN</t>
        </is>
      </c>
      <c r="E265" t="inlineStr">
        <is>
          <t>GOTLAND</t>
        </is>
      </c>
      <c r="G265" t="n">
        <v>3.2</v>
      </c>
      <c r="H265" t="n">
        <v>0</v>
      </c>
      <c r="I265" t="n">
        <v>0</v>
      </c>
      <c r="J265" t="n">
        <v>0</v>
      </c>
      <c r="K265" t="n">
        <v>0</v>
      </c>
      <c r="L265" t="n">
        <v>0</v>
      </c>
      <c r="M265" t="n">
        <v>0</v>
      </c>
      <c r="N265" t="n">
        <v>0</v>
      </c>
      <c r="O265" t="n">
        <v>0</v>
      </c>
      <c r="P265" t="n">
        <v>0</v>
      </c>
      <c r="Q265" t="n">
        <v>0</v>
      </c>
      <c r="R265" s="2" t="inlineStr"/>
    </row>
    <row r="266" ht="15" customHeight="1">
      <c r="A266" t="inlineStr">
        <is>
          <t>A 49874-2024</t>
        </is>
      </c>
      <c r="B266" s="1" t="n">
        <v>45597.49274305555</v>
      </c>
      <c r="C266" s="1" t="n">
        <v>45982</v>
      </c>
      <c r="D266" t="inlineStr">
        <is>
          <t>GOTLANDS LÄN</t>
        </is>
      </c>
      <c r="E266" t="inlineStr">
        <is>
          <t>GOTLAND</t>
        </is>
      </c>
      <c r="G266" t="n">
        <v>1.1</v>
      </c>
      <c r="H266" t="n">
        <v>0</v>
      </c>
      <c r="I266" t="n">
        <v>0</v>
      </c>
      <c r="J266" t="n">
        <v>0</v>
      </c>
      <c r="K266" t="n">
        <v>0</v>
      </c>
      <c r="L266" t="n">
        <v>0</v>
      </c>
      <c r="M266" t="n">
        <v>0</v>
      </c>
      <c r="N266" t="n">
        <v>0</v>
      </c>
      <c r="O266" t="n">
        <v>0</v>
      </c>
      <c r="P266" t="n">
        <v>0</v>
      </c>
      <c r="Q266" t="n">
        <v>0</v>
      </c>
      <c r="R266" s="2" t="inlineStr"/>
    </row>
    <row r="267" ht="15" customHeight="1">
      <c r="A267" t="inlineStr">
        <is>
          <t>A 23188-2025</t>
        </is>
      </c>
      <c r="B267" s="1" t="n">
        <v>45791</v>
      </c>
      <c r="C267" s="1" t="n">
        <v>45982</v>
      </c>
      <c r="D267" t="inlineStr">
        <is>
          <t>GOTLANDS LÄN</t>
        </is>
      </c>
      <c r="E267" t="inlineStr">
        <is>
          <t>GOTLAND</t>
        </is>
      </c>
      <c r="G267" t="n">
        <v>6.2</v>
      </c>
      <c r="H267" t="n">
        <v>0</v>
      </c>
      <c r="I267" t="n">
        <v>0</v>
      </c>
      <c r="J267" t="n">
        <v>0</v>
      </c>
      <c r="K267" t="n">
        <v>0</v>
      </c>
      <c r="L267" t="n">
        <v>0</v>
      </c>
      <c r="M267" t="n">
        <v>0</v>
      </c>
      <c r="N267" t="n">
        <v>0</v>
      </c>
      <c r="O267" t="n">
        <v>0</v>
      </c>
      <c r="P267" t="n">
        <v>0</v>
      </c>
      <c r="Q267" t="n">
        <v>0</v>
      </c>
      <c r="R267" s="2" t="inlineStr"/>
    </row>
    <row r="268" ht="15" customHeight="1">
      <c r="A268" t="inlineStr">
        <is>
          <t>A 20356-2022</t>
        </is>
      </c>
      <c r="B268" s="1" t="n">
        <v>44699</v>
      </c>
      <c r="C268" s="1" t="n">
        <v>45982</v>
      </c>
      <c r="D268" t="inlineStr">
        <is>
          <t>GOTLANDS LÄN</t>
        </is>
      </c>
      <c r="E268" t="inlineStr">
        <is>
          <t>GOTLAND</t>
        </is>
      </c>
      <c r="F268" t="inlineStr">
        <is>
          <t>Övriga Aktiebolag</t>
        </is>
      </c>
      <c r="G268" t="n">
        <v>4.4</v>
      </c>
      <c r="H268" t="n">
        <v>0</v>
      </c>
      <c r="I268" t="n">
        <v>0</v>
      </c>
      <c r="J268" t="n">
        <v>0</v>
      </c>
      <c r="K268" t="n">
        <v>0</v>
      </c>
      <c r="L268" t="n">
        <v>0</v>
      </c>
      <c r="M268" t="n">
        <v>0</v>
      </c>
      <c r="N268" t="n">
        <v>0</v>
      </c>
      <c r="O268" t="n">
        <v>0</v>
      </c>
      <c r="P268" t="n">
        <v>0</v>
      </c>
      <c r="Q268" t="n">
        <v>0</v>
      </c>
      <c r="R268" s="2" t="inlineStr"/>
    </row>
    <row r="269" ht="15" customHeight="1">
      <c r="A269" t="inlineStr">
        <is>
          <t>A 2292-2021</t>
        </is>
      </c>
      <c r="B269" s="1" t="n">
        <v>44212</v>
      </c>
      <c r="C269" s="1" t="n">
        <v>45982</v>
      </c>
      <c r="D269" t="inlineStr">
        <is>
          <t>GOTLANDS LÄN</t>
        </is>
      </c>
      <c r="E269" t="inlineStr">
        <is>
          <t>GOTLAND</t>
        </is>
      </c>
      <c r="G269" t="n">
        <v>3</v>
      </c>
      <c r="H269" t="n">
        <v>0</v>
      </c>
      <c r="I269" t="n">
        <v>0</v>
      </c>
      <c r="J269" t="n">
        <v>0</v>
      </c>
      <c r="K269" t="n">
        <v>0</v>
      </c>
      <c r="L269" t="n">
        <v>0</v>
      </c>
      <c r="M269" t="n">
        <v>0</v>
      </c>
      <c r="N269" t="n">
        <v>0</v>
      </c>
      <c r="O269" t="n">
        <v>0</v>
      </c>
      <c r="P269" t="n">
        <v>0</v>
      </c>
      <c r="Q269" t="n">
        <v>0</v>
      </c>
      <c r="R269" s="2" t="inlineStr"/>
    </row>
    <row r="270" ht="15" customHeight="1">
      <c r="A270" t="inlineStr">
        <is>
          <t>A 35142-2025</t>
        </is>
      </c>
      <c r="B270" s="1" t="n">
        <v>45852.65532407408</v>
      </c>
      <c r="C270" s="1" t="n">
        <v>45982</v>
      </c>
      <c r="D270" t="inlineStr">
        <is>
          <t>GOTLANDS LÄN</t>
        </is>
      </c>
      <c r="E270" t="inlineStr">
        <is>
          <t>GOTLAND</t>
        </is>
      </c>
      <c r="G270" t="n">
        <v>2.4</v>
      </c>
      <c r="H270" t="n">
        <v>0</v>
      </c>
      <c r="I270" t="n">
        <v>0</v>
      </c>
      <c r="J270" t="n">
        <v>0</v>
      </c>
      <c r="K270" t="n">
        <v>0</v>
      </c>
      <c r="L270" t="n">
        <v>0</v>
      </c>
      <c r="M270" t="n">
        <v>0</v>
      </c>
      <c r="N270" t="n">
        <v>0</v>
      </c>
      <c r="O270" t="n">
        <v>0</v>
      </c>
      <c r="P270" t="n">
        <v>0</v>
      </c>
      <c r="Q270" t="n">
        <v>0</v>
      </c>
      <c r="R270" s="2" t="inlineStr"/>
    </row>
    <row r="271" ht="15" customHeight="1">
      <c r="A271" t="inlineStr">
        <is>
          <t>A 23856-2025</t>
        </is>
      </c>
      <c r="B271" s="1" t="n">
        <v>45793</v>
      </c>
      <c r="C271" s="1" t="n">
        <v>45982</v>
      </c>
      <c r="D271" t="inlineStr">
        <is>
          <t>GOTLANDS LÄN</t>
        </is>
      </c>
      <c r="E271" t="inlineStr">
        <is>
          <t>GOTLAND</t>
        </is>
      </c>
      <c r="G271" t="n">
        <v>4.4</v>
      </c>
      <c r="H271" t="n">
        <v>0</v>
      </c>
      <c r="I271" t="n">
        <v>0</v>
      </c>
      <c r="J271" t="n">
        <v>0</v>
      </c>
      <c r="K271" t="n">
        <v>0</v>
      </c>
      <c r="L271" t="n">
        <v>0</v>
      </c>
      <c r="M271" t="n">
        <v>0</v>
      </c>
      <c r="N271" t="n">
        <v>0</v>
      </c>
      <c r="O271" t="n">
        <v>0</v>
      </c>
      <c r="P271" t="n">
        <v>0</v>
      </c>
      <c r="Q271" t="n">
        <v>0</v>
      </c>
      <c r="R271" s="2" t="inlineStr"/>
    </row>
    <row r="272" ht="15" customHeight="1">
      <c r="A272" t="inlineStr">
        <is>
          <t>A 23473-2025</t>
        </is>
      </c>
      <c r="B272" s="1" t="n">
        <v>45792</v>
      </c>
      <c r="C272" s="1" t="n">
        <v>45982</v>
      </c>
      <c r="D272" t="inlineStr">
        <is>
          <t>GOTLANDS LÄN</t>
        </is>
      </c>
      <c r="E272" t="inlineStr">
        <is>
          <t>GOTLAND</t>
        </is>
      </c>
      <c r="G272" t="n">
        <v>3.6</v>
      </c>
      <c r="H272" t="n">
        <v>0</v>
      </c>
      <c r="I272" t="n">
        <v>0</v>
      </c>
      <c r="J272" t="n">
        <v>0</v>
      </c>
      <c r="K272" t="n">
        <v>0</v>
      </c>
      <c r="L272" t="n">
        <v>0</v>
      </c>
      <c r="M272" t="n">
        <v>0</v>
      </c>
      <c r="N272" t="n">
        <v>0</v>
      </c>
      <c r="O272" t="n">
        <v>0</v>
      </c>
      <c r="P272" t="n">
        <v>0</v>
      </c>
      <c r="Q272" t="n">
        <v>0</v>
      </c>
      <c r="R272" s="2" t="inlineStr"/>
    </row>
    <row r="273" ht="15" customHeight="1">
      <c r="A273" t="inlineStr">
        <is>
          <t>A 35141-2025</t>
        </is>
      </c>
      <c r="B273" s="1" t="n">
        <v>45852.65206018519</v>
      </c>
      <c r="C273" s="1" t="n">
        <v>45982</v>
      </c>
      <c r="D273" t="inlineStr">
        <is>
          <t>GOTLANDS LÄN</t>
        </is>
      </c>
      <c r="E273" t="inlineStr">
        <is>
          <t>GOTLAND</t>
        </is>
      </c>
      <c r="G273" t="n">
        <v>1</v>
      </c>
      <c r="H273" t="n">
        <v>0</v>
      </c>
      <c r="I273" t="n">
        <v>0</v>
      </c>
      <c r="J273" t="n">
        <v>0</v>
      </c>
      <c r="K273" t="n">
        <v>0</v>
      </c>
      <c r="L273" t="n">
        <v>0</v>
      </c>
      <c r="M273" t="n">
        <v>0</v>
      </c>
      <c r="N273" t="n">
        <v>0</v>
      </c>
      <c r="O273" t="n">
        <v>0</v>
      </c>
      <c r="P273" t="n">
        <v>0</v>
      </c>
      <c r="Q273" t="n">
        <v>0</v>
      </c>
      <c r="R273" s="2" t="inlineStr"/>
    </row>
    <row r="274" ht="15" customHeight="1">
      <c r="A274" t="inlineStr">
        <is>
          <t>A 23698-2025</t>
        </is>
      </c>
      <c r="B274" s="1" t="n">
        <v>45793</v>
      </c>
      <c r="C274" s="1" t="n">
        <v>45982</v>
      </c>
      <c r="D274" t="inlineStr">
        <is>
          <t>GOTLANDS LÄN</t>
        </is>
      </c>
      <c r="E274" t="inlineStr">
        <is>
          <t>GOTLAND</t>
        </is>
      </c>
      <c r="G274" t="n">
        <v>0.8</v>
      </c>
      <c r="H274" t="n">
        <v>0</v>
      </c>
      <c r="I274" t="n">
        <v>0</v>
      </c>
      <c r="J274" t="n">
        <v>0</v>
      </c>
      <c r="K274" t="n">
        <v>0</v>
      </c>
      <c r="L274" t="n">
        <v>0</v>
      </c>
      <c r="M274" t="n">
        <v>0</v>
      </c>
      <c r="N274" t="n">
        <v>0</v>
      </c>
      <c r="O274" t="n">
        <v>0</v>
      </c>
      <c r="P274" t="n">
        <v>0</v>
      </c>
      <c r="Q274" t="n">
        <v>0</v>
      </c>
      <c r="R274" s="2" t="inlineStr"/>
    </row>
    <row r="275" ht="15" customHeight="1">
      <c r="A275" t="inlineStr">
        <is>
          <t>A 51782-2023</t>
        </is>
      </c>
      <c r="B275" s="1" t="n">
        <v>45222.80952546297</v>
      </c>
      <c r="C275" s="1" t="n">
        <v>45982</v>
      </c>
      <c r="D275" t="inlineStr">
        <is>
          <t>GOTLANDS LÄN</t>
        </is>
      </c>
      <c r="E275" t="inlineStr">
        <is>
          <t>GOTLAND</t>
        </is>
      </c>
      <c r="G275" t="n">
        <v>1.2</v>
      </c>
      <c r="H275" t="n">
        <v>0</v>
      </c>
      <c r="I275" t="n">
        <v>0</v>
      </c>
      <c r="J275" t="n">
        <v>0</v>
      </c>
      <c r="K275" t="n">
        <v>0</v>
      </c>
      <c r="L275" t="n">
        <v>0</v>
      </c>
      <c r="M275" t="n">
        <v>0</v>
      </c>
      <c r="N275" t="n">
        <v>0</v>
      </c>
      <c r="O275" t="n">
        <v>0</v>
      </c>
      <c r="P275" t="n">
        <v>0</v>
      </c>
      <c r="Q275" t="n">
        <v>0</v>
      </c>
      <c r="R275" s="2" t="inlineStr"/>
    </row>
    <row r="276" ht="15" customHeight="1">
      <c r="A276" t="inlineStr">
        <is>
          <t>A 15073-2025</t>
        </is>
      </c>
      <c r="B276" s="1" t="n">
        <v>45743</v>
      </c>
      <c r="C276" s="1" t="n">
        <v>45982</v>
      </c>
      <c r="D276" t="inlineStr">
        <is>
          <t>GOTLANDS LÄN</t>
        </is>
      </c>
      <c r="E276" t="inlineStr">
        <is>
          <t>GOTLAND</t>
        </is>
      </c>
      <c r="G276" t="n">
        <v>12.1</v>
      </c>
      <c r="H276" t="n">
        <v>0</v>
      </c>
      <c r="I276" t="n">
        <v>0</v>
      </c>
      <c r="J276" t="n">
        <v>0</v>
      </c>
      <c r="K276" t="n">
        <v>0</v>
      </c>
      <c r="L276" t="n">
        <v>0</v>
      </c>
      <c r="M276" t="n">
        <v>0</v>
      </c>
      <c r="N276" t="n">
        <v>0</v>
      </c>
      <c r="O276" t="n">
        <v>0</v>
      </c>
      <c r="P276" t="n">
        <v>0</v>
      </c>
      <c r="Q276" t="n">
        <v>0</v>
      </c>
      <c r="R276" s="2" t="inlineStr"/>
    </row>
    <row r="277" ht="15" customHeight="1">
      <c r="A277" t="inlineStr">
        <is>
          <t>A 60675-2021</t>
        </is>
      </c>
      <c r="B277" s="1" t="n">
        <v>44496.64855324074</v>
      </c>
      <c r="C277" s="1" t="n">
        <v>45982</v>
      </c>
      <c r="D277" t="inlineStr">
        <is>
          <t>GOTLANDS LÄN</t>
        </is>
      </c>
      <c r="E277" t="inlineStr">
        <is>
          <t>GOTLAND</t>
        </is>
      </c>
      <c r="G277" t="n">
        <v>4.6</v>
      </c>
      <c r="H277" t="n">
        <v>0</v>
      </c>
      <c r="I277" t="n">
        <v>0</v>
      </c>
      <c r="J277" t="n">
        <v>0</v>
      </c>
      <c r="K277" t="n">
        <v>0</v>
      </c>
      <c r="L277" t="n">
        <v>0</v>
      </c>
      <c r="M277" t="n">
        <v>0</v>
      </c>
      <c r="N277" t="n">
        <v>0</v>
      </c>
      <c r="O277" t="n">
        <v>0</v>
      </c>
      <c r="P277" t="n">
        <v>0</v>
      </c>
      <c r="Q277" t="n">
        <v>0</v>
      </c>
      <c r="R277" s="2" t="inlineStr"/>
    </row>
    <row r="278" ht="15" customHeight="1">
      <c r="A278" t="inlineStr">
        <is>
          <t>A 5217-2023</t>
        </is>
      </c>
      <c r="B278" s="1" t="n">
        <v>44959.39582175926</v>
      </c>
      <c r="C278" s="1" t="n">
        <v>45982</v>
      </c>
      <c r="D278" t="inlineStr">
        <is>
          <t>GOTLANDS LÄN</t>
        </is>
      </c>
      <c r="E278" t="inlineStr">
        <is>
          <t>GOTLAND</t>
        </is>
      </c>
      <c r="G278" t="n">
        <v>1.9</v>
      </c>
      <c r="H278" t="n">
        <v>0</v>
      </c>
      <c r="I278" t="n">
        <v>0</v>
      </c>
      <c r="J278" t="n">
        <v>0</v>
      </c>
      <c r="K278" t="n">
        <v>0</v>
      </c>
      <c r="L278" t="n">
        <v>0</v>
      </c>
      <c r="M278" t="n">
        <v>0</v>
      </c>
      <c r="N278" t="n">
        <v>0</v>
      </c>
      <c r="O278" t="n">
        <v>0</v>
      </c>
      <c r="P278" t="n">
        <v>0</v>
      </c>
      <c r="Q278" t="n">
        <v>0</v>
      </c>
      <c r="R278" s="2" t="inlineStr"/>
    </row>
    <row r="279" ht="15" customHeight="1">
      <c r="A279" t="inlineStr">
        <is>
          <t>A 14638-2025</t>
        </is>
      </c>
      <c r="B279" s="1" t="n">
        <v>45742</v>
      </c>
      <c r="C279" s="1" t="n">
        <v>45982</v>
      </c>
      <c r="D279" t="inlineStr">
        <is>
          <t>GOTLANDS LÄN</t>
        </is>
      </c>
      <c r="E279" t="inlineStr">
        <is>
          <t>GOTLAND</t>
        </is>
      </c>
      <c r="G279" t="n">
        <v>13.4</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45982</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45982</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4421-2024</t>
        </is>
      </c>
      <c r="B282" s="1" t="n">
        <v>45327.45173611111</v>
      </c>
      <c r="C282" s="1" t="n">
        <v>45982</v>
      </c>
      <c r="D282" t="inlineStr">
        <is>
          <t>GOTLANDS LÄN</t>
        </is>
      </c>
      <c r="E282" t="inlineStr">
        <is>
          <t>GOTLAND</t>
        </is>
      </c>
      <c r="G282" t="n">
        <v>5.1</v>
      </c>
      <c r="H282" t="n">
        <v>0</v>
      </c>
      <c r="I282" t="n">
        <v>0</v>
      </c>
      <c r="J282" t="n">
        <v>0</v>
      </c>
      <c r="K282" t="n">
        <v>0</v>
      </c>
      <c r="L282" t="n">
        <v>0</v>
      </c>
      <c r="M282" t="n">
        <v>0</v>
      </c>
      <c r="N282" t="n">
        <v>0</v>
      </c>
      <c r="O282" t="n">
        <v>0</v>
      </c>
      <c r="P282" t="n">
        <v>0</v>
      </c>
      <c r="Q282" t="n">
        <v>0</v>
      </c>
      <c r="R282" s="2" t="inlineStr"/>
    </row>
    <row r="283" ht="15" customHeight="1">
      <c r="A283" t="inlineStr">
        <is>
          <t>A 5462-2025</t>
        </is>
      </c>
      <c r="B283" s="1" t="n">
        <v>45693.29331018519</v>
      </c>
      <c r="C283" s="1" t="n">
        <v>45982</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39814-2025</t>
        </is>
      </c>
      <c r="B284" s="1" t="n">
        <v>45891.52694444444</v>
      </c>
      <c r="C284" s="1" t="n">
        <v>45982</v>
      </c>
      <c r="D284" t="inlineStr">
        <is>
          <t>GOTLANDS LÄN</t>
        </is>
      </c>
      <c r="E284" t="inlineStr">
        <is>
          <t>GOTLAND</t>
        </is>
      </c>
      <c r="G284" t="n">
        <v>4.5</v>
      </c>
      <c r="H284" t="n">
        <v>0</v>
      </c>
      <c r="I284" t="n">
        <v>0</v>
      </c>
      <c r="J284" t="n">
        <v>0</v>
      </c>
      <c r="K284" t="n">
        <v>0</v>
      </c>
      <c r="L284" t="n">
        <v>0</v>
      </c>
      <c r="M284" t="n">
        <v>0</v>
      </c>
      <c r="N284" t="n">
        <v>0</v>
      </c>
      <c r="O284" t="n">
        <v>0</v>
      </c>
      <c r="P284" t="n">
        <v>0</v>
      </c>
      <c r="Q284" t="n">
        <v>0</v>
      </c>
      <c r="R284" s="2" t="inlineStr"/>
    </row>
    <row r="285" ht="15" customHeight="1">
      <c r="A285" t="inlineStr">
        <is>
          <t>A 39819-2025</t>
        </is>
      </c>
      <c r="B285" s="1" t="n">
        <v>45891.53418981482</v>
      </c>
      <c r="C285" s="1" t="n">
        <v>45982</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39752-2025</t>
        </is>
      </c>
      <c r="B286" s="1" t="n">
        <v>45891</v>
      </c>
      <c r="C286" s="1" t="n">
        <v>45982</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39816-2025</t>
        </is>
      </c>
      <c r="B287" s="1" t="n">
        <v>45891</v>
      </c>
      <c r="C287" s="1" t="n">
        <v>45982</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20165-2022</t>
        </is>
      </c>
      <c r="B288" s="1" t="n">
        <v>44698.49854166667</v>
      </c>
      <c r="C288" s="1" t="n">
        <v>45982</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45982</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40373-2025</t>
        </is>
      </c>
      <c r="B290" s="1" t="n">
        <v>45895.51821759259</v>
      </c>
      <c r="C290" s="1" t="n">
        <v>45982</v>
      </c>
      <c r="D290" t="inlineStr">
        <is>
          <t>GOTLANDS LÄN</t>
        </is>
      </c>
      <c r="E290" t="inlineStr">
        <is>
          <t>GOTLAND</t>
        </is>
      </c>
      <c r="G290" t="n">
        <v>0.6</v>
      </c>
      <c r="H290" t="n">
        <v>0</v>
      </c>
      <c r="I290" t="n">
        <v>0</v>
      </c>
      <c r="J290" t="n">
        <v>0</v>
      </c>
      <c r="K290" t="n">
        <v>0</v>
      </c>
      <c r="L290" t="n">
        <v>0</v>
      </c>
      <c r="M290" t="n">
        <v>0</v>
      </c>
      <c r="N290" t="n">
        <v>0</v>
      </c>
      <c r="O290" t="n">
        <v>0</v>
      </c>
      <c r="P290" t="n">
        <v>0</v>
      </c>
      <c r="Q290" t="n">
        <v>0</v>
      </c>
      <c r="R290" s="2" t="inlineStr"/>
    </row>
    <row r="291" ht="15" customHeight="1">
      <c r="A291" t="inlineStr">
        <is>
          <t>A 31264-2021</t>
        </is>
      </c>
      <c r="B291" s="1" t="n">
        <v>44368</v>
      </c>
      <c r="C291" s="1" t="n">
        <v>45982</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40103-2025</t>
        </is>
      </c>
      <c r="B292" s="1" t="n">
        <v>45894.4880324074</v>
      </c>
      <c r="C292" s="1" t="n">
        <v>45982</v>
      </c>
      <c r="D292" t="inlineStr">
        <is>
          <t>GOTLANDS LÄN</t>
        </is>
      </c>
      <c r="E292" t="inlineStr">
        <is>
          <t>GOTLAND</t>
        </is>
      </c>
      <c r="G292" t="n">
        <v>0.9</v>
      </c>
      <c r="H292" t="n">
        <v>0</v>
      </c>
      <c r="I292" t="n">
        <v>0</v>
      </c>
      <c r="J292" t="n">
        <v>0</v>
      </c>
      <c r="K292" t="n">
        <v>0</v>
      </c>
      <c r="L292" t="n">
        <v>0</v>
      </c>
      <c r="M292" t="n">
        <v>0</v>
      </c>
      <c r="N292" t="n">
        <v>0</v>
      </c>
      <c r="O292" t="n">
        <v>0</v>
      </c>
      <c r="P292" t="n">
        <v>0</v>
      </c>
      <c r="Q292" t="n">
        <v>0</v>
      </c>
      <c r="R292" s="2" t="inlineStr"/>
    </row>
    <row r="293" ht="15" customHeight="1">
      <c r="A293" t="inlineStr">
        <is>
          <t>A 38649-2025</t>
        </is>
      </c>
      <c r="B293" s="1" t="n">
        <v>45884</v>
      </c>
      <c r="C293" s="1" t="n">
        <v>45982</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33876-2024</t>
        </is>
      </c>
      <c r="B294" s="1" t="n">
        <v>45521.87988425926</v>
      </c>
      <c r="C294" s="1" t="n">
        <v>45982</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43223-2023</t>
        </is>
      </c>
      <c r="B295" s="1" t="n">
        <v>45183.45642361111</v>
      </c>
      <c r="C295" s="1" t="n">
        <v>45982</v>
      </c>
      <c r="D295" t="inlineStr">
        <is>
          <t>GOTLANDS LÄN</t>
        </is>
      </c>
      <c r="E295" t="inlineStr">
        <is>
          <t>GOTLAND</t>
        </is>
      </c>
      <c r="G295" t="n">
        <v>1.8</v>
      </c>
      <c r="H295" t="n">
        <v>0</v>
      </c>
      <c r="I295" t="n">
        <v>0</v>
      </c>
      <c r="J295" t="n">
        <v>0</v>
      </c>
      <c r="K295" t="n">
        <v>0</v>
      </c>
      <c r="L295" t="n">
        <v>0</v>
      </c>
      <c r="M295" t="n">
        <v>0</v>
      </c>
      <c r="N295" t="n">
        <v>0</v>
      </c>
      <c r="O295" t="n">
        <v>0</v>
      </c>
      <c r="P295" t="n">
        <v>0</v>
      </c>
      <c r="Q295" t="n">
        <v>0</v>
      </c>
      <c r="R295" s="2" t="inlineStr"/>
    </row>
    <row r="296" ht="15" customHeight="1">
      <c r="A296" t="inlineStr">
        <is>
          <t>A 40499-2025</t>
        </is>
      </c>
      <c r="B296" s="1" t="n">
        <v>45896.32517361111</v>
      </c>
      <c r="C296" s="1" t="n">
        <v>45982</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45982</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49724-2025</t>
        </is>
      </c>
      <c r="B298" s="1" t="n">
        <v>45939.83730324074</v>
      </c>
      <c r="C298" s="1" t="n">
        <v>45982</v>
      </c>
      <c r="D298" t="inlineStr">
        <is>
          <t>GOTLANDS LÄN</t>
        </is>
      </c>
      <c r="E298" t="inlineStr">
        <is>
          <t>GOTLAND</t>
        </is>
      </c>
      <c r="F298" t="inlineStr">
        <is>
          <t>Kyrkan</t>
        </is>
      </c>
      <c r="G298" t="n">
        <v>3.1</v>
      </c>
      <c r="H298" t="n">
        <v>0</v>
      </c>
      <c r="I298" t="n">
        <v>0</v>
      </c>
      <c r="J298" t="n">
        <v>0</v>
      </c>
      <c r="K298" t="n">
        <v>0</v>
      </c>
      <c r="L298" t="n">
        <v>0</v>
      </c>
      <c r="M298" t="n">
        <v>0</v>
      </c>
      <c r="N298" t="n">
        <v>0</v>
      </c>
      <c r="O298" t="n">
        <v>0</v>
      </c>
      <c r="P298" t="n">
        <v>0</v>
      </c>
      <c r="Q298" t="n">
        <v>0</v>
      </c>
      <c r="R298" s="2" t="inlineStr"/>
    </row>
    <row r="299" ht="15" customHeight="1">
      <c r="A299" t="inlineStr">
        <is>
          <t>A 49730-2025</t>
        </is>
      </c>
      <c r="B299" s="1" t="n">
        <v>45939.87613425926</v>
      </c>
      <c r="C299" s="1" t="n">
        <v>45982</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27930-2021</t>
        </is>
      </c>
      <c r="B300" s="1" t="n">
        <v>44354</v>
      </c>
      <c r="C300" s="1" t="n">
        <v>45982</v>
      </c>
      <c r="D300" t="inlineStr">
        <is>
          <t>GOTLANDS LÄN</t>
        </is>
      </c>
      <c r="E300" t="inlineStr">
        <is>
          <t>GOTLAND</t>
        </is>
      </c>
      <c r="G300" t="n">
        <v>2.5</v>
      </c>
      <c r="H300" t="n">
        <v>0</v>
      </c>
      <c r="I300" t="n">
        <v>0</v>
      </c>
      <c r="J300" t="n">
        <v>0</v>
      </c>
      <c r="K300" t="n">
        <v>0</v>
      </c>
      <c r="L300" t="n">
        <v>0</v>
      </c>
      <c r="M300" t="n">
        <v>0</v>
      </c>
      <c r="N300" t="n">
        <v>0</v>
      </c>
      <c r="O300" t="n">
        <v>0</v>
      </c>
      <c r="P300" t="n">
        <v>0</v>
      </c>
      <c r="Q300" t="n">
        <v>0</v>
      </c>
      <c r="R300" s="2" t="inlineStr"/>
    </row>
    <row r="301" ht="15" customHeight="1">
      <c r="A301" t="inlineStr">
        <is>
          <t>A 59469-2024</t>
        </is>
      </c>
      <c r="B301" s="1" t="n">
        <v>45638</v>
      </c>
      <c r="C301" s="1" t="n">
        <v>45982</v>
      </c>
      <c r="D301" t="inlineStr">
        <is>
          <t>GOTLANDS LÄN</t>
        </is>
      </c>
      <c r="E301" t="inlineStr">
        <is>
          <t>GOTLAND</t>
        </is>
      </c>
      <c r="G301" t="n">
        <v>0.4</v>
      </c>
      <c r="H301" t="n">
        <v>0</v>
      </c>
      <c r="I301" t="n">
        <v>0</v>
      </c>
      <c r="J301" t="n">
        <v>0</v>
      </c>
      <c r="K301" t="n">
        <v>0</v>
      </c>
      <c r="L301" t="n">
        <v>0</v>
      </c>
      <c r="M301" t="n">
        <v>0</v>
      </c>
      <c r="N301" t="n">
        <v>0</v>
      </c>
      <c r="O301" t="n">
        <v>0</v>
      </c>
      <c r="P301" t="n">
        <v>0</v>
      </c>
      <c r="Q301" t="n">
        <v>0</v>
      </c>
      <c r="R301" s="2" t="inlineStr"/>
    </row>
    <row r="302" ht="15" customHeight="1">
      <c r="A302" t="inlineStr">
        <is>
          <t>A 25796-2025</t>
        </is>
      </c>
      <c r="B302" s="1" t="n">
        <v>45804.39543981481</v>
      </c>
      <c r="C302" s="1" t="n">
        <v>45982</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45982</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5751-2024</t>
        </is>
      </c>
      <c r="B304" s="1" t="n">
        <v>45335.32702546296</v>
      </c>
      <c r="C304" s="1" t="n">
        <v>45982</v>
      </c>
      <c r="D304" t="inlineStr">
        <is>
          <t>GOTLANDS LÄN</t>
        </is>
      </c>
      <c r="E304" t="inlineStr">
        <is>
          <t>GOTLAND</t>
        </is>
      </c>
      <c r="G304" t="n">
        <v>4.2</v>
      </c>
      <c r="H304" t="n">
        <v>0</v>
      </c>
      <c r="I304" t="n">
        <v>0</v>
      </c>
      <c r="J304" t="n">
        <v>0</v>
      </c>
      <c r="K304" t="n">
        <v>0</v>
      </c>
      <c r="L304" t="n">
        <v>0</v>
      </c>
      <c r="M304" t="n">
        <v>0</v>
      </c>
      <c r="N304" t="n">
        <v>0</v>
      </c>
      <c r="O304" t="n">
        <v>0</v>
      </c>
      <c r="P304" t="n">
        <v>0</v>
      </c>
      <c r="Q304" t="n">
        <v>0</v>
      </c>
      <c r="R304" s="2" t="inlineStr"/>
    </row>
    <row r="305" ht="15" customHeight="1">
      <c r="A305" t="inlineStr">
        <is>
          <t>A 6696-2023</t>
        </is>
      </c>
      <c r="B305" s="1" t="n">
        <v>44966.66425925926</v>
      </c>
      <c r="C305" s="1" t="n">
        <v>45982</v>
      </c>
      <c r="D305" t="inlineStr">
        <is>
          <t>GOTLANDS LÄN</t>
        </is>
      </c>
      <c r="E305" t="inlineStr">
        <is>
          <t>GOTLAND</t>
        </is>
      </c>
      <c r="G305" t="n">
        <v>1.5</v>
      </c>
      <c r="H305" t="n">
        <v>0</v>
      </c>
      <c r="I305" t="n">
        <v>0</v>
      </c>
      <c r="J305" t="n">
        <v>0</v>
      </c>
      <c r="K305" t="n">
        <v>0</v>
      </c>
      <c r="L305" t="n">
        <v>0</v>
      </c>
      <c r="M305" t="n">
        <v>0</v>
      </c>
      <c r="N305" t="n">
        <v>0</v>
      </c>
      <c r="O305" t="n">
        <v>0</v>
      </c>
      <c r="P305" t="n">
        <v>0</v>
      </c>
      <c r="Q305" t="n">
        <v>0</v>
      </c>
      <c r="R305" s="2" t="inlineStr"/>
    </row>
    <row r="306" ht="15" customHeight="1">
      <c r="A306" t="inlineStr">
        <is>
          <t>A 39278-2025</t>
        </is>
      </c>
      <c r="B306" s="1" t="n">
        <v>45889</v>
      </c>
      <c r="C306" s="1" t="n">
        <v>45982</v>
      </c>
      <c r="D306" t="inlineStr">
        <is>
          <t>GOTLANDS LÄN</t>
        </is>
      </c>
      <c r="E306" t="inlineStr">
        <is>
          <t>GOTLAND</t>
        </is>
      </c>
      <c r="G306" t="n">
        <v>3.7</v>
      </c>
      <c r="H306" t="n">
        <v>0</v>
      </c>
      <c r="I306" t="n">
        <v>0</v>
      </c>
      <c r="J306" t="n">
        <v>0</v>
      </c>
      <c r="K306" t="n">
        <v>0</v>
      </c>
      <c r="L306" t="n">
        <v>0</v>
      </c>
      <c r="M306" t="n">
        <v>0</v>
      </c>
      <c r="N306" t="n">
        <v>0</v>
      </c>
      <c r="O306" t="n">
        <v>0</v>
      </c>
      <c r="P306" t="n">
        <v>0</v>
      </c>
      <c r="Q306" t="n">
        <v>0</v>
      </c>
      <c r="R306" s="2" t="inlineStr"/>
    </row>
    <row r="307" ht="15" customHeight="1">
      <c r="A307" t="inlineStr">
        <is>
          <t>A 28480-2023</t>
        </is>
      </c>
      <c r="B307" s="1" t="n">
        <v>45103</v>
      </c>
      <c r="C307" s="1" t="n">
        <v>45982</v>
      </c>
      <c r="D307" t="inlineStr">
        <is>
          <t>GOTLANDS LÄN</t>
        </is>
      </c>
      <c r="E307" t="inlineStr">
        <is>
          <t>GOTLAND</t>
        </is>
      </c>
      <c r="G307" t="n">
        <v>5.7</v>
      </c>
      <c r="H307" t="n">
        <v>0</v>
      </c>
      <c r="I307" t="n">
        <v>0</v>
      </c>
      <c r="J307" t="n">
        <v>0</v>
      </c>
      <c r="K307" t="n">
        <v>0</v>
      </c>
      <c r="L307" t="n">
        <v>0</v>
      </c>
      <c r="M307" t="n">
        <v>0</v>
      </c>
      <c r="N307" t="n">
        <v>0</v>
      </c>
      <c r="O307" t="n">
        <v>0</v>
      </c>
      <c r="P307" t="n">
        <v>0</v>
      </c>
      <c r="Q307" t="n">
        <v>0</v>
      </c>
      <c r="R307" s="2" t="inlineStr"/>
    </row>
    <row r="308" ht="15" customHeight="1">
      <c r="A308" t="inlineStr">
        <is>
          <t>A 28485-2023</t>
        </is>
      </c>
      <c r="B308" s="1" t="n">
        <v>45103.43731481482</v>
      </c>
      <c r="C308" s="1" t="n">
        <v>45982</v>
      </c>
      <c r="D308" t="inlineStr">
        <is>
          <t>GOTLANDS LÄN</t>
        </is>
      </c>
      <c r="E308" t="inlineStr">
        <is>
          <t>GOTLAND</t>
        </is>
      </c>
      <c r="G308" t="n">
        <v>2.3</v>
      </c>
      <c r="H308" t="n">
        <v>0</v>
      </c>
      <c r="I308" t="n">
        <v>0</v>
      </c>
      <c r="J308" t="n">
        <v>0</v>
      </c>
      <c r="K308" t="n">
        <v>0</v>
      </c>
      <c r="L308" t="n">
        <v>0</v>
      </c>
      <c r="M308" t="n">
        <v>0</v>
      </c>
      <c r="N308" t="n">
        <v>0</v>
      </c>
      <c r="O308" t="n">
        <v>0</v>
      </c>
      <c r="P308" t="n">
        <v>0</v>
      </c>
      <c r="Q308" t="n">
        <v>0</v>
      </c>
      <c r="R308" s="2" t="inlineStr"/>
    </row>
    <row r="309" ht="15" customHeight="1">
      <c r="A309" t="inlineStr">
        <is>
          <t>A 4990-2025</t>
        </is>
      </c>
      <c r="B309" s="1" t="n">
        <v>45691</v>
      </c>
      <c r="C309" s="1" t="n">
        <v>45982</v>
      </c>
      <c r="D309" t="inlineStr">
        <is>
          <t>GOTLANDS LÄN</t>
        </is>
      </c>
      <c r="E309" t="inlineStr">
        <is>
          <t>GOTLAND</t>
        </is>
      </c>
      <c r="G309" t="n">
        <v>7.7</v>
      </c>
      <c r="H309" t="n">
        <v>0</v>
      </c>
      <c r="I309" t="n">
        <v>0</v>
      </c>
      <c r="J309" t="n">
        <v>0</v>
      </c>
      <c r="K309" t="n">
        <v>0</v>
      </c>
      <c r="L309" t="n">
        <v>0</v>
      </c>
      <c r="M309" t="n">
        <v>0</v>
      </c>
      <c r="N309" t="n">
        <v>0</v>
      </c>
      <c r="O309" t="n">
        <v>0</v>
      </c>
      <c r="P309" t="n">
        <v>0</v>
      </c>
      <c r="Q309" t="n">
        <v>0</v>
      </c>
      <c r="R309" s="2" t="inlineStr"/>
    </row>
    <row r="310" ht="15" customHeight="1">
      <c r="A310" t="inlineStr">
        <is>
          <t>A 26465-2025</t>
        </is>
      </c>
      <c r="B310" s="1" t="n">
        <v>45807.44377314814</v>
      </c>
      <c r="C310" s="1" t="n">
        <v>45982</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26457-2025</t>
        </is>
      </c>
      <c r="B311" s="1" t="n">
        <v>45807.42773148148</v>
      </c>
      <c r="C311" s="1" t="n">
        <v>45982</v>
      </c>
      <c r="D311" t="inlineStr">
        <is>
          <t>GOTLANDS LÄN</t>
        </is>
      </c>
      <c r="E311" t="inlineStr">
        <is>
          <t>GOTLAND</t>
        </is>
      </c>
      <c r="G311" t="n">
        <v>5.7</v>
      </c>
      <c r="H311" t="n">
        <v>0</v>
      </c>
      <c r="I311" t="n">
        <v>0</v>
      </c>
      <c r="J311" t="n">
        <v>0</v>
      </c>
      <c r="K311" t="n">
        <v>0</v>
      </c>
      <c r="L311" t="n">
        <v>0</v>
      </c>
      <c r="M311" t="n">
        <v>0</v>
      </c>
      <c r="N311" t="n">
        <v>0</v>
      </c>
      <c r="O311" t="n">
        <v>0</v>
      </c>
      <c r="P311" t="n">
        <v>0</v>
      </c>
      <c r="Q311" t="n">
        <v>0</v>
      </c>
      <c r="R311" s="2" t="inlineStr"/>
    </row>
    <row r="312" ht="15" customHeight="1">
      <c r="A312" t="inlineStr">
        <is>
          <t>A 26467-2025</t>
        </is>
      </c>
      <c r="B312" s="1" t="n">
        <v>45807.44640046296</v>
      </c>
      <c r="C312" s="1" t="n">
        <v>45982</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41435-2025</t>
        </is>
      </c>
      <c r="B313" s="1" t="n">
        <v>45901.39974537037</v>
      </c>
      <c r="C313" s="1" t="n">
        <v>45982</v>
      </c>
      <c r="D313" t="inlineStr">
        <is>
          <t>GOTLANDS LÄN</t>
        </is>
      </c>
      <c r="E313" t="inlineStr">
        <is>
          <t>GOTLAND</t>
        </is>
      </c>
      <c r="G313" t="n">
        <v>4.9</v>
      </c>
      <c r="H313" t="n">
        <v>0</v>
      </c>
      <c r="I313" t="n">
        <v>0</v>
      </c>
      <c r="J313" t="n">
        <v>0</v>
      </c>
      <c r="K313" t="n">
        <v>0</v>
      </c>
      <c r="L313" t="n">
        <v>0</v>
      </c>
      <c r="M313" t="n">
        <v>0</v>
      </c>
      <c r="N313" t="n">
        <v>0</v>
      </c>
      <c r="O313" t="n">
        <v>0</v>
      </c>
      <c r="P313" t="n">
        <v>0</v>
      </c>
      <c r="Q313" t="n">
        <v>0</v>
      </c>
      <c r="R313" s="2" t="inlineStr"/>
    </row>
    <row r="314" ht="15" customHeight="1">
      <c r="A314" t="inlineStr">
        <is>
          <t>A 38165-2023</t>
        </is>
      </c>
      <c r="B314" s="1" t="n">
        <v>45161</v>
      </c>
      <c r="C314" s="1" t="n">
        <v>45982</v>
      </c>
      <c r="D314" t="inlineStr">
        <is>
          <t>GOTLANDS LÄN</t>
        </is>
      </c>
      <c r="E314" t="inlineStr">
        <is>
          <t>GOTLAND</t>
        </is>
      </c>
      <c r="G314" t="n">
        <v>2.6</v>
      </c>
      <c r="H314" t="n">
        <v>0</v>
      </c>
      <c r="I314" t="n">
        <v>0</v>
      </c>
      <c r="J314" t="n">
        <v>0</v>
      </c>
      <c r="K314" t="n">
        <v>0</v>
      </c>
      <c r="L314" t="n">
        <v>0</v>
      </c>
      <c r="M314" t="n">
        <v>0</v>
      </c>
      <c r="N314" t="n">
        <v>0</v>
      </c>
      <c r="O314" t="n">
        <v>0</v>
      </c>
      <c r="P314" t="n">
        <v>0</v>
      </c>
      <c r="Q314" t="n">
        <v>0</v>
      </c>
      <c r="R314" s="2" t="inlineStr"/>
    </row>
    <row r="315" ht="15" customHeight="1">
      <c r="A315" t="inlineStr">
        <is>
          <t>A 50421-2025</t>
        </is>
      </c>
      <c r="B315" s="1" t="n">
        <v>45944.66049768519</v>
      </c>
      <c r="C315" s="1" t="n">
        <v>45982</v>
      </c>
      <c r="D315" t="inlineStr">
        <is>
          <t>GOTLANDS LÄN</t>
        </is>
      </c>
      <c r="E315" t="inlineStr">
        <is>
          <t>GOTLAND</t>
        </is>
      </c>
      <c r="G315" t="n">
        <v>3.9</v>
      </c>
      <c r="H315" t="n">
        <v>0</v>
      </c>
      <c r="I315" t="n">
        <v>0</v>
      </c>
      <c r="J315" t="n">
        <v>0</v>
      </c>
      <c r="K315" t="n">
        <v>0</v>
      </c>
      <c r="L315" t="n">
        <v>0</v>
      </c>
      <c r="M315" t="n">
        <v>0</v>
      </c>
      <c r="N315" t="n">
        <v>0</v>
      </c>
      <c r="O315" t="n">
        <v>0</v>
      </c>
      <c r="P315" t="n">
        <v>0</v>
      </c>
      <c r="Q315" t="n">
        <v>0</v>
      </c>
      <c r="R315" s="2" t="inlineStr"/>
    </row>
    <row r="316" ht="15" customHeight="1">
      <c r="A316" t="inlineStr">
        <is>
          <t>A 26660-2025</t>
        </is>
      </c>
      <c r="B316" s="1" t="n">
        <v>45810.39737268518</v>
      </c>
      <c r="C316" s="1" t="n">
        <v>45982</v>
      </c>
      <c r="D316" t="inlineStr">
        <is>
          <t>GOTLANDS LÄN</t>
        </is>
      </c>
      <c r="E316" t="inlineStr">
        <is>
          <t>GOTLAND</t>
        </is>
      </c>
      <c r="G316" t="n">
        <v>1.8</v>
      </c>
      <c r="H316" t="n">
        <v>0</v>
      </c>
      <c r="I316" t="n">
        <v>0</v>
      </c>
      <c r="J316" t="n">
        <v>0</v>
      </c>
      <c r="K316" t="n">
        <v>0</v>
      </c>
      <c r="L316" t="n">
        <v>0</v>
      </c>
      <c r="M316" t="n">
        <v>0</v>
      </c>
      <c r="N316" t="n">
        <v>0</v>
      </c>
      <c r="O316" t="n">
        <v>0</v>
      </c>
      <c r="P316" t="n">
        <v>0</v>
      </c>
      <c r="Q316" t="n">
        <v>0</v>
      </c>
      <c r="R316" s="2" t="inlineStr"/>
    </row>
    <row r="317" ht="15" customHeight="1">
      <c r="A317" t="inlineStr">
        <is>
          <t>A 50431-2025</t>
        </is>
      </c>
      <c r="B317" s="1" t="n">
        <v>45944.68453703704</v>
      </c>
      <c r="C317" s="1" t="n">
        <v>45982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27355-2025</t>
        </is>
      </c>
      <c r="B318" s="1" t="n">
        <v>45812</v>
      </c>
      <c r="C318" s="1" t="n">
        <v>45982</v>
      </c>
      <c r="D318" t="inlineStr">
        <is>
          <t>GOTLANDS LÄN</t>
        </is>
      </c>
      <c r="E318" t="inlineStr">
        <is>
          <t>GOTLAND</t>
        </is>
      </c>
      <c r="G318" t="n">
        <v>1.1</v>
      </c>
      <c r="H318" t="n">
        <v>0</v>
      </c>
      <c r="I318" t="n">
        <v>0</v>
      </c>
      <c r="J318" t="n">
        <v>0</v>
      </c>
      <c r="K318" t="n">
        <v>0</v>
      </c>
      <c r="L318" t="n">
        <v>0</v>
      </c>
      <c r="M318" t="n">
        <v>0</v>
      </c>
      <c r="N318" t="n">
        <v>0</v>
      </c>
      <c r="O318" t="n">
        <v>0</v>
      </c>
      <c r="P318" t="n">
        <v>0</v>
      </c>
      <c r="Q318" t="n">
        <v>0</v>
      </c>
      <c r="R318" s="2" t="inlineStr"/>
    </row>
    <row r="319" ht="15" customHeight="1">
      <c r="A319" t="inlineStr">
        <is>
          <t>A 27371-2025</t>
        </is>
      </c>
      <c r="B319" s="1" t="n">
        <v>45812</v>
      </c>
      <c r="C319" s="1" t="n">
        <v>45982</v>
      </c>
      <c r="D319" t="inlineStr">
        <is>
          <t>GOTLANDS LÄN</t>
        </is>
      </c>
      <c r="E319" t="inlineStr">
        <is>
          <t>GOTLAND</t>
        </is>
      </c>
      <c r="G319" t="n">
        <v>8</v>
      </c>
      <c r="H319" t="n">
        <v>0</v>
      </c>
      <c r="I319" t="n">
        <v>0</v>
      </c>
      <c r="J319" t="n">
        <v>0</v>
      </c>
      <c r="K319" t="n">
        <v>0</v>
      </c>
      <c r="L319" t="n">
        <v>0</v>
      </c>
      <c r="M319" t="n">
        <v>0</v>
      </c>
      <c r="N319" t="n">
        <v>0</v>
      </c>
      <c r="O319" t="n">
        <v>0</v>
      </c>
      <c r="P319" t="n">
        <v>0</v>
      </c>
      <c r="Q319" t="n">
        <v>0</v>
      </c>
      <c r="R319" s="2" t="inlineStr"/>
    </row>
    <row r="320" ht="15" customHeight="1">
      <c r="A320" t="inlineStr">
        <is>
          <t>A 49693-2023</t>
        </is>
      </c>
      <c r="B320" s="1" t="n">
        <v>45212.38138888889</v>
      </c>
      <c r="C320" s="1" t="n">
        <v>45982</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49697-2023</t>
        </is>
      </c>
      <c r="B321" s="1" t="n">
        <v>45212.38909722222</v>
      </c>
      <c r="C321" s="1" t="n">
        <v>45982</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34312-2024</t>
        </is>
      </c>
      <c r="B322" s="1" t="n">
        <v>45524.69703703704</v>
      </c>
      <c r="C322" s="1" t="n">
        <v>45982</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7850-2025</t>
        </is>
      </c>
      <c r="B323" s="1" t="n">
        <v>45706</v>
      </c>
      <c r="C323" s="1" t="n">
        <v>45982</v>
      </c>
      <c r="D323" t="inlineStr">
        <is>
          <t>GOTLANDS LÄN</t>
        </is>
      </c>
      <c r="E323" t="inlineStr">
        <is>
          <t>GOTLAND</t>
        </is>
      </c>
      <c r="G323" t="n">
        <v>0.5</v>
      </c>
      <c r="H323" t="n">
        <v>0</v>
      </c>
      <c r="I323" t="n">
        <v>0</v>
      </c>
      <c r="J323" t="n">
        <v>0</v>
      </c>
      <c r="K323" t="n">
        <v>0</v>
      </c>
      <c r="L323" t="n">
        <v>0</v>
      </c>
      <c r="M323" t="n">
        <v>0</v>
      </c>
      <c r="N323" t="n">
        <v>0</v>
      </c>
      <c r="O323" t="n">
        <v>0</v>
      </c>
      <c r="P323" t="n">
        <v>0</v>
      </c>
      <c r="Q323" t="n">
        <v>0</v>
      </c>
      <c r="R323" s="2" t="inlineStr"/>
    </row>
    <row r="324" ht="15" customHeight="1">
      <c r="A324" t="inlineStr">
        <is>
          <t>A 50928-2025</t>
        </is>
      </c>
      <c r="B324" s="1" t="n">
        <v>45946.67896990741</v>
      </c>
      <c r="C324" s="1" t="n">
        <v>45982</v>
      </c>
      <c r="D324" t="inlineStr">
        <is>
          <t>GOTLANDS LÄN</t>
        </is>
      </c>
      <c r="E324" t="inlineStr">
        <is>
          <t>GOTLAND</t>
        </is>
      </c>
      <c r="G324" t="n">
        <v>1.3</v>
      </c>
      <c r="H324" t="n">
        <v>0</v>
      </c>
      <c r="I324" t="n">
        <v>0</v>
      </c>
      <c r="J324" t="n">
        <v>0</v>
      </c>
      <c r="K324" t="n">
        <v>0</v>
      </c>
      <c r="L324" t="n">
        <v>0</v>
      </c>
      <c r="M324" t="n">
        <v>0</v>
      </c>
      <c r="N324" t="n">
        <v>0</v>
      </c>
      <c r="O324" t="n">
        <v>0</v>
      </c>
      <c r="P324" t="n">
        <v>0</v>
      </c>
      <c r="Q324" t="n">
        <v>0</v>
      </c>
      <c r="R324" s="2" t="inlineStr"/>
    </row>
    <row r="325" ht="15" customHeight="1">
      <c r="A325" t="inlineStr">
        <is>
          <t>A 6739-2025</t>
        </is>
      </c>
      <c r="B325" s="1" t="n">
        <v>45700</v>
      </c>
      <c r="C325" s="1" t="n">
        <v>45982</v>
      </c>
      <c r="D325" t="inlineStr">
        <is>
          <t>GOTLANDS LÄN</t>
        </is>
      </c>
      <c r="E325" t="inlineStr">
        <is>
          <t>GOTLAND</t>
        </is>
      </c>
      <c r="G325" t="n">
        <v>4.5</v>
      </c>
      <c r="H325" t="n">
        <v>0</v>
      </c>
      <c r="I325" t="n">
        <v>0</v>
      </c>
      <c r="J325" t="n">
        <v>0</v>
      </c>
      <c r="K325" t="n">
        <v>0</v>
      </c>
      <c r="L325" t="n">
        <v>0</v>
      </c>
      <c r="M325" t="n">
        <v>0</v>
      </c>
      <c r="N325" t="n">
        <v>0</v>
      </c>
      <c r="O325" t="n">
        <v>0</v>
      </c>
      <c r="P325" t="n">
        <v>0</v>
      </c>
      <c r="Q325" t="n">
        <v>0</v>
      </c>
      <c r="R325" s="2" t="inlineStr"/>
    </row>
    <row r="326" ht="15" customHeight="1">
      <c r="A326" t="inlineStr">
        <is>
          <t>A 48503-2023</t>
        </is>
      </c>
      <c r="B326" s="1" t="n">
        <v>45207</v>
      </c>
      <c r="C326" s="1" t="n">
        <v>45982</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42608-2025</t>
        </is>
      </c>
      <c r="B327" s="1" t="n">
        <v>45905</v>
      </c>
      <c r="C327" s="1" t="n">
        <v>45982</v>
      </c>
      <c r="D327" t="inlineStr">
        <is>
          <t>GOTLANDS LÄN</t>
        </is>
      </c>
      <c r="E327" t="inlineStr">
        <is>
          <t>GOTLAND</t>
        </is>
      </c>
      <c r="G327" t="n">
        <v>1.3</v>
      </c>
      <c r="H327" t="n">
        <v>0</v>
      </c>
      <c r="I327" t="n">
        <v>0</v>
      </c>
      <c r="J327" t="n">
        <v>0</v>
      </c>
      <c r="K327" t="n">
        <v>0</v>
      </c>
      <c r="L327" t="n">
        <v>0</v>
      </c>
      <c r="M327" t="n">
        <v>0</v>
      </c>
      <c r="N327" t="n">
        <v>0</v>
      </c>
      <c r="O327" t="n">
        <v>0</v>
      </c>
      <c r="P327" t="n">
        <v>0</v>
      </c>
      <c r="Q327" t="n">
        <v>0</v>
      </c>
      <c r="R327" s="2" t="inlineStr"/>
    </row>
    <row r="328" ht="15" customHeight="1">
      <c r="A328" t="inlineStr">
        <is>
          <t>A 8444-2025</t>
        </is>
      </c>
      <c r="B328" s="1" t="n">
        <v>45709</v>
      </c>
      <c r="C328" s="1" t="n">
        <v>45982</v>
      </c>
      <c r="D328" t="inlineStr">
        <is>
          <t>GOTLANDS LÄN</t>
        </is>
      </c>
      <c r="E328" t="inlineStr">
        <is>
          <t>GOTLAND</t>
        </is>
      </c>
      <c r="G328" t="n">
        <v>5.2</v>
      </c>
      <c r="H328" t="n">
        <v>0</v>
      </c>
      <c r="I328" t="n">
        <v>0</v>
      </c>
      <c r="J328" t="n">
        <v>0</v>
      </c>
      <c r="K328" t="n">
        <v>0</v>
      </c>
      <c r="L328" t="n">
        <v>0</v>
      </c>
      <c r="M328" t="n">
        <v>0</v>
      </c>
      <c r="N328" t="n">
        <v>0</v>
      </c>
      <c r="O328" t="n">
        <v>0</v>
      </c>
      <c r="P328" t="n">
        <v>0</v>
      </c>
      <c r="Q328" t="n">
        <v>0</v>
      </c>
      <c r="R328" s="2" t="inlineStr"/>
    </row>
    <row r="329" ht="15" customHeight="1">
      <c r="A329" t="inlineStr">
        <is>
          <t>A 19905-2025</t>
        </is>
      </c>
      <c r="B329" s="1" t="n">
        <v>45771</v>
      </c>
      <c r="C329" s="1" t="n">
        <v>45982</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24825-2024</t>
        </is>
      </c>
      <c r="B330" s="1" t="n">
        <v>45461</v>
      </c>
      <c r="C330" s="1" t="n">
        <v>45982</v>
      </c>
      <c r="D330" t="inlineStr">
        <is>
          <t>GOTLANDS LÄN</t>
        </is>
      </c>
      <c r="E330" t="inlineStr">
        <is>
          <t>GOTLAND</t>
        </is>
      </c>
      <c r="G330" t="n">
        <v>1.3</v>
      </c>
      <c r="H330" t="n">
        <v>0</v>
      </c>
      <c r="I330" t="n">
        <v>0</v>
      </c>
      <c r="J330" t="n">
        <v>0</v>
      </c>
      <c r="K330" t="n">
        <v>0</v>
      </c>
      <c r="L330" t="n">
        <v>0</v>
      </c>
      <c r="M330" t="n">
        <v>0</v>
      </c>
      <c r="N330" t="n">
        <v>0</v>
      </c>
      <c r="O330" t="n">
        <v>0</v>
      </c>
      <c r="P330" t="n">
        <v>0</v>
      </c>
      <c r="Q330" t="n">
        <v>0</v>
      </c>
      <c r="R330" s="2" t="inlineStr"/>
    </row>
    <row r="331" ht="15" customHeight="1">
      <c r="A331" t="inlineStr">
        <is>
          <t>A 16373-2025</t>
        </is>
      </c>
      <c r="B331" s="1" t="n">
        <v>45751</v>
      </c>
      <c r="C331" s="1" t="n">
        <v>45982</v>
      </c>
      <c r="D331" t="inlineStr">
        <is>
          <t>GOTLANDS LÄN</t>
        </is>
      </c>
      <c r="E331" t="inlineStr">
        <is>
          <t>GOTLAND</t>
        </is>
      </c>
      <c r="G331" t="n">
        <v>1.5</v>
      </c>
      <c r="H331" t="n">
        <v>0</v>
      </c>
      <c r="I331" t="n">
        <v>0</v>
      </c>
      <c r="J331" t="n">
        <v>0</v>
      </c>
      <c r="K331" t="n">
        <v>0</v>
      </c>
      <c r="L331" t="n">
        <v>0</v>
      </c>
      <c r="M331" t="n">
        <v>0</v>
      </c>
      <c r="N331" t="n">
        <v>0</v>
      </c>
      <c r="O331" t="n">
        <v>0</v>
      </c>
      <c r="P331" t="n">
        <v>0</v>
      </c>
      <c r="Q331" t="n">
        <v>0</v>
      </c>
      <c r="R331" s="2" t="inlineStr"/>
    </row>
    <row r="332" ht="15" customHeight="1">
      <c r="A332" t="inlineStr">
        <is>
          <t>A 51262-2025</t>
        </is>
      </c>
      <c r="B332" s="1" t="n">
        <v>45949.49872685185</v>
      </c>
      <c r="C332" s="1" t="n">
        <v>45982</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22031-2024</t>
        </is>
      </c>
      <c r="B333" s="1" t="n">
        <v>45443.60075231481</v>
      </c>
      <c r="C333" s="1" t="n">
        <v>45982</v>
      </c>
      <c r="D333" t="inlineStr">
        <is>
          <t>GOTLANDS LÄN</t>
        </is>
      </c>
      <c r="E333" t="inlineStr">
        <is>
          <t>GOTLAND</t>
        </is>
      </c>
      <c r="G333" t="n">
        <v>2.3</v>
      </c>
      <c r="H333" t="n">
        <v>0</v>
      </c>
      <c r="I333" t="n">
        <v>0</v>
      </c>
      <c r="J333" t="n">
        <v>0</v>
      </c>
      <c r="K333" t="n">
        <v>0</v>
      </c>
      <c r="L333" t="n">
        <v>0</v>
      </c>
      <c r="M333" t="n">
        <v>0</v>
      </c>
      <c r="N333" t="n">
        <v>0</v>
      </c>
      <c r="O333" t="n">
        <v>0</v>
      </c>
      <c r="P333" t="n">
        <v>0</v>
      </c>
      <c r="Q333" t="n">
        <v>0</v>
      </c>
      <c r="R333" s="2" t="inlineStr"/>
    </row>
    <row r="334" ht="15" customHeight="1">
      <c r="A334" t="inlineStr">
        <is>
          <t>A 17688-2024</t>
        </is>
      </c>
      <c r="B334" s="1" t="n">
        <v>45418.43575231481</v>
      </c>
      <c r="C334" s="1" t="n">
        <v>45982</v>
      </c>
      <c r="D334" t="inlineStr">
        <is>
          <t>GOTLANDS LÄN</t>
        </is>
      </c>
      <c r="E334" t="inlineStr">
        <is>
          <t>GOTLAND</t>
        </is>
      </c>
      <c r="G334" t="n">
        <v>1.2</v>
      </c>
      <c r="H334" t="n">
        <v>0</v>
      </c>
      <c r="I334" t="n">
        <v>0</v>
      </c>
      <c r="J334" t="n">
        <v>0</v>
      </c>
      <c r="K334" t="n">
        <v>0</v>
      </c>
      <c r="L334" t="n">
        <v>0</v>
      </c>
      <c r="M334" t="n">
        <v>0</v>
      </c>
      <c r="N334" t="n">
        <v>0</v>
      </c>
      <c r="O334" t="n">
        <v>0</v>
      </c>
      <c r="P334" t="n">
        <v>0</v>
      </c>
      <c r="Q334" t="n">
        <v>0</v>
      </c>
      <c r="R334" s="2" t="inlineStr"/>
    </row>
    <row r="335" ht="15" customHeight="1">
      <c r="A335" t="inlineStr">
        <is>
          <t>A 29207-2025</t>
        </is>
      </c>
      <c r="B335" s="1" t="n">
        <v>45823</v>
      </c>
      <c r="C335" s="1" t="n">
        <v>45982</v>
      </c>
      <c r="D335" t="inlineStr">
        <is>
          <t>GOTLANDS LÄN</t>
        </is>
      </c>
      <c r="E335" t="inlineStr">
        <is>
          <t>GOTLAND</t>
        </is>
      </c>
      <c r="G335" t="n">
        <v>1.9</v>
      </c>
      <c r="H335" t="n">
        <v>0</v>
      </c>
      <c r="I335" t="n">
        <v>0</v>
      </c>
      <c r="J335" t="n">
        <v>0</v>
      </c>
      <c r="K335" t="n">
        <v>0</v>
      </c>
      <c r="L335" t="n">
        <v>0</v>
      </c>
      <c r="M335" t="n">
        <v>0</v>
      </c>
      <c r="N335" t="n">
        <v>0</v>
      </c>
      <c r="O335" t="n">
        <v>0</v>
      </c>
      <c r="P335" t="n">
        <v>0</v>
      </c>
      <c r="Q335" t="n">
        <v>0</v>
      </c>
      <c r="R335" s="2" t="inlineStr"/>
    </row>
    <row r="336" ht="15" customHeight="1">
      <c r="A336" t="inlineStr">
        <is>
          <t>A 29196-2025</t>
        </is>
      </c>
      <c r="B336" s="1" t="n">
        <v>45822</v>
      </c>
      <c r="C336" s="1" t="n">
        <v>45982</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27694-2024</t>
        </is>
      </c>
      <c r="B337" s="1" t="n">
        <v>45475</v>
      </c>
      <c r="C337" s="1" t="n">
        <v>45982</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39764-2022</t>
        </is>
      </c>
      <c r="B338" s="1" t="n">
        <v>44819</v>
      </c>
      <c r="C338" s="1" t="n">
        <v>45982</v>
      </c>
      <c r="D338" t="inlineStr">
        <is>
          <t>GOTLANDS LÄN</t>
        </is>
      </c>
      <c r="E338" t="inlineStr">
        <is>
          <t>GOTLAND</t>
        </is>
      </c>
      <c r="F338" t="inlineStr">
        <is>
          <t>Kyrkan</t>
        </is>
      </c>
      <c r="G338" t="n">
        <v>3.7</v>
      </c>
      <c r="H338" t="n">
        <v>0</v>
      </c>
      <c r="I338" t="n">
        <v>0</v>
      </c>
      <c r="J338" t="n">
        <v>0</v>
      </c>
      <c r="K338" t="n">
        <v>0</v>
      </c>
      <c r="L338" t="n">
        <v>0</v>
      </c>
      <c r="M338" t="n">
        <v>0</v>
      </c>
      <c r="N338" t="n">
        <v>0</v>
      </c>
      <c r="O338" t="n">
        <v>0</v>
      </c>
      <c r="P338" t="n">
        <v>0</v>
      </c>
      <c r="Q338" t="n">
        <v>0</v>
      </c>
      <c r="R338" s="2" t="inlineStr"/>
    </row>
    <row r="339" ht="15" customHeight="1">
      <c r="A339" t="inlineStr">
        <is>
          <t>A 6099-2024</t>
        </is>
      </c>
      <c r="B339" s="1" t="n">
        <v>45337</v>
      </c>
      <c r="C339" s="1" t="n">
        <v>45982</v>
      </c>
      <c r="D339" t="inlineStr">
        <is>
          <t>GOTLANDS LÄN</t>
        </is>
      </c>
      <c r="E339" t="inlineStr">
        <is>
          <t>GOTLAND</t>
        </is>
      </c>
      <c r="G339" t="n">
        <v>12.6</v>
      </c>
      <c r="H339" t="n">
        <v>0</v>
      </c>
      <c r="I339" t="n">
        <v>0</v>
      </c>
      <c r="J339" t="n">
        <v>0</v>
      </c>
      <c r="K339" t="n">
        <v>0</v>
      </c>
      <c r="L339" t="n">
        <v>0</v>
      </c>
      <c r="M339" t="n">
        <v>0</v>
      </c>
      <c r="N339" t="n">
        <v>0</v>
      </c>
      <c r="O339" t="n">
        <v>0</v>
      </c>
      <c r="P339" t="n">
        <v>0</v>
      </c>
      <c r="Q339" t="n">
        <v>0</v>
      </c>
      <c r="R339" s="2" t="inlineStr"/>
    </row>
    <row r="340" ht="15" customHeight="1">
      <c r="A340" t="inlineStr">
        <is>
          <t>A 8260-2023</t>
        </is>
      </c>
      <c r="B340" s="1" t="n">
        <v>44974.61608796296</v>
      </c>
      <c r="C340" s="1" t="n">
        <v>45982</v>
      </c>
      <c r="D340" t="inlineStr">
        <is>
          <t>GOTLANDS LÄN</t>
        </is>
      </c>
      <c r="E340" t="inlineStr">
        <is>
          <t>GOTLAND</t>
        </is>
      </c>
      <c r="G340" t="n">
        <v>2.9</v>
      </c>
      <c r="H340" t="n">
        <v>0</v>
      </c>
      <c r="I340" t="n">
        <v>0</v>
      </c>
      <c r="J340" t="n">
        <v>0</v>
      </c>
      <c r="K340" t="n">
        <v>0</v>
      </c>
      <c r="L340" t="n">
        <v>0</v>
      </c>
      <c r="M340" t="n">
        <v>0</v>
      </c>
      <c r="N340" t="n">
        <v>0</v>
      </c>
      <c r="O340" t="n">
        <v>0</v>
      </c>
      <c r="P340" t="n">
        <v>0</v>
      </c>
      <c r="Q340" t="n">
        <v>0</v>
      </c>
      <c r="R340" s="2" t="inlineStr"/>
    </row>
    <row r="341" ht="15" customHeight="1">
      <c r="A341" t="inlineStr">
        <is>
          <t>A 30061-2025</t>
        </is>
      </c>
      <c r="B341" s="1" t="n">
        <v>45826.61488425926</v>
      </c>
      <c r="C341" s="1" t="n">
        <v>45982</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22287-2022</t>
        </is>
      </c>
      <c r="B342" s="1" t="n">
        <v>44712</v>
      </c>
      <c r="C342" s="1" t="n">
        <v>45982</v>
      </c>
      <c r="D342" t="inlineStr">
        <is>
          <t>GOTLANDS LÄN</t>
        </is>
      </c>
      <c r="E342" t="inlineStr">
        <is>
          <t>GOTLAND</t>
        </is>
      </c>
      <c r="G342" t="n">
        <v>6.1</v>
      </c>
      <c r="H342" t="n">
        <v>0</v>
      </c>
      <c r="I342" t="n">
        <v>0</v>
      </c>
      <c r="J342" t="n">
        <v>0</v>
      </c>
      <c r="K342" t="n">
        <v>0</v>
      </c>
      <c r="L342" t="n">
        <v>0</v>
      </c>
      <c r="M342" t="n">
        <v>0</v>
      </c>
      <c r="N342" t="n">
        <v>0</v>
      </c>
      <c r="O342" t="n">
        <v>0</v>
      </c>
      <c r="P342" t="n">
        <v>0</v>
      </c>
      <c r="Q342" t="n">
        <v>0</v>
      </c>
      <c r="R342" s="2" t="inlineStr"/>
    </row>
    <row r="343" ht="15" customHeight="1">
      <c r="A343" t="inlineStr">
        <is>
          <t>A 57534-2022</t>
        </is>
      </c>
      <c r="B343" s="1" t="n">
        <v>44896</v>
      </c>
      <c r="C343" s="1" t="n">
        <v>45982</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10158-2025</t>
        </is>
      </c>
      <c r="B344" s="1" t="n">
        <v>45719</v>
      </c>
      <c r="C344" s="1" t="n">
        <v>45982</v>
      </c>
      <c r="D344" t="inlineStr">
        <is>
          <t>GOTLANDS LÄN</t>
        </is>
      </c>
      <c r="E344" t="inlineStr">
        <is>
          <t>GOTLAND</t>
        </is>
      </c>
      <c r="G344" t="n">
        <v>3.5</v>
      </c>
      <c r="H344" t="n">
        <v>0</v>
      </c>
      <c r="I344" t="n">
        <v>0</v>
      </c>
      <c r="J344" t="n">
        <v>0</v>
      </c>
      <c r="K344" t="n">
        <v>0</v>
      </c>
      <c r="L344" t="n">
        <v>0</v>
      </c>
      <c r="M344" t="n">
        <v>0</v>
      </c>
      <c r="N344" t="n">
        <v>0</v>
      </c>
      <c r="O344" t="n">
        <v>0</v>
      </c>
      <c r="P344" t="n">
        <v>0</v>
      </c>
      <c r="Q344" t="n">
        <v>0</v>
      </c>
      <c r="R344" s="2" t="inlineStr"/>
    </row>
    <row r="345" ht="15" customHeight="1">
      <c r="A345" t="inlineStr">
        <is>
          <t>A 52249-2025</t>
        </is>
      </c>
      <c r="B345" s="1" t="n">
        <v>45953.48637731482</v>
      </c>
      <c r="C345" s="1" t="n">
        <v>45982</v>
      </c>
      <c r="D345" t="inlineStr">
        <is>
          <t>GOTLANDS LÄN</t>
        </is>
      </c>
      <c r="E345" t="inlineStr">
        <is>
          <t>GOTLAND</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58160-2024</t>
        </is>
      </c>
      <c r="B346" s="1" t="n">
        <v>45632.44927083333</v>
      </c>
      <c r="C346" s="1" t="n">
        <v>45982</v>
      </c>
      <c r="D346" t="inlineStr">
        <is>
          <t>GOTLANDS LÄN</t>
        </is>
      </c>
      <c r="E346" t="inlineStr">
        <is>
          <t>GOTLAND</t>
        </is>
      </c>
      <c r="G346" t="n">
        <v>5.6</v>
      </c>
      <c r="H346" t="n">
        <v>0</v>
      </c>
      <c r="I346" t="n">
        <v>0</v>
      </c>
      <c r="J346" t="n">
        <v>0</v>
      </c>
      <c r="K346" t="n">
        <v>0</v>
      </c>
      <c r="L346" t="n">
        <v>0</v>
      </c>
      <c r="M346" t="n">
        <v>0</v>
      </c>
      <c r="N346" t="n">
        <v>0</v>
      </c>
      <c r="O346" t="n">
        <v>0</v>
      </c>
      <c r="P346" t="n">
        <v>0</v>
      </c>
      <c r="Q346" t="n">
        <v>0</v>
      </c>
      <c r="R346" s="2" t="inlineStr"/>
    </row>
    <row r="347" ht="15" customHeight="1">
      <c r="A347" t="inlineStr">
        <is>
          <t>A 43911-2025</t>
        </is>
      </c>
      <c r="B347" s="1" t="n">
        <v>45914.3881712963</v>
      </c>
      <c r="C347" s="1" t="n">
        <v>45982</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64660-2023</t>
        </is>
      </c>
      <c r="B348" s="1" t="n">
        <v>45281.60122685185</v>
      </c>
      <c r="C348" s="1" t="n">
        <v>45982</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43951-2025</t>
        </is>
      </c>
      <c r="B349" s="1" t="n">
        <v>45915.38119212963</v>
      </c>
      <c r="C349" s="1" t="n">
        <v>45982</v>
      </c>
      <c r="D349" t="inlineStr">
        <is>
          <t>GOTLANDS LÄN</t>
        </is>
      </c>
      <c r="E349" t="inlineStr">
        <is>
          <t>GOTLAND</t>
        </is>
      </c>
      <c r="G349" t="n">
        <v>4.4</v>
      </c>
      <c r="H349" t="n">
        <v>0</v>
      </c>
      <c r="I349" t="n">
        <v>0</v>
      </c>
      <c r="J349" t="n">
        <v>0</v>
      </c>
      <c r="K349" t="n">
        <v>0</v>
      </c>
      <c r="L349" t="n">
        <v>0</v>
      </c>
      <c r="M349" t="n">
        <v>0</v>
      </c>
      <c r="N349" t="n">
        <v>0</v>
      </c>
      <c r="O349" t="n">
        <v>0</v>
      </c>
      <c r="P349" t="n">
        <v>0</v>
      </c>
      <c r="Q349" t="n">
        <v>0</v>
      </c>
      <c r="R349" s="2" t="inlineStr"/>
    </row>
    <row r="350" ht="15" customHeight="1">
      <c r="A350" t="inlineStr">
        <is>
          <t>A 52637-2025</t>
        </is>
      </c>
      <c r="B350" s="1" t="n">
        <v>45954.75099537037</v>
      </c>
      <c r="C350" s="1" t="n">
        <v>45982</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16109-2025</t>
        </is>
      </c>
      <c r="B351" s="1" t="n">
        <v>45750</v>
      </c>
      <c r="C351" s="1" t="n">
        <v>45982</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32467-2025</t>
        </is>
      </c>
      <c r="B352" s="1" t="n">
        <v>45838.42111111111</v>
      </c>
      <c r="C352" s="1" t="n">
        <v>45982</v>
      </c>
      <c r="D352" t="inlineStr">
        <is>
          <t>GOTLANDS LÄN</t>
        </is>
      </c>
      <c r="E352" t="inlineStr">
        <is>
          <t>GOTLAND</t>
        </is>
      </c>
      <c r="G352" t="n">
        <v>4.3</v>
      </c>
      <c r="H352" t="n">
        <v>0</v>
      </c>
      <c r="I352" t="n">
        <v>0</v>
      </c>
      <c r="J352" t="n">
        <v>0</v>
      </c>
      <c r="K352" t="n">
        <v>0</v>
      </c>
      <c r="L352" t="n">
        <v>0</v>
      </c>
      <c r="M352" t="n">
        <v>0</v>
      </c>
      <c r="N352" t="n">
        <v>0</v>
      </c>
      <c r="O352" t="n">
        <v>0</v>
      </c>
      <c r="P352" t="n">
        <v>0</v>
      </c>
      <c r="Q352" t="n">
        <v>0</v>
      </c>
      <c r="R352" s="2" t="inlineStr"/>
    </row>
    <row r="353" ht="15" customHeight="1">
      <c r="A353" t="inlineStr">
        <is>
          <t>A 44410-2025</t>
        </is>
      </c>
      <c r="B353" s="1" t="n">
        <v>45916.53699074074</v>
      </c>
      <c r="C353" s="1" t="n">
        <v>45982</v>
      </c>
      <c r="D353" t="inlineStr">
        <is>
          <t>GOTLANDS LÄN</t>
        </is>
      </c>
      <c r="E353" t="inlineStr">
        <is>
          <t>GOTLAND</t>
        </is>
      </c>
      <c r="G353" t="n">
        <v>2.3</v>
      </c>
      <c r="H353" t="n">
        <v>0</v>
      </c>
      <c r="I353" t="n">
        <v>0</v>
      </c>
      <c r="J353" t="n">
        <v>0</v>
      </c>
      <c r="K353" t="n">
        <v>0</v>
      </c>
      <c r="L353" t="n">
        <v>0</v>
      </c>
      <c r="M353" t="n">
        <v>0</v>
      </c>
      <c r="N353" t="n">
        <v>0</v>
      </c>
      <c r="O353" t="n">
        <v>0</v>
      </c>
      <c r="P353" t="n">
        <v>0</v>
      </c>
      <c r="Q353" t="n">
        <v>0</v>
      </c>
      <c r="R353" s="2" t="inlineStr"/>
    </row>
    <row r="354" ht="15" customHeight="1">
      <c r="A354" t="inlineStr">
        <is>
          <t>A 20855-2023</t>
        </is>
      </c>
      <c r="B354" s="1" t="n">
        <v>45058.82172453704</v>
      </c>
      <c r="C354" s="1" t="n">
        <v>45982</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45982</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44405-2025</t>
        </is>
      </c>
      <c r="B356" s="1" t="n">
        <v>45916.52405092592</v>
      </c>
      <c r="C356" s="1" t="n">
        <v>45982</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60709-2023</t>
        </is>
      </c>
      <c r="B357" s="1" t="n">
        <v>45260</v>
      </c>
      <c r="C357" s="1" t="n">
        <v>45982</v>
      </c>
      <c r="D357" t="inlineStr">
        <is>
          <t>GOTLANDS LÄN</t>
        </is>
      </c>
      <c r="E357" t="inlineStr">
        <is>
          <t>GOTLAND</t>
        </is>
      </c>
      <c r="G357" t="n">
        <v>1.7</v>
      </c>
      <c r="H357" t="n">
        <v>0</v>
      </c>
      <c r="I357" t="n">
        <v>0</v>
      </c>
      <c r="J357" t="n">
        <v>0</v>
      </c>
      <c r="K357" t="n">
        <v>0</v>
      </c>
      <c r="L357" t="n">
        <v>0</v>
      </c>
      <c r="M357" t="n">
        <v>0</v>
      </c>
      <c r="N357" t="n">
        <v>0</v>
      </c>
      <c r="O357" t="n">
        <v>0</v>
      </c>
      <c r="P357" t="n">
        <v>0</v>
      </c>
      <c r="Q357" t="n">
        <v>0</v>
      </c>
      <c r="R357" s="2" t="inlineStr"/>
    </row>
    <row r="358" ht="15" customHeight="1">
      <c r="A358" t="inlineStr">
        <is>
          <t>A 33007-2025</t>
        </is>
      </c>
      <c r="B358" s="1" t="n">
        <v>45840</v>
      </c>
      <c r="C358" s="1" t="n">
        <v>45982</v>
      </c>
      <c r="D358" t="inlineStr">
        <is>
          <t>GOTLANDS LÄN</t>
        </is>
      </c>
      <c r="E358" t="inlineStr">
        <is>
          <t>GOTLAND</t>
        </is>
      </c>
      <c r="G358" t="n">
        <v>4.9</v>
      </c>
      <c r="H358" t="n">
        <v>0</v>
      </c>
      <c r="I358" t="n">
        <v>0</v>
      </c>
      <c r="J358" t="n">
        <v>0</v>
      </c>
      <c r="K358" t="n">
        <v>0</v>
      </c>
      <c r="L358" t="n">
        <v>0</v>
      </c>
      <c r="M358" t="n">
        <v>0</v>
      </c>
      <c r="N358" t="n">
        <v>0</v>
      </c>
      <c r="O358" t="n">
        <v>0</v>
      </c>
      <c r="P358" t="n">
        <v>0</v>
      </c>
      <c r="Q358" t="n">
        <v>0</v>
      </c>
      <c r="R358" s="2" t="inlineStr"/>
    </row>
    <row r="359" ht="15" customHeight="1">
      <c r="A359" t="inlineStr">
        <is>
          <t>A 1000-2024</t>
        </is>
      </c>
      <c r="B359" s="1" t="n">
        <v>45301.63371527778</v>
      </c>
      <c r="C359" s="1" t="n">
        <v>45982</v>
      </c>
      <c r="D359" t="inlineStr">
        <is>
          <t>GOTLANDS LÄN</t>
        </is>
      </c>
      <c r="E359" t="inlineStr">
        <is>
          <t>GOTLAND</t>
        </is>
      </c>
      <c r="G359" t="n">
        <v>1</v>
      </c>
      <c r="H359" t="n">
        <v>0</v>
      </c>
      <c r="I359" t="n">
        <v>0</v>
      </c>
      <c r="J359" t="n">
        <v>0</v>
      </c>
      <c r="K359" t="n">
        <v>0</v>
      </c>
      <c r="L359" t="n">
        <v>0</v>
      </c>
      <c r="M359" t="n">
        <v>0</v>
      </c>
      <c r="N359" t="n">
        <v>0</v>
      </c>
      <c r="O359" t="n">
        <v>0</v>
      </c>
      <c r="P359" t="n">
        <v>0</v>
      </c>
      <c r="Q359" t="n">
        <v>0</v>
      </c>
      <c r="R359" s="2" t="inlineStr"/>
    </row>
    <row r="360" ht="15" customHeight="1">
      <c r="A360" t="inlineStr">
        <is>
          <t>A 1010-2024</t>
        </is>
      </c>
      <c r="B360" s="1" t="n">
        <v>45301</v>
      </c>
      <c r="C360" s="1" t="n">
        <v>45982</v>
      </c>
      <c r="D360" t="inlineStr">
        <is>
          <t>GOTLANDS LÄN</t>
        </is>
      </c>
      <c r="E360" t="inlineStr">
        <is>
          <t>GOTLAND</t>
        </is>
      </c>
      <c r="G360" t="n">
        <v>2.4</v>
      </c>
      <c r="H360" t="n">
        <v>0</v>
      </c>
      <c r="I360" t="n">
        <v>0</v>
      </c>
      <c r="J360" t="n">
        <v>0</v>
      </c>
      <c r="K360" t="n">
        <v>0</v>
      </c>
      <c r="L360" t="n">
        <v>0</v>
      </c>
      <c r="M360" t="n">
        <v>0</v>
      </c>
      <c r="N360" t="n">
        <v>0</v>
      </c>
      <c r="O360" t="n">
        <v>0</v>
      </c>
      <c r="P360" t="n">
        <v>0</v>
      </c>
      <c r="Q360" t="n">
        <v>0</v>
      </c>
      <c r="R360" s="2" t="inlineStr"/>
    </row>
    <row r="361" ht="15" customHeight="1">
      <c r="A361" t="inlineStr">
        <is>
          <t>A 65249-2023</t>
        </is>
      </c>
      <c r="B361" s="1" t="n">
        <v>45290</v>
      </c>
      <c r="C361" s="1" t="n">
        <v>45982</v>
      </c>
      <c r="D361" t="inlineStr">
        <is>
          <t>GOTLANDS LÄN</t>
        </is>
      </c>
      <c r="E361" t="inlineStr">
        <is>
          <t>GOTLAND</t>
        </is>
      </c>
      <c r="G361" t="n">
        <v>2.4</v>
      </c>
      <c r="H361" t="n">
        <v>0</v>
      </c>
      <c r="I361" t="n">
        <v>0</v>
      </c>
      <c r="J361" t="n">
        <v>0</v>
      </c>
      <c r="K361" t="n">
        <v>0</v>
      </c>
      <c r="L361" t="n">
        <v>0</v>
      </c>
      <c r="M361" t="n">
        <v>0</v>
      </c>
      <c r="N361" t="n">
        <v>0</v>
      </c>
      <c r="O361" t="n">
        <v>0</v>
      </c>
      <c r="P361" t="n">
        <v>0</v>
      </c>
      <c r="Q361" t="n">
        <v>0</v>
      </c>
      <c r="R361" s="2" t="inlineStr"/>
    </row>
    <row r="362" ht="15" customHeight="1">
      <c r="A362" t="inlineStr">
        <is>
          <t>A 53587-2025</t>
        </is>
      </c>
      <c r="B362" s="1" t="n">
        <v>45960.43681712963</v>
      </c>
      <c r="C362" s="1" t="n">
        <v>45982</v>
      </c>
      <c r="D362" t="inlineStr">
        <is>
          <t>GOTLANDS LÄN</t>
        </is>
      </c>
      <c r="E362" t="inlineStr">
        <is>
          <t>GOTLAND</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30956-2024</t>
        </is>
      </c>
      <c r="B363" s="1" t="n">
        <v>45499.42527777778</v>
      </c>
      <c r="C363" s="1" t="n">
        <v>45982</v>
      </c>
      <c r="D363" t="inlineStr">
        <is>
          <t>GOTLANDS LÄN</t>
        </is>
      </c>
      <c r="E363" t="inlineStr">
        <is>
          <t>GOTLAND</t>
        </is>
      </c>
      <c r="G363" t="n">
        <v>1.2</v>
      </c>
      <c r="H363" t="n">
        <v>0</v>
      </c>
      <c r="I363" t="n">
        <v>0</v>
      </c>
      <c r="J363" t="n">
        <v>0</v>
      </c>
      <c r="K363" t="n">
        <v>0</v>
      </c>
      <c r="L363" t="n">
        <v>0</v>
      </c>
      <c r="M363" t="n">
        <v>0</v>
      </c>
      <c r="N363" t="n">
        <v>0</v>
      </c>
      <c r="O363" t="n">
        <v>0</v>
      </c>
      <c r="P363" t="n">
        <v>0</v>
      </c>
      <c r="Q363" t="n">
        <v>0</v>
      </c>
      <c r="R363" s="2" t="inlineStr"/>
    </row>
    <row r="364" ht="15" customHeight="1">
      <c r="A364" t="inlineStr">
        <is>
          <t>A 12596-2023</t>
        </is>
      </c>
      <c r="B364" s="1" t="n">
        <v>45000.43310185185</v>
      </c>
      <c r="C364" s="1" t="n">
        <v>45982</v>
      </c>
      <c r="D364" t="inlineStr">
        <is>
          <t>GOTLANDS LÄN</t>
        </is>
      </c>
      <c r="E364" t="inlineStr">
        <is>
          <t>GOTLAND</t>
        </is>
      </c>
      <c r="G364" t="n">
        <v>4.1</v>
      </c>
      <c r="H364" t="n">
        <v>0</v>
      </c>
      <c r="I364" t="n">
        <v>0</v>
      </c>
      <c r="J364" t="n">
        <v>0</v>
      </c>
      <c r="K364" t="n">
        <v>0</v>
      </c>
      <c r="L364" t="n">
        <v>0</v>
      </c>
      <c r="M364" t="n">
        <v>0</v>
      </c>
      <c r="N364" t="n">
        <v>0</v>
      </c>
      <c r="O364" t="n">
        <v>0</v>
      </c>
      <c r="P364" t="n">
        <v>0</v>
      </c>
      <c r="Q364" t="n">
        <v>0</v>
      </c>
      <c r="R364" s="2" t="inlineStr"/>
    </row>
    <row r="365" ht="15" customHeight="1">
      <c r="A365" t="inlineStr">
        <is>
          <t>A 8045-2022</t>
        </is>
      </c>
      <c r="B365" s="1" t="n">
        <v>44609</v>
      </c>
      <c r="C365" s="1" t="n">
        <v>45982</v>
      </c>
      <c r="D365" t="inlineStr">
        <is>
          <t>GOTLANDS LÄN</t>
        </is>
      </c>
      <c r="E365" t="inlineStr">
        <is>
          <t>GOTLAND</t>
        </is>
      </c>
      <c r="G365" t="n">
        <v>7</v>
      </c>
      <c r="H365" t="n">
        <v>0</v>
      </c>
      <c r="I365" t="n">
        <v>0</v>
      </c>
      <c r="J365" t="n">
        <v>0</v>
      </c>
      <c r="K365" t="n">
        <v>0</v>
      </c>
      <c r="L365" t="n">
        <v>0</v>
      </c>
      <c r="M365" t="n">
        <v>0</v>
      </c>
      <c r="N365" t="n">
        <v>0</v>
      </c>
      <c r="O365" t="n">
        <v>0</v>
      </c>
      <c r="P365" t="n">
        <v>0</v>
      </c>
      <c r="Q365" t="n">
        <v>0</v>
      </c>
      <c r="R365" s="2" t="inlineStr"/>
    </row>
    <row r="366" ht="15" customHeight="1">
      <c r="A366" t="inlineStr">
        <is>
          <t>A 53561-2025</t>
        </is>
      </c>
      <c r="B366" s="1" t="n">
        <v>45960.4059375</v>
      </c>
      <c r="C366" s="1" t="n">
        <v>45982</v>
      </c>
      <c r="D366" t="inlineStr">
        <is>
          <t>GOTLANDS LÄN</t>
        </is>
      </c>
      <c r="E366" t="inlineStr">
        <is>
          <t>GOTLAND</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53569-2025</t>
        </is>
      </c>
      <c r="B367" s="1" t="n">
        <v>45960.41155092593</v>
      </c>
      <c r="C367" s="1" t="n">
        <v>45982</v>
      </c>
      <c r="D367" t="inlineStr">
        <is>
          <t>GOTLANDS LÄN</t>
        </is>
      </c>
      <c r="E367" t="inlineStr">
        <is>
          <t>GOTLAND</t>
        </is>
      </c>
      <c r="F367" t="inlineStr">
        <is>
          <t>Övriga Aktiebolag</t>
        </is>
      </c>
      <c r="G367" t="n">
        <v>11.3</v>
      </c>
      <c r="H367" t="n">
        <v>0</v>
      </c>
      <c r="I367" t="n">
        <v>0</v>
      </c>
      <c r="J367" t="n">
        <v>0</v>
      </c>
      <c r="K367" t="n">
        <v>0</v>
      </c>
      <c r="L367" t="n">
        <v>0</v>
      </c>
      <c r="M367" t="n">
        <v>0</v>
      </c>
      <c r="N367" t="n">
        <v>0</v>
      </c>
      <c r="O367" t="n">
        <v>0</v>
      </c>
      <c r="P367" t="n">
        <v>0</v>
      </c>
      <c r="Q367" t="n">
        <v>0</v>
      </c>
      <c r="R367" s="2" t="inlineStr"/>
    </row>
    <row r="368" ht="15" customHeight="1">
      <c r="A368" t="inlineStr">
        <is>
          <t>A 53577-2025</t>
        </is>
      </c>
      <c r="B368" s="1" t="n">
        <v>45960.42224537037</v>
      </c>
      <c r="C368" s="1" t="n">
        <v>45982</v>
      </c>
      <c r="D368" t="inlineStr">
        <is>
          <t>GOTLANDS LÄN</t>
        </is>
      </c>
      <c r="E368" t="inlineStr">
        <is>
          <t>GOTLAND</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15413-2025</t>
        </is>
      </c>
      <c r="B369" s="1" t="n">
        <v>45747.451875</v>
      </c>
      <c r="C369" s="1" t="n">
        <v>45982</v>
      </c>
      <c r="D369" t="inlineStr">
        <is>
          <t>GOTLANDS LÄN</t>
        </is>
      </c>
      <c r="E369" t="inlineStr">
        <is>
          <t>GOTLAND</t>
        </is>
      </c>
      <c r="G369" t="n">
        <v>0.6</v>
      </c>
      <c r="H369" t="n">
        <v>0</v>
      </c>
      <c r="I369" t="n">
        <v>0</v>
      </c>
      <c r="J369" t="n">
        <v>0</v>
      </c>
      <c r="K369" t="n">
        <v>0</v>
      </c>
      <c r="L369" t="n">
        <v>0</v>
      </c>
      <c r="M369" t="n">
        <v>0</v>
      </c>
      <c r="N369" t="n">
        <v>0</v>
      </c>
      <c r="O369" t="n">
        <v>0</v>
      </c>
      <c r="P369" t="n">
        <v>0</v>
      </c>
      <c r="Q369" t="n">
        <v>0</v>
      </c>
      <c r="R369" s="2" t="inlineStr"/>
    </row>
    <row r="370" ht="15" customHeight="1">
      <c r="A370" t="inlineStr">
        <is>
          <t>A 999-2024</t>
        </is>
      </c>
      <c r="B370" s="1" t="n">
        <v>45301</v>
      </c>
      <c r="C370" s="1" t="n">
        <v>45982</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65901-2021</t>
        </is>
      </c>
      <c r="B371" s="1" t="n">
        <v>44516</v>
      </c>
      <c r="C371" s="1" t="n">
        <v>45982</v>
      </c>
      <c r="D371" t="inlineStr">
        <is>
          <t>GOTLANDS LÄN</t>
        </is>
      </c>
      <c r="E371" t="inlineStr">
        <is>
          <t>GOTLAND</t>
        </is>
      </c>
      <c r="G371" t="n">
        <v>4.9</v>
      </c>
      <c r="H371" t="n">
        <v>0</v>
      </c>
      <c r="I371" t="n">
        <v>0</v>
      </c>
      <c r="J371" t="n">
        <v>0</v>
      </c>
      <c r="K371" t="n">
        <v>0</v>
      </c>
      <c r="L371" t="n">
        <v>0</v>
      </c>
      <c r="M371" t="n">
        <v>0</v>
      </c>
      <c r="N371" t="n">
        <v>0</v>
      </c>
      <c r="O371" t="n">
        <v>0</v>
      </c>
      <c r="P371" t="n">
        <v>0</v>
      </c>
      <c r="Q371" t="n">
        <v>0</v>
      </c>
      <c r="R371" s="2" t="inlineStr"/>
    </row>
    <row r="372" ht="15" customHeight="1">
      <c r="A372" t="inlineStr">
        <is>
          <t>A 35096-2025</t>
        </is>
      </c>
      <c r="B372" s="1" t="n">
        <v>45852.54356481481</v>
      </c>
      <c r="C372" s="1" t="n">
        <v>45982</v>
      </c>
      <c r="D372" t="inlineStr">
        <is>
          <t>GOTLANDS LÄN</t>
        </is>
      </c>
      <c r="E372" t="inlineStr">
        <is>
          <t>GOTLAND</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47762-2023</t>
        </is>
      </c>
      <c r="B373" s="1" t="n">
        <v>45203.86256944444</v>
      </c>
      <c r="C373" s="1" t="n">
        <v>45982</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45982</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54584-2025</t>
        </is>
      </c>
      <c r="B375" s="1" t="n">
        <v>45965.71788194445</v>
      </c>
      <c r="C375" s="1" t="n">
        <v>45982</v>
      </c>
      <c r="D375" t="inlineStr">
        <is>
          <t>GOTLANDS LÄN</t>
        </is>
      </c>
      <c r="E375" t="inlineStr">
        <is>
          <t>GOTLAND</t>
        </is>
      </c>
      <c r="G375" t="n">
        <v>3.5</v>
      </c>
      <c r="H375" t="n">
        <v>0</v>
      </c>
      <c r="I375" t="n">
        <v>0</v>
      </c>
      <c r="J375" t="n">
        <v>0</v>
      </c>
      <c r="K375" t="n">
        <v>0</v>
      </c>
      <c r="L375" t="n">
        <v>0</v>
      </c>
      <c r="M375" t="n">
        <v>0</v>
      </c>
      <c r="N375" t="n">
        <v>0</v>
      </c>
      <c r="O375" t="n">
        <v>0</v>
      </c>
      <c r="P375" t="n">
        <v>0</v>
      </c>
      <c r="Q375" t="n">
        <v>0</v>
      </c>
      <c r="R375" s="2" t="inlineStr"/>
    </row>
    <row r="376" ht="15" customHeight="1">
      <c r="A376" t="inlineStr">
        <is>
          <t>A 40294-2022</t>
        </is>
      </c>
      <c r="B376" s="1" t="n">
        <v>44821</v>
      </c>
      <c r="C376" s="1" t="n">
        <v>45982</v>
      </c>
      <c r="D376" t="inlineStr">
        <is>
          <t>GOTLANDS LÄN</t>
        </is>
      </c>
      <c r="E376" t="inlineStr">
        <is>
          <t>GOTLAND</t>
        </is>
      </c>
      <c r="G376" t="n">
        <v>1.6</v>
      </c>
      <c r="H376" t="n">
        <v>0</v>
      </c>
      <c r="I376" t="n">
        <v>0</v>
      </c>
      <c r="J376" t="n">
        <v>0</v>
      </c>
      <c r="K376" t="n">
        <v>0</v>
      </c>
      <c r="L376" t="n">
        <v>0</v>
      </c>
      <c r="M376" t="n">
        <v>0</v>
      </c>
      <c r="N376" t="n">
        <v>0</v>
      </c>
      <c r="O376" t="n">
        <v>0</v>
      </c>
      <c r="P376" t="n">
        <v>0</v>
      </c>
      <c r="Q376" t="n">
        <v>0</v>
      </c>
      <c r="R376" s="2" t="inlineStr"/>
    </row>
    <row r="377" ht="15" customHeight="1">
      <c r="A377" t="inlineStr">
        <is>
          <t>A 27602-2023</t>
        </is>
      </c>
      <c r="B377" s="1" t="n">
        <v>45097</v>
      </c>
      <c r="C377" s="1" t="n">
        <v>45982</v>
      </c>
      <c r="D377" t="inlineStr">
        <is>
          <t>GOTLANDS LÄN</t>
        </is>
      </c>
      <c r="E377" t="inlineStr">
        <is>
          <t>GOTLAND</t>
        </is>
      </c>
      <c r="G377" t="n">
        <v>2.7</v>
      </c>
      <c r="H377" t="n">
        <v>0</v>
      </c>
      <c r="I377" t="n">
        <v>0</v>
      </c>
      <c r="J377" t="n">
        <v>0</v>
      </c>
      <c r="K377" t="n">
        <v>0</v>
      </c>
      <c r="L377" t="n">
        <v>0</v>
      </c>
      <c r="M377" t="n">
        <v>0</v>
      </c>
      <c r="N377" t="n">
        <v>0</v>
      </c>
      <c r="O377" t="n">
        <v>0</v>
      </c>
      <c r="P377" t="n">
        <v>0</v>
      </c>
      <c r="Q377" t="n">
        <v>0</v>
      </c>
      <c r="R377" s="2" t="inlineStr"/>
    </row>
    <row r="378" ht="15" customHeight="1">
      <c r="A378" t="inlineStr">
        <is>
          <t>A 58780-2024</t>
        </is>
      </c>
      <c r="B378" s="1" t="n">
        <v>45635.84113425926</v>
      </c>
      <c r="C378" s="1" t="n">
        <v>45982</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12322-2025</t>
        </is>
      </c>
      <c r="B379" s="1" t="n">
        <v>45730</v>
      </c>
      <c r="C379" s="1" t="n">
        <v>45982</v>
      </c>
      <c r="D379" t="inlineStr">
        <is>
          <t>GOTLANDS LÄN</t>
        </is>
      </c>
      <c r="E379" t="inlineStr">
        <is>
          <t>GOTLAND</t>
        </is>
      </c>
      <c r="G379" t="n">
        <v>1.4</v>
      </c>
      <c r="H379" t="n">
        <v>0</v>
      </c>
      <c r="I379" t="n">
        <v>0</v>
      </c>
      <c r="J379" t="n">
        <v>0</v>
      </c>
      <c r="K379" t="n">
        <v>0</v>
      </c>
      <c r="L379" t="n">
        <v>0</v>
      </c>
      <c r="M379" t="n">
        <v>0</v>
      </c>
      <c r="N379" t="n">
        <v>0</v>
      </c>
      <c r="O379" t="n">
        <v>0</v>
      </c>
      <c r="P379" t="n">
        <v>0</v>
      </c>
      <c r="Q379" t="n">
        <v>0</v>
      </c>
      <c r="R379" s="2" t="inlineStr"/>
    </row>
    <row r="380" ht="15" customHeight="1">
      <c r="A380" t="inlineStr">
        <is>
          <t>A 35290-2025</t>
        </is>
      </c>
      <c r="B380" s="1" t="n">
        <v>45854.38502314815</v>
      </c>
      <c r="C380" s="1" t="n">
        <v>45982</v>
      </c>
      <c r="D380" t="inlineStr">
        <is>
          <t>GOTLANDS LÄN</t>
        </is>
      </c>
      <c r="E380" t="inlineStr">
        <is>
          <t>GOTLAND</t>
        </is>
      </c>
      <c r="G380" t="n">
        <v>5.4</v>
      </c>
      <c r="H380" t="n">
        <v>0</v>
      </c>
      <c r="I380" t="n">
        <v>0</v>
      </c>
      <c r="J380" t="n">
        <v>0</v>
      </c>
      <c r="K380" t="n">
        <v>0</v>
      </c>
      <c r="L380" t="n">
        <v>0</v>
      </c>
      <c r="M380" t="n">
        <v>0</v>
      </c>
      <c r="N380" t="n">
        <v>0</v>
      </c>
      <c r="O380" t="n">
        <v>0</v>
      </c>
      <c r="P380" t="n">
        <v>0</v>
      </c>
      <c r="Q380" t="n">
        <v>0</v>
      </c>
      <c r="R380" s="2" t="inlineStr"/>
    </row>
    <row r="381" ht="15" customHeight="1">
      <c r="A381" t="inlineStr">
        <is>
          <t>A 24192-2023</t>
        </is>
      </c>
      <c r="B381" s="1" t="n">
        <v>45079</v>
      </c>
      <c r="C381" s="1" t="n">
        <v>45982</v>
      </c>
      <c r="D381" t="inlineStr">
        <is>
          <t>GOTLANDS LÄN</t>
        </is>
      </c>
      <c r="E381" t="inlineStr">
        <is>
          <t>GOTLAND</t>
        </is>
      </c>
      <c r="G381" t="n">
        <v>2.1</v>
      </c>
      <c r="H381" t="n">
        <v>0</v>
      </c>
      <c r="I381" t="n">
        <v>0</v>
      </c>
      <c r="J381" t="n">
        <v>0</v>
      </c>
      <c r="K381" t="n">
        <v>0</v>
      </c>
      <c r="L381" t="n">
        <v>0</v>
      </c>
      <c r="M381" t="n">
        <v>0</v>
      </c>
      <c r="N381" t="n">
        <v>0</v>
      </c>
      <c r="O381" t="n">
        <v>0</v>
      </c>
      <c r="P381" t="n">
        <v>0</v>
      </c>
      <c r="Q381" t="n">
        <v>0</v>
      </c>
      <c r="R381" s="2" t="inlineStr"/>
    </row>
    <row r="382" ht="15" customHeight="1">
      <c r="A382" t="inlineStr">
        <is>
          <t>A 30282-2022</t>
        </is>
      </c>
      <c r="B382" s="1" t="n">
        <v>44760</v>
      </c>
      <c r="C382" s="1" t="n">
        <v>45982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30104-2025</t>
        </is>
      </c>
      <c r="B383" s="1" t="n">
        <v>45826.68806712963</v>
      </c>
      <c r="C383" s="1" t="n">
        <v>45982</v>
      </c>
      <c r="D383" t="inlineStr">
        <is>
          <t>GOTLANDS LÄN</t>
        </is>
      </c>
      <c r="E383" t="inlineStr">
        <is>
          <t>GOTLAND</t>
        </is>
      </c>
      <c r="G383" t="n">
        <v>15.4</v>
      </c>
      <c r="H383" t="n">
        <v>0</v>
      </c>
      <c r="I383" t="n">
        <v>0</v>
      </c>
      <c r="J383" t="n">
        <v>0</v>
      </c>
      <c r="K383" t="n">
        <v>0</v>
      </c>
      <c r="L383" t="n">
        <v>0</v>
      </c>
      <c r="M383" t="n">
        <v>0</v>
      </c>
      <c r="N383" t="n">
        <v>0</v>
      </c>
      <c r="O383" t="n">
        <v>0</v>
      </c>
      <c r="P383" t="n">
        <v>0</v>
      </c>
      <c r="Q383" t="n">
        <v>0</v>
      </c>
      <c r="R383" s="2" t="inlineStr"/>
    </row>
    <row r="384" ht="15" customHeight="1">
      <c r="A384" t="inlineStr">
        <is>
          <t>A 32669-2024</t>
        </is>
      </c>
      <c r="B384" s="1" t="n">
        <v>45514</v>
      </c>
      <c r="C384" s="1" t="n">
        <v>45982</v>
      </c>
      <c r="D384" t="inlineStr">
        <is>
          <t>GOTLANDS LÄN</t>
        </is>
      </c>
      <c r="E384" t="inlineStr">
        <is>
          <t>GOTLAND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45982</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10650-2022</t>
        </is>
      </c>
      <c r="B386" s="1" t="n">
        <v>44624.57945601852</v>
      </c>
      <c r="C386" s="1" t="n">
        <v>45982</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35537-2025</t>
        </is>
      </c>
      <c r="B387" s="1" t="n">
        <v>45856</v>
      </c>
      <c r="C387" s="1" t="n">
        <v>45982</v>
      </c>
      <c r="D387" t="inlineStr">
        <is>
          <t>GOTLANDS LÄN</t>
        </is>
      </c>
      <c r="E387" t="inlineStr">
        <is>
          <t>GOTLAND</t>
        </is>
      </c>
      <c r="G387" t="n">
        <v>16.8</v>
      </c>
      <c r="H387" t="n">
        <v>0</v>
      </c>
      <c r="I387" t="n">
        <v>0</v>
      </c>
      <c r="J387" t="n">
        <v>0</v>
      </c>
      <c r="K387" t="n">
        <v>0</v>
      </c>
      <c r="L387" t="n">
        <v>0</v>
      </c>
      <c r="M387" t="n">
        <v>0</v>
      </c>
      <c r="N387" t="n">
        <v>0</v>
      </c>
      <c r="O387" t="n">
        <v>0</v>
      </c>
      <c r="P387" t="n">
        <v>0</v>
      </c>
      <c r="Q387" t="n">
        <v>0</v>
      </c>
      <c r="R387" s="2" t="inlineStr"/>
    </row>
    <row r="388" ht="15" customHeight="1">
      <c r="A388" t="inlineStr">
        <is>
          <t>A 26810-2021</t>
        </is>
      </c>
      <c r="B388" s="1" t="n">
        <v>44349.55087962963</v>
      </c>
      <c r="C388" s="1" t="n">
        <v>45982</v>
      </c>
      <c r="D388" t="inlineStr">
        <is>
          <t>GOTLANDS LÄN</t>
        </is>
      </c>
      <c r="E388" t="inlineStr">
        <is>
          <t>GOTLAND</t>
        </is>
      </c>
      <c r="G388" t="n">
        <v>3.5</v>
      </c>
      <c r="H388" t="n">
        <v>0</v>
      </c>
      <c r="I388" t="n">
        <v>0</v>
      </c>
      <c r="J388" t="n">
        <v>0</v>
      </c>
      <c r="K388" t="n">
        <v>0</v>
      </c>
      <c r="L388" t="n">
        <v>0</v>
      </c>
      <c r="M388" t="n">
        <v>0</v>
      </c>
      <c r="N388" t="n">
        <v>0</v>
      </c>
      <c r="O388" t="n">
        <v>0</v>
      </c>
      <c r="P388" t="n">
        <v>0</v>
      </c>
      <c r="Q388" t="n">
        <v>0</v>
      </c>
      <c r="R388" s="2" t="inlineStr"/>
    </row>
    <row r="389" ht="15" customHeight="1">
      <c r="A389" t="inlineStr">
        <is>
          <t>A 30488-2025</t>
        </is>
      </c>
      <c r="B389" s="1" t="n">
        <v>45830</v>
      </c>
      <c r="C389" s="1" t="n">
        <v>45982</v>
      </c>
      <c r="D389" t="inlineStr">
        <is>
          <t>GOTLANDS LÄN</t>
        </is>
      </c>
      <c r="E389" t="inlineStr">
        <is>
          <t>GOTLAND</t>
        </is>
      </c>
      <c r="F389" t="inlineStr">
        <is>
          <t>Kyrkan</t>
        </is>
      </c>
      <c r="G389" t="n">
        <v>3.9</v>
      </c>
      <c r="H389" t="n">
        <v>0</v>
      </c>
      <c r="I389" t="n">
        <v>0</v>
      </c>
      <c r="J389" t="n">
        <v>0</v>
      </c>
      <c r="K389" t="n">
        <v>0</v>
      </c>
      <c r="L389" t="n">
        <v>0</v>
      </c>
      <c r="M389" t="n">
        <v>0</v>
      </c>
      <c r="N389" t="n">
        <v>0</v>
      </c>
      <c r="O389" t="n">
        <v>0</v>
      </c>
      <c r="P389" t="n">
        <v>0</v>
      </c>
      <c r="Q389" t="n">
        <v>0</v>
      </c>
      <c r="R389" s="2" t="inlineStr"/>
    </row>
    <row r="390" ht="15" customHeight="1">
      <c r="A390" t="inlineStr">
        <is>
          <t>A 15216-2025</t>
        </is>
      </c>
      <c r="B390" s="1" t="n">
        <v>45744</v>
      </c>
      <c r="C390" s="1" t="n">
        <v>45982</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28425-2023</t>
        </is>
      </c>
      <c r="B391" s="1" t="n">
        <v>45102</v>
      </c>
      <c r="C391" s="1" t="n">
        <v>45982</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15001-2025</t>
        </is>
      </c>
      <c r="B392" s="1" t="n">
        <v>45743</v>
      </c>
      <c r="C392" s="1" t="n">
        <v>45982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43790-2024</t>
        </is>
      </c>
      <c r="B393" s="1" t="n">
        <v>45571</v>
      </c>
      <c r="C393" s="1" t="n">
        <v>45982</v>
      </c>
      <c r="D393" t="inlineStr">
        <is>
          <t>GOTLANDS LÄN</t>
        </is>
      </c>
      <c r="E393" t="inlineStr">
        <is>
          <t>GOTLAND</t>
        </is>
      </c>
      <c r="G393" t="n">
        <v>3.5</v>
      </c>
      <c r="H393" t="n">
        <v>0</v>
      </c>
      <c r="I393" t="n">
        <v>0</v>
      </c>
      <c r="J393" t="n">
        <v>0</v>
      </c>
      <c r="K393" t="n">
        <v>0</v>
      </c>
      <c r="L393" t="n">
        <v>0</v>
      </c>
      <c r="M393" t="n">
        <v>0</v>
      </c>
      <c r="N393" t="n">
        <v>0</v>
      </c>
      <c r="O393" t="n">
        <v>0</v>
      </c>
      <c r="P393" t="n">
        <v>0</v>
      </c>
      <c r="Q393" t="n">
        <v>0</v>
      </c>
      <c r="R393" s="2" t="inlineStr"/>
    </row>
    <row r="394" ht="15" customHeight="1">
      <c r="A394" t="inlineStr">
        <is>
          <t>A 17847-2025</t>
        </is>
      </c>
      <c r="B394" s="1" t="n">
        <v>45758</v>
      </c>
      <c r="C394" s="1" t="n">
        <v>45982</v>
      </c>
      <c r="D394" t="inlineStr">
        <is>
          <t>GOTLANDS LÄN</t>
        </is>
      </c>
      <c r="E394" t="inlineStr">
        <is>
          <t>GOTLAND</t>
        </is>
      </c>
      <c r="G394" t="n">
        <v>1.9</v>
      </c>
      <c r="H394" t="n">
        <v>0</v>
      </c>
      <c r="I394" t="n">
        <v>0</v>
      </c>
      <c r="J394" t="n">
        <v>0</v>
      </c>
      <c r="K394" t="n">
        <v>0</v>
      </c>
      <c r="L394" t="n">
        <v>0</v>
      </c>
      <c r="M394" t="n">
        <v>0</v>
      </c>
      <c r="N394" t="n">
        <v>0</v>
      </c>
      <c r="O394" t="n">
        <v>0</v>
      </c>
      <c r="P394" t="n">
        <v>0</v>
      </c>
      <c r="Q394" t="n">
        <v>0</v>
      </c>
      <c r="R394" s="2" t="inlineStr"/>
    </row>
    <row r="395" ht="15" customHeight="1">
      <c r="A395" t="inlineStr">
        <is>
          <t>A 36319-2025</t>
        </is>
      </c>
      <c r="B395" s="1" t="n">
        <v>45868</v>
      </c>
      <c r="C395" s="1" t="n">
        <v>45982</v>
      </c>
      <c r="D395" t="inlineStr">
        <is>
          <t>GOTLANDS LÄN</t>
        </is>
      </c>
      <c r="E395" t="inlineStr">
        <is>
          <t>GOTLAND</t>
        </is>
      </c>
      <c r="G395" t="n">
        <v>2.9</v>
      </c>
      <c r="H395" t="n">
        <v>0</v>
      </c>
      <c r="I395" t="n">
        <v>0</v>
      </c>
      <c r="J395" t="n">
        <v>0</v>
      </c>
      <c r="K395" t="n">
        <v>0</v>
      </c>
      <c r="L395" t="n">
        <v>0</v>
      </c>
      <c r="M395" t="n">
        <v>0</v>
      </c>
      <c r="N395" t="n">
        <v>0</v>
      </c>
      <c r="O395" t="n">
        <v>0</v>
      </c>
      <c r="P395" t="n">
        <v>0</v>
      </c>
      <c r="Q395" t="n">
        <v>0</v>
      </c>
      <c r="R395" s="2" t="inlineStr"/>
    </row>
    <row r="396" ht="15" customHeight="1">
      <c r="A396" t="inlineStr">
        <is>
          <t>A 18742-2025</t>
        </is>
      </c>
      <c r="B396" s="1" t="n">
        <v>45763</v>
      </c>
      <c r="C396" s="1" t="n">
        <v>45982</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35129-2025</t>
        </is>
      </c>
      <c r="B397" s="1" t="n">
        <v>45852.63224537037</v>
      </c>
      <c r="C397" s="1" t="n">
        <v>45982</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13037-2025</t>
        </is>
      </c>
      <c r="B398" s="1" t="n">
        <v>45734</v>
      </c>
      <c r="C398" s="1" t="n">
        <v>45982</v>
      </c>
      <c r="D398" t="inlineStr">
        <is>
          <t>GOTLANDS LÄN</t>
        </is>
      </c>
      <c r="E398" t="inlineStr">
        <is>
          <t>GOTLAND</t>
        </is>
      </c>
      <c r="G398" t="n">
        <v>9.5</v>
      </c>
      <c r="H398" t="n">
        <v>0</v>
      </c>
      <c r="I398" t="n">
        <v>0</v>
      </c>
      <c r="J398" t="n">
        <v>0</v>
      </c>
      <c r="K398" t="n">
        <v>0</v>
      </c>
      <c r="L398" t="n">
        <v>0</v>
      </c>
      <c r="M398" t="n">
        <v>0</v>
      </c>
      <c r="N398" t="n">
        <v>0</v>
      </c>
      <c r="O398" t="n">
        <v>0</v>
      </c>
      <c r="P398" t="n">
        <v>0</v>
      </c>
      <c r="Q398" t="n">
        <v>0</v>
      </c>
      <c r="R398" s="2" t="inlineStr"/>
    </row>
    <row r="399" ht="15" customHeight="1">
      <c r="A399" t="inlineStr">
        <is>
          <t>A 26391-2025</t>
        </is>
      </c>
      <c r="B399" s="1" t="n">
        <v>45806</v>
      </c>
      <c r="C399" s="1" t="n">
        <v>45982</v>
      </c>
      <c r="D399" t="inlineStr">
        <is>
          <t>GOTLANDS LÄN</t>
        </is>
      </c>
      <c r="E399" t="inlineStr">
        <is>
          <t>GOTLAND</t>
        </is>
      </c>
      <c r="G399" t="n">
        <v>2</v>
      </c>
      <c r="H399" t="n">
        <v>0</v>
      </c>
      <c r="I399" t="n">
        <v>0</v>
      </c>
      <c r="J399" t="n">
        <v>0</v>
      </c>
      <c r="K399" t="n">
        <v>0</v>
      </c>
      <c r="L399" t="n">
        <v>0</v>
      </c>
      <c r="M399" t="n">
        <v>0</v>
      </c>
      <c r="N399" t="n">
        <v>0</v>
      </c>
      <c r="O399" t="n">
        <v>0</v>
      </c>
      <c r="P399" t="n">
        <v>0</v>
      </c>
      <c r="Q399" t="n">
        <v>0</v>
      </c>
      <c r="R399" s="2" t="inlineStr"/>
    </row>
    <row r="400" ht="15" customHeight="1">
      <c r="A400" t="inlineStr">
        <is>
          <t>A 46836-2025</t>
        </is>
      </c>
      <c r="B400" s="1" t="n">
        <v>45928.31511574074</v>
      </c>
      <c r="C400" s="1" t="n">
        <v>45982</v>
      </c>
      <c r="D400" t="inlineStr">
        <is>
          <t>GOTLANDS LÄN</t>
        </is>
      </c>
      <c r="E400" t="inlineStr">
        <is>
          <t>GOTLAND</t>
        </is>
      </c>
      <c r="G400" t="n">
        <v>2.8</v>
      </c>
      <c r="H400" t="n">
        <v>0</v>
      </c>
      <c r="I400" t="n">
        <v>0</v>
      </c>
      <c r="J400" t="n">
        <v>0</v>
      </c>
      <c r="K400" t="n">
        <v>0</v>
      </c>
      <c r="L400" t="n">
        <v>0</v>
      </c>
      <c r="M400" t="n">
        <v>0</v>
      </c>
      <c r="N400" t="n">
        <v>0</v>
      </c>
      <c r="O400" t="n">
        <v>0</v>
      </c>
      <c r="P400" t="n">
        <v>0</v>
      </c>
      <c r="Q400" t="n">
        <v>0</v>
      </c>
      <c r="R400" s="2" t="inlineStr"/>
    </row>
    <row r="401" ht="15" customHeight="1">
      <c r="A401" t="inlineStr">
        <is>
          <t>A 10746-2025</t>
        </is>
      </c>
      <c r="B401" s="1" t="n">
        <v>45722.42766203704</v>
      </c>
      <c r="C401" s="1" t="n">
        <v>45982</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47637-2025</t>
        </is>
      </c>
      <c r="B402" s="1" t="n">
        <v>45931.49753472222</v>
      </c>
      <c r="C402" s="1" t="n">
        <v>45982</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45982</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45982</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45982</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45982</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45982</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45982</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45982</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41038-2023</t>
        </is>
      </c>
      <c r="B410" s="1" t="n">
        <v>45173.60959490741</v>
      </c>
      <c r="C410" s="1" t="n">
        <v>45982</v>
      </c>
      <c r="D410" t="inlineStr">
        <is>
          <t>GOTLANDS LÄN</t>
        </is>
      </c>
      <c r="E410" t="inlineStr">
        <is>
          <t>GOTLAND</t>
        </is>
      </c>
      <c r="G410" t="n">
        <v>2.7</v>
      </c>
      <c r="H410" t="n">
        <v>0</v>
      </c>
      <c r="I410" t="n">
        <v>0</v>
      </c>
      <c r="J410" t="n">
        <v>0</v>
      </c>
      <c r="K410" t="n">
        <v>0</v>
      </c>
      <c r="L410" t="n">
        <v>0</v>
      </c>
      <c r="M410" t="n">
        <v>0</v>
      </c>
      <c r="N410" t="n">
        <v>0</v>
      </c>
      <c r="O410" t="n">
        <v>0</v>
      </c>
      <c r="P410" t="n">
        <v>0</v>
      </c>
      <c r="Q410" t="n">
        <v>0</v>
      </c>
      <c r="R410" s="2" t="inlineStr"/>
    </row>
    <row r="411" ht="15" customHeight="1">
      <c r="A411" t="inlineStr">
        <is>
          <t>A 32378-2025</t>
        </is>
      </c>
      <c r="B411" s="1" t="n">
        <v>45837</v>
      </c>
      <c r="C411" s="1" t="n">
        <v>45982</v>
      </c>
      <c r="D411" t="inlineStr">
        <is>
          <t>GOTLANDS LÄN</t>
        </is>
      </c>
      <c r="E411" t="inlineStr">
        <is>
          <t>GOTLAND</t>
        </is>
      </c>
      <c r="G411" t="n">
        <v>4.1</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45982</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45982</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24966-2023</t>
        </is>
      </c>
      <c r="B414" s="1" t="n">
        <v>45085</v>
      </c>
      <c r="C414" s="1" t="n">
        <v>45982</v>
      </c>
      <c r="D414" t="inlineStr">
        <is>
          <t>GOTLANDS LÄN</t>
        </is>
      </c>
      <c r="E414" t="inlineStr">
        <is>
          <t>GOTLAND</t>
        </is>
      </c>
      <c r="G414" t="n">
        <v>7</v>
      </c>
      <c r="H414" t="n">
        <v>0</v>
      </c>
      <c r="I414" t="n">
        <v>0</v>
      </c>
      <c r="J414" t="n">
        <v>0</v>
      </c>
      <c r="K414" t="n">
        <v>0</v>
      </c>
      <c r="L414" t="n">
        <v>0</v>
      </c>
      <c r="M414" t="n">
        <v>0</v>
      </c>
      <c r="N414" t="n">
        <v>0</v>
      </c>
      <c r="O414" t="n">
        <v>0</v>
      </c>
      <c r="P414" t="n">
        <v>0</v>
      </c>
      <c r="Q414" t="n">
        <v>0</v>
      </c>
      <c r="R414" s="2" t="inlineStr"/>
    </row>
    <row r="415" ht="15" customHeight="1">
      <c r="A415" t="inlineStr">
        <is>
          <t>A 56799-2025</t>
        </is>
      </c>
      <c r="B415" s="1" t="n">
        <v>45978.43392361111</v>
      </c>
      <c r="C415" s="1" t="n">
        <v>45982</v>
      </c>
      <c r="D415" t="inlineStr">
        <is>
          <t>GOTLANDS LÄN</t>
        </is>
      </c>
      <c r="E415" t="inlineStr">
        <is>
          <t>GOTLAND</t>
        </is>
      </c>
      <c r="G415" t="n">
        <v>1.1</v>
      </c>
      <c r="H415" t="n">
        <v>0</v>
      </c>
      <c r="I415" t="n">
        <v>0</v>
      </c>
      <c r="J415" t="n">
        <v>0</v>
      </c>
      <c r="K415" t="n">
        <v>0</v>
      </c>
      <c r="L415" t="n">
        <v>0</v>
      </c>
      <c r="M415" t="n">
        <v>0</v>
      </c>
      <c r="N415" t="n">
        <v>0</v>
      </c>
      <c r="O415" t="n">
        <v>0</v>
      </c>
      <c r="P415" t="n">
        <v>0</v>
      </c>
      <c r="Q415" t="n">
        <v>0</v>
      </c>
      <c r="R415" s="2" t="inlineStr"/>
    </row>
    <row r="416" ht="15" customHeight="1">
      <c r="A416" t="inlineStr">
        <is>
          <t>A 57652-2023</t>
        </is>
      </c>
      <c r="B416" s="1" t="n">
        <v>45246</v>
      </c>
      <c r="C416" s="1" t="n">
        <v>45982</v>
      </c>
      <c r="D416" t="inlineStr">
        <is>
          <t>GOTLANDS LÄN</t>
        </is>
      </c>
      <c r="E416" t="inlineStr">
        <is>
          <t>GOTLAND</t>
        </is>
      </c>
      <c r="G416" t="n">
        <v>7.2</v>
      </c>
      <c r="H416" t="n">
        <v>0</v>
      </c>
      <c r="I416" t="n">
        <v>0</v>
      </c>
      <c r="J416" t="n">
        <v>0</v>
      </c>
      <c r="K416" t="n">
        <v>0</v>
      </c>
      <c r="L416" t="n">
        <v>0</v>
      </c>
      <c r="M416" t="n">
        <v>0</v>
      </c>
      <c r="N416" t="n">
        <v>0</v>
      </c>
      <c r="O416" t="n">
        <v>0</v>
      </c>
      <c r="P416" t="n">
        <v>0</v>
      </c>
      <c r="Q416" t="n">
        <v>0</v>
      </c>
      <c r="R416" s="2" t="inlineStr"/>
    </row>
    <row r="417" ht="15" customHeight="1">
      <c r="A417" t="inlineStr">
        <is>
          <t>A 46189-2022</t>
        </is>
      </c>
      <c r="B417" s="1" t="n">
        <v>44847</v>
      </c>
      <c r="C417" s="1" t="n">
        <v>45982</v>
      </c>
      <c r="D417" t="inlineStr">
        <is>
          <t>GOTLANDS LÄN</t>
        </is>
      </c>
      <c r="E417" t="inlineStr">
        <is>
          <t>GOTLAND</t>
        </is>
      </c>
      <c r="G417" t="n">
        <v>0.4</v>
      </c>
      <c r="H417" t="n">
        <v>0</v>
      </c>
      <c r="I417" t="n">
        <v>0</v>
      </c>
      <c r="J417" t="n">
        <v>0</v>
      </c>
      <c r="K417" t="n">
        <v>0</v>
      </c>
      <c r="L417" t="n">
        <v>0</v>
      </c>
      <c r="M417" t="n">
        <v>0</v>
      </c>
      <c r="N417" t="n">
        <v>0</v>
      </c>
      <c r="O417" t="n">
        <v>0</v>
      </c>
      <c r="P417" t="n">
        <v>0</v>
      </c>
      <c r="Q417" t="n">
        <v>0</v>
      </c>
      <c r="R417" s="2" t="inlineStr"/>
    </row>
    <row r="418" ht="15" customHeight="1">
      <c r="A418" t="inlineStr">
        <is>
          <t>A 56688-2025</t>
        </is>
      </c>
      <c r="B418" s="1" t="n">
        <v>45975.84331018518</v>
      </c>
      <c r="C418" s="1" t="n">
        <v>45982</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57522-2022</t>
        </is>
      </c>
      <c r="B419" s="1" t="n">
        <v>44896</v>
      </c>
      <c r="C419" s="1" t="n">
        <v>45982</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14797-2024</t>
        </is>
      </c>
      <c r="B420" s="1" t="n">
        <v>45397.87030092593</v>
      </c>
      <c r="C420" s="1" t="n">
        <v>45982</v>
      </c>
      <c r="D420" t="inlineStr">
        <is>
          <t>GOTLANDS LÄN</t>
        </is>
      </c>
      <c r="E420" t="inlineStr">
        <is>
          <t>GOTLAND</t>
        </is>
      </c>
      <c r="G420" t="n">
        <v>8.1</v>
      </c>
      <c r="H420" t="n">
        <v>0</v>
      </c>
      <c r="I420" t="n">
        <v>0</v>
      </c>
      <c r="J420" t="n">
        <v>0</v>
      </c>
      <c r="K420" t="n">
        <v>0</v>
      </c>
      <c r="L420" t="n">
        <v>0</v>
      </c>
      <c r="M420" t="n">
        <v>0</v>
      </c>
      <c r="N420" t="n">
        <v>0</v>
      </c>
      <c r="O420" t="n">
        <v>0</v>
      </c>
      <c r="P420" t="n">
        <v>0</v>
      </c>
      <c r="Q420" t="n">
        <v>0</v>
      </c>
      <c r="R420" s="2" t="inlineStr"/>
    </row>
    <row r="421" ht="15" customHeight="1">
      <c r="A421" t="inlineStr">
        <is>
          <t>A 47147-2025</t>
        </is>
      </c>
      <c r="B421" s="1" t="n">
        <v>45929</v>
      </c>
      <c r="C421" s="1" t="n">
        <v>45982</v>
      </c>
      <c r="D421" t="inlineStr">
        <is>
          <t>GOTLANDS LÄN</t>
        </is>
      </c>
      <c r="E421" t="inlineStr">
        <is>
          <t>GOTLAND</t>
        </is>
      </c>
      <c r="G421" t="n">
        <v>2.3</v>
      </c>
      <c r="H421" t="n">
        <v>0</v>
      </c>
      <c r="I421" t="n">
        <v>0</v>
      </c>
      <c r="J421" t="n">
        <v>0</v>
      </c>
      <c r="K421" t="n">
        <v>0</v>
      </c>
      <c r="L421" t="n">
        <v>0</v>
      </c>
      <c r="M421" t="n">
        <v>0</v>
      </c>
      <c r="N421" t="n">
        <v>0</v>
      </c>
      <c r="O421" t="n">
        <v>0</v>
      </c>
      <c r="P421" t="n">
        <v>0</v>
      </c>
      <c r="Q421" t="n">
        <v>0</v>
      </c>
      <c r="R421" s="2" t="inlineStr"/>
    </row>
    <row r="422" ht="15" customHeight="1">
      <c r="A422" t="inlineStr">
        <is>
          <t>A 12599-2025</t>
        </is>
      </c>
      <c r="B422" s="1" t="n">
        <v>45733.29546296296</v>
      </c>
      <c r="C422" s="1" t="n">
        <v>45982</v>
      </c>
      <c r="D422" t="inlineStr">
        <is>
          <t>GOTLANDS LÄN</t>
        </is>
      </c>
      <c r="E422" t="inlineStr">
        <is>
          <t>GOTLAND</t>
        </is>
      </c>
      <c r="G422" t="n">
        <v>4.7</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45982</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35550-2025</t>
        </is>
      </c>
      <c r="B424" s="1" t="n">
        <v>45856.49324074074</v>
      </c>
      <c r="C424" s="1" t="n">
        <v>45982</v>
      </c>
      <c r="D424" t="inlineStr">
        <is>
          <t>GOTLANDS LÄN</t>
        </is>
      </c>
      <c r="E424" t="inlineStr">
        <is>
          <t>GOTLAND</t>
        </is>
      </c>
      <c r="G424" t="n">
        <v>3.2</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45982</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45982</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45982</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45982</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45982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47578-2025</t>
        </is>
      </c>
      <c r="B430" s="1" t="n">
        <v>45931</v>
      </c>
      <c r="C430" s="1" t="n">
        <v>45982</v>
      </c>
      <c r="D430" t="inlineStr">
        <is>
          <t>GOTLANDS LÄN</t>
        </is>
      </c>
      <c r="E430" t="inlineStr">
        <is>
          <t>GOTLAND</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2241-2025</t>
        </is>
      </c>
      <c r="B431" s="1" t="n">
        <v>45673.48710648148</v>
      </c>
      <c r="C431" s="1" t="n">
        <v>45982</v>
      </c>
      <c r="D431" t="inlineStr">
        <is>
          <t>GOTLANDS LÄN</t>
        </is>
      </c>
      <c r="E431" t="inlineStr">
        <is>
          <t>GOTLAND</t>
        </is>
      </c>
      <c r="G431" t="n">
        <v>1</v>
      </c>
      <c r="H431" t="n">
        <v>0</v>
      </c>
      <c r="I431" t="n">
        <v>0</v>
      </c>
      <c r="J431" t="n">
        <v>0</v>
      </c>
      <c r="K431" t="n">
        <v>0</v>
      </c>
      <c r="L431" t="n">
        <v>0</v>
      </c>
      <c r="M431" t="n">
        <v>0</v>
      </c>
      <c r="N431" t="n">
        <v>0</v>
      </c>
      <c r="O431" t="n">
        <v>0</v>
      </c>
      <c r="P431" t="n">
        <v>0</v>
      </c>
      <c r="Q431" t="n">
        <v>0</v>
      </c>
      <c r="R431" s="2" t="inlineStr"/>
    </row>
    <row r="432" ht="15" customHeight="1">
      <c r="A432" t="inlineStr">
        <is>
          <t>A 33011-2025</t>
        </is>
      </c>
      <c r="B432" s="1" t="n">
        <v>45840</v>
      </c>
      <c r="C432" s="1" t="n">
        <v>45982</v>
      </c>
      <c r="D432" t="inlineStr">
        <is>
          <t>GOTLANDS LÄN</t>
        </is>
      </c>
      <c r="E432" t="inlineStr">
        <is>
          <t>GOTLAND</t>
        </is>
      </c>
      <c r="G432" t="n">
        <v>1.7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45982</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45982</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14635-2023</t>
        </is>
      </c>
      <c r="B435" s="1" t="n">
        <v>45013.69365740741</v>
      </c>
      <c r="C435" s="1" t="n">
        <v>45982</v>
      </c>
      <c r="D435" t="inlineStr">
        <is>
          <t>GOTLANDS LÄN</t>
        </is>
      </c>
      <c r="E435" t="inlineStr">
        <is>
          <t>GOTLAND</t>
        </is>
      </c>
      <c r="G435" t="n">
        <v>3.1</v>
      </c>
      <c r="H435" t="n">
        <v>0</v>
      </c>
      <c r="I435" t="n">
        <v>0</v>
      </c>
      <c r="J435" t="n">
        <v>0</v>
      </c>
      <c r="K435" t="n">
        <v>0</v>
      </c>
      <c r="L435" t="n">
        <v>0</v>
      </c>
      <c r="M435" t="n">
        <v>0</v>
      </c>
      <c r="N435" t="n">
        <v>0</v>
      </c>
      <c r="O435" t="n">
        <v>0</v>
      </c>
      <c r="P435" t="n">
        <v>0</v>
      </c>
      <c r="Q435" t="n">
        <v>0</v>
      </c>
      <c r="R435" s="2" t="inlineStr"/>
    </row>
    <row r="436" ht="15" customHeight="1">
      <c r="A436" t="inlineStr">
        <is>
          <t>A 63763-2023</t>
        </is>
      </c>
      <c r="B436" s="1" t="n">
        <v>45278.33944444444</v>
      </c>
      <c r="C436" s="1" t="n">
        <v>45982</v>
      </c>
      <c r="D436" t="inlineStr">
        <is>
          <t>GOTLANDS LÄN</t>
        </is>
      </c>
      <c r="E436" t="inlineStr">
        <is>
          <t>GOTLAND</t>
        </is>
      </c>
      <c r="G436" t="n">
        <v>0.5</v>
      </c>
      <c r="H436" t="n">
        <v>0</v>
      </c>
      <c r="I436" t="n">
        <v>0</v>
      </c>
      <c r="J436" t="n">
        <v>0</v>
      </c>
      <c r="K436" t="n">
        <v>0</v>
      </c>
      <c r="L436" t="n">
        <v>0</v>
      </c>
      <c r="M436" t="n">
        <v>0</v>
      </c>
      <c r="N436" t="n">
        <v>0</v>
      </c>
      <c r="O436" t="n">
        <v>0</v>
      </c>
      <c r="P436" t="n">
        <v>0</v>
      </c>
      <c r="Q436" t="n">
        <v>0</v>
      </c>
      <c r="R436" s="2" t="inlineStr"/>
    </row>
    <row r="437" ht="15" customHeight="1">
      <c r="A437" t="inlineStr">
        <is>
          <t>A 7635-2025</t>
        </is>
      </c>
      <c r="B437" s="1" t="n">
        <v>45705</v>
      </c>
      <c r="C437" s="1" t="n">
        <v>45982</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7636-2025</t>
        </is>
      </c>
      <c r="B438" s="1" t="n">
        <v>45705.7687962963</v>
      </c>
      <c r="C438" s="1" t="n">
        <v>45982</v>
      </c>
      <c r="D438" t="inlineStr">
        <is>
          <t>GOTLANDS LÄN</t>
        </is>
      </c>
      <c r="E438" t="inlineStr">
        <is>
          <t>GOTLAND</t>
        </is>
      </c>
      <c r="G438" t="n">
        <v>0.6</v>
      </c>
      <c r="H438" t="n">
        <v>0</v>
      </c>
      <c r="I438" t="n">
        <v>0</v>
      </c>
      <c r="J438" t="n">
        <v>0</v>
      </c>
      <c r="K438" t="n">
        <v>0</v>
      </c>
      <c r="L438" t="n">
        <v>0</v>
      </c>
      <c r="M438" t="n">
        <v>0</v>
      </c>
      <c r="N438" t="n">
        <v>0</v>
      </c>
      <c r="O438" t="n">
        <v>0</v>
      </c>
      <c r="P438" t="n">
        <v>0</v>
      </c>
      <c r="Q438" t="n">
        <v>0</v>
      </c>
      <c r="R438" s="2" t="inlineStr"/>
    </row>
    <row r="439" ht="15" customHeight="1">
      <c r="A439" t="inlineStr">
        <is>
          <t>A 7639-2025</t>
        </is>
      </c>
      <c r="B439" s="1" t="n">
        <v>45705.77465277778</v>
      </c>
      <c r="C439" s="1" t="n">
        <v>45982</v>
      </c>
      <c r="D439" t="inlineStr">
        <is>
          <t>GOTLANDS LÄN</t>
        </is>
      </c>
      <c r="E439" t="inlineStr">
        <is>
          <t>GOTLAND</t>
        </is>
      </c>
      <c r="G439" t="n">
        <v>1</v>
      </c>
      <c r="H439" t="n">
        <v>0</v>
      </c>
      <c r="I439" t="n">
        <v>0</v>
      </c>
      <c r="J439" t="n">
        <v>0</v>
      </c>
      <c r="K439" t="n">
        <v>0</v>
      </c>
      <c r="L439" t="n">
        <v>0</v>
      </c>
      <c r="M439" t="n">
        <v>0</v>
      </c>
      <c r="N439" t="n">
        <v>0</v>
      </c>
      <c r="O439" t="n">
        <v>0</v>
      </c>
      <c r="P439" t="n">
        <v>0</v>
      </c>
      <c r="Q439" t="n">
        <v>0</v>
      </c>
      <c r="R439" s="2" t="inlineStr"/>
    </row>
    <row r="440" ht="15" customHeight="1">
      <c r="A440" t="inlineStr">
        <is>
          <t>A 61682-2024</t>
        </is>
      </c>
      <c r="B440" s="1" t="n">
        <v>45647.48824074074</v>
      </c>
      <c r="C440" s="1" t="n">
        <v>45982</v>
      </c>
      <c r="D440" t="inlineStr">
        <is>
          <t>GOTLANDS LÄN</t>
        </is>
      </c>
      <c r="E440" t="inlineStr">
        <is>
          <t>GOTLAND</t>
        </is>
      </c>
      <c r="G440" t="n">
        <v>1.9</v>
      </c>
      <c r="H440" t="n">
        <v>0</v>
      </c>
      <c r="I440" t="n">
        <v>0</v>
      </c>
      <c r="J440" t="n">
        <v>0</v>
      </c>
      <c r="K440" t="n">
        <v>0</v>
      </c>
      <c r="L440" t="n">
        <v>0</v>
      </c>
      <c r="M440" t="n">
        <v>0</v>
      </c>
      <c r="N440" t="n">
        <v>0</v>
      </c>
      <c r="O440" t="n">
        <v>0</v>
      </c>
      <c r="P440" t="n">
        <v>0</v>
      </c>
      <c r="Q440" t="n">
        <v>0</v>
      </c>
      <c r="R440" s="2" t="inlineStr"/>
    </row>
    <row r="441" ht="15" customHeight="1">
      <c r="A441" t="inlineStr">
        <is>
          <t>A 15434-2024</t>
        </is>
      </c>
      <c r="B441" s="1" t="n">
        <v>45401.38836805556</v>
      </c>
      <c r="C441" s="1" t="n">
        <v>45982</v>
      </c>
      <c r="D441" t="inlineStr">
        <is>
          <t>GOTLANDS LÄN</t>
        </is>
      </c>
      <c r="E441" t="inlineStr">
        <is>
          <t>GOTLAND</t>
        </is>
      </c>
      <c r="G441" t="n">
        <v>2.5</v>
      </c>
      <c r="H441" t="n">
        <v>0</v>
      </c>
      <c r="I441" t="n">
        <v>0</v>
      </c>
      <c r="J441" t="n">
        <v>0</v>
      </c>
      <c r="K441" t="n">
        <v>0</v>
      </c>
      <c r="L441" t="n">
        <v>0</v>
      </c>
      <c r="M441" t="n">
        <v>0</v>
      </c>
      <c r="N441" t="n">
        <v>0</v>
      </c>
      <c r="O441" t="n">
        <v>0</v>
      </c>
      <c r="P441" t="n">
        <v>0</v>
      </c>
      <c r="Q441" t="n">
        <v>0</v>
      </c>
      <c r="R441" s="2" t="inlineStr"/>
    </row>
    <row r="442" ht="15" customHeight="1">
      <c r="A442" t="inlineStr">
        <is>
          <t>A 7034-2023</t>
        </is>
      </c>
      <c r="B442" s="1" t="n">
        <v>44968.32108796296</v>
      </c>
      <c r="C442" s="1" t="n">
        <v>45982</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7042-2023</t>
        </is>
      </c>
      <c r="B443" s="1" t="n">
        <v>44968</v>
      </c>
      <c r="C443" s="1" t="n">
        <v>45982</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2180-2025</t>
        </is>
      </c>
      <c r="B444" s="1" t="n">
        <v>45673</v>
      </c>
      <c r="C444" s="1" t="n">
        <v>45982</v>
      </c>
      <c r="D444" t="inlineStr">
        <is>
          <t>GOTLANDS LÄN</t>
        </is>
      </c>
      <c r="E444" t="inlineStr">
        <is>
          <t>GOTLAND</t>
        </is>
      </c>
      <c r="G444" t="n">
        <v>0.7</v>
      </c>
      <c r="H444" t="n">
        <v>0</v>
      </c>
      <c r="I444" t="n">
        <v>0</v>
      </c>
      <c r="J444" t="n">
        <v>0</v>
      </c>
      <c r="K444" t="n">
        <v>0</v>
      </c>
      <c r="L444" t="n">
        <v>0</v>
      </c>
      <c r="M444" t="n">
        <v>0</v>
      </c>
      <c r="N444" t="n">
        <v>0</v>
      </c>
      <c r="O444" t="n">
        <v>0</v>
      </c>
      <c r="P444" t="n">
        <v>0</v>
      </c>
      <c r="Q444" t="n">
        <v>0</v>
      </c>
      <c r="R444" s="2" t="inlineStr"/>
    </row>
    <row r="445" ht="15" customHeight="1">
      <c r="A445" t="inlineStr">
        <is>
          <t>A 54074-2022</t>
        </is>
      </c>
      <c r="B445" s="1" t="n">
        <v>44881</v>
      </c>
      <c r="C445" s="1" t="n">
        <v>45982</v>
      </c>
      <c r="D445" t="inlineStr">
        <is>
          <t>GOTLANDS LÄN</t>
        </is>
      </c>
      <c r="E445" t="inlineStr">
        <is>
          <t>GOTLAND</t>
        </is>
      </c>
      <c r="G445" t="n">
        <v>0.9</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45982</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45982</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54268-2022</t>
        </is>
      </c>
      <c r="B448" s="1" t="n">
        <v>44882</v>
      </c>
      <c r="C448" s="1" t="n">
        <v>45982</v>
      </c>
      <c r="D448" t="inlineStr">
        <is>
          <t>GOTLANDS LÄN</t>
        </is>
      </c>
      <c r="E448" t="inlineStr">
        <is>
          <t>GOTLAND</t>
        </is>
      </c>
      <c r="G448" t="n">
        <v>2.7</v>
      </c>
      <c r="H448" t="n">
        <v>0</v>
      </c>
      <c r="I448" t="n">
        <v>0</v>
      </c>
      <c r="J448" t="n">
        <v>0</v>
      </c>
      <c r="K448" t="n">
        <v>0</v>
      </c>
      <c r="L448" t="n">
        <v>0</v>
      </c>
      <c r="M448" t="n">
        <v>0</v>
      </c>
      <c r="N448" t="n">
        <v>0</v>
      </c>
      <c r="O448" t="n">
        <v>0</v>
      </c>
      <c r="P448" t="n">
        <v>0</v>
      </c>
      <c r="Q448" t="n">
        <v>0</v>
      </c>
      <c r="R448" s="2" t="inlineStr"/>
    </row>
    <row r="449" ht="15" customHeight="1">
      <c r="A449" t="inlineStr">
        <is>
          <t>A 1446-2025</t>
        </is>
      </c>
      <c r="B449" s="1" t="n">
        <v>45669.86035879629</v>
      </c>
      <c r="C449" s="1" t="n">
        <v>45982</v>
      </c>
      <c r="D449" t="inlineStr">
        <is>
          <t>GOTLANDS LÄN</t>
        </is>
      </c>
      <c r="E449" t="inlineStr">
        <is>
          <t>GOTLAND</t>
        </is>
      </c>
      <c r="G449" t="n">
        <v>3.1</v>
      </c>
      <c r="H449" t="n">
        <v>0</v>
      </c>
      <c r="I449" t="n">
        <v>0</v>
      </c>
      <c r="J449" t="n">
        <v>0</v>
      </c>
      <c r="K449" t="n">
        <v>0</v>
      </c>
      <c r="L449" t="n">
        <v>0</v>
      </c>
      <c r="M449" t="n">
        <v>0</v>
      </c>
      <c r="N449" t="n">
        <v>0</v>
      </c>
      <c r="O449" t="n">
        <v>0</v>
      </c>
      <c r="P449" t="n">
        <v>0</v>
      </c>
      <c r="Q449" t="n">
        <v>0</v>
      </c>
      <c r="R449" s="2" t="inlineStr"/>
    </row>
    <row r="450" ht="15" customHeight="1">
      <c r="A450" t="inlineStr">
        <is>
          <t>A 1462-2025</t>
        </is>
      </c>
      <c r="B450" s="1" t="n">
        <v>45670.36319444444</v>
      </c>
      <c r="C450" s="1" t="n">
        <v>45982</v>
      </c>
      <c r="D450" t="inlineStr">
        <is>
          <t>GOTLANDS LÄN</t>
        </is>
      </c>
      <c r="E450" t="inlineStr">
        <is>
          <t>GOTLAND</t>
        </is>
      </c>
      <c r="G450" t="n">
        <v>2.8</v>
      </c>
      <c r="H450" t="n">
        <v>0</v>
      </c>
      <c r="I450" t="n">
        <v>0</v>
      </c>
      <c r="J450" t="n">
        <v>0</v>
      </c>
      <c r="K450" t="n">
        <v>0</v>
      </c>
      <c r="L450" t="n">
        <v>0</v>
      </c>
      <c r="M450" t="n">
        <v>0</v>
      </c>
      <c r="N450" t="n">
        <v>0</v>
      </c>
      <c r="O450" t="n">
        <v>0</v>
      </c>
      <c r="P450" t="n">
        <v>0</v>
      </c>
      <c r="Q450" t="n">
        <v>0</v>
      </c>
      <c r="R450" s="2" t="inlineStr"/>
    </row>
    <row r="451" ht="15" customHeight="1">
      <c r="A451" t="inlineStr">
        <is>
          <t>A 57685-2022</t>
        </is>
      </c>
      <c r="B451" s="1" t="n">
        <v>44897.4777662037</v>
      </c>
      <c r="C451" s="1" t="n">
        <v>45982</v>
      </c>
      <c r="D451" t="inlineStr">
        <is>
          <t>GOTLANDS LÄN</t>
        </is>
      </c>
      <c r="E451" t="inlineStr">
        <is>
          <t>GOTLAND</t>
        </is>
      </c>
      <c r="G451" t="n">
        <v>3.7</v>
      </c>
      <c r="H451" t="n">
        <v>0</v>
      </c>
      <c r="I451" t="n">
        <v>0</v>
      </c>
      <c r="J451" t="n">
        <v>0</v>
      </c>
      <c r="K451" t="n">
        <v>0</v>
      </c>
      <c r="L451" t="n">
        <v>0</v>
      </c>
      <c r="M451" t="n">
        <v>0</v>
      </c>
      <c r="N451" t="n">
        <v>0</v>
      </c>
      <c r="O451" t="n">
        <v>0</v>
      </c>
      <c r="P451" t="n">
        <v>0</v>
      </c>
      <c r="Q451" t="n">
        <v>0</v>
      </c>
      <c r="R451" s="2" t="inlineStr"/>
    </row>
    <row r="452" ht="15" customHeight="1">
      <c r="A452" t="inlineStr">
        <is>
          <t>A 811-2023</t>
        </is>
      </c>
      <c r="B452" s="1" t="n">
        <v>44931</v>
      </c>
      <c r="C452" s="1" t="n">
        <v>45982</v>
      </c>
      <c r="D452" t="inlineStr">
        <is>
          <t>GOTLANDS LÄN</t>
        </is>
      </c>
      <c r="E452" t="inlineStr">
        <is>
          <t>GOTLAND</t>
        </is>
      </c>
      <c r="G452" t="n">
        <v>0.6</v>
      </c>
      <c r="H452" t="n">
        <v>0</v>
      </c>
      <c r="I452" t="n">
        <v>0</v>
      </c>
      <c r="J452" t="n">
        <v>0</v>
      </c>
      <c r="K452" t="n">
        <v>0</v>
      </c>
      <c r="L452" t="n">
        <v>0</v>
      </c>
      <c r="M452" t="n">
        <v>0</v>
      </c>
      <c r="N452" t="n">
        <v>0</v>
      </c>
      <c r="O452" t="n">
        <v>0</v>
      </c>
      <c r="P452" t="n">
        <v>0</v>
      </c>
      <c r="Q452" t="n">
        <v>0</v>
      </c>
      <c r="R452" s="2" t="inlineStr"/>
    </row>
    <row r="453" ht="15" customHeight="1">
      <c r="A453" t="inlineStr">
        <is>
          <t>A 5905-2024</t>
        </is>
      </c>
      <c r="B453" s="1" t="n">
        <v>45335.88993055555</v>
      </c>
      <c r="C453" s="1" t="n">
        <v>45982</v>
      </c>
      <c r="D453" t="inlineStr">
        <is>
          <t>GOTLANDS LÄN</t>
        </is>
      </c>
      <c r="E453" t="inlineStr">
        <is>
          <t>GOTLAND</t>
        </is>
      </c>
      <c r="G453" t="n">
        <v>3</v>
      </c>
      <c r="H453" t="n">
        <v>0</v>
      </c>
      <c r="I453" t="n">
        <v>0</v>
      </c>
      <c r="J453" t="n">
        <v>0</v>
      </c>
      <c r="K453" t="n">
        <v>0</v>
      </c>
      <c r="L453" t="n">
        <v>0</v>
      </c>
      <c r="M453" t="n">
        <v>0</v>
      </c>
      <c r="N453" t="n">
        <v>0</v>
      </c>
      <c r="O453" t="n">
        <v>0</v>
      </c>
      <c r="P453" t="n">
        <v>0</v>
      </c>
      <c r="Q453" t="n">
        <v>0</v>
      </c>
      <c r="R453" s="2" t="inlineStr"/>
    </row>
    <row r="454" ht="15" customHeight="1">
      <c r="A454" t="inlineStr">
        <is>
          <t>A 3431-2025</t>
        </is>
      </c>
      <c r="B454" s="1" t="n">
        <v>45680.42935185185</v>
      </c>
      <c r="C454" s="1" t="n">
        <v>45982</v>
      </c>
      <c r="D454" t="inlineStr">
        <is>
          <t>GOTLANDS LÄN</t>
        </is>
      </c>
      <c r="E454" t="inlineStr">
        <is>
          <t>GOTLAND</t>
        </is>
      </c>
      <c r="G454" t="n">
        <v>4.8</v>
      </c>
      <c r="H454" t="n">
        <v>0</v>
      </c>
      <c r="I454" t="n">
        <v>0</v>
      </c>
      <c r="J454" t="n">
        <v>0</v>
      </c>
      <c r="K454" t="n">
        <v>0</v>
      </c>
      <c r="L454" t="n">
        <v>0</v>
      </c>
      <c r="M454" t="n">
        <v>0</v>
      </c>
      <c r="N454" t="n">
        <v>0</v>
      </c>
      <c r="O454" t="n">
        <v>0</v>
      </c>
      <c r="P454" t="n">
        <v>0</v>
      </c>
      <c r="Q454" t="n">
        <v>0</v>
      </c>
      <c r="R454" s="2" t="inlineStr"/>
    </row>
    <row r="455" ht="15" customHeight="1">
      <c r="A455" t="inlineStr">
        <is>
          <t>A 34407-2023</t>
        </is>
      </c>
      <c r="B455" s="1" t="n">
        <v>45132</v>
      </c>
      <c r="C455" s="1" t="n">
        <v>45982</v>
      </c>
      <c r="D455" t="inlineStr">
        <is>
          <t>GOTLANDS LÄN</t>
        </is>
      </c>
      <c r="E455" t="inlineStr">
        <is>
          <t>GOTLAND</t>
        </is>
      </c>
      <c r="G455" t="n">
        <v>4.4</v>
      </c>
      <c r="H455" t="n">
        <v>0</v>
      </c>
      <c r="I455" t="n">
        <v>0</v>
      </c>
      <c r="J455" t="n">
        <v>0</v>
      </c>
      <c r="K455" t="n">
        <v>0</v>
      </c>
      <c r="L455" t="n">
        <v>0</v>
      </c>
      <c r="M455" t="n">
        <v>0</v>
      </c>
      <c r="N455" t="n">
        <v>0</v>
      </c>
      <c r="O455" t="n">
        <v>0</v>
      </c>
      <c r="P455" t="n">
        <v>0</v>
      </c>
      <c r="Q455" t="n">
        <v>0</v>
      </c>
      <c r="R455" s="2" t="inlineStr"/>
    </row>
    <row r="456" ht="15" customHeight="1">
      <c r="A456" t="inlineStr">
        <is>
          <t>A 30892-2024</t>
        </is>
      </c>
      <c r="B456" s="1" t="n">
        <v>45491</v>
      </c>
      <c r="C456" s="1" t="n">
        <v>45982</v>
      </c>
      <c r="D456" t="inlineStr">
        <is>
          <t>GOTLANDS LÄN</t>
        </is>
      </c>
      <c r="E456" t="inlineStr">
        <is>
          <t>GOTLAND</t>
        </is>
      </c>
      <c r="G456" t="n">
        <v>6.1</v>
      </c>
      <c r="H456" t="n">
        <v>0</v>
      </c>
      <c r="I456" t="n">
        <v>0</v>
      </c>
      <c r="J456" t="n">
        <v>0</v>
      </c>
      <c r="K456" t="n">
        <v>0</v>
      </c>
      <c r="L456" t="n">
        <v>0</v>
      </c>
      <c r="M456" t="n">
        <v>0</v>
      </c>
      <c r="N456" t="n">
        <v>0</v>
      </c>
      <c r="O456" t="n">
        <v>0</v>
      </c>
      <c r="P456" t="n">
        <v>0</v>
      </c>
      <c r="Q456" t="n">
        <v>0</v>
      </c>
      <c r="R456" s="2" t="inlineStr"/>
    </row>
    <row r="457" ht="15" customHeight="1">
      <c r="A457" t="inlineStr">
        <is>
          <t>A 32958-2021</t>
        </is>
      </c>
      <c r="B457" s="1" t="n">
        <v>44376</v>
      </c>
      <c r="C457" s="1" t="n">
        <v>45982</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7858-2025</t>
        </is>
      </c>
      <c r="B458" s="1" t="n">
        <v>45706.68633101852</v>
      </c>
      <c r="C458" s="1" t="n">
        <v>45982</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46545-2024</t>
        </is>
      </c>
      <c r="B459" s="1" t="n">
        <v>45582.65831018519</v>
      </c>
      <c r="C459" s="1" t="n">
        <v>45982</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45982</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1364-2025</t>
        </is>
      </c>
      <c r="B461" s="1" t="n">
        <v>45667.63929398148</v>
      </c>
      <c r="C461" s="1" t="n">
        <v>45982</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2125-2025</t>
        </is>
      </c>
      <c r="B462" s="1" t="n">
        <v>45672.64940972222</v>
      </c>
      <c r="C462" s="1" t="n">
        <v>45982</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14141-2024</t>
        </is>
      </c>
      <c r="B463" s="1" t="n">
        <v>45392.85193287037</v>
      </c>
      <c r="C463" s="1" t="n">
        <v>45982</v>
      </c>
      <c r="D463" t="inlineStr">
        <is>
          <t>GOTLANDS LÄN</t>
        </is>
      </c>
      <c r="E463" t="inlineStr">
        <is>
          <t>GOTLAND</t>
        </is>
      </c>
      <c r="G463" t="n">
        <v>5.3</v>
      </c>
      <c r="H463" t="n">
        <v>0</v>
      </c>
      <c r="I463" t="n">
        <v>0</v>
      </c>
      <c r="J463" t="n">
        <v>0</v>
      </c>
      <c r="K463" t="n">
        <v>0</v>
      </c>
      <c r="L463" t="n">
        <v>0</v>
      </c>
      <c r="M463" t="n">
        <v>0</v>
      </c>
      <c r="N463" t="n">
        <v>0</v>
      </c>
      <c r="O463" t="n">
        <v>0</v>
      </c>
      <c r="P463" t="n">
        <v>0</v>
      </c>
      <c r="Q463" t="n">
        <v>0</v>
      </c>
      <c r="R463" s="2" t="inlineStr"/>
    </row>
    <row r="464" ht="15" customHeight="1">
      <c r="A464" t="inlineStr">
        <is>
          <t>A 12155-2023</t>
        </is>
      </c>
      <c r="B464" s="1" t="n">
        <v>44998.49106481481</v>
      </c>
      <c r="C464" s="1" t="n">
        <v>45982</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2774-2024</t>
        </is>
      </c>
      <c r="B465" s="1" t="n">
        <v>45314.62375</v>
      </c>
      <c r="C465" s="1" t="n">
        <v>45982</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9947-2024</t>
        </is>
      </c>
      <c r="B466" s="1" t="n">
        <v>45363</v>
      </c>
      <c r="C466" s="1" t="n">
        <v>45982</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42007-2023</t>
        </is>
      </c>
      <c r="B467" s="1" t="n">
        <v>45177</v>
      </c>
      <c r="C467" s="1" t="n">
        <v>45982</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44304-2021</t>
        </is>
      </c>
      <c r="B468" s="1" t="n">
        <v>44434</v>
      </c>
      <c r="C468" s="1" t="n">
        <v>45982</v>
      </c>
      <c r="D468" t="inlineStr">
        <is>
          <t>GOTLANDS LÄN</t>
        </is>
      </c>
      <c r="E468" t="inlineStr">
        <is>
          <t>GOTLAND</t>
        </is>
      </c>
      <c r="G468" t="n">
        <v>5.8</v>
      </c>
      <c r="H468" t="n">
        <v>0</v>
      </c>
      <c r="I468" t="n">
        <v>0</v>
      </c>
      <c r="J468" t="n">
        <v>0</v>
      </c>
      <c r="K468" t="n">
        <v>0</v>
      </c>
      <c r="L468" t="n">
        <v>0</v>
      </c>
      <c r="M468" t="n">
        <v>0</v>
      </c>
      <c r="N468" t="n">
        <v>0</v>
      </c>
      <c r="O468" t="n">
        <v>0</v>
      </c>
      <c r="P468" t="n">
        <v>0</v>
      </c>
      <c r="Q468" t="n">
        <v>0</v>
      </c>
      <c r="R468" s="2" t="inlineStr"/>
    </row>
    <row r="469" ht="15" customHeight="1">
      <c r="A469" t="inlineStr">
        <is>
          <t>A 15083-2025</t>
        </is>
      </c>
      <c r="B469" s="1" t="n">
        <v>45743</v>
      </c>
      <c r="C469" s="1" t="n">
        <v>45982</v>
      </c>
      <c r="D469" t="inlineStr">
        <is>
          <t>GOTLANDS LÄN</t>
        </is>
      </c>
      <c r="E469" t="inlineStr">
        <is>
          <t>GOTLAND</t>
        </is>
      </c>
      <c r="G469" t="n">
        <v>2.3</v>
      </c>
      <c r="H469" t="n">
        <v>0</v>
      </c>
      <c r="I469" t="n">
        <v>0</v>
      </c>
      <c r="J469" t="n">
        <v>0</v>
      </c>
      <c r="K469" t="n">
        <v>0</v>
      </c>
      <c r="L469" t="n">
        <v>0</v>
      </c>
      <c r="M469" t="n">
        <v>0</v>
      </c>
      <c r="N469" t="n">
        <v>0</v>
      </c>
      <c r="O469" t="n">
        <v>0</v>
      </c>
      <c r="P469" t="n">
        <v>0</v>
      </c>
      <c r="Q469" t="n">
        <v>0</v>
      </c>
      <c r="R469" s="2" t="inlineStr"/>
    </row>
    <row r="470" ht="15" customHeight="1">
      <c r="A470" t="inlineStr">
        <is>
          <t>A 1066-2024</t>
        </is>
      </c>
      <c r="B470" s="1" t="n">
        <v>45302.285</v>
      </c>
      <c r="C470" s="1" t="n">
        <v>45982</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37202-2024</t>
        </is>
      </c>
      <c r="B471" s="1" t="n">
        <v>45539.67310185185</v>
      </c>
      <c r="C471" s="1" t="n">
        <v>45982</v>
      </c>
      <c r="D471" t="inlineStr">
        <is>
          <t>GOTLANDS LÄN</t>
        </is>
      </c>
      <c r="E471" t="inlineStr">
        <is>
          <t>GOTLAND</t>
        </is>
      </c>
      <c r="G471" t="n">
        <v>0.3</v>
      </c>
      <c r="H471" t="n">
        <v>0</v>
      </c>
      <c r="I471" t="n">
        <v>0</v>
      </c>
      <c r="J471" t="n">
        <v>0</v>
      </c>
      <c r="K471" t="n">
        <v>0</v>
      </c>
      <c r="L471" t="n">
        <v>0</v>
      </c>
      <c r="M471" t="n">
        <v>0</v>
      </c>
      <c r="N471" t="n">
        <v>0</v>
      </c>
      <c r="O471" t="n">
        <v>0</v>
      </c>
      <c r="P471" t="n">
        <v>0</v>
      </c>
      <c r="Q471" t="n">
        <v>0</v>
      </c>
      <c r="R471" s="2" t="inlineStr"/>
    </row>
    <row r="472" ht="15" customHeight="1">
      <c r="A472" t="inlineStr">
        <is>
          <t>A 30815-2023</t>
        </is>
      </c>
      <c r="B472" s="1" t="n">
        <v>45112</v>
      </c>
      <c r="C472" s="1" t="n">
        <v>45982</v>
      </c>
      <c r="D472" t="inlineStr">
        <is>
          <t>GOTLANDS LÄN</t>
        </is>
      </c>
      <c r="E472" t="inlineStr">
        <is>
          <t>GOTLAND</t>
        </is>
      </c>
      <c r="G472" t="n">
        <v>6</v>
      </c>
      <c r="H472" t="n">
        <v>0</v>
      </c>
      <c r="I472" t="n">
        <v>0</v>
      </c>
      <c r="J472" t="n">
        <v>0</v>
      </c>
      <c r="K472" t="n">
        <v>0</v>
      </c>
      <c r="L472" t="n">
        <v>0</v>
      </c>
      <c r="M472" t="n">
        <v>0</v>
      </c>
      <c r="N472" t="n">
        <v>0</v>
      </c>
      <c r="O472" t="n">
        <v>0</v>
      </c>
      <c r="P472" t="n">
        <v>0</v>
      </c>
      <c r="Q472" t="n">
        <v>0</v>
      </c>
      <c r="R472" s="2" t="inlineStr"/>
    </row>
    <row r="473" ht="15" customHeight="1">
      <c r="A473" t="inlineStr">
        <is>
          <t>A 46400-2023</t>
        </is>
      </c>
      <c r="B473" s="1" t="n">
        <v>45197.49290509259</v>
      </c>
      <c r="C473" s="1" t="n">
        <v>45982</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10492-2023</t>
        </is>
      </c>
      <c r="B474" s="1" t="n">
        <v>44987</v>
      </c>
      <c r="C474" s="1" t="n">
        <v>45982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44919-2022</t>
        </is>
      </c>
      <c r="B475" s="1" t="n">
        <v>44841</v>
      </c>
      <c r="C475" s="1" t="n">
        <v>45982</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16501-2023</t>
        </is>
      </c>
      <c r="B476" s="1" t="n">
        <v>45029</v>
      </c>
      <c r="C476" s="1" t="n">
        <v>45982</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45982</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458-2023</t>
        </is>
      </c>
      <c r="B478" s="1" t="n">
        <v>44929</v>
      </c>
      <c r="C478" s="1" t="n">
        <v>45982</v>
      </c>
      <c r="D478" t="inlineStr">
        <is>
          <t>GOTLANDS LÄN</t>
        </is>
      </c>
      <c r="E478" t="inlineStr">
        <is>
          <t>GOTLAND</t>
        </is>
      </c>
      <c r="G478" t="n">
        <v>3.6</v>
      </c>
      <c r="H478" t="n">
        <v>0</v>
      </c>
      <c r="I478" t="n">
        <v>0</v>
      </c>
      <c r="J478" t="n">
        <v>0</v>
      </c>
      <c r="K478" t="n">
        <v>0</v>
      </c>
      <c r="L478" t="n">
        <v>0</v>
      </c>
      <c r="M478" t="n">
        <v>0</v>
      </c>
      <c r="N478" t="n">
        <v>0</v>
      </c>
      <c r="O478" t="n">
        <v>0</v>
      </c>
      <c r="P478" t="n">
        <v>0</v>
      </c>
      <c r="Q478" t="n">
        <v>0</v>
      </c>
      <c r="R478" s="2" t="inlineStr"/>
    </row>
    <row r="479" ht="15" customHeight="1">
      <c r="A479" t="inlineStr">
        <is>
          <t>A 1291-2023</t>
        </is>
      </c>
      <c r="B479" s="1" t="n">
        <v>44936.47561342592</v>
      </c>
      <c r="C479" s="1" t="n">
        <v>45982</v>
      </c>
      <c r="D479" t="inlineStr">
        <is>
          <t>GOTLANDS LÄN</t>
        </is>
      </c>
      <c r="E479" t="inlineStr">
        <is>
          <t>GOTLAND</t>
        </is>
      </c>
      <c r="G479" t="n">
        <v>7.4</v>
      </c>
      <c r="H479" t="n">
        <v>0</v>
      </c>
      <c r="I479" t="n">
        <v>0</v>
      </c>
      <c r="J479" t="n">
        <v>0</v>
      </c>
      <c r="K479" t="n">
        <v>0</v>
      </c>
      <c r="L479" t="n">
        <v>0</v>
      </c>
      <c r="M479" t="n">
        <v>0</v>
      </c>
      <c r="N479" t="n">
        <v>0</v>
      </c>
      <c r="O479" t="n">
        <v>0</v>
      </c>
      <c r="P479" t="n">
        <v>0</v>
      </c>
      <c r="Q479" t="n">
        <v>0</v>
      </c>
      <c r="R479" s="2" t="inlineStr"/>
    </row>
    <row r="480" ht="15" customHeight="1">
      <c r="A480" t="inlineStr">
        <is>
          <t>A 32330-2024</t>
        </is>
      </c>
      <c r="B480" s="1" t="n">
        <v>45512</v>
      </c>
      <c r="C480" s="1" t="n">
        <v>45982</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5891-2025</t>
        </is>
      </c>
      <c r="B481" s="1" t="n">
        <v>45695.38327546296</v>
      </c>
      <c r="C481" s="1" t="n">
        <v>45982</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14804-2021</t>
        </is>
      </c>
      <c r="B482" s="1" t="n">
        <v>44280</v>
      </c>
      <c r="C482" s="1" t="n">
        <v>45982</v>
      </c>
      <c r="D482" t="inlineStr">
        <is>
          <t>GOTLANDS LÄN</t>
        </is>
      </c>
      <c r="E482" t="inlineStr">
        <is>
          <t>GOTLAND</t>
        </is>
      </c>
      <c r="G482" t="n">
        <v>2.2</v>
      </c>
      <c r="H482" t="n">
        <v>0</v>
      </c>
      <c r="I482" t="n">
        <v>0</v>
      </c>
      <c r="J482" t="n">
        <v>0</v>
      </c>
      <c r="K482" t="n">
        <v>0</v>
      </c>
      <c r="L482" t="n">
        <v>0</v>
      </c>
      <c r="M482" t="n">
        <v>0</v>
      </c>
      <c r="N482" t="n">
        <v>0</v>
      </c>
      <c r="O482" t="n">
        <v>0</v>
      </c>
      <c r="P482" t="n">
        <v>0</v>
      </c>
      <c r="Q482" t="n">
        <v>0</v>
      </c>
      <c r="R482" s="2" t="inlineStr"/>
    </row>
    <row r="483" ht="15" customHeight="1">
      <c r="A483" t="inlineStr">
        <is>
          <t>A 2719-2023</t>
        </is>
      </c>
      <c r="B483" s="1" t="n">
        <v>44944.55361111111</v>
      </c>
      <c r="C483" s="1" t="n">
        <v>45982</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17144-2025</t>
        </is>
      </c>
      <c r="B484" s="1" t="n">
        <v>45755.9499537037</v>
      </c>
      <c r="C484" s="1" t="n">
        <v>45982</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49314-2024</t>
        </is>
      </c>
      <c r="B485" s="1" t="n">
        <v>45595.55893518519</v>
      </c>
      <c r="C485" s="1" t="n">
        <v>45982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9875-2025</t>
        </is>
      </c>
      <c r="B486" s="1" t="n">
        <v>45716</v>
      </c>
      <c r="C486" s="1" t="n">
        <v>45982</v>
      </c>
      <c r="D486" t="inlineStr">
        <is>
          <t>GOTLANDS LÄN</t>
        </is>
      </c>
      <c r="E486" t="inlineStr">
        <is>
          <t>GOTLAND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29809-2022</t>
        </is>
      </c>
      <c r="B487" s="1" t="n">
        <v>44755.8713425926</v>
      </c>
      <c r="C487" s="1" t="n">
        <v>45982</v>
      </c>
      <c r="D487" t="inlineStr">
        <is>
          <t>GOTLANDS LÄN</t>
        </is>
      </c>
      <c r="E487" t="inlineStr">
        <is>
          <t>GOTLAND</t>
        </is>
      </c>
      <c r="G487" t="n">
        <v>11.5</v>
      </c>
      <c r="H487" t="n">
        <v>0</v>
      </c>
      <c r="I487" t="n">
        <v>0</v>
      </c>
      <c r="J487" t="n">
        <v>0</v>
      </c>
      <c r="K487" t="n">
        <v>0</v>
      </c>
      <c r="L487" t="n">
        <v>0</v>
      </c>
      <c r="M487" t="n">
        <v>0</v>
      </c>
      <c r="N487" t="n">
        <v>0</v>
      </c>
      <c r="O487" t="n">
        <v>0</v>
      </c>
      <c r="P487" t="n">
        <v>0</v>
      </c>
      <c r="Q487" t="n">
        <v>0</v>
      </c>
      <c r="R487" s="2" t="inlineStr"/>
    </row>
    <row r="488" ht="15" customHeight="1">
      <c r="A488" t="inlineStr">
        <is>
          <t>A 16361-2024</t>
        </is>
      </c>
      <c r="B488" s="1" t="n">
        <v>45407</v>
      </c>
      <c r="C488" s="1" t="n">
        <v>45982</v>
      </c>
      <c r="D488" t="inlineStr">
        <is>
          <t>GOTLANDS LÄN</t>
        </is>
      </c>
      <c r="E488" t="inlineStr">
        <is>
          <t>GOTLAND</t>
        </is>
      </c>
      <c r="G488" t="n">
        <v>6</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45982</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1175-2025</t>
        </is>
      </c>
      <c r="B490" s="1" t="n">
        <v>45667.34449074074</v>
      </c>
      <c r="C490" s="1" t="n">
        <v>45982</v>
      </c>
      <c r="D490" t="inlineStr">
        <is>
          <t>GOTLANDS LÄN</t>
        </is>
      </c>
      <c r="E490" t="inlineStr">
        <is>
          <t>GOTLAND</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42201-2023</t>
        </is>
      </c>
      <c r="B491" s="1" t="n">
        <v>45179</v>
      </c>
      <c r="C491" s="1" t="n">
        <v>45982</v>
      </c>
      <c r="D491" t="inlineStr">
        <is>
          <t>GOTLANDS LÄN</t>
        </is>
      </c>
      <c r="E491" t="inlineStr">
        <is>
          <t>GOTLAND</t>
        </is>
      </c>
      <c r="G491" t="n">
        <v>11.9</v>
      </c>
      <c r="H491" t="n">
        <v>0</v>
      </c>
      <c r="I491" t="n">
        <v>0</v>
      </c>
      <c r="J491" t="n">
        <v>0</v>
      </c>
      <c r="K491" t="n">
        <v>0</v>
      </c>
      <c r="L491" t="n">
        <v>0</v>
      </c>
      <c r="M491" t="n">
        <v>0</v>
      </c>
      <c r="N491" t="n">
        <v>0</v>
      </c>
      <c r="O491" t="n">
        <v>0</v>
      </c>
      <c r="P491" t="n">
        <v>0</v>
      </c>
      <c r="Q491" t="n">
        <v>0</v>
      </c>
      <c r="R491" s="2" t="inlineStr"/>
    </row>
    <row r="492" ht="15" customHeight="1">
      <c r="A492" t="inlineStr">
        <is>
          <t>A 3150-2025</t>
        </is>
      </c>
      <c r="B492" s="1" t="n">
        <v>45679.28974537037</v>
      </c>
      <c r="C492" s="1" t="n">
        <v>45982</v>
      </c>
      <c r="D492" t="inlineStr">
        <is>
          <t>GOTLANDS LÄN</t>
        </is>
      </c>
      <c r="E492" t="inlineStr">
        <is>
          <t>GOTLAND</t>
        </is>
      </c>
      <c r="G492" t="n">
        <v>2.5</v>
      </c>
      <c r="H492" t="n">
        <v>0</v>
      </c>
      <c r="I492" t="n">
        <v>0</v>
      </c>
      <c r="J492" t="n">
        <v>0</v>
      </c>
      <c r="K492" t="n">
        <v>0</v>
      </c>
      <c r="L492" t="n">
        <v>0</v>
      </c>
      <c r="M492" t="n">
        <v>0</v>
      </c>
      <c r="N492" t="n">
        <v>0</v>
      </c>
      <c r="O492" t="n">
        <v>0</v>
      </c>
      <c r="P492" t="n">
        <v>0</v>
      </c>
      <c r="Q492" t="n">
        <v>0</v>
      </c>
      <c r="R492" s="2" t="inlineStr"/>
    </row>
    <row r="493" ht="15" customHeight="1">
      <c r="A493" t="inlineStr">
        <is>
          <t>A 42041-2024</t>
        </is>
      </c>
      <c r="B493" s="1" t="n">
        <v>45561</v>
      </c>
      <c r="C493" s="1" t="n">
        <v>45982</v>
      </c>
      <c r="D493" t="inlineStr">
        <is>
          <t>GOTLANDS LÄN</t>
        </is>
      </c>
      <c r="E493" t="inlineStr">
        <is>
          <t>GOTLAND</t>
        </is>
      </c>
      <c r="G493" t="n">
        <v>3.2</v>
      </c>
      <c r="H493" t="n">
        <v>0</v>
      </c>
      <c r="I493" t="n">
        <v>0</v>
      </c>
      <c r="J493" t="n">
        <v>0</v>
      </c>
      <c r="K493" t="n">
        <v>0</v>
      </c>
      <c r="L493" t="n">
        <v>0</v>
      </c>
      <c r="M493" t="n">
        <v>0</v>
      </c>
      <c r="N493" t="n">
        <v>0</v>
      </c>
      <c r="O493" t="n">
        <v>0</v>
      </c>
      <c r="P493" t="n">
        <v>0</v>
      </c>
      <c r="Q493" t="n">
        <v>0</v>
      </c>
      <c r="R493" s="2" t="inlineStr"/>
    </row>
    <row r="494" ht="15" customHeight="1">
      <c r="A494" t="inlineStr">
        <is>
          <t>A 15436-2025</t>
        </is>
      </c>
      <c r="B494" s="1" t="n">
        <v>45747.47462962963</v>
      </c>
      <c r="C494" s="1" t="n">
        <v>45982</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21247-2022</t>
        </is>
      </c>
      <c r="B495" s="1" t="n">
        <v>44705.38832175926</v>
      </c>
      <c r="C495" s="1" t="n">
        <v>45982</v>
      </c>
      <c r="D495" t="inlineStr">
        <is>
          <t>GOTLANDS LÄN</t>
        </is>
      </c>
      <c r="E495" t="inlineStr">
        <is>
          <t>GOTLAND</t>
        </is>
      </c>
      <c r="G495" t="n">
        <v>16.2</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44682.82622685185</v>
      </c>
      <c r="C496" s="1" t="n">
        <v>45982</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63516-2023</t>
        </is>
      </c>
      <c r="B497" s="1" t="n">
        <v>45274</v>
      </c>
      <c r="C497" s="1" t="n">
        <v>45982</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53935-2024</t>
        </is>
      </c>
      <c r="B498" s="1" t="n">
        <v>45615</v>
      </c>
      <c r="C498" s="1" t="n">
        <v>45982</v>
      </c>
      <c r="D498" t="inlineStr">
        <is>
          <t>GOTLANDS LÄN</t>
        </is>
      </c>
      <c r="E498" t="inlineStr">
        <is>
          <t>GOTLAND</t>
        </is>
      </c>
      <c r="G498" t="n">
        <v>1.2</v>
      </c>
      <c r="H498" t="n">
        <v>0</v>
      </c>
      <c r="I498" t="n">
        <v>0</v>
      </c>
      <c r="J498" t="n">
        <v>0</v>
      </c>
      <c r="K498" t="n">
        <v>0</v>
      </c>
      <c r="L498" t="n">
        <v>0</v>
      </c>
      <c r="M498" t="n">
        <v>0</v>
      </c>
      <c r="N498" t="n">
        <v>0</v>
      </c>
      <c r="O498" t="n">
        <v>0</v>
      </c>
      <c r="P498" t="n">
        <v>0</v>
      </c>
      <c r="Q498" t="n">
        <v>0</v>
      </c>
      <c r="R498" s="2" t="inlineStr"/>
    </row>
    <row r="499" ht="15" customHeight="1">
      <c r="A499" t="inlineStr">
        <is>
          <t>A 69112-2021</t>
        </is>
      </c>
      <c r="B499" s="1" t="n">
        <v>44530</v>
      </c>
      <c r="C499" s="1" t="n">
        <v>45982</v>
      </c>
      <c r="D499" t="inlineStr">
        <is>
          <t>GOTLANDS LÄN</t>
        </is>
      </c>
      <c r="E499" t="inlineStr">
        <is>
          <t>GOTLAND</t>
        </is>
      </c>
      <c r="G499" t="n">
        <v>4.2</v>
      </c>
      <c r="H499" t="n">
        <v>0</v>
      </c>
      <c r="I499" t="n">
        <v>0</v>
      </c>
      <c r="J499" t="n">
        <v>0</v>
      </c>
      <c r="K499" t="n">
        <v>0</v>
      </c>
      <c r="L499" t="n">
        <v>0</v>
      </c>
      <c r="M499" t="n">
        <v>0</v>
      </c>
      <c r="N499" t="n">
        <v>0</v>
      </c>
      <c r="O499" t="n">
        <v>0</v>
      </c>
      <c r="P499" t="n">
        <v>0</v>
      </c>
      <c r="Q499" t="n">
        <v>0</v>
      </c>
      <c r="R499" s="2" t="inlineStr"/>
    </row>
    <row r="500" ht="15" customHeight="1">
      <c r="A500" t="inlineStr">
        <is>
          <t>A 48734-2022</t>
        </is>
      </c>
      <c r="B500" s="1" t="n">
        <v>44855</v>
      </c>
      <c r="C500" s="1" t="n">
        <v>45982</v>
      </c>
      <c r="D500" t="inlineStr">
        <is>
          <t>GOTLANDS LÄN</t>
        </is>
      </c>
      <c r="E500" t="inlineStr">
        <is>
          <t>GOTLAND</t>
        </is>
      </c>
      <c r="G500" t="n">
        <v>1.6</v>
      </c>
      <c r="H500" t="n">
        <v>0</v>
      </c>
      <c r="I500" t="n">
        <v>0</v>
      </c>
      <c r="J500" t="n">
        <v>0</v>
      </c>
      <c r="K500" t="n">
        <v>0</v>
      </c>
      <c r="L500" t="n">
        <v>0</v>
      </c>
      <c r="M500" t="n">
        <v>0</v>
      </c>
      <c r="N500" t="n">
        <v>0</v>
      </c>
      <c r="O500" t="n">
        <v>0</v>
      </c>
      <c r="P500" t="n">
        <v>0</v>
      </c>
      <c r="Q500" t="n">
        <v>0</v>
      </c>
      <c r="R500" s="2" t="inlineStr"/>
    </row>
    <row r="501" ht="15" customHeight="1">
      <c r="A501" t="inlineStr">
        <is>
          <t>A 23516-2023</t>
        </is>
      </c>
      <c r="B501" s="1" t="n">
        <v>45076.93391203704</v>
      </c>
      <c r="C501" s="1" t="n">
        <v>45982</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43231-2023</t>
        </is>
      </c>
      <c r="B502" s="1" t="n">
        <v>45183.47025462963</v>
      </c>
      <c r="C502" s="1" t="n">
        <v>45982</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58230-2024</t>
        </is>
      </c>
      <c r="B503" s="1" t="n">
        <v>45632.51625</v>
      </c>
      <c r="C503" s="1" t="n">
        <v>45982</v>
      </c>
      <c r="D503" t="inlineStr">
        <is>
          <t>GOTLANDS LÄN</t>
        </is>
      </c>
      <c r="E503" t="inlineStr">
        <is>
          <t>GOTLAND</t>
        </is>
      </c>
      <c r="G503" t="n">
        <v>7.3</v>
      </c>
      <c r="H503" t="n">
        <v>0</v>
      </c>
      <c r="I503" t="n">
        <v>0</v>
      </c>
      <c r="J503" t="n">
        <v>0</v>
      </c>
      <c r="K503" t="n">
        <v>0</v>
      </c>
      <c r="L503" t="n">
        <v>0</v>
      </c>
      <c r="M503" t="n">
        <v>0</v>
      </c>
      <c r="N503" t="n">
        <v>0</v>
      </c>
      <c r="O503" t="n">
        <v>0</v>
      </c>
      <c r="P503" t="n">
        <v>0</v>
      </c>
      <c r="Q503" t="n">
        <v>0</v>
      </c>
      <c r="R503" s="2" t="inlineStr"/>
    </row>
    <row r="504" ht="15" customHeight="1">
      <c r="A504" t="inlineStr">
        <is>
          <t>A 64555-2023</t>
        </is>
      </c>
      <c r="B504" s="1" t="n">
        <v>45281</v>
      </c>
      <c r="C504" s="1" t="n">
        <v>45982</v>
      </c>
      <c r="D504" t="inlineStr">
        <is>
          <t>GOTLANDS LÄN</t>
        </is>
      </c>
      <c r="E504" t="inlineStr">
        <is>
          <t>GOTLAND</t>
        </is>
      </c>
      <c r="G504" t="n">
        <v>3.5</v>
      </c>
      <c r="H504" t="n">
        <v>0</v>
      </c>
      <c r="I504" t="n">
        <v>0</v>
      </c>
      <c r="J504" t="n">
        <v>0</v>
      </c>
      <c r="K504" t="n">
        <v>0</v>
      </c>
      <c r="L504" t="n">
        <v>0</v>
      </c>
      <c r="M504" t="n">
        <v>0</v>
      </c>
      <c r="N504" t="n">
        <v>0</v>
      </c>
      <c r="O504" t="n">
        <v>0</v>
      </c>
      <c r="P504" t="n">
        <v>0</v>
      </c>
      <c r="Q504" t="n">
        <v>0</v>
      </c>
      <c r="R504" s="2" t="inlineStr"/>
    </row>
    <row r="505" ht="15" customHeight="1">
      <c r="A505" t="inlineStr">
        <is>
          <t>A 457-2023</t>
        </is>
      </c>
      <c r="B505" s="1" t="n">
        <v>44929.87238425926</v>
      </c>
      <c r="C505" s="1" t="n">
        <v>45982</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459-2023</t>
        </is>
      </c>
      <c r="B506" s="1" t="n">
        <v>44929.87423611111</v>
      </c>
      <c r="C506" s="1" t="n">
        <v>45982</v>
      </c>
      <c r="D506" t="inlineStr">
        <is>
          <t>GOTLANDS LÄN</t>
        </is>
      </c>
      <c r="E506" t="inlineStr">
        <is>
          <t>GOTLAND</t>
        </is>
      </c>
      <c r="G506" t="n">
        <v>4.2</v>
      </c>
      <c r="H506" t="n">
        <v>0</v>
      </c>
      <c r="I506" t="n">
        <v>0</v>
      </c>
      <c r="J506" t="n">
        <v>0</v>
      </c>
      <c r="K506" t="n">
        <v>0</v>
      </c>
      <c r="L506" t="n">
        <v>0</v>
      </c>
      <c r="M506" t="n">
        <v>0</v>
      </c>
      <c r="N506" t="n">
        <v>0</v>
      </c>
      <c r="O506" t="n">
        <v>0</v>
      </c>
      <c r="P506" t="n">
        <v>0</v>
      </c>
      <c r="Q506" t="n">
        <v>0</v>
      </c>
      <c r="R506" s="2" t="inlineStr"/>
    </row>
    <row r="507" ht="15" customHeight="1">
      <c r="A507" t="inlineStr">
        <is>
          <t>A 876-2024</t>
        </is>
      </c>
      <c r="B507" s="1" t="n">
        <v>45301</v>
      </c>
      <c r="C507" s="1" t="n">
        <v>45982</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26891-2024</t>
        </is>
      </c>
      <c r="B508" s="1" t="n">
        <v>45470.65540509259</v>
      </c>
      <c r="C508" s="1" t="n">
        <v>45982</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14536-2021</t>
        </is>
      </c>
      <c r="B509" s="1" t="n">
        <v>44279.66168981481</v>
      </c>
      <c r="C509" s="1" t="n">
        <v>45982</v>
      </c>
      <c r="D509" t="inlineStr">
        <is>
          <t>GOTLANDS LÄN</t>
        </is>
      </c>
      <c r="E509" t="inlineStr">
        <is>
          <t>GOTLAND</t>
        </is>
      </c>
      <c r="G509" t="n">
        <v>8.5</v>
      </c>
      <c r="H509" t="n">
        <v>0</v>
      </c>
      <c r="I509" t="n">
        <v>0</v>
      </c>
      <c r="J509" t="n">
        <v>0</v>
      </c>
      <c r="K509" t="n">
        <v>0</v>
      </c>
      <c r="L509" t="n">
        <v>0</v>
      </c>
      <c r="M509" t="n">
        <v>0</v>
      </c>
      <c r="N509" t="n">
        <v>0</v>
      </c>
      <c r="O509" t="n">
        <v>0</v>
      </c>
      <c r="P509" t="n">
        <v>0</v>
      </c>
      <c r="Q509" t="n">
        <v>0</v>
      </c>
      <c r="R509" s="2" t="inlineStr"/>
    </row>
    <row r="510" ht="15" customHeight="1">
      <c r="A510" t="inlineStr">
        <is>
          <t>A 5923-2023</t>
        </is>
      </c>
      <c r="B510" s="1" t="n">
        <v>44963.69503472222</v>
      </c>
      <c r="C510" s="1" t="n">
        <v>45982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50482-2024</t>
        </is>
      </c>
      <c r="B511" s="1" t="n">
        <v>45601.48114583334</v>
      </c>
      <c r="C511" s="1" t="n">
        <v>45982</v>
      </c>
      <c r="D511" t="inlineStr">
        <is>
          <t>GOTLANDS LÄN</t>
        </is>
      </c>
      <c r="E511" t="inlineStr">
        <is>
          <t>GOTLAND</t>
        </is>
      </c>
      <c r="G511" t="n">
        <v>2.3</v>
      </c>
      <c r="H511" t="n">
        <v>0</v>
      </c>
      <c r="I511" t="n">
        <v>0</v>
      </c>
      <c r="J511" t="n">
        <v>0</v>
      </c>
      <c r="K511" t="n">
        <v>0</v>
      </c>
      <c r="L511" t="n">
        <v>0</v>
      </c>
      <c r="M511" t="n">
        <v>0</v>
      </c>
      <c r="N511" t="n">
        <v>0</v>
      </c>
      <c r="O511" t="n">
        <v>0</v>
      </c>
      <c r="P511" t="n">
        <v>0</v>
      </c>
      <c r="Q511" t="n">
        <v>0</v>
      </c>
      <c r="R511" s="2" t="inlineStr"/>
    </row>
    <row r="512" ht="15" customHeight="1">
      <c r="A512" t="inlineStr">
        <is>
          <t>A 5943-2024</t>
        </is>
      </c>
      <c r="B512" s="1" t="n">
        <v>45336</v>
      </c>
      <c r="C512" s="1" t="n">
        <v>45982</v>
      </c>
      <c r="D512" t="inlineStr">
        <is>
          <t>GOTLANDS LÄN</t>
        </is>
      </c>
      <c r="E512" t="inlineStr">
        <is>
          <t>GOTLAND</t>
        </is>
      </c>
      <c r="G512" t="n">
        <v>4.3</v>
      </c>
      <c r="H512" t="n">
        <v>0</v>
      </c>
      <c r="I512" t="n">
        <v>0</v>
      </c>
      <c r="J512" t="n">
        <v>0</v>
      </c>
      <c r="K512" t="n">
        <v>0</v>
      </c>
      <c r="L512" t="n">
        <v>0</v>
      </c>
      <c r="M512" t="n">
        <v>0</v>
      </c>
      <c r="N512" t="n">
        <v>0</v>
      </c>
      <c r="O512" t="n">
        <v>0</v>
      </c>
      <c r="P512" t="n">
        <v>0</v>
      </c>
      <c r="Q512" t="n">
        <v>0</v>
      </c>
      <c r="R512" s="2" t="inlineStr"/>
    </row>
    <row r="513" ht="15" customHeight="1">
      <c r="A513" t="inlineStr">
        <is>
          <t>A 38234-2023</t>
        </is>
      </c>
      <c r="B513" s="1" t="n">
        <v>45161.56663194444</v>
      </c>
      <c r="C513" s="1" t="n">
        <v>45982</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1273-2023</t>
        </is>
      </c>
      <c r="B514" s="1" t="n">
        <v>44936</v>
      </c>
      <c r="C514" s="1" t="n">
        <v>45982</v>
      </c>
      <c r="D514" t="inlineStr">
        <is>
          <t>GOTLANDS LÄN</t>
        </is>
      </c>
      <c r="E514" t="inlineStr">
        <is>
          <t>GOTLAND</t>
        </is>
      </c>
      <c r="G514" t="n">
        <v>4.5</v>
      </c>
      <c r="H514" t="n">
        <v>0</v>
      </c>
      <c r="I514" t="n">
        <v>0</v>
      </c>
      <c r="J514" t="n">
        <v>0</v>
      </c>
      <c r="K514" t="n">
        <v>0</v>
      </c>
      <c r="L514" t="n">
        <v>0</v>
      </c>
      <c r="M514" t="n">
        <v>0</v>
      </c>
      <c r="N514" t="n">
        <v>0</v>
      </c>
      <c r="O514" t="n">
        <v>0</v>
      </c>
      <c r="P514" t="n">
        <v>0</v>
      </c>
      <c r="Q514" t="n">
        <v>0</v>
      </c>
      <c r="R514" s="2" t="inlineStr"/>
    </row>
    <row r="515" ht="15" customHeight="1">
      <c r="A515" t="inlineStr">
        <is>
          <t>A 17724-2024</t>
        </is>
      </c>
      <c r="B515" s="1" t="n">
        <v>45418.55096064815</v>
      </c>
      <c r="C515" s="1" t="n">
        <v>45982</v>
      </c>
      <c r="D515" t="inlineStr">
        <is>
          <t>GOTLANDS LÄN</t>
        </is>
      </c>
      <c r="E515" t="inlineStr">
        <is>
          <t>GOTLAND</t>
        </is>
      </c>
      <c r="G515" t="n">
        <v>2</v>
      </c>
      <c r="H515" t="n">
        <v>0</v>
      </c>
      <c r="I515" t="n">
        <v>0</v>
      </c>
      <c r="J515" t="n">
        <v>0</v>
      </c>
      <c r="K515" t="n">
        <v>0</v>
      </c>
      <c r="L515" t="n">
        <v>0</v>
      </c>
      <c r="M515" t="n">
        <v>0</v>
      </c>
      <c r="N515" t="n">
        <v>0</v>
      </c>
      <c r="O515" t="n">
        <v>0</v>
      </c>
      <c r="P515" t="n">
        <v>0</v>
      </c>
      <c r="Q515" t="n">
        <v>0</v>
      </c>
      <c r="R515" s="2" t="inlineStr"/>
    </row>
    <row r="516" ht="15" customHeight="1">
      <c r="A516" t="inlineStr">
        <is>
          <t>A 23978-2023</t>
        </is>
      </c>
      <c r="B516" s="1" t="n">
        <v>45078</v>
      </c>
      <c r="C516" s="1" t="n">
        <v>45982</v>
      </c>
      <c r="D516" t="inlineStr">
        <is>
          <t>GOTLANDS LÄN</t>
        </is>
      </c>
      <c r="E516" t="inlineStr">
        <is>
          <t>GOTLAND</t>
        </is>
      </c>
      <c r="F516" t="inlineStr">
        <is>
          <t>Naturvårdsverket</t>
        </is>
      </c>
      <c r="G516" t="n">
        <v>1.7</v>
      </c>
      <c r="H516" t="n">
        <v>0</v>
      </c>
      <c r="I516" t="n">
        <v>0</v>
      </c>
      <c r="J516" t="n">
        <v>0</v>
      </c>
      <c r="K516" t="n">
        <v>0</v>
      </c>
      <c r="L516" t="n">
        <v>0</v>
      </c>
      <c r="M516" t="n">
        <v>0</v>
      </c>
      <c r="N516" t="n">
        <v>0</v>
      </c>
      <c r="O516" t="n">
        <v>0</v>
      </c>
      <c r="P516" t="n">
        <v>0</v>
      </c>
      <c r="Q516" t="n">
        <v>0</v>
      </c>
      <c r="R516" s="2" t="inlineStr"/>
    </row>
    <row r="517" ht="15" customHeight="1">
      <c r="A517" t="inlineStr">
        <is>
          <t>A 49884-2023</t>
        </is>
      </c>
      <c r="B517" s="1" t="n">
        <v>45213</v>
      </c>
      <c r="C517" s="1" t="n">
        <v>45982</v>
      </c>
      <c r="D517" t="inlineStr">
        <is>
          <t>GOTLANDS LÄN</t>
        </is>
      </c>
      <c r="E517" t="inlineStr">
        <is>
          <t>GOTLAND</t>
        </is>
      </c>
      <c r="G517" t="n">
        <v>8.9</v>
      </c>
      <c r="H517" t="n">
        <v>0</v>
      </c>
      <c r="I517" t="n">
        <v>0</v>
      </c>
      <c r="J517" t="n">
        <v>0</v>
      </c>
      <c r="K517" t="n">
        <v>0</v>
      </c>
      <c r="L517" t="n">
        <v>0</v>
      </c>
      <c r="M517" t="n">
        <v>0</v>
      </c>
      <c r="N517" t="n">
        <v>0</v>
      </c>
      <c r="O517" t="n">
        <v>0</v>
      </c>
      <c r="P517" t="n">
        <v>0</v>
      </c>
      <c r="Q517" t="n">
        <v>0</v>
      </c>
      <c r="R517" s="2" t="inlineStr"/>
    </row>
    <row r="518" ht="15" customHeight="1">
      <c r="A518" t="inlineStr">
        <is>
          <t>A 12846-2025</t>
        </is>
      </c>
      <c r="B518" s="1" t="n">
        <v>45733.65049768519</v>
      </c>
      <c r="C518" s="1" t="n">
        <v>45982</v>
      </c>
      <c r="D518" t="inlineStr">
        <is>
          <t>GOTLANDS LÄN</t>
        </is>
      </c>
      <c r="E518" t="inlineStr">
        <is>
          <t>GOTLAND</t>
        </is>
      </c>
      <c r="G518" t="n">
        <v>1.7</v>
      </c>
      <c r="H518" t="n">
        <v>0</v>
      </c>
      <c r="I518" t="n">
        <v>0</v>
      </c>
      <c r="J518" t="n">
        <v>0</v>
      </c>
      <c r="K518" t="n">
        <v>0</v>
      </c>
      <c r="L518" t="n">
        <v>0</v>
      </c>
      <c r="M518" t="n">
        <v>0</v>
      </c>
      <c r="N518" t="n">
        <v>0</v>
      </c>
      <c r="O518" t="n">
        <v>0</v>
      </c>
      <c r="P518" t="n">
        <v>0</v>
      </c>
      <c r="Q518" t="n">
        <v>0</v>
      </c>
      <c r="R518" s="2" t="inlineStr"/>
    </row>
    <row r="519" ht="15" customHeight="1">
      <c r="A519" t="inlineStr">
        <is>
          <t>A 43200-2023</t>
        </is>
      </c>
      <c r="B519" s="1" t="n">
        <v>45183</v>
      </c>
      <c r="C519" s="1" t="n">
        <v>45982</v>
      </c>
      <c r="D519" t="inlineStr">
        <is>
          <t>GOTLANDS LÄN</t>
        </is>
      </c>
      <c r="E519" t="inlineStr">
        <is>
          <t>GOTLAND</t>
        </is>
      </c>
      <c r="G519" t="n">
        <v>0.5</v>
      </c>
      <c r="H519" t="n">
        <v>0</v>
      </c>
      <c r="I519" t="n">
        <v>0</v>
      </c>
      <c r="J519" t="n">
        <v>0</v>
      </c>
      <c r="K519" t="n">
        <v>0</v>
      </c>
      <c r="L519" t="n">
        <v>0</v>
      </c>
      <c r="M519" t="n">
        <v>0</v>
      </c>
      <c r="N519" t="n">
        <v>0</v>
      </c>
      <c r="O519" t="n">
        <v>0</v>
      </c>
      <c r="P519" t="n">
        <v>0</v>
      </c>
      <c r="Q519" t="n">
        <v>0</v>
      </c>
      <c r="R519" s="2" t="inlineStr"/>
    </row>
    <row r="520" ht="15" customHeight="1">
      <c r="A520" t="inlineStr">
        <is>
          <t>A 3935-2025</t>
        </is>
      </c>
      <c r="B520" s="1" t="n">
        <v>45684.46070601852</v>
      </c>
      <c r="C520" s="1" t="n">
        <v>45982</v>
      </c>
      <c r="D520" t="inlineStr">
        <is>
          <t>GOTLANDS LÄN</t>
        </is>
      </c>
      <c r="E520" t="inlineStr">
        <is>
          <t>GOTLAND</t>
        </is>
      </c>
      <c r="G520" t="n">
        <v>2.6</v>
      </c>
      <c r="H520" t="n">
        <v>0</v>
      </c>
      <c r="I520" t="n">
        <v>0</v>
      </c>
      <c r="J520" t="n">
        <v>0</v>
      </c>
      <c r="K520" t="n">
        <v>0</v>
      </c>
      <c r="L520" t="n">
        <v>0</v>
      </c>
      <c r="M520" t="n">
        <v>0</v>
      </c>
      <c r="N520" t="n">
        <v>0</v>
      </c>
      <c r="O520" t="n">
        <v>0</v>
      </c>
      <c r="P520" t="n">
        <v>0</v>
      </c>
      <c r="Q520" t="n">
        <v>0</v>
      </c>
      <c r="R520" s="2" t="inlineStr"/>
    </row>
    <row r="521" ht="15" customHeight="1">
      <c r="A521" t="inlineStr">
        <is>
          <t>A 21792-2024</t>
        </is>
      </c>
      <c r="B521" s="1" t="n">
        <v>45442.64326388889</v>
      </c>
      <c r="C521" s="1" t="n">
        <v>45982</v>
      </c>
      <c r="D521" t="inlineStr">
        <is>
          <t>GOTLANDS LÄN</t>
        </is>
      </c>
      <c r="E521" t="inlineStr">
        <is>
          <t>GOTLAND</t>
        </is>
      </c>
      <c r="G521" t="n">
        <v>1</v>
      </c>
      <c r="H521" t="n">
        <v>0</v>
      </c>
      <c r="I521" t="n">
        <v>0</v>
      </c>
      <c r="J521" t="n">
        <v>0</v>
      </c>
      <c r="K521" t="n">
        <v>0</v>
      </c>
      <c r="L521" t="n">
        <v>0</v>
      </c>
      <c r="M521" t="n">
        <v>0</v>
      </c>
      <c r="N521" t="n">
        <v>0</v>
      </c>
      <c r="O521" t="n">
        <v>0</v>
      </c>
      <c r="P521" t="n">
        <v>0</v>
      </c>
      <c r="Q521" t="n">
        <v>0</v>
      </c>
      <c r="R521" s="2" t="inlineStr"/>
    </row>
    <row r="522" ht="15" customHeight="1">
      <c r="A522" t="inlineStr">
        <is>
          <t>A 48843-2024</t>
        </is>
      </c>
      <c r="B522" s="1" t="n">
        <v>45593</v>
      </c>
      <c r="C522" s="1" t="n">
        <v>45982</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10653-2023</t>
        </is>
      </c>
      <c r="B523" s="1" t="n">
        <v>44988.48859953704</v>
      </c>
      <c r="C523" s="1" t="n">
        <v>45982</v>
      </c>
      <c r="D523" t="inlineStr">
        <is>
          <t>GOTLANDS LÄN</t>
        </is>
      </c>
      <c r="E523" t="inlineStr">
        <is>
          <t>GOTLAND</t>
        </is>
      </c>
      <c r="F523" t="inlineStr">
        <is>
          <t>Kyrkan</t>
        </is>
      </c>
      <c r="G523" t="n">
        <v>3</v>
      </c>
      <c r="H523" t="n">
        <v>0</v>
      </c>
      <c r="I523" t="n">
        <v>0</v>
      </c>
      <c r="J523" t="n">
        <v>0</v>
      </c>
      <c r="K523" t="n">
        <v>0</v>
      </c>
      <c r="L523" t="n">
        <v>0</v>
      </c>
      <c r="M523" t="n">
        <v>0</v>
      </c>
      <c r="N523" t="n">
        <v>0</v>
      </c>
      <c r="O523" t="n">
        <v>0</v>
      </c>
      <c r="P523" t="n">
        <v>0</v>
      </c>
      <c r="Q523" t="n">
        <v>0</v>
      </c>
      <c r="R523" s="2" t="inlineStr"/>
    </row>
    <row r="524" ht="15" customHeight="1">
      <c r="A524" t="inlineStr">
        <is>
          <t>A 35512-2023</t>
        </is>
      </c>
      <c r="B524" s="1" t="n">
        <v>45147.25623842593</v>
      </c>
      <c r="C524" s="1" t="n">
        <v>45982</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11874-2024</t>
        </is>
      </c>
      <c r="B525" s="1" t="n">
        <v>45376.46956018519</v>
      </c>
      <c r="C525" s="1" t="n">
        <v>45982</v>
      </c>
      <c r="D525" t="inlineStr">
        <is>
          <t>GOTLANDS LÄN</t>
        </is>
      </c>
      <c r="E525" t="inlineStr">
        <is>
          <t>GOTLAND</t>
        </is>
      </c>
      <c r="G525" t="n">
        <v>0.8</v>
      </c>
      <c r="H525" t="n">
        <v>0</v>
      </c>
      <c r="I525" t="n">
        <v>0</v>
      </c>
      <c r="J525" t="n">
        <v>0</v>
      </c>
      <c r="K525" t="n">
        <v>0</v>
      </c>
      <c r="L525" t="n">
        <v>0</v>
      </c>
      <c r="M525" t="n">
        <v>0</v>
      </c>
      <c r="N525" t="n">
        <v>0</v>
      </c>
      <c r="O525" t="n">
        <v>0</v>
      </c>
      <c r="P525" t="n">
        <v>0</v>
      </c>
      <c r="Q525" t="n">
        <v>0</v>
      </c>
      <c r="R525" s="2" t="inlineStr"/>
    </row>
    <row r="526" ht="15" customHeight="1">
      <c r="A526" t="inlineStr">
        <is>
          <t>A 20225-2025</t>
        </is>
      </c>
      <c r="B526" s="1" t="n">
        <v>45772.65802083333</v>
      </c>
      <c r="C526" s="1" t="n">
        <v>45982</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1677-2023</t>
        </is>
      </c>
      <c r="B527" s="1" t="n">
        <v>44938</v>
      </c>
      <c r="C527" s="1" t="n">
        <v>45982</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64831-2023</t>
        </is>
      </c>
      <c r="B528" s="1" t="n">
        <v>45282.44924768519</v>
      </c>
      <c r="C528" s="1" t="n">
        <v>45982</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8036-2022</t>
        </is>
      </c>
      <c r="B529" s="1" t="n">
        <v>44609.44362268518</v>
      </c>
      <c r="C529" s="1" t="n">
        <v>45982</v>
      </c>
      <c r="D529" t="inlineStr">
        <is>
          <t>GOTLANDS LÄN</t>
        </is>
      </c>
      <c r="E529" t="inlineStr">
        <is>
          <t>GOTLAND</t>
        </is>
      </c>
      <c r="G529" t="n">
        <v>6.1</v>
      </c>
      <c r="H529" t="n">
        <v>0</v>
      </c>
      <c r="I529" t="n">
        <v>0</v>
      </c>
      <c r="J529" t="n">
        <v>0</v>
      </c>
      <c r="K529" t="n">
        <v>0</v>
      </c>
      <c r="L529" t="n">
        <v>0</v>
      </c>
      <c r="M529" t="n">
        <v>0</v>
      </c>
      <c r="N529" t="n">
        <v>0</v>
      </c>
      <c r="O529" t="n">
        <v>0</v>
      </c>
      <c r="P529" t="n">
        <v>0</v>
      </c>
      <c r="Q529" t="n">
        <v>0</v>
      </c>
      <c r="R529" s="2" t="inlineStr"/>
    </row>
    <row r="530" ht="15" customHeight="1">
      <c r="A530" t="inlineStr">
        <is>
          <t>A 46375-2024</t>
        </is>
      </c>
      <c r="B530" s="1" t="n">
        <v>45582</v>
      </c>
      <c r="C530" s="1" t="n">
        <v>45982</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62915-2021</t>
        </is>
      </c>
      <c r="B531" s="1" t="n">
        <v>44504</v>
      </c>
      <c r="C531" s="1" t="n">
        <v>45982</v>
      </c>
      <c r="D531" t="inlineStr">
        <is>
          <t>GOTLANDS LÄN</t>
        </is>
      </c>
      <c r="E531" t="inlineStr">
        <is>
          <t>GOTLAND</t>
        </is>
      </c>
      <c r="G531" t="n">
        <v>1.1</v>
      </c>
      <c r="H531" t="n">
        <v>0</v>
      </c>
      <c r="I531" t="n">
        <v>0</v>
      </c>
      <c r="J531" t="n">
        <v>0</v>
      </c>
      <c r="K531" t="n">
        <v>0</v>
      </c>
      <c r="L531" t="n">
        <v>0</v>
      </c>
      <c r="M531" t="n">
        <v>0</v>
      </c>
      <c r="N531" t="n">
        <v>0</v>
      </c>
      <c r="O531" t="n">
        <v>0</v>
      </c>
      <c r="P531" t="n">
        <v>0</v>
      </c>
      <c r="Q531" t="n">
        <v>0</v>
      </c>
      <c r="R531" s="2" t="inlineStr"/>
    </row>
    <row r="532" ht="15" customHeight="1">
      <c r="A532" t="inlineStr">
        <is>
          <t>A 7638-2025</t>
        </is>
      </c>
      <c r="B532" s="1" t="n">
        <v>45705.77306712963</v>
      </c>
      <c r="C532" s="1" t="n">
        <v>45982</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4377-2023</t>
        </is>
      </c>
      <c r="B533" s="1" t="n">
        <v>44955.5502662037</v>
      </c>
      <c r="C533" s="1" t="n">
        <v>45982</v>
      </c>
      <c r="D533" t="inlineStr">
        <is>
          <t>GOTLANDS LÄN</t>
        </is>
      </c>
      <c r="E533" t="inlineStr">
        <is>
          <t>GOTLAND</t>
        </is>
      </c>
      <c r="F533" t="inlineStr">
        <is>
          <t>Kyrkan</t>
        </is>
      </c>
      <c r="G533" t="n">
        <v>0.6</v>
      </c>
      <c r="H533" t="n">
        <v>0</v>
      </c>
      <c r="I533" t="n">
        <v>0</v>
      </c>
      <c r="J533" t="n">
        <v>0</v>
      </c>
      <c r="K533" t="n">
        <v>0</v>
      </c>
      <c r="L533" t="n">
        <v>0</v>
      </c>
      <c r="M533" t="n">
        <v>0</v>
      </c>
      <c r="N533" t="n">
        <v>0</v>
      </c>
      <c r="O533" t="n">
        <v>0</v>
      </c>
      <c r="P533" t="n">
        <v>0</v>
      </c>
      <c r="Q533" t="n">
        <v>0</v>
      </c>
      <c r="R533" s="2" t="inlineStr"/>
    </row>
    <row r="534" ht="15" customHeight="1">
      <c r="A534" t="inlineStr">
        <is>
          <t>A 43901-2023</t>
        </is>
      </c>
      <c r="B534" s="1" t="n">
        <v>45187</v>
      </c>
      <c r="C534" s="1" t="n">
        <v>45982</v>
      </c>
      <c r="D534" t="inlineStr">
        <is>
          <t>GOTLANDS LÄN</t>
        </is>
      </c>
      <c r="E534" t="inlineStr">
        <is>
          <t>GOTLAND</t>
        </is>
      </c>
      <c r="G534" t="n">
        <v>5.4</v>
      </c>
      <c r="H534" t="n">
        <v>0</v>
      </c>
      <c r="I534" t="n">
        <v>0</v>
      </c>
      <c r="J534" t="n">
        <v>0</v>
      </c>
      <c r="K534" t="n">
        <v>0</v>
      </c>
      <c r="L534" t="n">
        <v>0</v>
      </c>
      <c r="M534" t="n">
        <v>0</v>
      </c>
      <c r="N534" t="n">
        <v>0</v>
      </c>
      <c r="O534" t="n">
        <v>0</v>
      </c>
      <c r="P534" t="n">
        <v>0</v>
      </c>
      <c r="Q534" t="n">
        <v>0</v>
      </c>
      <c r="R534" s="2" t="inlineStr"/>
    </row>
    <row r="535" ht="15" customHeight="1">
      <c r="A535" t="inlineStr">
        <is>
          <t>A 17532-2024</t>
        </is>
      </c>
      <c r="B535" s="1" t="n">
        <v>45415</v>
      </c>
      <c r="C535" s="1" t="n">
        <v>45982</v>
      </c>
      <c r="D535" t="inlineStr">
        <is>
          <t>GOTLANDS LÄN</t>
        </is>
      </c>
      <c r="E535" t="inlineStr">
        <is>
          <t>GOTLAND</t>
        </is>
      </c>
      <c r="G535" t="n">
        <v>4.3</v>
      </c>
      <c r="H535" t="n">
        <v>0</v>
      </c>
      <c r="I535" t="n">
        <v>0</v>
      </c>
      <c r="J535" t="n">
        <v>0</v>
      </c>
      <c r="K535" t="n">
        <v>0</v>
      </c>
      <c r="L535" t="n">
        <v>0</v>
      </c>
      <c r="M535" t="n">
        <v>0</v>
      </c>
      <c r="N535" t="n">
        <v>0</v>
      </c>
      <c r="O535" t="n">
        <v>0</v>
      </c>
      <c r="P535" t="n">
        <v>0</v>
      </c>
      <c r="Q535" t="n">
        <v>0</v>
      </c>
      <c r="R535" s="2" t="inlineStr"/>
    </row>
    <row r="536" ht="15" customHeight="1">
      <c r="A536" t="inlineStr">
        <is>
          <t>A 45692-2023</t>
        </is>
      </c>
      <c r="B536" s="1" t="n">
        <v>45195</v>
      </c>
      <c r="C536" s="1" t="n">
        <v>45982</v>
      </c>
      <c r="D536" t="inlineStr">
        <is>
          <t>GOTLANDS LÄN</t>
        </is>
      </c>
      <c r="E536" t="inlineStr">
        <is>
          <t>GOTLAND</t>
        </is>
      </c>
      <c r="G536" t="n">
        <v>5.3</v>
      </c>
      <c r="H536" t="n">
        <v>0</v>
      </c>
      <c r="I536" t="n">
        <v>0</v>
      </c>
      <c r="J536" t="n">
        <v>0</v>
      </c>
      <c r="K536" t="n">
        <v>0</v>
      </c>
      <c r="L536" t="n">
        <v>0</v>
      </c>
      <c r="M536" t="n">
        <v>0</v>
      </c>
      <c r="N536" t="n">
        <v>0</v>
      </c>
      <c r="O536" t="n">
        <v>0</v>
      </c>
      <c r="P536" t="n">
        <v>0</v>
      </c>
      <c r="Q536" t="n">
        <v>0</v>
      </c>
      <c r="R536" s="2" t="inlineStr"/>
    </row>
    <row r="537" ht="15" customHeight="1">
      <c r="A537" t="inlineStr">
        <is>
          <t>A 37222-2021</t>
        </is>
      </c>
      <c r="B537" s="1" t="n">
        <v>44396</v>
      </c>
      <c r="C537" s="1" t="n">
        <v>45982</v>
      </c>
      <c r="D537" t="inlineStr">
        <is>
          <t>GOTLANDS LÄN</t>
        </is>
      </c>
      <c r="E537" t="inlineStr">
        <is>
          <t>GOTLAND</t>
        </is>
      </c>
      <c r="G537" t="n">
        <v>3</v>
      </c>
      <c r="H537" t="n">
        <v>0</v>
      </c>
      <c r="I537" t="n">
        <v>0</v>
      </c>
      <c r="J537" t="n">
        <v>0</v>
      </c>
      <c r="K537" t="n">
        <v>0</v>
      </c>
      <c r="L537" t="n">
        <v>0</v>
      </c>
      <c r="M537" t="n">
        <v>0</v>
      </c>
      <c r="N537" t="n">
        <v>0</v>
      </c>
      <c r="O537" t="n">
        <v>0</v>
      </c>
      <c r="P537" t="n">
        <v>0</v>
      </c>
      <c r="Q537" t="n">
        <v>0</v>
      </c>
      <c r="R537" s="2" t="inlineStr"/>
    </row>
    <row r="538" ht="15" customHeight="1">
      <c r="A538" t="inlineStr">
        <is>
          <t>A 46396-2023</t>
        </is>
      </c>
      <c r="B538" s="1" t="n">
        <v>45197</v>
      </c>
      <c r="C538" s="1" t="n">
        <v>45982</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58388-2022</t>
        </is>
      </c>
      <c r="B539" s="1" t="n">
        <v>44894</v>
      </c>
      <c r="C539" s="1" t="n">
        <v>45982</v>
      </c>
      <c r="D539" t="inlineStr">
        <is>
          <t>GOTLANDS LÄN</t>
        </is>
      </c>
      <c r="E539" t="inlineStr">
        <is>
          <t>GOTLAND</t>
        </is>
      </c>
      <c r="F539" t="inlineStr">
        <is>
          <t>Övriga statliga verk och myndigheter</t>
        </is>
      </c>
      <c r="G539" t="n">
        <v>3.1</v>
      </c>
      <c r="H539" t="n">
        <v>0</v>
      </c>
      <c r="I539" t="n">
        <v>0</v>
      </c>
      <c r="J539" t="n">
        <v>0</v>
      </c>
      <c r="K539" t="n">
        <v>0</v>
      </c>
      <c r="L539" t="n">
        <v>0</v>
      </c>
      <c r="M539" t="n">
        <v>0</v>
      </c>
      <c r="N539" t="n">
        <v>0</v>
      </c>
      <c r="O539" t="n">
        <v>0</v>
      </c>
      <c r="P539" t="n">
        <v>0</v>
      </c>
      <c r="Q539" t="n">
        <v>0</v>
      </c>
      <c r="R539" s="2" t="inlineStr"/>
    </row>
    <row r="540" ht="15" customHeight="1">
      <c r="A540" t="inlineStr">
        <is>
          <t>A 53934-2024</t>
        </is>
      </c>
      <c r="B540" s="1" t="n">
        <v>45615</v>
      </c>
      <c r="C540" s="1" t="n">
        <v>45982</v>
      </c>
      <c r="D540" t="inlineStr">
        <is>
          <t>GOTLANDS LÄN</t>
        </is>
      </c>
      <c r="E540" t="inlineStr">
        <is>
          <t>GOTLAND</t>
        </is>
      </c>
      <c r="G540" t="n">
        <v>5</v>
      </c>
      <c r="H540" t="n">
        <v>0</v>
      </c>
      <c r="I540" t="n">
        <v>0</v>
      </c>
      <c r="J540" t="n">
        <v>0</v>
      </c>
      <c r="K540" t="n">
        <v>0</v>
      </c>
      <c r="L540" t="n">
        <v>0</v>
      </c>
      <c r="M540" t="n">
        <v>0</v>
      </c>
      <c r="N540" t="n">
        <v>0</v>
      </c>
      <c r="O540" t="n">
        <v>0</v>
      </c>
      <c r="P540" t="n">
        <v>0</v>
      </c>
      <c r="Q540" t="n">
        <v>0</v>
      </c>
      <c r="R540" s="2" t="inlineStr"/>
    </row>
    <row r="541" ht="15" customHeight="1">
      <c r="A541" t="inlineStr">
        <is>
          <t>A 58132-2023</t>
        </is>
      </c>
      <c r="B541" s="1" t="n">
        <v>45250</v>
      </c>
      <c r="C541" s="1" t="n">
        <v>45982</v>
      </c>
      <c r="D541" t="inlineStr">
        <is>
          <t>GOTLANDS LÄN</t>
        </is>
      </c>
      <c r="E541" t="inlineStr">
        <is>
          <t>GOTLAND</t>
        </is>
      </c>
      <c r="G541" t="n">
        <v>3.1</v>
      </c>
      <c r="H541" t="n">
        <v>0</v>
      </c>
      <c r="I541" t="n">
        <v>0</v>
      </c>
      <c r="J541" t="n">
        <v>0</v>
      </c>
      <c r="K541" t="n">
        <v>0</v>
      </c>
      <c r="L541" t="n">
        <v>0</v>
      </c>
      <c r="M541" t="n">
        <v>0</v>
      </c>
      <c r="N541" t="n">
        <v>0</v>
      </c>
      <c r="O541" t="n">
        <v>0</v>
      </c>
      <c r="P541" t="n">
        <v>0</v>
      </c>
      <c r="Q541" t="n">
        <v>0</v>
      </c>
      <c r="R541" s="2" t="inlineStr"/>
    </row>
    <row r="542" ht="15" customHeight="1">
      <c r="A542" t="inlineStr">
        <is>
          <t>A 22899-2023</t>
        </is>
      </c>
      <c r="B542" s="1" t="n">
        <v>45072</v>
      </c>
      <c r="C542" s="1" t="n">
        <v>45982</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28285-2024</t>
        </is>
      </c>
      <c r="B543" s="1" t="n">
        <v>45477</v>
      </c>
      <c r="C543" s="1" t="n">
        <v>45982</v>
      </c>
      <c r="D543" t="inlineStr">
        <is>
          <t>GOTLANDS LÄN</t>
        </is>
      </c>
      <c r="E543" t="inlineStr">
        <is>
          <t>GOTLAND</t>
        </is>
      </c>
      <c r="G543" t="n">
        <v>1.6</v>
      </c>
      <c r="H543" t="n">
        <v>0</v>
      </c>
      <c r="I543" t="n">
        <v>0</v>
      </c>
      <c r="J543" t="n">
        <v>0</v>
      </c>
      <c r="K543" t="n">
        <v>0</v>
      </c>
      <c r="L543" t="n">
        <v>0</v>
      </c>
      <c r="M543" t="n">
        <v>0</v>
      </c>
      <c r="N543" t="n">
        <v>0</v>
      </c>
      <c r="O543" t="n">
        <v>0</v>
      </c>
      <c r="P543" t="n">
        <v>0</v>
      </c>
      <c r="Q543" t="n">
        <v>0</v>
      </c>
      <c r="R543" s="2" t="inlineStr"/>
    </row>
    <row r="544" ht="15" customHeight="1">
      <c r="A544" t="inlineStr">
        <is>
          <t>A 51963-2024</t>
        </is>
      </c>
      <c r="B544" s="1" t="n">
        <v>45607.64833333333</v>
      </c>
      <c r="C544" s="1" t="n">
        <v>45982</v>
      </c>
      <c r="D544" t="inlineStr">
        <is>
          <t>GOTLANDS LÄN</t>
        </is>
      </c>
      <c r="E544" t="inlineStr">
        <is>
          <t>GOTLAND</t>
        </is>
      </c>
      <c r="G544" t="n">
        <v>2.4</v>
      </c>
      <c r="H544" t="n">
        <v>0</v>
      </c>
      <c r="I544" t="n">
        <v>0</v>
      </c>
      <c r="J544" t="n">
        <v>0</v>
      </c>
      <c r="K544" t="n">
        <v>0</v>
      </c>
      <c r="L544" t="n">
        <v>0</v>
      </c>
      <c r="M544" t="n">
        <v>0</v>
      </c>
      <c r="N544" t="n">
        <v>0</v>
      </c>
      <c r="O544" t="n">
        <v>0</v>
      </c>
      <c r="P544" t="n">
        <v>0</v>
      </c>
      <c r="Q544" t="n">
        <v>0</v>
      </c>
      <c r="R544" s="2" t="inlineStr"/>
    </row>
    <row r="545" ht="15" customHeight="1">
      <c r="A545" t="inlineStr">
        <is>
          <t>A 1734-2025</t>
        </is>
      </c>
      <c r="B545" s="1" t="n">
        <v>45671.3840625</v>
      </c>
      <c r="C545" s="1" t="n">
        <v>45982</v>
      </c>
      <c r="D545" t="inlineStr">
        <is>
          <t>GOTLANDS LÄN</t>
        </is>
      </c>
      <c r="E545" t="inlineStr">
        <is>
          <t>GOTLAND</t>
        </is>
      </c>
      <c r="G545" t="n">
        <v>1.9</v>
      </c>
      <c r="H545" t="n">
        <v>0</v>
      </c>
      <c r="I545" t="n">
        <v>0</v>
      </c>
      <c r="J545" t="n">
        <v>0</v>
      </c>
      <c r="K545" t="n">
        <v>0</v>
      </c>
      <c r="L545" t="n">
        <v>0</v>
      </c>
      <c r="M545" t="n">
        <v>0</v>
      </c>
      <c r="N545" t="n">
        <v>0</v>
      </c>
      <c r="O545" t="n">
        <v>0</v>
      </c>
      <c r="P545" t="n">
        <v>0</v>
      </c>
      <c r="Q545" t="n">
        <v>0</v>
      </c>
      <c r="R545" s="2" t="inlineStr"/>
    </row>
    <row r="546" ht="15" customHeight="1">
      <c r="A546" t="inlineStr">
        <is>
          <t>A 30365-2024</t>
        </is>
      </c>
      <c r="B546" s="1" t="n">
        <v>45491.3716087963</v>
      </c>
      <c r="C546" s="1" t="n">
        <v>45982</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2674-2023</t>
        </is>
      </c>
      <c r="B547" s="1" t="n">
        <v>44944</v>
      </c>
      <c r="C547" s="1" t="n">
        <v>45982</v>
      </c>
      <c r="D547" t="inlineStr">
        <is>
          <t>GOTLANDS LÄN</t>
        </is>
      </c>
      <c r="E547" t="inlineStr">
        <is>
          <t>GOTLAND</t>
        </is>
      </c>
      <c r="G547" t="n">
        <v>2.5</v>
      </c>
      <c r="H547" t="n">
        <v>0</v>
      </c>
      <c r="I547" t="n">
        <v>0</v>
      </c>
      <c r="J547" t="n">
        <v>0</v>
      </c>
      <c r="K547" t="n">
        <v>0</v>
      </c>
      <c r="L547" t="n">
        <v>0</v>
      </c>
      <c r="M547" t="n">
        <v>0</v>
      </c>
      <c r="N547" t="n">
        <v>0</v>
      </c>
      <c r="O547" t="n">
        <v>0</v>
      </c>
      <c r="P547" t="n">
        <v>0</v>
      </c>
      <c r="Q547" t="n">
        <v>0</v>
      </c>
      <c r="R547" s="2" t="inlineStr"/>
    </row>
    <row r="548" ht="15" customHeight="1">
      <c r="A548" t="inlineStr">
        <is>
          <t>A 61100-2022</t>
        </is>
      </c>
      <c r="B548" s="1" t="n">
        <v>44915</v>
      </c>
      <c r="C548" s="1" t="n">
        <v>45982</v>
      </c>
      <c r="D548" t="inlineStr">
        <is>
          <t>GOTLANDS LÄN</t>
        </is>
      </c>
      <c r="E548" t="inlineStr">
        <is>
          <t>GOTLAND</t>
        </is>
      </c>
      <c r="G548" t="n">
        <v>1.4</v>
      </c>
      <c r="H548" t="n">
        <v>0</v>
      </c>
      <c r="I548" t="n">
        <v>0</v>
      </c>
      <c r="J548" t="n">
        <v>0</v>
      </c>
      <c r="K548" t="n">
        <v>0</v>
      </c>
      <c r="L548" t="n">
        <v>0</v>
      </c>
      <c r="M548" t="n">
        <v>0</v>
      </c>
      <c r="N548" t="n">
        <v>0</v>
      </c>
      <c r="O548" t="n">
        <v>0</v>
      </c>
      <c r="P548" t="n">
        <v>0</v>
      </c>
      <c r="Q548" t="n">
        <v>0</v>
      </c>
      <c r="R548" s="2" t="inlineStr"/>
    </row>
    <row r="549" ht="15" customHeight="1">
      <c r="A549" t="inlineStr">
        <is>
          <t>A 581-2023</t>
        </is>
      </c>
      <c r="B549" s="1" t="n">
        <v>44930</v>
      </c>
      <c r="C549" s="1" t="n">
        <v>45982</v>
      </c>
      <c r="D549" t="inlineStr">
        <is>
          <t>GOTLANDS LÄN</t>
        </is>
      </c>
      <c r="E549" t="inlineStr">
        <is>
          <t>GOTLAND</t>
        </is>
      </c>
      <c r="G549" t="n">
        <v>12</v>
      </c>
      <c r="H549" t="n">
        <v>0</v>
      </c>
      <c r="I549" t="n">
        <v>0</v>
      </c>
      <c r="J549" t="n">
        <v>0</v>
      </c>
      <c r="K549" t="n">
        <v>0</v>
      </c>
      <c r="L549" t="n">
        <v>0</v>
      </c>
      <c r="M549" t="n">
        <v>0</v>
      </c>
      <c r="N549" t="n">
        <v>0</v>
      </c>
      <c r="O549" t="n">
        <v>0</v>
      </c>
      <c r="P549" t="n">
        <v>0</v>
      </c>
      <c r="Q549" t="n">
        <v>0</v>
      </c>
      <c r="R549" s="2" t="inlineStr"/>
    </row>
    <row r="550" ht="15" customHeight="1">
      <c r="A550" t="inlineStr">
        <is>
          <t>A 10655-2023</t>
        </is>
      </c>
      <c r="B550" s="1" t="n">
        <v>44988.49543981482</v>
      </c>
      <c r="C550" s="1" t="n">
        <v>45982</v>
      </c>
      <c r="D550" t="inlineStr">
        <is>
          <t>GOTLANDS LÄN</t>
        </is>
      </c>
      <c r="E550" t="inlineStr">
        <is>
          <t>GOTLAND</t>
        </is>
      </c>
      <c r="F550" t="inlineStr">
        <is>
          <t>Kyrkan</t>
        </is>
      </c>
      <c r="G550" t="n">
        <v>2</v>
      </c>
      <c r="H550" t="n">
        <v>0</v>
      </c>
      <c r="I550" t="n">
        <v>0</v>
      </c>
      <c r="J550" t="n">
        <v>0</v>
      </c>
      <c r="K550" t="n">
        <v>0</v>
      </c>
      <c r="L550" t="n">
        <v>0</v>
      </c>
      <c r="M550" t="n">
        <v>0</v>
      </c>
      <c r="N550" t="n">
        <v>0</v>
      </c>
      <c r="O550" t="n">
        <v>0</v>
      </c>
      <c r="P550" t="n">
        <v>0</v>
      </c>
      <c r="Q550" t="n">
        <v>0</v>
      </c>
      <c r="R550" s="2" t="inlineStr"/>
    </row>
    <row r="551" ht="15" customHeight="1">
      <c r="A551" t="inlineStr">
        <is>
          <t>A 44649-2021</t>
        </is>
      </c>
      <c r="B551" s="1" t="n">
        <v>44437</v>
      </c>
      <c r="C551" s="1" t="n">
        <v>45982</v>
      </c>
      <c r="D551" t="inlineStr">
        <is>
          <t>GOTLANDS LÄN</t>
        </is>
      </c>
      <c r="E551" t="inlineStr">
        <is>
          <t>GOTLAND</t>
        </is>
      </c>
      <c r="G551" t="n">
        <v>8.1</v>
      </c>
      <c r="H551" t="n">
        <v>0</v>
      </c>
      <c r="I551" t="n">
        <v>0</v>
      </c>
      <c r="J551" t="n">
        <v>0</v>
      </c>
      <c r="K551" t="n">
        <v>0</v>
      </c>
      <c r="L551" t="n">
        <v>0</v>
      </c>
      <c r="M551" t="n">
        <v>0</v>
      </c>
      <c r="N551" t="n">
        <v>0</v>
      </c>
      <c r="O551" t="n">
        <v>0</v>
      </c>
      <c r="P551" t="n">
        <v>0</v>
      </c>
      <c r="Q551" t="n">
        <v>0</v>
      </c>
      <c r="R551" s="2" t="inlineStr"/>
    </row>
    <row r="552" ht="15" customHeight="1">
      <c r="A552" t="inlineStr">
        <is>
          <t>A 8484-2025</t>
        </is>
      </c>
      <c r="B552" s="1" t="n">
        <v>45709</v>
      </c>
      <c r="C552" s="1" t="n">
        <v>45982</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49962-2023</t>
        </is>
      </c>
      <c r="B553" s="1" t="n">
        <v>45215.38775462963</v>
      </c>
      <c r="C553" s="1" t="n">
        <v>45982</v>
      </c>
      <c r="D553" t="inlineStr">
        <is>
          <t>GOTLANDS LÄN</t>
        </is>
      </c>
      <c r="E553" t="inlineStr">
        <is>
          <t>GOTLAND</t>
        </is>
      </c>
      <c r="G553" t="n">
        <v>1.4</v>
      </c>
      <c r="H553" t="n">
        <v>0</v>
      </c>
      <c r="I553" t="n">
        <v>0</v>
      </c>
      <c r="J553" t="n">
        <v>0</v>
      </c>
      <c r="K553" t="n">
        <v>0</v>
      </c>
      <c r="L553" t="n">
        <v>0</v>
      </c>
      <c r="M553" t="n">
        <v>0</v>
      </c>
      <c r="N553" t="n">
        <v>0</v>
      </c>
      <c r="O553" t="n">
        <v>0</v>
      </c>
      <c r="P553" t="n">
        <v>0</v>
      </c>
      <c r="Q553" t="n">
        <v>0</v>
      </c>
      <c r="R553" s="2" t="inlineStr"/>
    </row>
    <row r="554" ht="15" customHeight="1">
      <c r="A554" t="inlineStr">
        <is>
          <t>A 50744-2024</t>
        </is>
      </c>
      <c r="B554" s="1" t="n">
        <v>45602.4187037037</v>
      </c>
      <c r="C554" s="1" t="n">
        <v>45982</v>
      </c>
      <c r="D554" t="inlineStr">
        <is>
          <t>GOTLANDS LÄN</t>
        </is>
      </c>
      <c r="E554" t="inlineStr">
        <is>
          <t>GOTLAND</t>
        </is>
      </c>
      <c r="G554" t="n">
        <v>3.2</v>
      </c>
      <c r="H554" t="n">
        <v>0</v>
      </c>
      <c r="I554" t="n">
        <v>0</v>
      </c>
      <c r="J554" t="n">
        <v>0</v>
      </c>
      <c r="K554" t="n">
        <v>0</v>
      </c>
      <c r="L554" t="n">
        <v>0</v>
      </c>
      <c r="M554" t="n">
        <v>0</v>
      </c>
      <c r="N554" t="n">
        <v>0</v>
      </c>
      <c r="O554" t="n">
        <v>0</v>
      </c>
      <c r="P554" t="n">
        <v>0</v>
      </c>
      <c r="Q554" t="n">
        <v>0</v>
      </c>
      <c r="R554" s="2" t="inlineStr"/>
    </row>
    <row r="555" ht="15" customHeight="1">
      <c r="A555" t="inlineStr">
        <is>
          <t>A 45244-2024</t>
        </is>
      </c>
      <c r="B555" s="1" t="n">
        <v>45576</v>
      </c>
      <c r="C555" s="1" t="n">
        <v>45982</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38787-2023</t>
        </is>
      </c>
      <c r="B556" s="1" t="n">
        <v>45163</v>
      </c>
      <c r="C556" s="1" t="n">
        <v>45982</v>
      </c>
      <c r="D556" t="inlineStr">
        <is>
          <t>GOTLANDS LÄN</t>
        </is>
      </c>
      <c r="E556" t="inlineStr">
        <is>
          <t>GOTLAND</t>
        </is>
      </c>
      <c r="G556" t="n">
        <v>0.4</v>
      </c>
      <c r="H556" t="n">
        <v>0</v>
      </c>
      <c r="I556" t="n">
        <v>0</v>
      </c>
      <c r="J556" t="n">
        <v>0</v>
      </c>
      <c r="K556" t="n">
        <v>0</v>
      </c>
      <c r="L556" t="n">
        <v>0</v>
      </c>
      <c r="M556" t="n">
        <v>0</v>
      </c>
      <c r="N556" t="n">
        <v>0</v>
      </c>
      <c r="O556" t="n">
        <v>0</v>
      </c>
      <c r="P556" t="n">
        <v>0</v>
      </c>
      <c r="Q556" t="n">
        <v>0</v>
      </c>
      <c r="R556" s="2" t="inlineStr"/>
    </row>
    <row r="557" ht="15" customHeight="1">
      <c r="A557" t="inlineStr">
        <is>
          <t>A 2714-2023</t>
        </is>
      </c>
      <c r="B557" s="1" t="n">
        <v>44944.54896990741</v>
      </c>
      <c r="C557" s="1" t="n">
        <v>45982</v>
      </c>
      <c r="D557" t="inlineStr">
        <is>
          <t>GOTLANDS LÄN</t>
        </is>
      </c>
      <c r="E557" t="inlineStr">
        <is>
          <t>GOTLAND</t>
        </is>
      </c>
      <c r="G557" t="n">
        <v>0.7</v>
      </c>
      <c r="H557" t="n">
        <v>0</v>
      </c>
      <c r="I557" t="n">
        <v>0</v>
      </c>
      <c r="J557" t="n">
        <v>0</v>
      </c>
      <c r="K557" t="n">
        <v>0</v>
      </c>
      <c r="L557" t="n">
        <v>0</v>
      </c>
      <c r="M557" t="n">
        <v>0</v>
      </c>
      <c r="N557" t="n">
        <v>0</v>
      </c>
      <c r="O557" t="n">
        <v>0</v>
      </c>
      <c r="P557" t="n">
        <v>0</v>
      </c>
      <c r="Q557" t="n">
        <v>0</v>
      </c>
      <c r="R557" s="2" t="inlineStr"/>
    </row>
    <row r="558" ht="15" customHeight="1">
      <c r="A558" t="inlineStr">
        <is>
          <t>A 22897-2023</t>
        </is>
      </c>
      <c r="B558" s="1" t="n">
        <v>45072.55239583334</v>
      </c>
      <c r="C558" s="1" t="n">
        <v>45982</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4568-2025</t>
        </is>
      </c>
      <c r="B559" s="1" t="n">
        <v>45687</v>
      </c>
      <c r="C559" s="1" t="n">
        <v>45982</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1681-2023</t>
        </is>
      </c>
      <c r="B560" s="1" t="n">
        <v>44938.39715277778</v>
      </c>
      <c r="C560" s="1" t="n">
        <v>45982</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42338-2023</t>
        </is>
      </c>
      <c r="B561" s="1" t="n">
        <v>45180</v>
      </c>
      <c r="C561" s="1" t="n">
        <v>45982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18918-2025</t>
        </is>
      </c>
      <c r="B562" s="1" t="n">
        <v>45764</v>
      </c>
      <c r="C562" s="1" t="n">
        <v>45982</v>
      </c>
      <c r="D562" t="inlineStr">
        <is>
          <t>GOTLANDS LÄN</t>
        </is>
      </c>
      <c r="E562" t="inlineStr">
        <is>
          <t>GOTLAND</t>
        </is>
      </c>
      <c r="G562" t="n">
        <v>1.7</v>
      </c>
      <c r="H562" t="n">
        <v>0</v>
      </c>
      <c r="I562" t="n">
        <v>0</v>
      </c>
      <c r="J562" t="n">
        <v>0</v>
      </c>
      <c r="K562" t="n">
        <v>0</v>
      </c>
      <c r="L562" t="n">
        <v>0</v>
      </c>
      <c r="M562" t="n">
        <v>0</v>
      </c>
      <c r="N562" t="n">
        <v>0</v>
      </c>
      <c r="O562" t="n">
        <v>0</v>
      </c>
      <c r="P562" t="n">
        <v>0</v>
      </c>
      <c r="Q562" t="n">
        <v>0</v>
      </c>
      <c r="R562" s="2" t="inlineStr"/>
    </row>
    <row r="563" ht="15" customHeight="1">
      <c r="A563" t="inlineStr">
        <is>
          <t>A 11013-2024</t>
        </is>
      </c>
      <c r="B563" s="1" t="n">
        <v>45370</v>
      </c>
      <c r="C563" s="1" t="n">
        <v>45982</v>
      </c>
      <c r="D563" t="inlineStr">
        <is>
          <t>GOTLANDS LÄN</t>
        </is>
      </c>
      <c r="E563" t="inlineStr">
        <is>
          <t>GOTLAND</t>
        </is>
      </c>
      <c r="G563" t="n">
        <v>0.7</v>
      </c>
      <c r="H563" t="n">
        <v>0</v>
      </c>
      <c r="I563" t="n">
        <v>0</v>
      </c>
      <c r="J563" t="n">
        <v>0</v>
      </c>
      <c r="K563" t="n">
        <v>0</v>
      </c>
      <c r="L563" t="n">
        <v>0</v>
      </c>
      <c r="M563" t="n">
        <v>0</v>
      </c>
      <c r="N563" t="n">
        <v>0</v>
      </c>
      <c r="O563" t="n">
        <v>0</v>
      </c>
      <c r="P563" t="n">
        <v>0</v>
      </c>
      <c r="Q563" t="n">
        <v>0</v>
      </c>
      <c r="R563" s="2" t="inlineStr"/>
    </row>
    <row r="564" ht="15" customHeight="1">
      <c r="A564" t="inlineStr">
        <is>
          <t>A 45084-2024</t>
        </is>
      </c>
      <c r="B564" s="1" t="n">
        <v>45575</v>
      </c>
      <c r="C564" s="1" t="n">
        <v>45982</v>
      </c>
      <c r="D564" t="inlineStr">
        <is>
          <t>GOTLANDS LÄN</t>
        </is>
      </c>
      <c r="E564" t="inlineStr">
        <is>
          <t>GOTLAND</t>
        </is>
      </c>
      <c r="G564" t="n">
        <v>6.8</v>
      </c>
      <c r="H564" t="n">
        <v>0</v>
      </c>
      <c r="I564" t="n">
        <v>0</v>
      </c>
      <c r="J564" t="n">
        <v>0</v>
      </c>
      <c r="K564" t="n">
        <v>0</v>
      </c>
      <c r="L564" t="n">
        <v>0</v>
      </c>
      <c r="M564" t="n">
        <v>0</v>
      </c>
      <c r="N564" t="n">
        <v>0</v>
      </c>
      <c r="O564" t="n">
        <v>0</v>
      </c>
      <c r="P564" t="n">
        <v>0</v>
      </c>
      <c r="Q564" t="n">
        <v>0</v>
      </c>
      <c r="R564" s="2" t="inlineStr"/>
    </row>
    <row r="565" ht="15" customHeight="1">
      <c r="A565" t="inlineStr">
        <is>
          <t>A 20356-2022</t>
        </is>
      </c>
      <c r="B565" s="1" t="n">
        <v>44699</v>
      </c>
      <c r="C565" s="1" t="n">
        <v>45982</v>
      </c>
      <c r="D565" t="inlineStr">
        <is>
          <t>GOTLANDS LÄN</t>
        </is>
      </c>
      <c r="E565" t="inlineStr">
        <is>
          <t>GOTLAND</t>
        </is>
      </c>
      <c r="F565" t="inlineStr">
        <is>
          <t>Övriga Aktiebolag</t>
        </is>
      </c>
      <c r="G565" t="n">
        <v>4.4</v>
      </c>
      <c r="H565" t="n">
        <v>0</v>
      </c>
      <c r="I565" t="n">
        <v>0</v>
      </c>
      <c r="J565" t="n">
        <v>0</v>
      </c>
      <c r="K565" t="n">
        <v>0</v>
      </c>
      <c r="L565" t="n">
        <v>0</v>
      </c>
      <c r="M565" t="n">
        <v>0</v>
      </c>
      <c r="N565" t="n">
        <v>0</v>
      </c>
      <c r="O565" t="n">
        <v>0</v>
      </c>
      <c r="P565" t="n">
        <v>0</v>
      </c>
      <c r="Q565" t="n">
        <v>0</v>
      </c>
      <c r="R565" s="2" t="inlineStr"/>
    </row>
    <row r="566" ht="15" customHeight="1">
      <c r="A566" t="inlineStr">
        <is>
          <t>A 4868-2024</t>
        </is>
      </c>
      <c r="B566" s="1" t="n">
        <v>45329</v>
      </c>
      <c r="C566" s="1" t="n">
        <v>45982</v>
      </c>
      <c r="D566" t="inlineStr">
        <is>
          <t>GOTLANDS LÄN</t>
        </is>
      </c>
      <c r="E566" t="inlineStr">
        <is>
          <t>GOTLAND</t>
        </is>
      </c>
      <c r="G566" t="n">
        <v>7.1</v>
      </c>
      <c r="H566" t="n">
        <v>0</v>
      </c>
      <c r="I566" t="n">
        <v>0</v>
      </c>
      <c r="J566" t="n">
        <v>0</v>
      </c>
      <c r="K566" t="n">
        <v>0</v>
      </c>
      <c r="L566" t="n">
        <v>0</v>
      </c>
      <c r="M566" t="n">
        <v>0</v>
      </c>
      <c r="N566" t="n">
        <v>0</v>
      </c>
      <c r="O566" t="n">
        <v>0</v>
      </c>
      <c r="P566" t="n">
        <v>0</v>
      </c>
      <c r="Q566" t="n">
        <v>0</v>
      </c>
      <c r="R566" s="2" t="inlineStr"/>
    </row>
    <row r="567" ht="15" customHeight="1">
      <c r="A567" t="inlineStr">
        <is>
          <t>A 9613-2025</t>
        </is>
      </c>
      <c r="B567" s="1" t="n">
        <v>45715</v>
      </c>
      <c r="C567" s="1" t="n">
        <v>45982</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5386-2023</t>
        </is>
      </c>
      <c r="B568" s="1" t="n">
        <v>44959</v>
      </c>
      <c r="C568" s="1" t="n">
        <v>45982</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58211-2024</t>
        </is>
      </c>
      <c r="B569" s="1" t="n">
        <v>45632.49292824074</v>
      </c>
      <c r="C569" s="1" t="n">
        <v>45982</v>
      </c>
      <c r="D569" t="inlineStr">
        <is>
          <t>GOTLANDS LÄN</t>
        </is>
      </c>
      <c r="E569" t="inlineStr">
        <is>
          <t>GOTLAND</t>
        </is>
      </c>
      <c r="G569" t="n">
        <v>5.4</v>
      </c>
      <c r="H569" t="n">
        <v>0</v>
      </c>
      <c r="I569" t="n">
        <v>0</v>
      </c>
      <c r="J569" t="n">
        <v>0</v>
      </c>
      <c r="K569" t="n">
        <v>0</v>
      </c>
      <c r="L569" t="n">
        <v>0</v>
      </c>
      <c r="M569" t="n">
        <v>0</v>
      </c>
      <c r="N569" t="n">
        <v>0</v>
      </c>
      <c r="O569" t="n">
        <v>0</v>
      </c>
      <c r="P569" t="n">
        <v>0</v>
      </c>
      <c r="Q569" t="n">
        <v>0</v>
      </c>
      <c r="R569" s="2" t="inlineStr"/>
    </row>
    <row r="570" ht="15" customHeight="1">
      <c r="A570" t="inlineStr">
        <is>
          <t>A 11634-2024</t>
        </is>
      </c>
      <c r="B570" s="1" t="n">
        <v>45373</v>
      </c>
      <c r="C570" s="1" t="n">
        <v>45982</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5884-2025</t>
        </is>
      </c>
      <c r="B571" s="1" t="n">
        <v>45695.37482638889</v>
      </c>
      <c r="C571" s="1" t="n">
        <v>45982</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5897-2025</t>
        </is>
      </c>
      <c r="B572" s="1" t="n">
        <v>45695.39273148148</v>
      </c>
      <c r="C572" s="1" t="n">
        <v>45982</v>
      </c>
      <c r="D572" t="inlineStr">
        <is>
          <t>GOTLANDS LÄN</t>
        </is>
      </c>
      <c r="E572" t="inlineStr">
        <is>
          <t>GOTLAND</t>
        </is>
      </c>
      <c r="G572" t="n">
        <v>3.7</v>
      </c>
      <c r="H572" t="n">
        <v>0</v>
      </c>
      <c r="I572" t="n">
        <v>0</v>
      </c>
      <c r="J572" t="n">
        <v>0</v>
      </c>
      <c r="K572" t="n">
        <v>0</v>
      </c>
      <c r="L572" t="n">
        <v>0</v>
      </c>
      <c r="M572" t="n">
        <v>0</v>
      </c>
      <c r="N572" t="n">
        <v>0</v>
      </c>
      <c r="O572" t="n">
        <v>0</v>
      </c>
      <c r="P572" t="n">
        <v>0</v>
      </c>
      <c r="Q572" t="n">
        <v>0</v>
      </c>
      <c r="R572" s="2" t="inlineStr"/>
    </row>
    <row r="573" ht="15" customHeight="1">
      <c r="A573" t="inlineStr">
        <is>
          <t>A 5909-2025</t>
        </is>
      </c>
      <c r="B573" s="1" t="n">
        <v>45695.40634259259</v>
      </c>
      <c r="C573" s="1" t="n">
        <v>45982</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60086-2022</t>
        </is>
      </c>
      <c r="B574" s="1" t="n">
        <v>44909</v>
      </c>
      <c r="C574" s="1" t="n">
        <v>45982</v>
      </c>
      <c r="D574" t="inlineStr">
        <is>
          <t>GOTLANDS LÄN</t>
        </is>
      </c>
      <c r="E574" t="inlineStr">
        <is>
          <t>GOTLAND</t>
        </is>
      </c>
      <c r="G574" t="n">
        <v>2.1</v>
      </c>
      <c r="H574" t="n">
        <v>0</v>
      </c>
      <c r="I574" t="n">
        <v>0</v>
      </c>
      <c r="J574" t="n">
        <v>0</v>
      </c>
      <c r="K574" t="n">
        <v>0</v>
      </c>
      <c r="L574" t="n">
        <v>0</v>
      </c>
      <c r="M574" t="n">
        <v>0</v>
      </c>
      <c r="N574" t="n">
        <v>0</v>
      </c>
      <c r="O574" t="n">
        <v>0</v>
      </c>
      <c r="P574" t="n">
        <v>0</v>
      </c>
      <c r="Q574" t="n">
        <v>0</v>
      </c>
      <c r="R574" s="2" t="inlineStr"/>
    </row>
    <row r="575" ht="15" customHeight="1">
      <c r="A575" t="inlineStr">
        <is>
          <t>A 22704-2023</t>
        </is>
      </c>
      <c r="B575" s="1" t="n">
        <v>45071</v>
      </c>
      <c r="C575" s="1" t="n">
        <v>45982</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25866-2022</t>
        </is>
      </c>
      <c r="B576" s="1" t="n">
        <v>44733</v>
      </c>
      <c r="C576" s="1" t="n">
        <v>45982</v>
      </c>
      <c r="D576" t="inlineStr">
        <is>
          <t>GOTLANDS LÄN</t>
        </is>
      </c>
      <c r="E576" t="inlineStr">
        <is>
          <t>GOTLAND</t>
        </is>
      </c>
      <c r="G576" t="n">
        <v>2.9</v>
      </c>
      <c r="H576" t="n">
        <v>0</v>
      </c>
      <c r="I576" t="n">
        <v>0</v>
      </c>
      <c r="J576" t="n">
        <v>0</v>
      </c>
      <c r="K576" t="n">
        <v>0</v>
      </c>
      <c r="L576" t="n">
        <v>0</v>
      </c>
      <c r="M576" t="n">
        <v>0</v>
      </c>
      <c r="N576" t="n">
        <v>0</v>
      </c>
      <c r="O576" t="n">
        <v>0</v>
      </c>
      <c r="P576" t="n">
        <v>0</v>
      </c>
      <c r="Q576" t="n">
        <v>0</v>
      </c>
      <c r="R576" s="2" t="inlineStr"/>
    </row>
    <row r="577" ht="15" customHeight="1">
      <c r="A577" t="inlineStr">
        <is>
          <t>A 9887-2025</t>
        </is>
      </c>
      <c r="B577" s="1" t="n">
        <v>45716</v>
      </c>
      <c r="C577" s="1" t="n">
        <v>45982</v>
      </c>
      <c r="D577" t="inlineStr">
        <is>
          <t>GOTLANDS LÄN</t>
        </is>
      </c>
      <c r="E577" t="inlineStr">
        <is>
          <t>GOTLAND</t>
        </is>
      </c>
      <c r="G577" t="n">
        <v>7.5</v>
      </c>
      <c r="H577" t="n">
        <v>0</v>
      </c>
      <c r="I577" t="n">
        <v>0</v>
      </c>
      <c r="J577" t="n">
        <v>0</v>
      </c>
      <c r="K577" t="n">
        <v>0</v>
      </c>
      <c r="L577" t="n">
        <v>0</v>
      </c>
      <c r="M577" t="n">
        <v>0</v>
      </c>
      <c r="N577" t="n">
        <v>0</v>
      </c>
      <c r="O577" t="n">
        <v>0</v>
      </c>
      <c r="P577" t="n">
        <v>0</v>
      </c>
      <c r="Q577" t="n">
        <v>0</v>
      </c>
      <c r="R577" s="2" t="inlineStr"/>
    </row>
    <row r="578" ht="15" customHeight="1">
      <c r="A578" t="inlineStr">
        <is>
          <t>A 12209-2024</t>
        </is>
      </c>
      <c r="B578" s="1" t="n">
        <v>45378</v>
      </c>
      <c r="C578" s="1" t="n">
        <v>45982</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12210-2024</t>
        </is>
      </c>
      <c r="B579" s="1" t="n">
        <v>45378</v>
      </c>
      <c r="C579" s="1" t="n">
        <v>45982</v>
      </c>
      <c r="D579" t="inlineStr">
        <is>
          <t>GOTLANDS LÄN</t>
        </is>
      </c>
      <c r="E579" t="inlineStr">
        <is>
          <t>GOTLAND</t>
        </is>
      </c>
      <c r="G579" t="n">
        <v>4.1</v>
      </c>
      <c r="H579" t="n">
        <v>0</v>
      </c>
      <c r="I579" t="n">
        <v>0</v>
      </c>
      <c r="J579" t="n">
        <v>0</v>
      </c>
      <c r="K579" t="n">
        <v>0</v>
      </c>
      <c r="L579" t="n">
        <v>0</v>
      </c>
      <c r="M579" t="n">
        <v>0</v>
      </c>
      <c r="N579" t="n">
        <v>0</v>
      </c>
      <c r="O579" t="n">
        <v>0</v>
      </c>
      <c r="P579" t="n">
        <v>0</v>
      </c>
      <c r="Q579" t="n">
        <v>0</v>
      </c>
      <c r="R579" s="2" t="inlineStr"/>
    </row>
    <row r="580" ht="15" customHeight="1">
      <c r="A580" t="inlineStr">
        <is>
          <t>A 59986-2022</t>
        </is>
      </c>
      <c r="B580" s="1" t="n">
        <v>44909</v>
      </c>
      <c r="C580" s="1" t="n">
        <v>45982</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31802-2024</t>
        </is>
      </c>
      <c r="B581" s="1" t="n">
        <v>45509</v>
      </c>
      <c r="C581" s="1" t="n">
        <v>45982</v>
      </c>
      <c r="D581" t="inlineStr">
        <is>
          <t>GOTLANDS LÄN</t>
        </is>
      </c>
      <c r="E581" t="inlineStr">
        <is>
          <t>GOTLAND</t>
        </is>
      </c>
      <c r="G581" t="n">
        <v>2.8</v>
      </c>
      <c r="H581" t="n">
        <v>0</v>
      </c>
      <c r="I581" t="n">
        <v>0</v>
      </c>
      <c r="J581" t="n">
        <v>0</v>
      </c>
      <c r="K581" t="n">
        <v>0</v>
      </c>
      <c r="L581" t="n">
        <v>0</v>
      </c>
      <c r="M581" t="n">
        <v>0</v>
      </c>
      <c r="N581" t="n">
        <v>0</v>
      </c>
      <c r="O581" t="n">
        <v>0</v>
      </c>
      <c r="P581" t="n">
        <v>0</v>
      </c>
      <c r="Q581" t="n">
        <v>0</v>
      </c>
      <c r="R581" s="2" t="inlineStr"/>
    </row>
    <row r="582" ht="15" customHeight="1">
      <c r="A582" t="inlineStr">
        <is>
          <t>A 20993-2023</t>
        </is>
      </c>
      <c r="B582" s="1" t="n">
        <v>45056</v>
      </c>
      <c r="C582" s="1" t="n">
        <v>45982</v>
      </c>
      <c r="D582" t="inlineStr">
        <is>
          <t>GOTLANDS LÄN</t>
        </is>
      </c>
      <c r="E582" t="inlineStr">
        <is>
          <t>GOTLAND</t>
        </is>
      </c>
      <c r="G582" t="n">
        <v>7.1</v>
      </c>
      <c r="H582" t="n">
        <v>0</v>
      </c>
      <c r="I582" t="n">
        <v>0</v>
      </c>
      <c r="J582" t="n">
        <v>0</v>
      </c>
      <c r="K582" t="n">
        <v>0</v>
      </c>
      <c r="L582" t="n">
        <v>0</v>
      </c>
      <c r="M582" t="n">
        <v>0</v>
      </c>
      <c r="N582" t="n">
        <v>0</v>
      </c>
      <c r="O582" t="n">
        <v>0</v>
      </c>
      <c r="P582" t="n">
        <v>0</v>
      </c>
      <c r="Q582" t="n">
        <v>0</v>
      </c>
      <c r="R582" s="2" t="inlineStr"/>
    </row>
    <row r="583" ht="15" customHeight="1">
      <c r="A583" t="inlineStr">
        <is>
          <t>A 15042-2025</t>
        </is>
      </c>
      <c r="B583" s="1" t="n">
        <v>45743</v>
      </c>
      <c r="C583" s="1" t="n">
        <v>45982</v>
      </c>
      <c r="D583" t="inlineStr">
        <is>
          <t>GOTLANDS LÄN</t>
        </is>
      </c>
      <c r="E583" t="inlineStr">
        <is>
          <t>GOTLAND</t>
        </is>
      </c>
      <c r="G583" t="n">
        <v>8.5</v>
      </c>
      <c r="H583" t="n">
        <v>0</v>
      </c>
      <c r="I583" t="n">
        <v>0</v>
      </c>
      <c r="J583" t="n">
        <v>0</v>
      </c>
      <c r="K583" t="n">
        <v>0</v>
      </c>
      <c r="L583" t="n">
        <v>0</v>
      </c>
      <c r="M583" t="n">
        <v>0</v>
      </c>
      <c r="N583" t="n">
        <v>0</v>
      </c>
      <c r="O583" t="n">
        <v>0</v>
      </c>
      <c r="P583" t="n">
        <v>0</v>
      </c>
      <c r="Q583" t="n">
        <v>0</v>
      </c>
      <c r="R583" s="2" t="inlineStr"/>
    </row>
    <row r="584" ht="15" customHeight="1">
      <c r="A584" t="inlineStr">
        <is>
          <t>A 12327-2025</t>
        </is>
      </c>
      <c r="B584" s="1" t="n">
        <v>45730</v>
      </c>
      <c r="C584" s="1" t="n">
        <v>45982</v>
      </c>
      <c r="D584" t="inlineStr">
        <is>
          <t>GOTLANDS LÄN</t>
        </is>
      </c>
      <c r="E584" t="inlineStr">
        <is>
          <t>GOTLAND</t>
        </is>
      </c>
      <c r="G584" t="n">
        <v>1.8</v>
      </c>
      <c r="H584" t="n">
        <v>0</v>
      </c>
      <c r="I584" t="n">
        <v>0</v>
      </c>
      <c r="J584" t="n">
        <v>0</v>
      </c>
      <c r="K584" t="n">
        <v>0</v>
      </c>
      <c r="L584" t="n">
        <v>0</v>
      </c>
      <c r="M584" t="n">
        <v>0</v>
      </c>
      <c r="N584" t="n">
        <v>0</v>
      </c>
      <c r="O584" t="n">
        <v>0</v>
      </c>
      <c r="P584" t="n">
        <v>0</v>
      </c>
      <c r="Q584" t="n">
        <v>0</v>
      </c>
      <c r="R584" s="2" t="inlineStr"/>
    </row>
    <row r="585" ht="15" customHeight="1">
      <c r="A585" t="inlineStr">
        <is>
          <t>A 4420-2025</t>
        </is>
      </c>
      <c r="B585" s="1" t="n">
        <v>45686.47157407407</v>
      </c>
      <c r="C585" s="1" t="n">
        <v>45982</v>
      </c>
      <c r="D585" t="inlineStr">
        <is>
          <t>GOTLANDS LÄN</t>
        </is>
      </c>
      <c r="E585" t="inlineStr">
        <is>
          <t>GOTLAND</t>
        </is>
      </c>
      <c r="G585" t="n">
        <v>1.6</v>
      </c>
      <c r="H585" t="n">
        <v>0</v>
      </c>
      <c r="I585" t="n">
        <v>0</v>
      </c>
      <c r="J585" t="n">
        <v>0</v>
      </c>
      <c r="K585" t="n">
        <v>0</v>
      </c>
      <c r="L585" t="n">
        <v>0</v>
      </c>
      <c r="M585" t="n">
        <v>0</v>
      </c>
      <c r="N585" t="n">
        <v>0</v>
      </c>
      <c r="O585" t="n">
        <v>0</v>
      </c>
      <c r="P585" t="n">
        <v>0</v>
      </c>
      <c r="Q585" t="n">
        <v>0</v>
      </c>
      <c r="R585" s="2" t="inlineStr"/>
    </row>
    <row r="586" ht="15" customHeight="1">
      <c r="A586" t="inlineStr">
        <is>
          <t>A 14427-2024</t>
        </is>
      </c>
      <c r="B586" s="1" t="n">
        <v>45394</v>
      </c>
      <c r="C586" s="1" t="n">
        <v>45982</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49257-2024</t>
        </is>
      </c>
      <c r="B587" s="1" t="n">
        <v>45595.47627314815</v>
      </c>
      <c r="C587" s="1" t="n">
        <v>45982</v>
      </c>
      <c r="D587" t="inlineStr">
        <is>
          <t>GOTLANDS LÄN</t>
        </is>
      </c>
      <c r="E587" t="inlineStr">
        <is>
          <t>GOTLAND</t>
        </is>
      </c>
      <c r="G587" t="n">
        <v>6.3</v>
      </c>
      <c r="H587" t="n">
        <v>0</v>
      </c>
      <c r="I587" t="n">
        <v>0</v>
      </c>
      <c r="J587" t="n">
        <v>0</v>
      </c>
      <c r="K587" t="n">
        <v>0</v>
      </c>
      <c r="L587" t="n">
        <v>0</v>
      </c>
      <c r="M587" t="n">
        <v>0</v>
      </c>
      <c r="N587" t="n">
        <v>0</v>
      </c>
      <c r="O587" t="n">
        <v>0</v>
      </c>
      <c r="P587" t="n">
        <v>0</v>
      </c>
      <c r="Q587" t="n">
        <v>0</v>
      </c>
      <c r="R587" s="2" t="inlineStr"/>
    </row>
    <row r="588" ht="15" customHeight="1">
      <c r="A588" t="inlineStr">
        <is>
          <t>A 49315-2024</t>
        </is>
      </c>
      <c r="B588" s="1" t="n">
        <v>45595</v>
      </c>
      <c r="C588" s="1" t="n">
        <v>45982</v>
      </c>
      <c r="D588" t="inlineStr">
        <is>
          <t>GOTLANDS LÄN</t>
        </is>
      </c>
      <c r="E588" t="inlineStr">
        <is>
          <t>GOTLAND</t>
        </is>
      </c>
      <c r="G588" t="n">
        <v>1.5</v>
      </c>
      <c r="H588" t="n">
        <v>0</v>
      </c>
      <c r="I588" t="n">
        <v>0</v>
      </c>
      <c r="J588" t="n">
        <v>0</v>
      </c>
      <c r="K588" t="n">
        <v>0</v>
      </c>
      <c r="L588" t="n">
        <v>0</v>
      </c>
      <c r="M588" t="n">
        <v>0</v>
      </c>
      <c r="N588" t="n">
        <v>0</v>
      </c>
      <c r="O588" t="n">
        <v>0</v>
      </c>
      <c r="P588" t="n">
        <v>0</v>
      </c>
      <c r="Q588" t="n">
        <v>0</v>
      </c>
      <c r="R588" s="2" t="inlineStr"/>
    </row>
    <row r="589" ht="15" customHeight="1">
      <c r="A589" t="inlineStr">
        <is>
          <t>A 27596-2023</t>
        </is>
      </c>
      <c r="B589" s="1" t="n">
        <v>45097</v>
      </c>
      <c r="C589" s="1" t="n">
        <v>45982</v>
      </c>
      <c r="D589" t="inlineStr">
        <is>
          <t>GOTLANDS LÄN</t>
        </is>
      </c>
      <c r="E589" t="inlineStr">
        <is>
          <t>GOTLAND</t>
        </is>
      </c>
      <c r="G589" t="n">
        <v>3.6</v>
      </c>
      <c r="H589" t="n">
        <v>0</v>
      </c>
      <c r="I589" t="n">
        <v>0</v>
      </c>
      <c r="J589" t="n">
        <v>0</v>
      </c>
      <c r="K589" t="n">
        <v>0</v>
      </c>
      <c r="L589" t="n">
        <v>0</v>
      </c>
      <c r="M589" t="n">
        <v>0</v>
      </c>
      <c r="N589" t="n">
        <v>0</v>
      </c>
      <c r="O589" t="n">
        <v>0</v>
      </c>
      <c r="P589" t="n">
        <v>0</v>
      </c>
      <c r="Q589" t="n">
        <v>0</v>
      </c>
      <c r="R589" s="2" t="inlineStr"/>
    </row>
    <row r="590" ht="15" customHeight="1">
      <c r="A590" t="inlineStr">
        <is>
          <t>A 56115-2023</t>
        </is>
      </c>
      <c r="B590" s="1" t="n">
        <v>45236</v>
      </c>
      <c r="C590" s="1" t="n">
        <v>45982</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64969-2023</t>
        </is>
      </c>
      <c r="B591" s="1" t="n">
        <v>45284.54009259259</v>
      </c>
      <c r="C591" s="1" t="n">
        <v>45982</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45982</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18223-2025</t>
        </is>
      </c>
      <c r="B593" s="1" t="n">
        <v>45761</v>
      </c>
      <c r="C593" s="1" t="n">
        <v>45982</v>
      </c>
      <c r="D593" t="inlineStr">
        <is>
          <t>GOTLANDS LÄN</t>
        </is>
      </c>
      <c r="E593" t="inlineStr">
        <is>
          <t>GOTLAND</t>
        </is>
      </c>
      <c r="G593" t="n">
        <v>0.7</v>
      </c>
      <c r="H593" t="n">
        <v>0</v>
      </c>
      <c r="I593" t="n">
        <v>0</v>
      </c>
      <c r="J593" t="n">
        <v>0</v>
      </c>
      <c r="K593" t="n">
        <v>0</v>
      </c>
      <c r="L593" t="n">
        <v>0</v>
      </c>
      <c r="M593" t="n">
        <v>0</v>
      </c>
      <c r="N593" t="n">
        <v>0</v>
      </c>
      <c r="O593" t="n">
        <v>0</v>
      </c>
      <c r="P593" t="n">
        <v>0</v>
      </c>
      <c r="Q593" t="n">
        <v>0</v>
      </c>
      <c r="R593" s="2" t="inlineStr"/>
    </row>
    <row r="594" ht="15" customHeight="1">
      <c r="A594" t="inlineStr">
        <is>
          <t>A 46949-2024</t>
        </is>
      </c>
      <c r="B594" s="1" t="n">
        <v>45585</v>
      </c>
      <c r="C594" s="1" t="n">
        <v>45982</v>
      </c>
      <c r="D594" t="inlineStr">
        <is>
          <t>GOTLANDS LÄN</t>
        </is>
      </c>
      <c r="E594" t="inlineStr">
        <is>
          <t>GOTLAND</t>
        </is>
      </c>
      <c r="G594" t="n">
        <v>0.6</v>
      </c>
      <c r="H594" t="n">
        <v>0</v>
      </c>
      <c r="I594" t="n">
        <v>0</v>
      </c>
      <c r="J594" t="n">
        <v>0</v>
      </c>
      <c r="K594" t="n">
        <v>0</v>
      </c>
      <c r="L594" t="n">
        <v>0</v>
      </c>
      <c r="M594" t="n">
        <v>0</v>
      </c>
      <c r="N594" t="n">
        <v>0</v>
      </c>
      <c r="O594" t="n">
        <v>0</v>
      </c>
      <c r="P594" t="n">
        <v>0</v>
      </c>
      <c r="Q594" t="n">
        <v>0</v>
      </c>
      <c r="R594" s="2" t="inlineStr"/>
    </row>
    <row r="595" ht="15" customHeight="1">
      <c r="A595" t="inlineStr">
        <is>
          <t>A 24001-2021</t>
        </is>
      </c>
      <c r="B595" s="1" t="n">
        <v>44335</v>
      </c>
      <c r="C595" s="1" t="n">
        <v>45982</v>
      </c>
      <c r="D595" t="inlineStr">
        <is>
          <t>GOTLANDS LÄN</t>
        </is>
      </c>
      <c r="E595" t="inlineStr">
        <is>
          <t>GOTLAND</t>
        </is>
      </c>
      <c r="G595" t="n">
        <v>3.4</v>
      </c>
      <c r="H595" t="n">
        <v>0</v>
      </c>
      <c r="I595" t="n">
        <v>0</v>
      </c>
      <c r="J595" t="n">
        <v>0</v>
      </c>
      <c r="K595" t="n">
        <v>0</v>
      </c>
      <c r="L595" t="n">
        <v>0</v>
      </c>
      <c r="M595" t="n">
        <v>0</v>
      </c>
      <c r="N595" t="n">
        <v>0</v>
      </c>
      <c r="O595" t="n">
        <v>0</v>
      </c>
      <c r="P595" t="n">
        <v>0</v>
      </c>
      <c r="Q595" t="n">
        <v>0</v>
      </c>
      <c r="R595" s="2" t="inlineStr"/>
    </row>
    <row r="596" ht="15" customHeight="1">
      <c r="A596" t="inlineStr">
        <is>
          <t>A 39479-2022</t>
        </is>
      </c>
      <c r="B596" s="1" t="n">
        <v>44818</v>
      </c>
      <c r="C596" s="1" t="n">
        <v>45982</v>
      </c>
      <c r="D596" t="inlineStr">
        <is>
          <t>GOTLANDS LÄN</t>
        </is>
      </c>
      <c r="E596" t="inlineStr">
        <is>
          <t>GOTLAND</t>
        </is>
      </c>
      <c r="G596" t="n">
        <v>1.1</v>
      </c>
      <c r="H596" t="n">
        <v>0</v>
      </c>
      <c r="I596" t="n">
        <v>0</v>
      </c>
      <c r="J596" t="n">
        <v>0</v>
      </c>
      <c r="K596" t="n">
        <v>0</v>
      </c>
      <c r="L596" t="n">
        <v>0</v>
      </c>
      <c r="M596" t="n">
        <v>0</v>
      </c>
      <c r="N596" t="n">
        <v>0</v>
      </c>
      <c r="O596" t="n">
        <v>0</v>
      </c>
      <c r="P596" t="n">
        <v>0</v>
      </c>
      <c r="Q596" t="n">
        <v>0</v>
      </c>
      <c r="R596" s="2" t="inlineStr"/>
    </row>
    <row r="597" ht="15" customHeight="1">
      <c r="A597" t="inlineStr">
        <is>
          <t>A 39496-2022</t>
        </is>
      </c>
      <c r="B597" s="1" t="n">
        <v>44818</v>
      </c>
      <c r="C597" s="1" t="n">
        <v>45982</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46389-2021</t>
        </is>
      </c>
      <c r="B598" s="1" t="n">
        <v>44443</v>
      </c>
      <c r="C598" s="1" t="n">
        <v>45982</v>
      </c>
      <c r="D598" t="inlineStr">
        <is>
          <t>GOTLANDS LÄN</t>
        </is>
      </c>
      <c r="E598" t="inlineStr">
        <is>
          <t>GOTLAND</t>
        </is>
      </c>
      <c r="F598" t="inlineStr">
        <is>
          <t>Kyrkan</t>
        </is>
      </c>
      <c r="G598" t="n">
        <v>2.1</v>
      </c>
      <c r="H598" t="n">
        <v>0</v>
      </c>
      <c r="I598" t="n">
        <v>0</v>
      </c>
      <c r="J598" t="n">
        <v>0</v>
      </c>
      <c r="K598" t="n">
        <v>0</v>
      </c>
      <c r="L598" t="n">
        <v>0</v>
      </c>
      <c r="M598" t="n">
        <v>0</v>
      </c>
      <c r="N598" t="n">
        <v>0</v>
      </c>
      <c r="O598" t="n">
        <v>0</v>
      </c>
      <c r="P598" t="n">
        <v>0</v>
      </c>
      <c r="Q598" t="n">
        <v>0</v>
      </c>
      <c r="R598" s="2" t="inlineStr"/>
    </row>
    <row r="599" ht="15" customHeight="1">
      <c r="A599" t="inlineStr">
        <is>
          <t>A 44949-2023</t>
        </is>
      </c>
      <c r="B599" s="1" t="n">
        <v>45190.69520833333</v>
      </c>
      <c r="C599" s="1" t="n">
        <v>45982</v>
      </c>
      <c r="D599" t="inlineStr">
        <is>
          <t>GOTLANDS LÄN</t>
        </is>
      </c>
      <c r="E599" t="inlineStr">
        <is>
          <t>GOTLAND</t>
        </is>
      </c>
      <c r="G599" t="n">
        <v>1.4</v>
      </c>
      <c r="H599" t="n">
        <v>0</v>
      </c>
      <c r="I599" t="n">
        <v>0</v>
      </c>
      <c r="J599" t="n">
        <v>0</v>
      </c>
      <c r="K599" t="n">
        <v>0</v>
      </c>
      <c r="L599" t="n">
        <v>0</v>
      </c>
      <c r="M599" t="n">
        <v>0</v>
      </c>
      <c r="N599" t="n">
        <v>0</v>
      </c>
      <c r="O599" t="n">
        <v>0</v>
      </c>
      <c r="P599" t="n">
        <v>0</v>
      </c>
      <c r="Q599" t="n">
        <v>0</v>
      </c>
      <c r="R599" s="2" t="inlineStr"/>
    </row>
    <row r="600" ht="15" customHeight="1">
      <c r="A600" t="inlineStr">
        <is>
          <t>A 17682-2024</t>
        </is>
      </c>
      <c r="B600" s="1" t="n">
        <v>45418.42966435185</v>
      </c>
      <c r="C600" s="1" t="n">
        <v>45982</v>
      </c>
      <c r="D600" t="inlineStr">
        <is>
          <t>GOTLANDS LÄN</t>
        </is>
      </c>
      <c r="E600" t="inlineStr">
        <is>
          <t>GOTLAND</t>
        </is>
      </c>
      <c r="G600" t="n">
        <v>2.9</v>
      </c>
      <c r="H600" t="n">
        <v>0</v>
      </c>
      <c r="I600" t="n">
        <v>0</v>
      </c>
      <c r="J600" t="n">
        <v>0</v>
      </c>
      <c r="K600" t="n">
        <v>0</v>
      </c>
      <c r="L600" t="n">
        <v>0</v>
      </c>
      <c r="M600" t="n">
        <v>0</v>
      </c>
      <c r="N600" t="n">
        <v>0</v>
      </c>
      <c r="O600" t="n">
        <v>0</v>
      </c>
      <c r="P600" t="n">
        <v>0</v>
      </c>
      <c r="Q600" t="n">
        <v>0</v>
      </c>
      <c r="R600" s="2" t="inlineStr"/>
    </row>
    <row r="601" ht="15" customHeight="1">
      <c r="A601" t="inlineStr">
        <is>
          <t>A 61897-2024</t>
        </is>
      </c>
      <c r="B601" s="1" t="n">
        <v>45652.75685185185</v>
      </c>
      <c r="C601" s="1" t="n">
        <v>45982</v>
      </c>
      <c r="D601" t="inlineStr">
        <is>
          <t>GOTLANDS LÄN</t>
        </is>
      </c>
      <c r="E601" t="inlineStr">
        <is>
          <t>GOTLAND</t>
        </is>
      </c>
      <c r="G601" t="n">
        <v>6.4</v>
      </c>
      <c r="H601" t="n">
        <v>0</v>
      </c>
      <c r="I601" t="n">
        <v>0</v>
      </c>
      <c r="J601" t="n">
        <v>0</v>
      </c>
      <c r="K601" t="n">
        <v>0</v>
      </c>
      <c r="L601" t="n">
        <v>0</v>
      </c>
      <c r="M601" t="n">
        <v>0</v>
      </c>
      <c r="N601" t="n">
        <v>0</v>
      </c>
      <c r="O601" t="n">
        <v>0</v>
      </c>
      <c r="P601" t="n">
        <v>0</v>
      </c>
      <c r="Q601" t="n">
        <v>0</v>
      </c>
      <c r="R601" s="2" t="inlineStr"/>
    </row>
    <row r="602" ht="15" customHeight="1">
      <c r="A602" t="inlineStr">
        <is>
          <t>A 12032-2025</t>
        </is>
      </c>
      <c r="B602" s="1" t="n">
        <v>45728.64472222222</v>
      </c>
      <c r="C602" s="1" t="n">
        <v>45982</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15595-2024</t>
        </is>
      </c>
      <c r="B603" s="1" t="n">
        <v>45401.81480324074</v>
      </c>
      <c r="C603" s="1" t="n">
        <v>45982</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21164-2024</t>
        </is>
      </c>
      <c r="B604" s="1" t="n">
        <v>45440</v>
      </c>
      <c r="C604" s="1" t="n">
        <v>45982</v>
      </c>
      <c r="D604" t="inlineStr">
        <is>
          <t>GOTLANDS LÄN</t>
        </is>
      </c>
      <c r="E604" t="inlineStr">
        <is>
          <t>GOTLAND</t>
        </is>
      </c>
      <c r="G604" t="n">
        <v>6.3</v>
      </c>
      <c r="H604" t="n">
        <v>0</v>
      </c>
      <c r="I604" t="n">
        <v>0</v>
      </c>
      <c r="J604" t="n">
        <v>0</v>
      </c>
      <c r="K604" t="n">
        <v>0</v>
      </c>
      <c r="L604" t="n">
        <v>0</v>
      </c>
      <c r="M604" t="n">
        <v>0</v>
      </c>
      <c r="N604" t="n">
        <v>0</v>
      </c>
      <c r="O604" t="n">
        <v>0</v>
      </c>
      <c r="P604" t="n">
        <v>0</v>
      </c>
      <c r="Q604" t="n">
        <v>0</v>
      </c>
      <c r="R604" s="2" t="inlineStr"/>
    </row>
    <row r="605" ht="15" customHeight="1">
      <c r="A605" t="inlineStr">
        <is>
          <t>A 17541-2024</t>
        </is>
      </c>
      <c r="B605" s="1" t="n">
        <v>45415</v>
      </c>
      <c r="C605" s="1" t="n">
        <v>45982</v>
      </c>
      <c r="D605" t="inlineStr">
        <is>
          <t>GOTLANDS LÄN</t>
        </is>
      </c>
      <c r="E605" t="inlineStr">
        <is>
          <t>GOTLAND</t>
        </is>
      </c>
      <c r="G605" t="n">
        <v>2.6</v>
      </c>
      <c r="H605" t="n">
        <v>0</v>
      </c>
      <c r="I605" t="n">
        <v>0</v>
      </c>
      <c r="J605" t="n">
        <v>0</v>
      </c>
      <c r="K605" t="n">
        <v>0</v>
      </c>
      <c r="L605" t="n">
        <v>0</v>
      </c>
      <c r="M605" t="n">
        <v>0</v>
      </c>
      <c r="N605" t="n">
        <v>0</v>
      </c>
      <c r="O605" t="n">
        <v>0</v>
      </c>
      <c r="P605" t="n">
        <v>0</v>
      </c>
      <c r="Q605" t="n">
        <v>0</v>
      </c>
      <c r="R605" s="2" t="inlineStr"/>
    </row>
    <row r="606" ht="15" customHeight="1">
      <c r="A606" t="inlineStr">
        <is>
          <t>A 883-2025</t>
        </is>
      </c>
      <c r="B606" s="1" t="n">
        <v>45665</v>
      </c>
      <c r="C606" s="1" t="n">
        <v>45982</v>
      </c>
      <c r="D606" t="inlineStr">
        <is>
          <t>GOTLANDS LÄN</t>
        </is>
      </c>
      <c r="E606" t="inlineStr">
        <is>
          <t>GOTLAND</t>
        </is>
      </c>
      <c r="G606" t="n">
        <v>1.3</v>
      </c>
      <c r="H606" t="n">
        <v>0</v>
      </c>
      <c r="I606" t="n">
        <v>0</v>
      </c>
      <c r="J606" t="n">
        <v>0</v>
      </c>
      <c r="K606" t="n">
        <v>0</v>
      </c>
      <c r="L606" t="n">
        <v>0</v>
      </c>
      <c r="M606" t="n">
        <v>0</v>
      </c>
      <c r="N606" t="n">
        <v>0</v>
      </c>
      <c r="O606" t="n">
        <v>0</v>
      </c>
      <c r="P606" t="n">
        <v>0</v>
      </c>
      <c r="Q606" t="n">
        <v>0</v>
      </c>
      <c r="R606" s="2" t="inlineStr"/>
    </row>
    <row r="607" ht="15" customHeight="1">
      <c r="A607" t="inlineStr">
        <is>
          <t>A 13910-2025</t>
        </is>
      </c>
      <c r="B607" s="1" t="n">
        <v>45737</v>
      </c>
      <c r="C607" s="1" t="n">
        <v>45982</v>
      </c>
      <c r="D607" t="inlineStr">
        <is>
          <t>GOTLANDS LÄN</t>
        </is>
      </c>
      <c r="E607" t="inlineStr">
        <is>
          <t>GOTLAND</t>
        </is>
      </c>
      <c r="F607" t="inlineStr">
        <is>
          <t>Kommuner</t>
        </is>
      </c>
      <c r="G607" t="n">
        <v>3.2</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45982</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45982</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45982</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45982</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2025-11-21T19:52:17Z</dcterms:created>
  <dcterms:modified xmlns:dcterms="http://purl.org/dc/terms/" xmlns:xsi="http://www.w3.org/2001/XMLSchema-instance" xsi:type="dcterms:W3CDTF">2025-11-21T19:52:18Z</dcterms:modified>
</cp:coreProperties>
</file>