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45988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45988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45988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45988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45988</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45988</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45988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445-2023</t>
        </is>
      </c>
      <c r="B36" s="1" t="n">
        <v>44929</v>
      </c>
      <c r="C36" s="1" t="n">
        <v>45988</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45988</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45988</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45988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45988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45988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45988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45988</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45988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45988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45988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45988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45988</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45988</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45988</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45988</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45988</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45988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45988</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16823-2024</t>
        </is>
      </c>
      <c r="B71" s="1" t="n">
        <v>45411</v>
      </c>
      <c r="C71" s="1" t="n">
        <v>45988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65819-2020</t>
        </is>
      </c>
      <c r="B72" s="1" t="n">
        <v>44174</v>
      </c>
      <c r="C72" s="1" t="n">
        <v>45988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45988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45988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446-2023</t>
        </is>
      </c>
      <c r="B76" s="1" t="n">
        <v>44929</v>
      </c>
      <c r="C76" s="1" t="n">
        <v>45988</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45988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45988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45988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52245-2025</t>
        </is>
      </c>
      <c r="B80" s="1" t="n">
        <v>45953.47115740741</v>
      </c>
      <c r="C80" s="1" t="n">
        <v>45988</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45988</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45988</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39425-2023</t>
        </is>
      </c>
      <c r="B83" s="1" t="n">
        <v>45166</v>
      </c>
      <c r="C83" s="1" t="n">
        <v>45988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44944-2022</t>
        </is>
      </c>
      <c r="B84" s="1" t="n">
        <v>44841</v>
      </c>
      <c r="C84" s="1" t="n">
        <v>45988</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2213-2023</t>
        </is>
      </c>
      <c r="B85" s="1" t="n">
        <v>44942</v>
      </c>
      <c r="C85" s="1" t="n">
        <v>45988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45988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45988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45988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45988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45988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45988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52309-2025</t>
        </is>
      </c>
      <c r="B92" s="1" t="n">
        <v>45953.64381944444</v>
      </c>
      <c r="C92" s="1" t="n">
        <v>45988</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45988</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45988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45988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45988</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57463-2025</t>
        </is>
      </c>
      <c r="B97" s="1" t="n">
        <v>45980.54174768519</v>
      </c>
      <c r="C97" s="1" t="n">
        <v>45988</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6159-2023</t>
        </is>
      </c>
      <c r="B98" s="1" t="n">
        <v>44964</v>
      </c>
      <c r="C98" s="1" t="n">
        <v>45988</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45988</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45988</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45988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45988</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45988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64378-2020</t>
        </is>
      </c>
      <c r="B104" s="1" t="n">
        <v>44168</v>
      </c>
      <c r="C104" s="1" t="n">
        <v>45988</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65537-2020</t>
        </is>
      </c>
      <c r="B105" s="1" t="n">
        <v>44173</v>
      </c>
      <c r="C105" s="1" t="n">
        <v>45988</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45988</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45988</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43013-2022</t>
        </is>
      </c>
      <c r="B111" s="1" t="n">
        <v>44833</v>
      </c>
      <c r="C111" s="1" t="n">
        <v>45988</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45988</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13499-2022</t>
        </is>
      </c>
      <c r="B113" s="1" t="n">
        <v>44647.79203703703</v>
      </c>
      <c r="C113" s="1" t="n">
        <v>45988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45988</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30490-2025</t>
        </is>
      </c>
      <c r="B115" s="1" t="n">
        <v>45830</v>
      </c>
      <c r="C115" s="1" t="n">
        <v>45988</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48126-2022</t>
        </is>
      </c>
      <c r="B116" s="1" t="n">
        <v>44857</v>
      </c>
      <c r="C116" s="1" t="n">
        <v>45988</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45988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45988</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45988</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17975-2024</t>
        </is>
      </c>
      <c r="B120" s="1" t="n">
        <v>45419.85546296297</v>
      </c>
      <c r="C120" s="1" t="n">
        <v>45988</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17982-2023</t>
        </is>
      </c>
      <c r="B121" s="1" t="n">
        <v>45040</v>
      </c>
      <c r="C121" s="1" t="n">
        <v>45988</v>
      </c>
      <c r="D121" t="inlineStr">
        <is>
          <t>GOTLANDS LÄN</t>
        </is>
      </c>
      <c r="E121" t="inlineStr">
        <is>
          <t>GOTLAND</t>
        </is>
      </c>
      <c r="G121" t="n">
        <v>2.2</v>
      </c>
      <c r="H121" t="n">
        <v>0</v>
      </c>
      <c r="I121" t="n">
        <v>0</v>
      </c>
      <c r="J121" t="n">
        <v>2</v>
      </c>
      <c r="K121" t="n">
        <v>0</v>
      </c>
      <c r="L121" t="n">
        <v>0</v>
      </c>
      <c r="M121" t="n">
        <v>1</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53552-2021</t>
        </is>
      </c>
      <c r="B122" s="1" t="n">
        <v>44468</v>
      </c>
      <c r="C122" s="1" t="n">
        <v>45988</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45378.6434837963</v>
      </c>
      <c r="C123" s="1" t="n">
        <v>45988</v>
      </c>
      <c r="D123" t="inlineStr">
        <is>
          <t>GOTLANDS LÄN</t>
        </is>
      </c>
      <c r="E123" t="inlineStr">
        <is>
          <t>GOTLAND</t>
        </is>
      </c>
      <c r="G123" t="n">
        <v>6</v>
      </c>
      <c r="H123" t="n">
        <v>3</v>
      </c>
      <c r="I123" t="n">
        <v>1</v>
      </c>
      <c r="J123" t="n">
        <v>1</v>
      </c>
      <c r="K123" t="n">
        <v>0</v>
      </c>
      <c r="L123" t="n">
        <v>0</v>
      </c>
      <c r="M123" t="n">
        <v>0</v>
      </c>
      <c r="N123" t="n">
        <v>0</v>
      </c>
      <c r="O123" t="n">
        <v>1</v>
      </c>
      <c r="P123" t="n">
        <v>0</v>
      </c>
      <c r="Q123" t="n">
        <v>3</v>
      </c>
      <c r="R123" s="2" t="inlineStr">
        <is>
          <t>Buskskvätta
Tvåblad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c r="Z123">
        <f>HYPERLINK("https://klasma.github.io/Logging_0980/fåglar/A 12315-2024 prioriterade fågelarter.docx", "A 12315-2024")</f>
        <v/>
      </c>
    </row>
    <row r="124" ht="15" customHeight="1">
      <c r="A124" t="inlineStr">
        <is>
          <t>A 29870-2021</t>
        </is>
      </c>
      <c r="B124" s="1" t="n">
        <v>44362</v>
      </c>
      <c r="C124" s="1" t="n">
        <v>45988</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45988</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45988</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45988</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45988</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45988</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28261-2024</t>
        </is>
      </c>
      <c r="B130" s="1" t="n">
        <v>45477</v>
      </c>
      <c r="C130" s="1" t="n">
        <v>45988</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55649-2024</t>
        </is>
      </c>
      <c r="B131" s="1" t="n">
        <v>45622.63053240741</v>
      </c>
      <c r="C131" s="1" t="n">
        <v>45988</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7070-2022</t>
        </is>
      </c>
      <c r="B132" s="1" t="n">
        <v>44603</v>
      </c>
      <c r="C132" s="1" t="n">
        <v>45988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45988</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12914-2025</t>
        </is>
      </c>
      <c r="B134" s="1" t="n">
        <v>45733</v>
      </c>
      <c r="C134" s="1" t="n">
        <v>45988</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45988</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45988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45988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45988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45988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45988</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45988</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45988</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45988</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22883-2024</t>
        </is>
      </c>
      <c r="B145" s="1" t="n">
        <v>45448.66368055555</v>
      </c>
      <c r="C145" s="1" t="n">
        <v>45988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24245-2022</t>
        </is>
      </c>
      <c r="B146" s="1" t="n">
        <v>44725</v>
      </c>
      <c r="C146" s="1" t="n">
        <v>45988</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10440-2024</t>
        </is>
      </c>
      <c r="B147" s="1" t="n">
        <v>45366.32818287037</v>
      </c>
      <c r="C147" s="1" t="n">
        <v>45988</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39812-2025</t>
        </is>
      </c>
      <c r="B148" s="1" t="n">
        <v>45891</v>
      </c>
      <c r="C148" s="1" t="n">
        <v>45988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44308-2021</t>
        </is>
      </c>
      <c r="B149" s="1" t="n">
        <v>44434</v>
      </c>
      <c r="C149" s="1" t="n">
        <v>45988</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46527-2023</t>
        </is>
      </c>
      <c r="B150" s="1" t="n">
        <v>45197</v>
      </c>
      <c r="C150" s="1" t="n">
        <v>45988</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26461-2025</t>
        </is>
      </c>
      <c r="B151" s="1" t="n">
        <v>45807.43337962963</v>
      </c>
      <c r="C151" s="1" t="n">
        <v>45988</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17723-2021</t>
        </is>
      </c>
      <c r="B152" s="1" t="n">
        <v>44300</v>
      </c>
      <c r="C152" s="1" t="n">
        <v>45988</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35467-2021</t>
        </is>
      </c>
      <c r="B153" s="1" t="n">
        <v>44385</v>
      </c>
      <c r="C153" s="1" t="n">
        <v>45988</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6303-2024</t>
        </is>
      </c>
      <c r="B154" s="1" t="n">
        <v>45338.35376157407</v>
      </c>
      <c r="C154" s="1" t="n">
        <v>45988</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45988</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44619-2025</t>
        </is>
      </c>
      <c r="B156" s="1" t="n">
        <v>45917</v>
      </c>
      <c r="C156" s="1" t="n">
        <v>45988</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27168-2022</t>
        </is>
      </c>
      <c r="B157" s="1" t="n">
        <v>44741</v>
      </c>
      <c r="C157" s="1" t="n">
        <v>45988</v>
      </c>
      <c r="D157" t="inlineStr">
        <is>
          <t>GOTLANDS LÄN</t>
        </is>
      </c>
      <c r="E157" t="inlineStr">
        <is>
          <t>GOTLAND</t>
        </is>
      </c>
      <c r="G157" t="n">
        <v>2.2</v>
      </c>
      <c r="H157" t="n">
        <v>1</v>
      </c>
      <c r="I157" t="n">
        <v>1</v>
      </c>
      <c r="J157" t="n">
        <v>0</v>
      </c>
      <c r="K157" t="n">
        <v>0</v>
      </c>
      <c r="L157" t="n">
        <v>0</v>
      </c>
      <c r="M157" t="n">
        <v>0</v>
      </c>
      <c r="N157" t="n">
        <v>0</v>
      </c>
      <c r="O157" t="n">
        <v>0</v>
      </c>
      <c r="P157" t="n">
        <v>0</v>
      </c>
      <c r="Q157" t="n">
        <v>1</v>
      </c>
      <c r="R157" s="2" t="inlineStr">
        <is>
          <t>Purpurknipprot</t>
        </is>
      </c>
      <c r="S157">
        <f>HYPERLINK("https://klasma.github.io/Logging_0980/artfynd/A 27168-2022 artfynd.xlsx", "A 27168-2022")</f>
        <v/>
      </c>
      <c r="T157">
        <f>HYPERLINK("https://klasma.github.io/Logging_0980/kartor/A 27168-2022 karta.png", "A 27168-2022")</f>
        <v/>
      </c>
      <c r="V157">
        <f>HYPERLINK("https://klasma.github.io/Logging_0980/klagomål/A 27168-2022 FSC-klagomål.docx", "A 27168-2022")</f>
        <v/>
      </c>
      <c r="W157">
        <f>HYPERLINK("https://klasma.github.io/Logging_0980/klagomålsmail/A 27168-2022 FSC-klagomål mail.docx", "A 27168-2022")</f>
        <v/>
      </c>
      <c r="X157">
        <f>HYPERLINK("https://klasma.github.io/Logging_0980/tillsyn/A 27168-2022 tillsynsbegäran.docx", "A 27168-2022")</f>
        <v/>
      </c>
      <c r="Y157">
        <f>HYPERLINK("https://klasma.github.io/Logging_0980/tillsynsmail/A 27168-2022 tillsynsbegäran mail.docx", "A 27168-2022")</f>
        <v/>
      </c>
    </row>
    <row r="158" ht="15" customHeight="1">
      <c r="A158" t="inlineStr">
        <is>
          <t>A 25977-2024</t>
        </is>
      </c>
      <c r="B158" s="1" t="n">
        <v>45467.69356481481</v>
      </c>
      <c r="C158" s="1" t="n">
        <v>45988</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27589-2023</t>
        </is>
      </c>
      <c r="B159" s="1" t="n">
        <v>45097</v>
      </c>
      <c r="C159" s="1" t="n">
        <v>45988</v>
      </c>
      <c r="D159" t="inlineStr">
        <is>
          <t>GOTLANDS LÄN</t>
        </is>
      </c>
      <c r="E159" t="inlineStr">
        <is>
          <t>GOTLAND</t>
        </is>
      </c>
      <c r="G159" t="n">
        <v>5.4</v>
      </c>
      <c r="H159" t="n">
        <v>0</v>
      </c>
      <c r="I159" t="n">
        <v>0</v>
      </c>
      <c r="J159" t="n">
        <v>0</v>
      </c>
      <c r="K159" t="n">
        <v>0</v>
      </c>
      <c r="L159" t="n">
        <v>0</v>
      </c>
      <c r="M159" t="n">
        <v>1</v>
      </c>
      <c r="N159" t="n">
        <v>0</v>
      </c>
      <c r="O159" t="n">
        <v>1</v>
      </c>
      <c r="P159" t="n">
        <v>1</v>
      </c>
      <c r="Q159" t="n">
        <v>1</v>
      </c>
      <c r="R159" s="2" t="inlineStr">
        <is>
          <t>Skogsalm</t>
        </is>
      </c>
      <c r="S159">
        <f>HYPERLINK("https://klasma.github.io/Logging_0980/artfynd/A 27589-2023 artfynd.xlsx", "A 27589-2023")</f>
        <v/>
      </c>
      <c r="T159">
        <f>HYPERLINK("https://klasma.github.io/Logging_0980/kartor/A 27589-2023 karta.png", "A 27589-2023")</f>
        <v/>
      </c>
      <c r="V159">
        <f>HYPERLINK("https://klasma.github.io/Logging_0980/klagomål/A 27589-2023 FSC-klagomål.docx", "A 27589-2023")</f>
        <v/>
      </c>
      <c r="W159">
        <f>HYPERLINK("https://klasma.github.io/Logging_0980/klagomålsmail/A 27589-2023 FSC-klagomål mail.docx", "A 27589-2023")</f>
        <v/>
      </c>
      <c r="X159">
        <f>HYPERLINK("https://klasma.github.io/Logging_0980/tillsyn/A 27589-2023 tillsynsbegäran.docx", "A 27589-2023")</f>
        <v/>
      </c>
      <c r="Y159">
        <f>HYPERLINK("https://klasma.github.io/Logging_0980/tillsynsmail/A 27589-2023 tillsynsbegäran mail.docx", "A 27589-2023")</f>
        <v/>
      </c>
    </row>
    <row r="160" ht="15" customHeight="1">
      <c r="A160" t="inlineStr">
        <is>
          <t>A 9862-2024</t>
        </is>
      </c>
      <c r="B160" s="1" t="n">
        <v>45363</v>
      </c>
      <c r="C160" s="1" t="n">
        <v>45988</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34141-2024</t>
        </is>
      </c>
      <c r="B161" s="1" t="n">
        <v>45524.36229166666</v>
      </c>
      <c r="C161" s="1" t="n">
        <v>45988</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65927-2021</t>
        </is>
      </c>
      <c r="B162" s="1" t="n">
        <v>44516</v>
      </c>
      <c r="C162" s="1" t="n">
        <v>45988</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947-2023</t>
        </is>
      </c>
      <c r="B163" s="1" t="n">
        <v>44934</v>
      </c>
      <c r="C163" s="1" t="n">
        <v>45988</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12924-2025</t>
        </is>
      </c>
      <c r="B164" s="1" t="n">
        <v>45734</v>
      </c>
      <c r="C164" s="1" t="n">
        <v>45988</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61561-2023</t>
        </is>
      </c>
      <c r="B165" s="1" t="n">
        <v>45265</v>
      </c>
      <c r="C165" s="1" t="n">
        <v>45988</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13939-2021</t>
        </is>
      </c>
      <c r="B166" s="1" t="n">
        <v>44277</v>
      </c>
      <c r="C166" s="1" t="n">
        <v>45988</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20429-2025</t>
        </is>
      </c>
      <c r="B167" s="1" t="n">
        <v>45775.47728009259</v>
      </c>
      <c r="C167" s="1" t="n">
        <v>45988</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12324-2025</t>
        </is>
      </c>
      <c r="B168" s="1" t="n">
        <v>45730</v>
      </c>
      <c r="C168" s="1" t="n">
        <v>45988</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49726-2025</t>
        </is>
      </c>
      <c r="B169" s="1" t="n">
        <v>45939.84466435185</v>
      </c>
      <c r="C169" s="1" t="n">
        <v>45988</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2476-2025</t>
        </is>
      </c>
      <c r="B170" s="1" t="n">
        <v>45673</v>
      </c>
      <c r="C170" s="1" t="n">
        <v>45988</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447-2023</t>
        </is>
      </c>
      <c r="B171" s="1" t="n">
        <v>44929</v>
      </c>
      <c r="C171" s="1" t="n">
        <v>45988</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34809-2024</t>
        </is>
      </c>
      <c r="B172" s="1" t="n">
        <v>45526</v>
      </c>
      <c r="C172" s="1" t="n">
        <v>45988</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49304-2024</t>
        </is>
      </c>
      <c r="B173" s="1" t="n">
        <v>45595.54996527778</v>
      </c>
      <c r="C173" s="1" t="n">
        <v>45988</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22782-2023</t>
        </is>
      </c>
      <c r="B174" s="1" t="n">
        <v>45072</v>
      </c>
      <c r="C174" s="1" t="n">
        <v>45988</v>
      </c>
      <c r="D174" t="inlineStr">
        <is>
          <t>GOTLANDS LÄN</t>
        </is>
      </c>
      <c r="E174" t="inlineStr">
        <is>
          <t>GOTLAND</t>
        </is>
      </c>
      <c r="F174" t="inlineStr">
        <is>
          <t>Kyrkan</t>
        </is>
      </c>
      <c r="G174" t="n">
        <v>3.1</v>
      </c>
      <c r="H174" t="n">
        <v>1</v>
      </c>
      <c r="I174" t="n">
        <v>0</v>
      </c>
      <c r="J174" t="n">
        <v>0</v>
      </c>
      <c r="K174" t="n">
        <v>0</v>
      </c>
      <c r="L174" t="n">
        <v>0</v>
      </c>
      <c r="M174" t="n">
        <v>0</v>
      </c>
      <c r="N174" t="n">
        <v>0</v>
      </c>
      <c r="O174" t="n">
        <v>0</v>
      </c>
      <c r="P174" t="n">
        <v>0</v>
      </c>
      <c r="Q174" t="n">
        <v>1</v>
      </c>
      <c r="R174" s="2" t="inlineStr">
        <is>
          <t>Ängsnycklar × skogsnycklar</t>
        </is>
      </c>
      <c r="S174">
        <f>HYPERLINK("https://klasma.github.io/Logging_0980/artfynd/A 22782-2023 artfynd.xlsx", "A 22782-2023")</f>
        <v/>
      </c>
      <c r="T174">
        <f>HYPERLINK("https://klasma.github.io/Logging_0980/kartor/A 22782-2023 karta.png", "A 22782-2023")</f>
        <v/>
      </c>
      <c r="V174">
        <f>HYPERLINK("https://klasma.github.io/Logging_0980/klagomål/A 22782-2023 FSC-klagomål.docx", "A 22782-2023")</f>
        <v/>
      </c>
      <c r="W174">
        <f>HYPERLINK("https://klasma.github.io/Logging_0980/klagomålsmail/A 22782-2023 FSC-klagomål mail.docx", "A 22782-2023")</f>
        <v/>
      </c>
      <c r="X174">
        <f>HYPERLINK("https://klasma.github.io/Logging_0980/tillsyn/A 22782-2023 tillsynsbegäran.docx", "A 22782-2023")</f>
        <v/>
      </c>
      <c r="Y174">
        <f>HYPERLINK("https://klasma.github.io/Logging_0980/tillsynsmail/A 22782-2023 tillsynsbegäran mail.docx", "A 22782-2023")</f>
        <v/>
      </c>
    </row>
    <row r="175" ht="15" customHeight="1">
      <c r="A175" t="inlineStr">
        <is>
          <t>A 44088-2022</t>
        </is>
      </c>
      <c r="B175" s="1" t="n">
        <v>44839</v>
      </c>
      <c r="C175" s="1" t="n">
        <v>45988</v>
      </c>
      <c r="D175" t="inlineStr">
        <is>
          <t>GOTLANDS LÄN</t>
        </is>
      </c>
      <c r="E175" t="inlineStr">
        <is>
          <t>GOTLAND</t>
        </is>
      </c>
      <c r="G175" t="n">
        <v>1.5</v>
      </c>
      <c r="H175" t="n">
        <v>0</v>
      </c>
      <c r="I175" t="n">
        <v>1</v>
      </c>
      <c r="J175" t="n">
        <v>0</v>
      </c>
      <c r="K175" t="n">
        <v>0</v>
      </c>
      <c r="L175" t="n">
        <v>0</v>
      </c>
      <c r="M175" t="n">
        <v>0</v>
      </c>
      <c r="N175" t="n">
        <v>0</v>
      </c>
      <c r="O175" t="n">
        <v>0</v>
      </c>
      <c r="P175" t="n">
        <v>0</v>
      </c>
      <c r="Q175" t="n">
        <v>1</v>
      </c>
      <c r="R175" s="2" t="inlineStr">
        <is>
          <t>Strävlosta</t>
        </is>
      </c>
      <c r="S175">
        <f>HYPERLINK("https://klasma.github.io/Logging_0980/artfynd/A 44088-2022 artfynd.xlsx", "A 44088-2022")</f>
        <v/>
      </c>
      <c r="T175">
        <f>HYPERLINK("https://klasma.github.io/Logging_0980/kartor/A 44088-2022 karta.png", "A 44088-2022")</f>
        <v/>
      </c>
      <c r="V175">
        <f>HYPERLINK("https://klasma.github.io/Logging_0980/klagomål/A 44088-2022 FSC-klagomål.docx", "A 44088-2022")</f>
        <v/>
      </c>
      <c r="W175">
        <f>HYPERLINK("https://klasma.github.io/Logging_0980/klagomålsmail/A 44088-2022 FSC-klagomål mail.docx", "A 44088-2022")</f>
        <v/>
      </c>
      <c r="X175">
        <f>HYPERLINK("https://klasma.github.io/Logging_0980/tillsyn/A 44088-2022 tillsynsbegäran.docx", "A 44088-2022")</f>
        <v/>
      </c>
      <c r="Y175">
        <f>HYPERLINK("https://klasma.github.io/Logging_0980/tillsynsmail/A 44088-2022 tillsynsbegäran mail.docx", "A 44088-2022")</f>
        <v/>
      </c>
    </row>
    <row r="176" ht="15" customHeight="1">
      <c r="A176" t="inlineStr">
        <is>
          <t>A 1477-2024</t>
        </is>
      </c>
      <c r="B176" s="1" t="n">
        <v>45305.37987268518</v>
      </c>
      <c r="C176" s="1" t="n">
        <v>45988</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45988</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45988</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45988</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45988</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45988</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45988</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45988</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45988</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63299-2020</t>
        </is>
      </c>
      <c r="B185" s="1" t="n">
        <v>44165</v>
      </c>
      <c r="C185" s="1" t="n">
        <v>45988</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49847-2023</t>
        </is>
      </c>
      <c r="B186" s="1" t="n">
        <v>45212</v>
      </c>
      <c r="C186" s="1" t="n">
        <v>45988</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10995-2023</t>
        </is>
      </c>
      <c r="B187" s="1" t="n">
        <v>44986</v>
      </c>
      <c r="C187" s="1" t="n">
        <v>45988</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63576-2021</t>
        </is>
      </c>
      <c r="B188" s="1" t="n">
        <v>44508</v>
      </c>
      <c r="C188" s="1" t="n">
        <v>45988</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21466-2025</t>
        </is>
      </c>
      <c r="B189" s="1" t="n">
        <v>45782</v>
      </c>
      <c r="C189" s="1" t="n">
        <v>45988</v>
      </c>
      <c r="D189" t="inlineStr">
        <is>
          <t>GOTLANDS LÄN</t>
        </is>
      </c>
      <c r="E189" t="inlineStr">
        <is>
          <t>GOTLAND</t>
        </is>
      </c>
      <c r="F189" t="inlineStr">
        <is>
          <t>Övriga statliga verk och myndigheter</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HYPERLINK("https://klasma.github.io/Logging_0980/artfynd/A 21466-2025 artfynd.xlsx", "A 21466-2025")</f>
        <v/>
      </c>
      <c r="T189">
        <f>HYPERLINK("https://klasma.github.io/Logging_0980/kartor/A 21466-2025 karta.png", "A 21466-2025")</f>
        <v/>
      </c>
      <c r="V189">
        <f>HYPERLINK("https://klasma.github.io/Logging_0980/klagomål/A 21466-2025 FSC-klagomål.docx", "A 21466-2025")</f>
        <v/>
      </c>
      <c r="W189">
        <f>HYPERLINK("https://klasma.github.io/Logging_0980/klagomålsmail/A 21466-2025 FSC-klagomål mail.docx", "A 21466-2025")</f>
        <v/>
      </c>
      <c r="X189">
        <f>HYPERLINK("https://klasma.github.io/Logging_0980/tillsyn/A 21466-2025 tillsynsbegäran.docx", "A 21466-2025")</f>
        <v/>
      </c>
      <c r="Y189">
        <f>HYPERLINK("https://klasma.github.io/Logging_0980/tillsynsmail/A 21466-2025 tillsynsbegäran mail.docx", "A 21466-2025")</f>
        <v/>
      </c>
    </row>
    <row r="190" ht="15" customHeight="1">
      <c r="A190" t="inlineStr">
        <is>
          <t>A 19901-2021</t>
        </is>
      </c>
      <c r="B190" s="1" t="n">
        <v>44312</v>
      </c>
      <c r="C190" s="1" t="n">
        <v>45988</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45988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45988</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45988</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45988</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45988</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45988</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45988</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45988</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45988</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45988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45988</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45988</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45988</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45988</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45988</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45988</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45988</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45988</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45988</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45988</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45988</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45988</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45988</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45988</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45988</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45988</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45988</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45988</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45988</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45988</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45988</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45988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45988</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45988</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45988</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45988</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45988</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17901-2023</t>
        </is>
      </c>
      <c r="B243" s="1" t="n">
        <v>45039</v>
      </c>
      <c r="C243" s="1" t="n">
        <v>45988</v>
      </c>
      <c r="D243" t="inlineStr">
        <is>
          <t>GOTLANDS LÄN</t>
        </is>
      </c>
      <c r="E243" t="inlineStr">
        <is>
          <t>GOTLAND</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45988</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45988</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45988</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45988</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45988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45988</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45988</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45988</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45988</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45988</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3964-2024</t>
        </is>
      </c>
      <c r="B254" s="1" t="n">
        <v>45322</v>
      </c>
      <c r="C254" s="1" t="n">
        <v>45988</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45106-2024</t>
        </is>
      </c>
      <c r="B255" s="1" t="n">
        <v>45575</v>
      </c>
      <c r="C255" s="1" t="n">
        <v>45988</v>
      </c>
      <c r="D255" t="inlineStr">
        <is>
          <t>GOTLANDS LÄN</t>
        </is>
      </c>
      <c r="E255" t="inlineStr">
        <is>
          <t>GOTLAND</t>
        </is>
      </c>
      <c r="G255" t="n">
        <v>10</v>
      </c>
      <c r="H255" t="n">
        <v>0</v>
      </c>
      <c r="I255" t="n">
        <v>0</v>
      </c>
      <c r="J255" t="n">
        <v>0</v>
      </c>
      <c r="K255" t="n">
        <v>0</v>
      </c>
      <c r="L255" t="n">
        <v>0</v>
      </c>
      <c r="M255" t="n">
        <v>0</v>
      </c>
      <c r="N255" t="n">
        <v>0</v>
      </c>
      <c r="O255" t="n">
        <v>0</v>
      </c>
      <c r="P255" t="n">
        <v>0</v>
      </c>
      <c r="Q255" t="n">
        <v>0</v>
      </c>
      <c r="R255" s="2" t="inlineStr"/>
    </row>
    <row r="256" ht="15" customHeight="1">
      <c r="A256" t="inlineStr">
        <is>
          <t>A 45112-2024</t>
        </is>
      </c>
      <c r="B256" s="1" t="n">
        <v>45575</v>
      </c>
      <c r="C256" s="1" t="n">
        <v>45988</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20356-2022</t>
        </is>
      </c>
      <c r="B257" s="1" t="n">
        <v>44699</v>
      </c>
      <c r="C257" s="1" t="n">
        <v>45988</v>
      </c>
      <c r="D257" t="inlineStr">
        <is>
          <t>GOTLANDS LÄN</t>
        </is>
      </c>
      <c r="E257" t="inlineStr">
        <is>
          <t>GOTLAND</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21420-2024</t>
        </is>
      </c>
      <c r="B258" s="1" t="n">
        <v>45441.38293981482</v>
      </c>
      <c r="C258" s="1" t="n">
        <v>45988</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7026-2023</t>
        </is>
      </c>
      <c r="B259" s="1" t="n">
        <v>44968.30340277778</v>
      </c>
      <c r="C259" s="1" t="n">
        <v>45988</v>
      </c>
      <c r="D259" t="inlineStr">
        <is>
          <t>GOTLANDS LÄN</t>
        </is>
      </c>
      <c r="E259" t="inlineStr">
        <is>
          <t>GOTLAND</t>
        </is>
      </c>
      <c r="G259" t="n">
        <v>2.9</v>
      </c>
      <c r="H259" t="n">
        <v>0</v>
      </c>
      <c r="I259" t="n">
        <v>0</v>
      </c>
      <c r="J259" t="n">
        <v>0</v>
      </c>
      <c r="K259" t="n">
        <v>0</v>
      </c>
      <c r="L259" t="n">
        <v>0</v>
      </c>
      <c r="M259" t="n">
        <v>0</v>
      </c>
      <c r="N259" t="n">
        <v>0</v>
      </c>
      <c r="O259" t="n">
        <v>0</v>
      </c>
      <c r="P259" t="n">
        <v>0</v>
      </c>
      <c r="Q259" t="n">
        <v>0</v>
      </c>
      <c r="R259" s="2" t="inlineStr"/>
    </row>
    <row r="260" ht="15" customHeight="1">
      <c r="A260" t="inlineStr">
        <is>
          <t>A 10656-2024</t>
        </is>
      </c>
      <c r="B260" s="1" t="n">
        <v>45368</v>
      </c>
      <c r="C260" s="1" t="n">
        <v>45988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57356-2023</t>
        </is>
      </c>
      <c r="B261" s="1" t="n">
        <v>45240</v>
      </c>
      <c r="C261" s="1" t="n">
        <v>45988</v>
      </c>
      <c r="D261" t="inlineStr">
        <is>
          <t>GOTLANDS LÄN</t>
        </is>
      </c>
      <c r="E261" t="inlineStr">
        <is>
          <t>GOTLAND</t>
        </is>
      </c>
      <c r="G261" t="n">
        <v>6.4</v>
      </c>
      <c r="H261" t="n">
        <v>0</v>
      </c>
      <c r="I261" t="n">
        <v>0</v>
      </c>
      <c r="J261" t="n">
        <v>0</v>
      </c>
      <c r="K261" t="n">
        <v>0</v>
      </c>
      <c r="L261" t="n">
        <v>0</v>
      </c>
      <c r="M261" t="n">
        <v>0</v>
      </c>
      <c r="N261" t="n">
        <v>0</v>
      </c>
      <c r="O261" t="n">
        <v>0</v>
      </c>
      <c r="P261" t="n">
        <v>0</v>
      </c>
      <c r="Q261" t="n">
        <v>0</v>
      </c>
      <c r="R261" s="2" t="inlineStr"/>
    </row>
    <row r="262" ht="15" customHeight="1">
      <c r="A262" t="inlineStr">
        <is>
          <t>A 28506-2023</t>
        </is>
      </c>
      <c r="B262" s="1" t="n">
        <v>45103</v>
      </c>
      <c r="C262" s="1" t="n">
        <v>45988</v>
      </c>
      <c r="D262" t="inlineStr">
        <is>
          <t>GOTLANDS LÄN</t>
        </is>
      </c>
      <c r="E262" t="inlineStr">
        <is>
          <t>GOTLAND</t>
        </is>
      </c>
      <c r="G262" t="n">
        <v>3.2</v>
      </c>
      <c r="H262" t="n">
        <v>0</v>
      </c>
      <c r="I262" t="n">
        <v>0</v>
      </c>
      <c r="J262" t="n">
        <v>0</v>
      </c>
      <c r="K262" t="n">
        <v>0</v>
      </c>
      <c r="L262" t="n">
        <v>0</v>
      </c>
      <c r="M262" t="n">
        <v>0</v>
      </c>
      <c r="N262" t="n">
        <v>0</v>
      </c>
      <c r="O262" t="n">
        <v>0</v>
      </c>
      <c r="P262" t="n">
        <v>0</v>
      </c>
      <c r="Q262" t="n">
        <v>0</v>
      </c>
      <c r="R262" s="2" t="inlineStr"/>
    </row>
    <row r="263" ht="15" customHeight="1">
      <c r="A263" t="inlineStr">
        <is>
          <t>A 52892-2021</t>
        </is>
      </c>
      <c r="B263" s="1" t="n">
        <v>44467.49048611111</v>
      </c>
      <c r="C263" s="1" t="n">
        <v>45988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23188-2025</t>
        </is>
      </c>
      <c r="B264" s="1" t="n">
        <v>45791</v>
      </c>
      <c r="C264" s="1" t="n">
        <v>45988</v>
      </c>
      <c r="D264" t="inlineStr">
        <is>
          <t>GOTLANDS LÄN</t>
        </is>
      </c>
      <c r="E264" t="inlineStr">
        <is>
          <t>GOTLAND</t>
        </is>
      </c>
      <c r="G264" t="n">
        <v>6.2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45667.62246527777</v>
      </c>
      <c r="C265" s="1" t="n">
        <v>45988</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2292-2021</t>
        </is>
      </c>
      <c r="B266" s="1" t="n">
        <v>44212</v>
      </c>
      <c r="C266" s="1" t="n">
        <v>45988</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45988</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49874-2024</t>
        </is>
      </c>
      <c r="B268" s="1" t="n">
        <v>45597.49274305555</v>
      </c>
      <c r="C268" s="1" t="n">
        <v>45988</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35141-2025</t>
        </is>
      </c>
      <c r="B269" s="1" t="n">
        <v>45852.65206018519</v>
      </c>
      <c r="C269" s="1" t="n">
        <v>45988</v>
      </c>
      <c r="D269" t="inlineStr">
        <is>
          <t>GOTLANDS LÄN</t>
        </is>
      </c>
      <c r="E269" t="inlineStr">
        <is>
          <t>GOTLAND</t>
        </is>
      </c>
      <c r="G269" t="n">
        <v>1</v>
      </c>
      <c r="H269" t="n">
        <v>0</v>
      </c>
      <c r="I269" t="n">
        <v>0</v>
      </c>
      <c r="J269" t="n">
        <v>0</v>
      </c>
      <c r="K269" t="n">
        <v>0</v>
      </c>
      <c r="L269" t="n">
        <v>0</v>
      </c>
      <c r="M269" t="n">
        <v>0</v>
      </c>
      <c r="N269" t="n">
        <v>0</v>
      </c>
      <c r="O269" t="n">
        <v>0</v>
      </c>
      <c r="P269" t="n">
        <v>0</v>
      </c>
      <c r="Q269" t="n">
        <v>0</v>
      </c>
      <c r="R269" s="2" t="inlineStr"/>
    </row>
    <row r="270" ht="15" customHeight="1">
      <c r="A270" t="inlineStr">
        <is>
          <t>A 23856-2025</t>
        </is>
      </c>
      <c r="B270" s="1" t="n">
        <v>45793</v>
      </c>
      <c r="C270" s="1" t="n">
        <v>45988</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23473-2025</t>
        </is>
      </c>
      <c r="B271" s="1" t="n">
        <v>45792</v>
      </c>
      <c r="C271" s="1" t="n">
        <v>45988</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45988</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15073-2025</t>
        </is>
      </c>
      <c r="B273" s="1" t="n">
        <v>45743</v>
      </c>
      <c r="C273" s="1" t="n">
        <v>45988</v>
      </c>
      <c r="D273" t="inlineStr">
        <is>
          <t>GOTLANDS LÄN</t>
        </is>
      </c>
      <c r="E273" t="inlineStr">
        <is>
          <t>GOTLAND</t>
        </is>
      </c>
      <c r="G273" t="n">
        <v>12.1</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45988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39849-2025</t>
        </is>
      </c>
      <c r="B275" s="1" t="n">
        <v>45891.58502314815</v>
      </c>
      <c r="C275" s="1" t="n">
        <v>45988</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60675-2021</t>
        </is>
      </c>
      <c r="B276" s="1" t="n">
        <v>44496.64855324074</v>
      </c>
      <c r="C276" s="1" t="n">
        <v>45988</v>
      </c>
      <c r="D276" t="inlineStr">
        <is>
          <t>GOTLANDS LÄN</t>
        </is>
      </c>
      <c r="E276" t="inlineStr">
        <is>
          <t>GOTLAND</t>
        </is>
      </c>
      <c r="G276" t="n">
        <v>4.6</v>
      </c>
      <c r="H276" t="n">
        <v>0</v>
      </c>
      <c r="I276" t="n">
        <v>0</v>
      </c>
      <c r="J276" t="n">
        <v>0</v>
      </c>
      <c r="K276" t="n">
        <v>0</v>
      </c>
      <c r="L276" t="n">
        <v>0</v>
      </c>
      <c r="M276" t="n">
        <v>0</v>
      </c>
      <c r="N276" t="n">
        <v>0</v>
      </c>
      <c r="O276" t="n">
        <v>0</v>
      </c>
      <c r="P276" t="n">
        <v>0</v>
      </c>
      <c r="Q276" t="n">
        <v>0</v>
      </c>
      <c r="R276" s="2" t="inlineStr"/>
    </row>
    <row r="277" ht="15" customHeight="1">
      <c r="A277" t="inlineStr">
        <is>
          <t>A 39814-2025</t>
        </is>
      </c>
      <c r="B277" s="1" t="n">
        <v>45891.52694444444</v>
      </c>
      <c r="C277" s="1" t="n">
        <v>45988</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45988</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45988</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45988</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6749-2025</t>
        </is>
      </c>
      <c r="B281" s="1" t="n">
        <v>45700</v>
      </c>
      <c r="C281" s="1" t="n">
        <v>45988</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45988</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45988</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45988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45327.45173611111</v>
      </c>
      <c r="C285" s="1" t="n">
        <v>45988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45988</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5462-2025</t>
        </is>
      </c>
      <c r="B287" s="1" t="n">
        <v>45693.29331018519</v>
      </c>
      <c r="C287" s="1" t="n">
        <v>45988</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44698.49854166667</v>
      </c>
      <c r="C288" s="1" t="n">
        <v>45988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45988</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38649-2025</t>
        </is>
      </c>
      <c r="B290" s="1" t="n">
        <v>45884</v>
      </c>
      <c r="C290" s="1" t="n">
        <v>45988</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31264-2021</t>
        </is>
      </c>
      <c r="B291" s="1" t="n">
        <v>44368</v>
      </c>
      <c r="C291" s="1" t="n">
        <v>45988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33876-2024</t>
        </is>
      </c>
      <c r="B292" s="1" t="n">
        <v>45521.87988425926</v>
      </c>
      <c r="C292" s="1" t="n">
        <v>45988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45988</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43223-2023</t>
        </is>
      </c>
      <c r="B294" s="1" t="n">
        <v>45183.45642361111</v>
      </c>
      <c r="C294" s="1" t="n">
        <v>45988</v>
      </c>
      <c r="D294" t="inlineStr">
        <is>
          <t>GOTLANDS LÄN</t>
        </is>
      </c>
      <c r="E294" t="inlineStr">
        <is>
          <t>GOTLAND</t>
        </is>
      </c>
      <c r="G294" t="n">
        <v>1.8</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45653.54340277778</v>
      </c>
      <c r="C295" s="1" t="n">
        <v>45988</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41551-2025</t>
        </is>
      </c>
      <c r="B296" s="1" t="n">
        <v>45901.58854166666</v>
      </c>
      <c r="C296" s="1" t="n">
        <v>45988</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27930-2021</t>
        </is>
      </c>
      <c r="B297" s="1" t="n">
        <v>44354</v>
      </c>
      <c r="C297" s="1" t="n">
        <v>45988</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59469-2024</t>
        </is>
      </c>
      <c r="B298" s="1" t="n">
        <v>45638</v>
      </c>
      <c r="C298" s="1" t="n">
        <v>45988</v>
      </c>
      <c r="D298" t="inlineStr">
        <is>
          <t>GOTLANDS LÄN</t>
        </is>
      </c>
      <c r="E298" t="inlineStr">
        <is>
          <t>GOTLAND</t>
        </is>
      </c>
      <c r="G298" t="n">
        <v>0.4</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45988</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25796-2025</t>
        </is>
      </c>
      <c r="B300" s="1" t="n">
        <v>45804.39543981481</v>
      </c>
      <c r="C300" s="1" t="n">
        <v>45988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45988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5751-2024</t>
        </is>
      </c>
      <c r="B302" s="1" t="n">
        <v>45335.32702546296</v>
      </c>
      <c r="C302" s="1" t="n">
        <v>45988</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6696-2023</t>
        </is>
      </c>
      <c r="B303" s="1" t="n">
        <v>44966.66425925926</v>
      </c>
      <c r="C303" s="1" t="n">
        <v>45988</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28480-2023</t>
        </is>
      </c>
      <c r="B304" s="1" t="n">
        <v>45103</v>
      </c>
      <c r="C304" s="1" t="n">
        <v>45988</v>
      </c>
      <c r="D304" t="inlineStr">
        <is>
          <t>GOTLANDS LÄN</t>
        </is>
      </c>
      <c r="E304" t="inlineStr">
        <is>
          <t>GOTLAND</t>
        </is>
      </c>
      <c r="G304" t="n">
        <v>5.7</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45103.43731481482</v>
      </c>
      <c r="C305" s="1" t="n">
        <v>45988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45988</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45988</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26457-2025</t>
        </is>
      </c>
      <c r="B308" s="1" t="n">
        <v>45807.42773148148</v>
      </c>
      <c r="C308" s="1" t="n">
        <v>45988</v>
      </c>
      <c r="D308" t="inlineStr">
        <is>
          <t>GOTLANDS LÄN</t>
        </is>
      </c>
      <c r="E308" t="inlineStr">
        <is>
          <t>GOTLAND</t>
        </is>
      </c>
      <c r="G308" t="n">
        <v>5.7</v>
      </c>
      <c r="H308" t="n">
        <v>0</v>
      </c>
      <c r="I308" t="n">
        <v>0</v>
      </c>
      <c r="J308" t="n">
        <v>0</v>
      </c>
      <c r="K308" t="n">
        <v>0</v>
      </c>
      <c r="L308" t="n">
        <v>0</v>
      </c>
      <c r="M308" t="n">
        <v>0</v>
      </c>
      <c r="N308" t="n">
        <v>0</v>
      </c>
      <c r="O308" t="n">
        <v>0</v>
      </c>
      <c r="P308" t="n">
        <v>0</v>
      </c>
      <c r="Q308" t="n">
        <v>0</v>
      </c>
      <c r="R308" s="2" t="inlineStr"/>
    </row>
    <row r="309" ht="15" customHeight="1">
      <c r="A309" t="inlineStr">
        <is>
          <t>A 26467-2025</t>
        </is>
      </c>
      <c r="B309" s="1" t="n">
        <v>45807.44640046296</v>
      </c>
      <c r="C309" s="1" t="n">
        <v>45988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38165-2023</t>
        </is>
      </c>
      <c r="B310" s="1" t="n">
        <v>45161</v>
      </c>
      <c r="C310" s="1" t="n">
        <v>45988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50928-2025</t>
        </is>
      </c>
      <c r="B311" s="1" t="n">
        <v>45946.67896990741</v>
      </c>
      <c r="C311" s="1" t="n">
        <v>45988</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45988</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26660-2025</t>
        </is>
      </c>
      <c r="B313" s="1" t="n">
        <v>45810.39737268518</v>
      </c>
      <c r="C313" s="1" t="n">
        <v>45988</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45988</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16373-2025</t>
        </is>
      </c>
      <c r="B315" s="1" t="n">
        <v>45751</v>
      </c>
      <c r="C315" s="1" t="n">
        <v>45988</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51262-2025</t>
        </is>
      </c>
      <c r="B316" s="1" t="n">
        <v>45949.49872685185</v>
      </c>
      <c r="C316" s="1" t="n">
        <v>45988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49693-2023</t>
        </is>
      </c>
      <c r="B317" s="1" t="n">
        <v>45212.38138888889</v>
      </c>
      <c r="C317" s="1" t="n">
        <v>45988</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49697-2023</t>
        </is>
      </c>
      <c r="B318" s="1" t="n">
        <v>45212.38909722222</v>
      </c>
      <c r="C318" s="1" t="n">
        <v>45988</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27371-2025</t>
        </is>
      </c>
      <c r="B319" s="1" t="n">
        <v>45812</v>
      </c>
      <c r="C319" s="1" t="n">
        <v>45988</v>
      </c>
      <c r="D319" t="inlineStr">
        <is>
          <t>GOTLANDS LÄN</t>
        </is>
      </c>
      <c r="E319" t="inlineStr">
        <is>
          <t>GOTLAND</t>
        </is>
      </c>
      <c r="G319" t="n">
        <v>8</v>
      </c>
      <c r="H319" t="n">
        <v>0</v>
      </c>
      <c r="I319" t="n">
        <v>0</v>
      </c>
      <c r="J319" t="n">
        <v>0</v>
      </c>
      <c r="K319" t="n">
        <v>0</v>
      </c>
      <c r="L319" t="n">
        <v>0</v>
      </c>
      <c r="M319" t="n">
        <v>0</v>
      </c>
      <c r="N319" t="n">
        <v>0</v>
      </c>
      <c r="O319" t="n">
        <v>0</v>
      </c>
      <c r="P319" t="n">
        <v>0</v>
      </c>
      <c r="Q319" t="n">
        <v>0</v>
      </c>
      <c r="R319" s="2" t="inlineStr"/>
    </row>
    <row r="320" ht="15" customHeight="1">
      <c r="A320" t="inlineStr">
        <is>
          <t>A 34312-2024</t>
        </is>
      </c>
      <c r="B320" s="1" t="n">
        <v>45524.69703703704</v>
      </c>
      <c r="C320" s="1" t="n">
        <v>45988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48503-2023</t>
        </is>
      </c>
      <c r="B321" s="1" t="n">
        <v>45207</v>
      </c>
      <c r="C321" s="1" t="n">
        <v>45988</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7850-2025</t>
        </is>
      </c>
      <c r="B322" s="1" t="n">
        <v>45706</v>
      </c>
      <c r="C322" s="1" t="n">
        <v>45988</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6739-2025</t>
        </is>
      </c>
      <c r="B323" s="1" t="n">
        <v>45700</v>
      </c>
      <c r="C323" s="1" t="n">
        <v>45988</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24825-2024</t>
        </is>
      </c>
      <c r="B324" s="1" t="n">
        <v>45461</v>
      </c>
      <c r="C324" s="1" t="n">
        <v>45988</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8444-2025</t>
        </is>
      </c>
      <c r="B325" s="1" t="n">
        <v>45709</v>
      </c>
      <c r="C325" s="1" t="n">
        <v>45988</v>
      </c>
      <c r="D325" t="inlineStr">
        <is>
          <t>GOTLANDS LÄN</t>
        </is>
      </c>
      <c r="E325" t="inlineStr">
        <is>
          <t>GOTLAND</t>
        </is>
      </c>
      <c r="G325" t="n">
        <v>5.2</v>
      </c>
      <c r="H325" t="n">
        <v>0</v>
      </c>
      <c r="I325" t="n">
        <v>0</v>
      </c>
      <c r="J325" t="n">
        <v>0</v>
      </c>
      <c r="K325" t="n">
        <v>0</v>
      </c>
      <c r="L325" t="n">
        <v>0</v>
      </c>
      <c r="M325" t="n">
        <v>0</v>
      </c>
      <c r="N325" t="n">
        <v>0</v>
      </c>
      <c r="O325" t="n">
        <v>0</v>
      </c>
      <c r="P325" t="n">
        <v>0</v>
      </c>
      <c r="Q325" t="n">
        <v>0</v>
      </c>
      <c r="R325" s="2" t="inlineStr"/>
    </row>
    <row r="326" ht="15" customHeight="1">
      <c r="A326" t="inlineStr">
        <is>
          <t>A 19905-2025</t>
        </is>
      </c>
      <c r="B326" s="1" t="n">
        <v>45771</v>
      </c>
      <c r="C326" s="1" t="n">
        <v>45988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22031-2024</t>
        </is>
      </c>
      <c r="B327" s="1" t="n">
        <v>45443.60075231481</v>
      </c>
      <c r="C327" s="1" t="n">
        <v>45988</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45418.43575231481</v>
      </c>
      <c r="C328" s="1" t="n">
        <v>45988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27694-2024</t>
        </is>
      </c>
      <c r="B329" s="1" t="n">
        <v>45475</v>
      </c>
      <c r="C329" s="1" t="n">
        <v>45988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45988</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29207-2025</t>
        </is>
      </c>
      <c r="B331" s="1" t="n">
        <v>45823</v>
      </c>
      <c r="C331" s="1" t="n">
        <v>45988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52249-2025</t>
        </is>
      </c>
      <c r="B332" s="1" t="n">
        <v>45953.48637731482</v>
      </c>
      <c r="C332" s="1" t="n">
        <v>45988</v>
      </c>
      <c r="D332" t="inlineStr">
        <is>
          <t>GOTLANDS LÄN</t>
        </is>
      </c>
      <c r="E332" t="inlineStr">
        <is>
          <t>GOTLAND</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29196-2025</t>
        </is>
      </c>
      <c r="B333" s="1" t="n">
        <v>45822</v>
      </c>
      <c r="C333" s="1" t="n">
        <v>45988</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39764-2022</t>
        </is>
      </c>
      <c r="B334" s="1" t="n">
        <v>44819</v>
      </c>
      <c r="C334" s="1" t="n">
        <v>45988</v>
      </c>
      <c r="D334" t="inlineStr">
        <is>
          <t>GOTLANDS LÄN</t>
        </is>
      </c>
      <c r="E334" t="inlineStr">
        <is>
          <t>GOTLAND</t>
        </is>
      </c>
      <c r="F334" t="inlineStr">
        <is>
          <t>Kyrkan</t>
        </is>
      </c>
      <c r="G334" t="n">
        <v>3.7</v>
      </c>
      <c r="H334" t="n">
        <v>0</v>
      </c>
      <c r="I334" t="n">
        <v>0</v>
      </c>
      <c r="J334" t="n">
        <v>0</v>
      </c>
      <c r="K334" t="n">
        <v>0</v>
      </c>
      <c r="L334" t="n">
        <v>0</v>
      </c>
      <c r="M334" t="n">
        <v>0</v>
      </c>
      <c r="N334" t="n">
        <v>0</v>
      </c>
      <c r="O334" t="n">
        <v>0</v>
      </c>
      <c r="P334" t="n">
        <v>0</v>
      </c>
      <c r="Q334" t="n">
        <v>0</v>
      </c>
      <c r="R334" s="2" t="inlineStr"/>
    </row>
    <row r="335" ht="15" customHeight="1">
      <c r="A335" t="inlineStr">
        <is>
          <t>A 6099-2024</t>
        </is>
      </c>
      <c r="B335" s="1" t="n">
        <v>45337</v>
      </c>
      <c r="C335" s="1" t="n">
        <v>45988</v>
      </c>
      <c r="D335" t="inlineStr">
        <is>
          <t>GOTLANDS LÄN</t>
        </is>
      </c>
      <c r="E335" t="inlineStr">
        <is>
          <t>GOTLAND</t>
        </is>
      </c>
      <c r="G335" t="n">
        <v>12.6</v>
      </c>
      <c r="H335" t="n">
        <v>0</v>
      </c>
      <c r="I335" t="n">
        <v>0</v>
      </c>
      <c r="J335" t="n">
        <v>0</v>
      </c>
      <c r="K335" t="n">
        <v>0</v>
      </c>
      <c r="L335" t="n">
        <v>0</v>
      </c>
      <c r="M335" t="n">
        <v>0</v>
      </c>
      <c r="N335" t="n">
        <v>0</v>
      </c>
      <c r="O335" t="n">
        <v>0</v>
      </c>
      <c r="P335" t="n">
        <v>0</v>
      </c>
      <c r="Q335" t="n">
        <v>0</v>
      </c>
      <c r="R335" s="2" t="inlineStr"/>
    </row>
    <row r="336" ht="15" customHeight="1">
      <c r="A336" t="inlineStr">
        <is>
          <t>A 8260-2023</t>
        </is>
      </c>
      <c r="B336" s="1" t="n">
        <v>44974.61608796296</v>
      </c>
      <c r="C336" s="1" t="n">
        <v>45988</v>
      </c>
      <c r="D336" t="inlineStr">
        <is>
          <t>GOTLANDS LÄN</t>
        </is>
      </c>
      <c r="E336" t="inlineStr">
        <is>
          <t>GOTLAND</t>
        </is>
      </c>
      <c r="G336" t="n">
        <v>2.9</v>
      </c>
      <c r="H336" t="n">
        <v>0</v>
      </c>
      <c r="I336" t="n">
        <v>0</v>
      </c>
      <c r="J336" t="n">
        <v>0</v>
      </c>
      <c r="K336" t="n">
        <v>0</v>
      </c>
      <c r="L336" t="n">
        <v>0</v>
      </c>
      <c r="M336" t="n">
        <v>0</v>
      </c>
      <c r="N336" t="n">
        <v>0</v>
      </c>
      <c r="O336" t="n">
        <v>0</v>
      </c>
      <c r="P336" t="n">
        <v>0</v>
      </c>
      <c r="Q336" t="n">
        <v>0</v>
      </c>
      <c r="R336" s="2" t="inlineStr"/>
    </row>
    <row r="337" ht="15" customHeight="1">
      <c r="A337" t="inlineStr">
        <is>
          <t>A 22287-2022</t>
        </is>
      </c>
      <c r="B337" s="1" t="n">
        <v>44712</v>
      </c>
      <c r="C337" s="1" t="n">
        <v>45988</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57534-2022</t>
        </is>
      </c>
      <c r="B338" s="1" t="n">
        <v>44896</v>
      </c>
      <c r="C338" s="1" t="n">
        <v>45988</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30061-2025</t>
        </is>
      </c>
      <c r="B340" s="1" t="n">
        <v>45826.61488425926</v>
      </c>
      <c r="C340" s="1" t="n">
        <v>45988</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58160-2024</t>
        </is>
      </c>
      <c r="B341" s="1" t="n">
        <v>45632.44927083333</v>
      </c>
      <c r="C341" s="1" t="n">
        <v>45988</v>
      </c>
      <c r="D341" t="inlineStr">
        <is>
          <t>GOTLANDS LÄN</t>
        </is>
      </c>
      <c r="E341" t="inlineStr">
        <is>
          <t>GOTLAND</t>
        </is>
      </c>
      <c r="G341" t="n">
        <v>5.6</v>
      </c>
      <c r="H341" t="n">
        <v>0</v>
      </c>
      <c r="I341" t="n">
        <v>0</v>
      </c>
      <c r="J341" t="n">
        <v>0</v>
      </c>
      <c r="K341" t="n">
        <v>0</v>
      </c>
      <c r="L341" t="n">
        <v>0</v>
      </c>
      <c r="M341" t="n">
        <v>0</v>
      </c>
      <c r="N341" t="n">
        <v>0</v>
      </c>
      <c r="O341" t="n">
        <v>0</v>
      </c>
      <c r="P341" t="n">
        <v>0</v>
      </c>
      <c r="Q341" t="n">
        <v>0</v>
      </c>
      <c r="R341" s="2" t="inlineStr"/>
    </row>
    <row r="342" ht="15" customHeight="1">
      <c r="A342" t="inlineStr">
        <is>
          <t>A 43951-2025</t>
        </is>
      </c>
      <c r="B342" s="1" t="n">
        <v>45915.38119212963</v>
      </c>
      <c r="C342" s="1" t="n">
        <v>45988</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52637-2025</t>
        </is>
      </c>
      <c r="B343" s="1" t="n">
        <v>45954.75099537037</v>
      </c>
      <c r="C343" s="1" t="n">
        <v>45988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45988</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44410-2025</t>
        </is>
      </c>
      <c r="B345" s="1" t="n">
        <v>45916.53699074074</v>
      </c>
      <c r="C345" s="1" t="n">
        <v>45988</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44405-2025</t>
        </is>
      </c>
      <c r="B346" s="1" t="n">
        <v>45916.52405092592</v>
      </c>
      <c r="C346" s="1" t="n">
        <v>45988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16109-2025</t>
        </is>
      </c>
      <c r="B347" s="1" t="n">
        <v>45750</v>
      </c>
      <c r="C347" s="1" t="n">
        <v>45988</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45988</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45988</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53587-2025</t>
        </is>
      </c>
      <c r="B350" s="1" t="n">
        <v>45960.43681712963</v>
      </c>
      <c r="C350" s="1" t="n">
        <v>45988</v>
      </c>
      <c r="D350" t="inlineStr">
        <is>
          <t>GOTLANDS LÄN</t>
        </is>
      </c>
      <c r="E350" t="inlineStr">
        <is>
          <t>GOTLAND</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45988</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60709-2023</t>
        </is>
      </c>
      <c r="B352" s="1" t="n">
        <v>45260</v>
      </c>
      <c r="C352" s="1" t="n">
        <v>45988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1000-2024</t>
        </is>
      </c>
      <c r="B353" s="1" t="n">
        <v>45301.63371527778</v>
      </c>
      <c r="C353" s="1" t="n">
        <v>45988</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1010-2024</t>
        </is>
      </c>
      <c r="B354" s="1" t="n">
        <v>45301</v>
      </c>
      <c r="C354" s="1" t="n">
        <v>45988</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65249-2023</t>
        </is>
      </c>
      <c r="B355" s="1" t="n">
        <v>45290</v>
      </c>
      <c r="C355" s="1" t="n">
        <v>45988</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53561-2025</t>
        </is>
      </c>
      <c r="B356" s="1" t="n">
        <v>45960.4059375</v>
      </c>
      <c r="C356" s="1" t="n">
        <v>45988</v>
      </c>
      <c r="D356" t="inlineStr">
        <is>
          <t>GOTLANDS LÄN</t>
        </is>
      </c>
      <c r="E356" t="inlineStr">
        <is>
          <t>GOTLAND</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53569-2025</t>
        </is>
      </c>
      <c r="B357" s="1" t="n">
        <v>45960.41155092593</v>
      </c>
      <c r="C357" s="1" t="n">
        <v>45988</v>
      </c>
      <c r="D357" t="inlineStr">
        <is>
          <t>GOTLANDS LÄN</t>
        </is>
      </c>
      <c r="E357" t="inlineStr">
        <is>
          <t>GOTLAND</t>
        </is>
      </c>
      <c r="F357" t="inlineStr">
        <is>
          <t>Övriga Aktiebolag</t>
        </is>
      </c>
      <c r="G357" t="n">
        <v>11.3</v>
      </c>
      <c r="H357" t="n">
        <v>0</v>
      </c>
      <c r="I357" t="n">
        <v>0</v>
      </c>
      <c r="J357" t="n">
        <v>0</v>
      </c>
      <c r="K357" t="n">
        <v>0</v>
      </c>
      <c r="L357" t="n">
        <v>0</v>
      </c>
      <c r="M357" t="n">
        <v>0</v>
      </c>
      <c r="N357" t="n">
        <v>0</v>
      </c>
      <c r="O357" t="n">
        <v>0</v>
      </c>
      <c r="P357" t="n">
        <v>0</v>
      </c>
      <c r="Q357" t="n">
        <v>0</v>
      </c>
      <c r="R357" s="2" t="inlineStr"/>
    </row>
    <row r="358" ht="15" customHeight="1">
      <c r="A358" t="inlineStr">
        <is>
          <t>A 53577-2025</t>
        </is>
      </c>
      <c r="B358" s="1" t="n">
        <v>45960.42224537037</v>
      </c>
      <c r="C358" s="1" t="n">
        <v>45988</v>
      </c>
      <c r="D358" t="inlineStr">
        <is>
          <t>GOTLANDS LÄN</t>
        </is>
      </c>
      <c r="E358" t="inlineStr">
        <is>
          <t>GOTLAND</t>
        </is>
      </c>
      <c r="F358" t="inlineStr">
        <is>
          <t>Övriga Aktiebolag</t>
        </is>
      </c>
      <c r="G358" t="n">
        <v>3.3</v>
      </c>
      <c r="H358" t="n">
        <v>0</v>
      </c>
      <c r="I358" t="n">
        <v>0</v>
      </c>
      <c r="J358" t="n">
        <v>0</v>
      </c>
      <c r="K358" t="n">
        <v>0</v>
      </c>
      <c r="L358" t="n">
        <v>0</v>
      </c>
      <c r="M358" t="n">
        <v>0</v>
      </c>
      <c r="N358" t="n">
        <v>0</v>
      </c>
      <c r="O358" t="n">
        <v>0</v>
      </c>
      <c r="P358" t="n">
        <v>0</v>
      </c>
      <c r="Q358" t="n">
        <v>0</v>
      </c>
      <c r="R358" s="2" t="inlineStr"/>
    </row>
    <row r="359" ht="15" customHeight="1">
      <c r="A359" t="inlineStr">
        <is>
          <t>A 30956-2024</t>
        </is>
      </c>
      <c r="B359" s="1" t="n">
        <v>45499.42527777778</v>
      </c>
      <c r="C359" s="1" t="n">
        <v>45988</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33007-2025</t>
        </is>
      </c>
      <c r="B360" s="1" t="n">
        <v>45840</v>
      </c>
      <c r="C360" s="1" t="n">
        <v>45988</v>
      </c>
      <c r="D360" t="inlineStr">
        <is>
          <t>GOTLANDS LÄN</t>
        </is>
      </c>
      <c r="E360" t="inlineStr">
        <is>
          <t>GOTLAND</t>
        </is>
      </c>
      <c r="G360" t="n">
        <v>4.9</v>
      </c>
      <c r="H360" t="n">
        <v>0</v>
      </c>
      <c r="I360" t="n">
        <v>0</v>
      </c>
      <c r="J360" t="n">
        <v>0</v>
      </c>
      <c r="K360" t="n">
        <v>0</v>
      </c>
      <c r="L360" t="n">
        <v>0</v>
      </c>
      <c r="M360" t="n">
        <v>0</v>
      </c>
      <c r="N360" t="n">
        <v>0</v>
      </c>
      <c r="O360" t="n">
        <v>0</v>
      </c>
      <c r="P360" t="n">
        <v>0</v>
      </c>
      <c r="Q360" t="n">
        <v>0</v>
      </c>
      <c r="R360" s="2" t="inlineStr"/>
    </row>
    <row r="361" ht="15" customHeight="1">
      <c r="A361" t="inlineStr">
        <is>
          <t>A 12596-2023</t>
        </is>
      </c>
      <c r="B361" s="1" t="n">
        <v>45000.43310185185</v>
      </c>
      <c r="C361" s="1" t="n">
        <v>45988</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8045-2022</t>
        </is>
      </c>
      <c r="B362" s="1" t="n">
        <v>44609</v>
      </c>
      <c r="C362" s="1" t="n">
        <v>45988</v>
      </c>
      <c r="D362" t="inlineStr">
        <is>
          <t>GOTLANDS LÄN</t>
        </is>
      </c>
      <c r="E362" t="inlineStr">
        <is>
          <t>GOTLAND</t>
        </is>
      </c>
      <c r="G362" t="n">
        <v>7</v>
      </c>
      <c r="H362" t="n">
        <v>0</v>
      </c>
      <c r="I362" t="n">
        <v>0</v>
      </c>
      <c r="J362" t="n">
        <v>0</v>
      </c>
      <c r="K362" t="n">
        <v>0</v>
      </c>
      <c r="L362" t="n">
        <v>0</v>
      </c>
      <c r="M362" t="n">
        <v>0</v>
      </c>
      <c r="N362" t="n">
        <v>0</v>
      </c>
      <c r="O362" t="n">
        <v>0</v>
      </c>
      <c r="P362" t="n">
        <v>0</v>
      </c>
      <c r="Q362" t="n">
        <v>0</v>
      </c>
      <c r="R362" s="2" t="inlineStr"/>
    </row>
    <row r="363" ht="15" customHeight="1">
      <c r="A363" t="inlineStr">
        <is>
          <t>A 54584-2025</t>
        </is>
      </c>
      <c r="B363" s="1" t="n">
        <v>45965.71788194445</v>
      </c>
      <c r="C363" s="1" t="n">
        <v>45988</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999-2024</t>
        </is>
      </c>
      <c r="B364" s="1" t="n">
        <v>45301</v>
      </c>
      <c r="C364" s="1" t="n">
        <v>45988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65901-2021</t>
        </is>
      </c>
      <c r="B365" s="1" t="n">
        <v>44516</v>
      </c>
      <c r="C365" s="1" t="n">
        <v>45988</v>
      </c>
      <c r="D365" t="inlineStr">
        <is>
          <t>GOTLANDS LÄN</t>
        </is>
      </c>
      <c r="E365" t="inlineStr">
        <is>
          <t>GOTLAND</t>
        </is>
      </c>
      <c r="G365" t="n">
        <v>4.9</v>
      </c>
      <c r="H365" t="n">
        <v>0</v>
      </c>
      <c r="I365" t="n">
        <v>0</v>
      </c>
      <c r="J365" t="n">
        <v>0</v>
      </c>
      <c r="K365" t="n">
        <v>0</v>
      </c>
      <c r="L365" t="n">
        <v>0</v>
      </c>
      <c r="M365" t="n">
        <v>0</v>
      </c>
      <c r="N365" t="n">
        <v>0</v>
      </c>
      <c r="O365" t="n">
        <v>0</v>
      </c>
      <c r="P365" t="n">
        <v>0</v>
      </c>
      <c r="Q365" t="n">
        <v>0</v>
      </c>
      <c r="R365" s="2" t="inlineStr"/>
    </row>
    <row r="366" ht="15" customHeight="1">
      <c r="A366" t="inlineStr">
        <is>
          <t>A 47762-2023</t>
        </is>
      </c>
      <c r="B366" s="1" t="n">
        <v>45203.86256944444</v>
      </c>
      <c r="C366" s="1" t="n">
        <v>45988</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45988</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40294-2022</t>
        </is>
      </c>
      <c r="B368" s="1" t="n">
        <v>44821</v>
      </c>
      <c r="C368" s="1" t="n">
        <v>45988</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45988</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35096-2025</t>
        </is>
      </c>
      <c r="B370" s="1" t="n">
        <v>45852.54356481481</v>
      </c>
      <c r="C370" s="1" t="n">
        <v>45988</v>
      </c>
      <c r="D370" t="inlineStr">
        <is>
          <t>GOTLANDS LÄN</t>
        </is>
      </c>
      <c r="E370" t="inlineStr">
        <is>
          <t>GOTLAND</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58780-2024</t>
        </is>
      </c>
      <c r="B371" s="1" t="n">
        <v>45635.84113425926</v>
      </c>
      <c r="C371" s="1" t="n">
        <v>45988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12322-2025</t>
        </is>
      </c>
      <c r="B372" s="1" t="n">
        <v>45730</v>
      </c>
      <c r="C372" s="1" t="n">
        <v>45988</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35123-2025</t>
        </is>
      </c>
      <c r="B373" s="1" t="n">
        <v>45852.614375</v>
      </c>
      <c r="C373" s="1" t="n">
        <v>45988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35290-2025</t>
        </is>
      </c>
      <c r="B374" s="1" t="n">
        <v>45854.38502314815</v>
      </c>
      <c r="C374" s="1" t="n">
        <v>45988</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30104-2025</t>
        </is>
      </c>
      <c r="B375" s="1" t="n">
        <v>45826.68806712963</v>
      </c>
      <c r="C375" s="1" t="n">
        <v>45988</v>
      </c>
      <c r="D375" t="inlineStr">
        <is>
          <t>GOTLANDS LÄN</t>
        </is>
      </c>
      <c r="E375" t="inlineStr">
        <is>
          <t>GOTLAND</t>
        </is>
      </c>
      <c r="G375" t="n">
        <v>15.4</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45988</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32669-2024</t>
        </is>
      </c>
      <c r="B377" s="1" t="n">
        <v>45514</v>
      </c>
      <c r="C377" s="1" t="n">
        <v>45988</v>
      </c>
      <c r="D377" t="inlineStr">
        <is>
          <t>GOTLANDS LÄN</t>
        </is>
      </c>
      <c r="E377" t="inlineStr">
        <is>
          <t>GOTLAND</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30282-2022</t>
        </is>
      </c>
      <c r="B378" s="1" t="n">
        <v>44760</v>
      </c>
      <c r="C378" s="1" t="n">
        <v>45988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7835-2024</t>
        </is>
      </c>
      <c r="B379" s="1" t="n">
        <v>45349.83138888889</v>
      </c>
      <c r="C379" s="1" t="n">
        <v>45988</v>
      </c>
      <c r="D379" t="inlineStr">
        <is>
          <t>GOTLANDS LÄN</t>
        </is>
      </c>
      <c r="E379" t="inlineStr">
        <is>
          <t>GOTLAND</t>
        </is>
      </c>
      <c r="G379" t="n">
        <v>3.8</v>
      </c>
      <c r="H379" t="n">
        <v>0</v>
      </c>
      <c r="I379" t="n">
        <v>0</v>
      </c>
      <c r="J379" t="n">
        <v>0</v>
      </c>
      <c r="K379" t="n">
        <v>0</v>
      </c>
      <c r="L379" t="n">
        <v>0</v>
      </c>
      <c r="M379" t="n">
        <v>0</v>
      </c>
      <c r="N379" t="n">
        <v>0</v>
      </c>
      <c r="O379" t="n">
        <v>0</v>
      </c>
      <c r="P379" t="n">
        <v>0</v>
      </c>
      <c r="Q379" t="n">
        <v>0</v>
      </c>
      <c r="R379" s="2" t="inlineStr"/>
    </row>
    <row r="380" ht="15" customHeight="1">
      <c r="A380" t="inlineStr">
        <is>
          <t>A 10650-2022</t>
        </is>
      </c>
      <c r="B380" s="1" t="n">
        <v>44624.57945601852</v>
      </c>
      <c r="C380" s="1" t="n">
        <v>45988</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45988</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26810-2021</t>
        </is>
      </c>
      <c r="B382" s="1" t="n">
        <v>44349.55087962963</v>
      </c>
      <c r="C382" s="1" t="n">
        <v>45988</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26391-2025</t>
        </is>
      </c>
      <c r="B383" s="1" t="n">
        <v>45806</v>
      </c>
      <c r="C383" s="1" t="n">
        <v>45988</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28425-2023</t>
        </is>
      </c>
      <c r="B384" s="1" t="n">
        <v>45102</v>
      </c>
      <c r="C384" s="1" t="n">
        <v>45988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45988</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15216-2025</t>
        </is>
      </c>
      <c r="B386" s="1" t="n">
        <v>45744</v>
      </c>
      <c r="C386" s="1" t="n">
        <v>45988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15001-2025</t>
        </is>
      </c>
      <c r="B387" s="1" t="n">
        <v>45743</v>
      </c>
      <c r="C387" s="1" t="n">
        <v>45988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43790-2024</t>
        </is>
      </c>
      <c r="B388" s="1" t="n">
        <v>45571</v>
      </c>
      <c r="C388" s="1" t="n">
        <v>45988</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13037-2025</t>
        </is>
      </c>
      <c r="B389" s="1" t="n">
        <v>45734</v>
      </c>
      <c r="C389" s="1" t="n">
        <v>45988</v>
      </c>
      <c r="D389" t="inlineStr">
        <is>
          <t>GOTLANDS LÄN</t>
        </is>
      </c>
      <c r="E389" t="inlineStr">
        <is>
          <t>GOTLAND</t>
        </is>
      </c>
      <c r="G389" t="n">
        <v>9.5</v>
      </c>
      <c r="H389" t="n">
        <v>0</v>
      </c>
      <c r="I389" t="n">
        <v>0</v>
      </c>
      <c r="J389" t="n">
        <v>0</v>
      </c>
      <c r="K389" t="n">
        <v>0</v>
      </c>
      <c r="L389" t="n">
        <v>0</v>
      </c>
      <c r="M389" t="n">
        <v>0</v>
      </c>
      <c r="N389" t="n">
        <v>0</v>
      </c>
      <c r="O389" t="n">
        <v>0</v>
      </c>
      <c r="P389" t="n">
        <v>0</v>
      </c>
      <c r="Q389" t="n">
        <v>0</v>
      </c>
      <c r="R389" s="2" t="inlineStr"/>
    </row>
    <row r="390" ht="15" customHeight="1">
      <c r="A390" t="inlineStr">
        <is>
          <t>A 17847-2025</t>
        </is>
      </c>
      <c r="B390" s="1" t="n">
        <v>45758</v>
      </c>
      <c r="C390" s="1" t="n">
        <v>45988</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36319-2025</t>
        </is>
      </c>
      <c r="B391" s="1" t="n">
        <v>45868</v>
      </c>
      <c r="C391" s="1" t="n">
        <v>45988</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18742-2025</t>
        </is>
      </c>
      <c r="B392" s="1" t="n">
        <v>45763</v>
      </c>
      <c r="C392" s="1" t="n">
        <v>45988</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45988</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46836-2025</t>
        </is>
      </c>
      <c r="B394" s="1" t="n">
        <v>45928.31511574074</v>
      </c>
      <c r="C394" s="1" t="n">
        <v>45988</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47637-2025</t>
        </is>
      </c>
      <c r="B395" s="1" t="n">
        <v>45931.49753472222</v>
      </c>
      <c r="C395" s="1" t="n">
        <v>45988</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10746-2025</t>
        </is>
      </c>
      <c r="B396" s="1" t="n">
        <v>45722.42766203704</v>
      </c>
      <c r="C396" s="1" t="n">
        <v>45988</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45988</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45988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45988</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43229-2023</t>
        </is>
      </c>
      <c r="B400" s="1" t="n">
        <v>45183.46704861111</v>
      </c>
      <c r="C400" s="1" t="n">
        <v>45988</v>
      </c>
      <c r="D400" t="inlineStr">
        <is>
          <t>GOTLANDS LÄN</t>
        </is>
      </c>
      <c r="E400" t="inlineStr">
        <is>
          <t>GOTLAND</t>
        </is>
      </c>
      <c r="G400" t="n">
        <v>7.1</v>
      </c>
      <c r="H400" t="n">
        <v>0</v>
      </c>
      <c r="I400" t="n">
        <v>0</v>
      </c>
      <c r="J400" t="n">
        <v>0</v>
      </c>
      <c r="K400" t="n">
        <v>0</v>
      </c>
      <c r="L400" t="n">
        <v>0</v>
      </c>
      <c r="M400" t="n">
        <v>0</v>
      </c>
      <c r="N400" t="n">
        <v>0</v>
      </c>
      <c r="O400" t="n">
        <v>0</v>
      </c>
      <c r="P400" t="n">
        <v>0</v>
      </c>
      <c r="Q400" t="n">
        <v>0</v>
      </c>
      <c r="R400" s="2" t="inlineStr"/>
    </row>
    <row r="401" ht="15" customHeight="1">
      <c r="A401" t="inlineStr">
        <is>
          <t>A 32378-2025</t>
        </is>
      </c>
      <c r="B401" s="1" t="n">
        <v>45837</v>
      </c>
      <c r="C401" s="1" t="n">
        <v>45988</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45988</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45988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20307-2025</t>
        </is>
      </c>
      <c r="B404" s="1" t="n">
        <v>45774.95546296296</v>
      </c>
      <c r="C404" s="1" t="n">
        <v>45988</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45173.60959490741</v>
      </c>
      <c r="C405" s="1" t="n">
        <v>45988</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56799-2025</t>
        </is>
      </c>
      <c r="B406" s="1" t="n">
        <v>45978.43392361111</v>
      </c>
      <c r="C406" s="1" t="n">
        <v>45988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18993-2025</t>
        </is>
      </c>
      <c r="B407" s="1" t="n">
        <v>45764</v>
      </c>
      <c r="C407" s="1" t="n">
        <v>45988</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30135-2025</t>
        </is>
      </c>
      <c r="B408" s="1" t="n">
        <v>45826</v>
      </c>
      <c r="C408" s="1" t="n">
        <v>45988</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56688-2025</t>
        </is>
      </c>
      <c r="B409" s="1" t="n">
        <v>45975.84331018518</v>
      </c>
      <c r="C409" s="1" t="n">
        <v>45988</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47147-2025</t>
        </is>
      </c>
      <c r="B410" s="1" t="n">
        <v>45929</v>
      </c>
      <c r="C410" s="1" t="n">
        <v>45988</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24966-2023</t>
        </is>
      </c>
      <c r="B411" s="1" t="n">
        <v>45085</v>
      </c>
      <c r="C411" s="1" t="n">
        <v>45988</v>
      </c>
      <c r="D411" t="inlineStr">
        <is>
          <t>GOTLANDS LÄN</t>
        </is>
      </c>
      <c r="E411" t="inlineStr">
        <is>
          <t>GOTLAND</t>
        </is>
      </c>
      <c r="G411" t="n">
        <v>7</v>
      </c>
      <c r="H411" t="n">
        <v>0</v>
      </c>
      <c r="I411" t="n">
        <v>0</v>
      </c>
      <c r="J411" t="n">
        <v>0</v>
      </c>
      <c r="K411" t="n">
        <v>0</v>
      </c>
      <c r="L411" t="n">
        <v>0</v>
      </c>
      <c r="M411" t="n">
        <v>0</v>
      </c>
      <c r="N411" t="n">
        <v>0</v>
      </c>
      <c r="O411" t="n">
        <v>0</v>
      </c>
      <c r="P411" t="n">
        <v>0</v>
      </c>
      <c r="Q411" t="n">
        <v>0</v>
      </c>
      <c r="R411" s="2" t="inlineStr"/>
    </row>
    <row r="412" ht="15" customHeight="1">
      <c r="A412" t="inlineStr">
        <is>
          <t>A 57652-2023</t>
        </is>
      </c>
      <c r="B412" s="1" t="n">
        <v>45246</v>
      </c>
      <c r="C412" s="1" t="n">
        <v>45988</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46189-2022</t>
        </is>
      </c>
      <c r="B413" s="1" t="n">
        <v>44847</v>
      </c>
      <c r="C413" s="1" t="n">
        <v>45988</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35550-2025</t>
        </is>
      </c>
      <c r="B414" s="1" t="n">
        <v>45856.49324074074</v>
      </c>
      <c r="C414" s="1" t="n">
        <v>45988</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57522-2022</t>
        </is>
      </c>
      <c r="B415" s="1" t="n">
        <v>44896</v>
      </c>
      <c r="C415" s="1" t="n">
        <v>45988</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45988</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45988</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7837-2024</t>
        </is>
      </c>
      <c r="B418" s="1" t="n">
        <v>45349.83787037037</v>
      </c>
      <c r="C418" s="1" t="n">
        <v>45988</v>
      </c>
      <c r="D418" t="inlineStr">
        <is>
          <t>GOTLANDS LÄN</t>
        </is>
      </c>
      <c r="E418" t="inlineStr">
        <is>
          <t>GOTLAND</t>
        </is>
      </c>
      <c r="G418" t="n">
        <v>5</v>
      </c>
      <c r="H418" t="n">
        <v>0</v>
      </c>
      <c r="I418" t="n">
        <v>0</v>
      </c>
      <c r="J418" t="n">
        <v>0</v>
      </c>
      <c r="K418" t="n">
        <v>0</v>
      </c>
      <c r="L418" t="n">
        <v>0</v>
      </c>
      <c r="M418" t="n">
        <v>0</v>
      </c>
      <c r="N418" t="n">
        <v>0</v>
      </c>
      <c r="O418" t="n">
        <v>0</v>
      </c>
      <c r="P418" t="n">
        <v>0</v>
      </c>
      <c r="Q418" t="n">
        <v>0</v>
      </c>
      <c r="R418" s="2" t="inlineStr"/>
    </row>
    <row r="419" ht="15" customHeight="1">
      <c r="A419" t="inlineStr">
        <is>
          <t>A 47578-2025</t>
        </is>
      </c>
      <c r="B419" s="1" t="n">
        <v>45931</v>
      </c>
      <c r="C419" s="1" t="n">
        <v>45988</v>
      </c>
      <c r="D419" t="inlineStr">
        <is>
          <t>GOTLANDS LÄN</t>
        </is>
      </c>
      <c r="E419" t="inlineStr">
        <is>
          <t>GOTLAND</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1394-2023</t>
        </is>
      </c>
      <c r="B420" s="1" t="n">
        <v>44936.72997685185</v>
      </c>
      <c r="C420" s="1" t="n">
        <v>45988</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2676-2023</t>
        </is>
      </c>
      <c r="B421" s="1" t="n">
        <v>44944</v>
      </c>
      <c r="C421" s="1" t="n">
        <v>45988</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4387-2023</t>
        </is>
      </c>
      <c r="B422" s="1" t="n">
        <v>44955.73359953704</v>
      </c>
      <c r="C422" s="1" t="n">
        <v>45988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33011-2025</t>
        </is>
      </c>
      <c r="B423" s="1" t="n">
        <v>45840</v>
      </c>
      <c r="C423" s="1" t="n">
        <v>45988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49411-2023</t>
        </is>
      </c>
      <c r="B424" s="1" t="n">
        <v>45205</v>
      </c>
      <c r="C424" s="1" t="n">
        <v>45988</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37728-2024</t>
        </is>
      </c>
      <c r="B425" s="1" t="n">
        <v>45541</v>
      </c>
      <c r="C425" s="1" t="n">
        <v>45988</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49690-2025</t>
        </is>
      </c>
      <c r="B426" s="1" t="n">
        <v>45939.66730324074</v>
      </c>
      <c r="C426" s="1" t="n">
        <v>45988</v>
      </c>
      <c r="D426" t="inlineStr">
        <is>
          <t>GOTLANDS LÄN</t>
        </is>
      </c>
      <c r="E426" t="inlineStr">
        <is>
          <t>GOTLAND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2241-2025</t>
        </is>
      </c>
      <c r="B427" s="1" t="n">
        <v>45673.48710648148</v>
      </c>
      <c r="C427" s="1" t="n">
        <v>45988</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22275-2023</t>
        </is>
      </c>
      <c r="B428" s="1" t="n">
        <v>45070.39875</v>
      </c>
      <c r="C428" s="1" t="n">
        <v>45988</v>
      </c>
      <c r="D428" t="inlineStr">
        <is>
          <t>GOTLANDS LÄN</t>
        </is>
      </c>
      <c r="E428" t="inlineStr">
        <is>
          <t>GOTLAND</t>
        </is>
      </c>
      <c r="G428" t="n">
        <v>7.2</v>
      </c>
      <c r="H428" t="n">
        <v>0</v>
      </c>
      <c r="I428" t="n">
        <v>0</v>
      </c>
      <c r="J428" t="n">
        <v>0</v>
      </c>
      <c r="K428" t="n">
        <v>0</v>
      </c>
      <c r="L428" t="n">
        <v>0</v>
      </c>
      <c r="M428" t="n">
        <v>0</v>
      </c>
      <c r="N428" t="n">
        <v>0</v>
      </c>
      <c r="O428" t="n">
        <v>0</v>
      </c>
      <c r="P428" t="n">
        <v>0</v>
      </c>
      <c r="Q428" t="n">
        <v>0</v>
      </c>
      <c r="R428" s="2" t="inlineStr"/>
    </row>
    <row r="429" ht="15" customHeight="1">
      <c r="A429" t="inlineStr">
        <is>
          <t>A 14635-2023</t>
        </is>
      </c>
      <c r="B429" s="1" t="n">
        <v>45013.69365740741</v>
      </c>
      <c r="C429" s="1" t="n">
        <v>45988</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63763-2023</t>
        </is>
      </c>
      <c r="B430" s="1" t="n">
        <v>45278.33944444444</v>
      </c>
      <c r="C430" s="1" t="n">
        <v>45988</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7635-2025</t>
        </is>
      </c>
      <c r="B431" s="1" t="n">
        <v>45705</v>
      </c>
      <c r="C431" s="1" t="n">
        <v>45988</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7636-2025</t>
        </is>
      </c>
      <c r="B432" s="1" t="n">
        <v>45705.7687962963</v>
      </c>
      <c r="C432" s="1" t="n">
        <v>45988</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7639-2025</t>
        </is>
      </c>
      <c r="B433" s="1" t="n">
        <v>45705.77465277778</v>
      </c>
      <c r="C433" s="1" t="n">
        <v>45988</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61682-2024</t>
        </is>
      </c>
      <c r="B434" s="1" t="n">
        <v>45647.48824074074</v>
      </c>
      <c r="C434" s="1" t="n">
        <v>45988</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15434-2024</t>
        </is>
      </c>
      <c r="B435" s="1" t="n">
        <v>45401.38836805556</v>
      </c>
      <c r="C435" s="1" t="n">
        <v>45988</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49724-2025</t>
        </is>
      </c>
      <c r="B436" s="1" t="n">
        <v>45939.83730324074</v>
      </c>
      <c r="C436" s="1" t="n">
        <v>45988</v>
      </c>
      <c r="D436" t="inlineStr">
        <is>
          <t>GOTLANDS LÄN</t>
        </is>
      </c>
      <c r="E436" t="inlineStr">
        <is>
          <t>GOTLAND</t>
        </is>
      </c>
      <c r="F436" t="inlineStr">
        <is>
          <t>Kyrkan</t>
        </is>
      </c>
      <c r="G436" t="n">
        <v>3.1</v>
      </c>
      <c r="H436" t="n">
        <v>0</v>
      </c>
      <c r="I436" t="n">
        <v>0</v>
      </c>
      <c r="J436" t="n">
        <v>0</v>
      </c>
      <c r="K436" t="n">
        <v>0</v>
      </c>
      <c r="L436" t="n">
        <v>0</v>
      </c>
      <c r="M436" t="n">
        <v>0</v>
      </c>
      <c r="N436" t="n">
        <v>0</v>
      </c>
      <c r="O436" t="n">
        <v>0</v>
      </c>
      <c r="P436" t="n">
        <v>0</v>
      </c>
      <c r="Q436" t="n">
        <v>0</v>
      </c>
      <c r="R436" s="2" t="inlineStr"/>
    </row>
    <row r="437" ht="15" customHeight="1">
      <c r="A437" t="inlineStr">
        <is>
          <t>A 49730-2025</t>
        </is>
      </c>
      <c r="B437" s="1" t="n">
        <v>45939.87613425926</v>
      </c>
      <c r="C437" s="1" t="n">
        <v>45988</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7034-2023</t>
        </is>
      </c>
      <c r="B438" s="1" t="n">
        <v>44968.32108796296</v>
      </c>
      <c r="C438" s="1" t="n">
        <v>45988</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7042-2023</t>
        </is>
      </c>
      <c r="B439" s="1" t="n">
        <v>44968</v>
      </c>
      <c r="C439" s="1" t="n">
        <v>45988</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45988</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50421-2025</t>
        </is>
      </c>
      <c r="B441" s="1" t="n">
        <v>45944.66049768519</v>
      </c>
      <c r="C441" s="1" t="n">
        <v>45988</v>
      </c>
      <c r="D441" t="inlineStr">
        <is>
          <t>GOTLANDS LÄN</t>
        </is>
      </c>
      <c r="E441" t="inlineStr">
        <is>
          <t>GOTLAND</t>
        </is>
      </c>
      <c r="G441" t="n">
        <v>3.9</v>
      </c>
      <c r="H441" t="n">
        <v>0</v>
      </c>
      <c r="I441" t="n">
        <v>0</v>
      </c>
      <c r="J441" t="n">
        <v>0</v>
      </c>
      <c r="K441" t="n">
        <v>0</v>
      </c>
      <c r="L441" t="n">
        <v>0</v>
      </c>
      <c r="M441" t="n">
        <v>0</v>
      </c>
      <c r="N441" t="n">
        <v>0</v>
      </c>
      <c r="O441" t="n">
        <v>0</v>
      </c>
      <c r="P441" t="n">
        <v>0</v>
      </c>
      <c r="Q441" t="n">
        <v>0</v>
      </c>
      <c r="R441" s="2" t="inlineStr"/>
    </row>
    <row r="442" ht="15" customHeight="1">
      <c r="A442" t="inlineStr">
        <is>
          <t>A 54074-2022</t>
        </is>
      </c>
      <c r="B442" s="1" t="n">
        <v>44881</v>
      </c>
      <c r="C442" s="1" t="n">
        <v>45988</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61694-2023</t>
        </is>
      </c>
      <c r="B443" s="1" t="n">
        <v>45264</v>
      </c>
      <c r="C443" s="1" t="n">
        <v>45988</v>
      </c>
      <c r="D443" t="inlineStr">
        <is>
          <t>GOTLANDS LÄN</t>
        </is>
      </c>
      <c r="E443" t="inlineStr">
        <is>
          <t>GOTLAND</t>
        </is>
      </c>
      <c r="G443" t="n">
        <v>4.6</v>
      </c>
      <c r="H443" t="n">
        <v>0</v>
      </c>
      <c r="I443" t="n">
        <v>0</v>
      </c>
      <c r="J443" t="n">
        <v>0</v>
      </c>
      <c r="K443" t="n">
        <v>0</v>
      </c>
      <c r="L443" t="n">
        <v>0</v>
      </c>
      <c r="M443" t="n">
        <v>0</v>
      </c>
      <c r="N443" t="n">
        <v>0</v>
      </c>
      <c r="O443" t="n">
        <v>0</v>
      </c>
      <c r="P443" t="n">
        <v>0</v>
      </c>
      <c r="Q443" t="n">
        <v>0</v>
      </c>
      <c r="R443" s="2" t="inlineStr"/>
    </row>
    <row r="444" ht="15" customHeight="1">
      <c r="A444" t="inlineStr">
        <is>
          <t>A 64208-2021</t>
        </is>
      </c>
      <c r="B444" s="1" t="n">
        <v>44510</v>
      </c>
      <c r="C444" s="1" t="n">
        <v>45988</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54268-2022</t>
        </is>
      </c>
      <c r="B445" s="1" t="n">
        <v>44882</v>
      </c>
      <c r="C445" s="1" t="n">
        <v>45988</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1446-2025</t>
        </is>
      </c>
      <c r="B446" s="1" t="n">
        <v>45669.86035879629</v>
      </c>
      <c r="C446" s="1" t="n">
        <v>45988</v>
      </c>
      <c r="D446" t="inlineStr">
        <is>
          <t>GOTLANDS LÄN</t>
        </is>
      </c>
      <c r="E446" t="inlineStr">
        <is>
          <t>GOTLAND</t>
        </is>
      </c>
      <c r="G446" t="n">
        <v>3.1</v>
      </c>
      <c r="H446" t="n">
        <v>0</v>
      </c>
      <c r="I446" t="n">
        <v>0</v>
      </c>
      <c r="J446" t="n">
        <v>0</v>
      </c>
      <c r="K446" t="n">
        <v>0</v>
      </c>
      <c r="L446" t="n">
        <v>0</v>
      </c>
      <c r="M446" t="n">
        <v>0</v>
      </c>
      <c r="N446" t="n">
        <v>0</v>
      </c>
      <c r="O446" t="n">
        <v>0</v>
      </c>
      <c r="P446" t="n">
        <v>0</v>
      </c>
      <c r="Q446" t="n">
        <v>0</v>
      </c>
      <c r="R446" s="2" t="inlineStr"/>
    </row>
    <row r="447" ht="15" customHeight="1">
      <c r="A447" t="inlineStr">
        <is>
          <t>A 1462-2025</t>
        </is>
      </c>
      <c r="B447" s="1" t="n">
        <v>45670.36319444444</v>
      </c>
      <c r="C447" s="1" t="n">
        <v>45988</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57685-2022</t>
        </is>
      </c>
      <c r="B448" s="1" t="n">
        <v>44897.4777662037</v>
      </c>
      <c r="C448" s="1" t="n">
        <v>45988</v>
      </c>
      <c r="D448" t="inlineStr">
        <is>
          <t>GOTLANDS LÄN</t>
        </is>
      </c>
      <c r="E448" t="inlineStr">
        <is>
          <t>GOTLAND</t>
        </is>
      </c>
      <c r="G448" t="n">
        <v>3.7</v>
      </c>
      <c r="H448" t="n">
        <v>0</v>
      </c>
      <c r="I448" t="n">
        <v>0</v>
      </c>
      <c r="J448" t="n">
        <v>0</v>
      </c>
      <c r="K448" t="n">
        <v>0</v>
      </c>
      <c r="L448" t="n">
        <v>0</v>
      </c>
      <c r="M448" t="n">
        <v>0</v>
      </c>
      <c r="N448" t="n">
        <v>0</v>
      </c>
      <c r="O448" t="n">
        <v>0</v>
      </c>
      <c r="P448" t="n">
        <v>0</v>
      </c>
      <c r="Q448" t="n">
        <v>0</v>
      </c>
      <c r="R448" s="2" t="inlineStr"/>
    </row>
    <row r="449" ht="15" customHeight="1">
      <c r="A449" t="inlineStr">
        <is>
          <t>A 50431-2025</t>
        </is>
      </c>
      <c r="B449" s="1" t="n">
        <v>45944.68453703704</v>
      </c>
      <c r="C449" s="1" t="n">
        <v>45988</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811-2023</t>
        </is>
      </c>
      <c r="B450" s="1" t="n">
        <v>44931</v>
      </c>
      <c r="C450" s="1" t="n">
        <v>45988</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5905-2024</t>
        </is>
      </c>
      <c r="B451" s="1" t="n">
        <v>45335.88993055555</v>
      </c>
      <c r="C451" s="1" t="n">
        <v>45988</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3431-2025</t>
        </is>
      </c>
      <c r="B452" s="1" t="n">
        <v>45680.42935185185</v>
      </c>
      <c r="C452" s="1" t="n">
        <v>45988</v>
      </c>
      <c r="D452" t="inlineStr">
        <is>
          <t>GOTLANDS LÄN</t>
        </is>
      </c>
      <c r="E452" t="inlineStr">
        <is>
          <t>GOTLAND</t>
        </is>
      </c>
      <c r="G452" t="n">
        <v>4.8</v>
      </c>
      <c r="H452" t="n">
        <v>0</v>
      </c>
      <c r="I452" t="n">
        <v>0</v>
      </c>
      <c r="J452" t="n">
        <v>0</v>
      </c>
      <c r="K452" t="n">
        <v>0</v>
      </c>
      <c r="L452" t="n">
        <v>0</v>
      </c>
      <c r="M452" t="n">
        <v>0</v>
      </c>
      <c r="N452" t="n">
        <v>0</v>
      </c>
      <c r="O452" t="n">
        <v>0</v>
      </c>
      <c r="P452" t="n">
        <v>0</v>
      </c>
      <c r="Q452" t="n">
        <v>0</v>
      </c>
      <c r="R452" s="2" t="inlineStr"/>
    </row>
    <row r="453" ht="15" customHeight="1">
      <c r="A453" t="inlineStr">
        <is>
          <t>A 34407-2023</t>
        </is>
      </c>
      <c r="B453" s="1" t="n">
        <v>45132</v>
      </c>
      <c r="C453" s="1" t="n">
        <v>45988</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30892-2024</t>
        </is>
      </c>
      <c r="B454" s="1" t="n">
        <v>45491</v>
      </c>
      <c r="C454" s="1" t="n">
        <v>45988</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45988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7858-2025</t>
        </is>
      </c>
      <c r="B456" s="1" t="n">
        <v>45706.68633101852</v>
      </c>
      <c r="C456" s="1" t="n">
        <v>45988</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46545-2024</t>
        </is>
      </c>
      <c r="B457" s="1" t="n">
        <v>45582.65831018519</v>
      </c>
      <c r="C457" s="1" t="n">
        <v>45988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999-2023</t>
        </is>
      </c>
      <c r="B458" s="1" t="n">
        <v>44935</v>
      </c>
      <c r="C458" s="1" t="n">
        <v>45988</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1364-2025</t>
        </is>
      </c>
      <c r="B459" s="1" t="n">
        <v>45667.63929398148</v>
      </c>
      <c r="C459" s="1" t="n">
        <v>45988</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2125-2025</t>
        </is>
      </c>
      <c r="B460" s="1" t="n">
        <v>45672.64940972222</v>
      </c>
      <c r="C460" s="1" t="n">
        <v>45988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14141-2024</t>
        </is>
      </c>
      <c r="B461" s="1" t="n">
        <v>45392.85193287037</v>
      </c>
      <c r="C461" s="1" t="n">
        <v>45988</v>
      </c>
      <c r="D461" t="inlineStr">
        <is>
          <t>GOTLANDS LÄN</t>
        </is>
      </c>
      <c r="E461" t="inlineStr">
        <is>
          <t>GOTLAND</t>
        </is>
      </c>
      <c r="G461" t="n">
        <v>5.3</v>
      </c>
      <c r="H461" t="n">
        <v>0</v>
      </c>
      <c r="I461" t="n">
        <v>0</v>
      </c>
      <c r="J461" t="n">
        <v>0</v>
      </c>
      <c r="K461" t="n">
        <v>0</v>
      </c>
      <c r="L461" t="n">
        <v>0</v>
      </c>
      <c r="M461" t="n">
        <v>0</v>
      </c>
      <c r="N461" t="n">
        <v>0</v>
      </c>
      <c r="O461" t="n">
        <v>0</v>
      </c>
      <c r="P461" t="n">
        <v>0</v>
      </c>
      <c r="Q461" t="n">
        <v>0</v>
      </c>
      <c r="R461" s="2" t="inlineStr"/>
    </row>
    <row r="462" ht="15" customHeight="1">
      <c r="A462" t="inlineStr">
        <is>
          <t>A 12155-2023</t>
        </is>
      </c>
      <c r="B462" s="1" t="n">
        <v>44998.49106481481</v>
      </c>
      <c r="C462" s="1" t="n">
        <v>45988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2774-2024</t>
        </is>
      </c>
      <c r="B463" s="1" t="n">
        <v>45314.62375</v>
      </c>
      <c r="C463" s="1" t="n">
        <v>45988</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9947-2024</t>
        </is>
      </c>
      <c r="B464" s="1" t="n">
        <v>45363</v>
      </c>
      <c r="C464" s="1" t="n">
        <v>45988</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42007-2023</t>
        </is>
      </c>
      <c r="B465" s="1" t="n">
        <v>45177</v>
      </c>
      <c r="C465" s="1" t="n">
        <v>45988</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44304-2021</t>
        </is>
      </c>
      <c r="B466" s="1" t="n">
        <v>44434</v>
      </c>
      <c r="C466" s="1" t="n">
        <v>45988</v>
      </c>
      <c r="D466" t="inlineStr">
        <is>
          <t>GOTLANDS LÄN</t>
        </is>
      </c>
      <c r="E466" t="inlineStr">
        <is>
          <t>GOTLAND</t>
        </is>
      </c>
      <c r="G466" t="n">
        <v>5.8</v>
      </c>
      <c r="H466" t="n">
        <v>0</v>
      </c>
      <c r="I466" t="n">
        <v>0</v>
      </c>
      <c r="J466" t="n">
        <v>0</v>
      </c>
      <c r="K466" t="n">
        <v>0</v>
      </c>
      <c r="L466" t="n">
        <v>0</v>
      </c>
      <c r="M466" t="n">
        <v>0</v>
      </c>
      <c r="N466" t="n">
        <v>0</v>
      </c>
      <c r="O466" t="n">
        <v>0</v>
      </c>
      <c r="P466" t="n">
        <v>0</v>
      </c>
      <c r="Q466" t="n">
        <v>0</v>
      </c>
      <c r="R466" s="2" t="inlineStr"/>
    </row>
    <row r="467" ht="15" customHeight="1">
      <c r="A467" t="inlineStr">
        <is>
          <t>A 15083-2025</t>
        </is>
      </c>
      <c r="B467" s="1" t="n">
        <v>45743</v>
      </c>
      <c r="C467" s="1" t="n">
        <v>45988</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1066-2024</t>
        </is>
      </c>
      <c r="B468" s="1" t="n">
        <v>45302.285</v>
      </c>
      <c r="C468" s="1" t="n">
        <v>45988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37202-2024</t>
        </is>
      </c>
      <c r="B469" s="1" t="n">
        <v>45539.67310185185</v>
      </c>
      <c r="C469" s="1" t="n">
        <v>45988</v>
      </c>
      <c r="D469" t="inlineStr">
        <is>
          <t>GOTLANDS LÄN</t>
        </is>
      </c>
      <c r="E469" t="inlineStr">
        <is>
          <t>GOTLAND</t>
        </is>
      </c>
      <c r="G469" t="n">
        <v>0.3</v>
      </c>
      <c r="H469" t="n">
        <v>0</v>
      </c>
      <c r="I469" t="n">
        <v>0</v>
      </c>
      <c r="J469" t="n">
        <v>0</v>
      </c>
      <c r="K469" t="n">
        <v>0</v>
      </c>
      <c r="L469" t="n">
        <v>0</v>
      </c>
      <c r="M469" t="n">
        <v>0</v>
      </c>
      <c r="N469" t="n">
        <v>0</v>
      </c>
      <c r="O469" t="n">
        <v>0</v>
      </c>
      <c r="P469" t="n">
        <v>0</v>
      </c>
      <c r="Q469" t="n">
        <v>0</v>
      </c>
      <c r="R469" s="2" t="inlineStr"/>
    </row>
    <row r="470" ht="15" customHeight="1">
      <c r="A470" t="inlineStr">
        <is>
          <t>A 30815-2023</t>
        </is>
      </c>
      <c r="B470" s="1" t="n">
        <v>45112</v>
      </c>
      <c r="C470" s="1" t="n">
        <v>45988</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45988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45988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45988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45988</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45988</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45988</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45988</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32330-2024</t>
        </is>
      </c>
      <c r="B478" s="1" t="n">
        <v>45512</v>
      </c>
      <c r="C478" s="1" t="n">
        <v>45988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45695.38327546296</v>
      </c>
      <c r="C479" s="1" t="n">
        <v>45988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14804-2021</t>
        </is>
      </c>
      <c r="B480" s="1" t="n">
        <v>44280</v>
      </c>
      <c r="C480" s="1" t="n">
        <v>45988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44944.55361111111</v>
      </c>
      <c r="C481" s="1" t="n">
        <v>45988</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45988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49314-2024</t>
        </is>
      </c>
      <c r="B483" s="1" t="n">
        <v>45595.55893518519</v>
      </c>
      <c r="C483" s="1" t="n">
        <v>45988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45988</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29809-2022</t>
        </is>
      </c>
      <c r="B485" s="1" t="n">
        <v>44755.8713425926</v>
      </c>
      <c r="C485" s="1" t="n">
        <v>45988</v>
      </c>
      <c r="D485" t="inlineStr">
        <is>
          <t>GOTLANDS LÄN</t>
        </is>
      </c>
      <c r="E485" t="inlineStr">
        <is>
          <t>GOTLAND</t>
        </is>
      </c>
      <c r="G485" t="n">
        <v>11.5</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45988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45988</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1175-2025</t>
        </is>
      </c>
      <c r="B488" s="1" t="n">
        <v>45667.34449074074</v>
      </c>
      <c r="C488" s="1" t="n">
        <v>45988</v>
      </c>
      <c r="D488" t="inlineStr">
        <is>
          <t>GOTLANDS LÄN</t>
        </is>
      </c>
      <c r="E488" t="inlineStr">
        <is>
          <t>GOTLAND</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42201-2023</t>
        </is>
      </c>
      <c r="B489" s="1" t="n">
        <v>45179</v>
      </c>
      <c r="C489" s="1" t="n">
        <v>45988</v>
      </c>
      <c r="D489" t="inlineStr">
        <is>
          <t>GOTLANDS LÄN</t>
        </is>
      </c>
      <c r="E489" t="inlineStr">
        <is>
          <t>GOTLAND</t>
        </is>
      </c>
      <c r="G489" t="n">
        <v>11.9</v>
      </c>
      <c r="H489" t="n">
        <v>0</v>
      </c>
      <c r="I489" t="n">
        <v>0</v>
      </c>
      <c r="J489" t="n">
        <v>0</v>
      </c>
      <c r="K489" t="n">
        <v>0</v>
      </c>
      <c r="L489" t="n">
        <v>0</v>
      </c>
      <c r="M489" t="n">
        <v>0</v>
      </c>
      <c r="N489" t="n">
        <v>0</v>
      </c>
      <c r="O489" t="n">
        <v>0</v>
      </c>
      <c r="P489" t="n">
        <v>0</v>
      </c>
      <c r="Q489" t="n">
        <v>0</v>
      </c>
      <c r="R489" s="2" t="inlineStr"/>
    </row>
    <row r="490" ht="15" customHeight="1">
      <c r="A490" t="inlineStr">
        <is>
          <t>A 3150-2025</t>
        </is>
      </c>
      <c r="B490" s="1" t="n">
        <v>45679.28974537037</v>
      </c>
      <c r="C490" s="1" t="n">
        <v>45988</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42041-2024</t>
        </is>
      </c>
      <c r="B491" s="1" t="n">
        <v>45561</v>
      </c>
      <c r="C491" s="1" t="n">
        <v>45988</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15436-2025</t>
        </is>
      </c>
      <c r="B492" s="1" t="n">
        <v>45747.47462962963</v>
      </c>
      <c r="C492" s="1" t="n">
        <v>45988</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45988</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44682.82622685185</v>
      </c>
      <c r="C494" s="1" t="n">
        <v>45988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63516-2023</t>
        </is>
      </c>
      <c r="B495" s="1" t="n">
        <v>45274</v>
      </c>
      <c r="C495" s="1" t="n">
        <v>45988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53935-2024</t>
        </is>
      </c>
      <c r="B496" s="1" t="n">
        <v>45615</v>
      </c>
      <c r="C496" s="1" t="n">
        <v>45988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69112-2021</t>
        </is>
      </c>
      <c r="B497" s="1" t="n">
        <v>44530</v>
      </c>
      <c r="C497" s="1" t="n">
        <v>45988</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45988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23516-2023</t>
        </is>
      </c>
      <c r="B499" s="1" t="n">
        <v>45076.93391203704</v>
      </c>
      <c r="C499" s="1" t="n">
        <v>45988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45988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58230-2024</t>
        </is>
      </c>
      <c r="B501" s="1" t="n">
        <v>45632.51625</v>
      </c>
      <c r="C501" s="1" t="n">
        <v>45988</v>
      </c>
      <c r="D501" t="inlineStr">
        <is>
          <t>GOTLANDS LÄN</t>
        </is>
      </c>
      <c r="E501" t="inlineStr">
        <is>
          <t>GOTLAND</t>
        </is>
      </c>
      <c r="G501" t="n">
        <v>7.3</v>
      </c>
      <c r="H501" t="n">
        <v>0</v>
      </c>
      <c r="I501" t="n">
        <v>0</v>
      </c>
      <c r="J501" t="n">
        <v>0</v>
      </c>
      <c r="K501" t="n">
        <v>0</v>
      </c>
      <c r="L501" t="n">
        <v>0</v>
      </c>
      <c r="M501" t="n">
        <v>0</v>
      </c>
      <c r="N501" t="n">
        <v>0</v>
      </c>
      <c r="O501" t="n">
        <v>0</v>
      </c>
      <c r="P501" t="n">
        <v>0</v>
      </c>
      <c r="Q501" t="n">
        <v>0</v>
      </c>
      <c r="R501" s="2" t="inlineStr"/>
    </row>
    <row r="502" ht="15" customHeight="1">
      <c r="A502" t="inlineStr">
        <is>
          <t>A 64555-2023</t>
        </is>
      </c>
      <c r="B502" s="1" t="n">
        <v>45281</v>
      </c>
      <c r="C502" s="1" t="n">
        <v>45988</v>
      </c>
      <c r="D502" t="inlineStr">
        <is>
          <t>GOTLANDS LÄN</t>
        </is>
      </c>
      <c r="E502" t="inlineStr">
        <is>
          <t>GOTLAND</t>
        </is>
      </c>
      <c r="G502" t="n">
        <v>3.5</v>
      </c>
      <c r="H502" t="n">
        <v>0</v>
      </c>
      <c r="I502" t="n">
        <v>0</v>
      </c>
      <c r="J502" t="n">
        <v>0</v>
      </c>
      <c r="K502" t="n">
        <v>0</v>
      </c>
      <c r="L502" t="n">
        <v>0</v>
      </c>
      <c r="M502" t="n">
        <v>0</v>
      </c>
      <c r="N502" t="n">
        <v>0</v>
      </c>
      <c r="O502" t="n">
        <v>0</v>
      </c>
      <c r="P502" t="n">
        <v>0</v>
      </c>
      <c r="Q502" t="n">
        <v>0</v>
      </c>
      <c r="R502" s="2" t="inlineStr"/>
    </row>
    <row r="503" ht="15" customHeight="1">
      <c r="A503" t="inlineStr">
        <is>
          <t>A 457-2023</t>
        </is>
      </c>
      <c r="B503" s="1" t="n">
        <v>44929.87238425926</v>
      </c>
      <c r="C503" s="1" t="n">
        <v>45988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459-2023</t>
        </is>
      </c>
      <c r="B504" s="1" t="n">
        <v>44929.87423611111</v>
      </c>
      <c r="C504" s="1" t="n">
        <v>45988</v>
      </c>
      <c r="D504" t="inlineStr">
        <is>
          <t>GOTLANDS LÄN</t>
        </is>
      </c>
      <c r="E504" t="inlineStr">
        <is>
          <t>GOTLAND</t>
        </is>
      </c>
      <c r="G504" t="n">
        <v>4.2</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45988</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45988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14536-2021</t>
        </is>
      </c>
      <c r="B507" s="1" t="n">
        <v>44279.66168981481</v>
      </c>
      <c r="C507" s="1" t="n">
        <v>45988</v>
      </c>
      <c r="D507" t="inlineStr">
        <is>
          <t>GOTLANDS LÄN</t>
        </is>
      </c>
      <c r="E507" t="inlineStr">
        <is>
          <t>GOTLAND</t>
        </is>
      </c>
      <c r="G507" t="n">
        <v>8.5</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45988</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45988</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5943-2024</t>
        </is>
      </c>
      <c r="B510" s="1" t="n">
        <v>45336</v>
      </c>
      <c r="C510" s="1" t="n">
        <v>45988</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38234-2023</t>
        </is>
      </c>
      <c r="B511" s="1" t="n">
        <v>45161.56663194444</v>
      </c>
      <c r="C511" s="1" t="n">
        <v>45988</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1273-2023</t>
        </is>
      </c>
      <c r="B512" s="1" t="n">
        <v>44936</v>
      </c>
      <c r="C512" s="1" t="n">
        <v>45988</v>
      </c>
      <c r="D512" t="inlineStr">
        <is>
          <t>GOTLANDS LÄN</t>
        </is>
      </c>
      <c r="E512" t="inlineStr">
        <is>
          <t>GOTLAND</t>
        </is>
      </c>
      <c r="G512" t="n">
        <v>4.5</v>
      </c>
      <c r="H512" t="n">
        <v>0</v>
      </c>
      <c r="I512" t="n">
        <v>0</v>
      </c>
      <c r="J512" t="n">
        <v>0</v>
      </c>
      <c r="K512" t="n">
        <v>0</v>
      </c>
      <c r="L512" t="n">
        <v>0</v>
      </c>
      <c r="M512" t="n">
        <v>0</v>
      </c>
      <c r="N512" t="n">
        <v>0</v>
      </c>
      <c r="O512" t="n">
        <v>0</v>
      </c>
      <c r="P512" t="n">
        <v>0</v>
      </c>
      <c r="Q512" t="n">
        <v>0</v>
      </c>
      <c r="R512" s="2" t="inlineStr"/>
    </row>
    <row r="513" ht="15" customHeight="1">
      <c r="A513" t="inlineStr">
        <is>
          <t>A 17724-2024</t>
        </is>
      </c>
      <c r="B513" s="1" t="n">
        <v>45418.55096064815</v>
      </c>
      <c r="C513" s="1" t="n">
        <v>45988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23978-2023</t>
        </is>
      </c>
      <c r="B514" s="1" t="n">
        <v>45078</v>
      </c>
      <c r="C514" s="1" t="n">
        <v>45988</v>
      </c>
      <c r="D514" t="inlineStr">
        <is>
          <t>GOTLANDS LÄN</t>
        </is>
      </c>
      <c r="E514" t="inlineStr">
        <is>
          <t>GOTLAND</t>
        </is>
      </c>
      <c r="F514" t="inlineStr">
        <is>
          <t>Naturvårdsverket</t>
        </is>
      </c>
      <c r="G514" t="n">
        <v>1.7</v>
      </c>
      <c r="H514" t="n">
        <v>0</v>
      </c>
      <c r="I514" t="n">
        <v>0</v>
      </c>
      <c r="J514" t="n">
        <v>0</v>
      </c>
      <c r="K514" t="n">
        <v>0</v>
      </c>
      <c r="L514" t="n">
        <v>0</v>
      </c>
      <c r="M514" t="n">
        <v>0</v>
      </c>
      <c r="N514" t="n">
        <v>0</v>
      </c>
      <c r="O514" t="n">
        <v>0</v>
      </c>
      <c r="P514" t="n">
        <v>0</v>
      </c>
      <c r="Q514" t="n">
        <v>0</v>
      </c>
      <c r="R514" s="2" t="inlineStr"/>
    </row>
    <row r="515" ht="15" customHeight="1">
      <c r="A515" t="inlineStr">
        <is>
          <t>A 49884-2023</t>
        </is>
      </c>
      <c r="B515" s="1" t="n">
        <v>45213</v>
      </c>
      <c r="C515" s="1" t="n">
        <v>45988</v>
      </c>
      <c r="D515" t="inlineStr">
        <is>
          <t>GOTLANDS LÄN</t>
        </is>
      </c>
      <c r="E515" t="inlineStr">
        <is>
          <t>GOTLAND</t>
        </is>
      </c>
      <c r="G515" t="n">
        <v>8.9</v>
      </c>
      <c r="H515" t="n">
        <v>0</v>
      </c>
      <c r="I515" t="n">
        <v>0</v>
      </c>
      <c r="J515" t="n">
        <v>0</v>
      </c>
      <c r="K515" t="n">
        <v>0</v>
      </c>
      <c r="L515" t="n">
        <v>0</v>
      </c>
      <c r="M515" t="n">
        <v>0</v>
      </c>
      <c r="N515" t="n">
        <v>0</v>
      </c>
      <c r="O515" t="n">
        <v>0</v>
      </c>
      <c r="P515" t="n">
        <v>0</v>
      </c>
      <c r="Q515" t="n">
        <v>0</v>
      </c>
      <c r="R515" s="2" t="inlineStr"/>
    </row>
    <row r="516" ht="15" customHeight="1">
      <c r="A516" t="inlineStr">
        <is>
          <t>A 12846-2025</t>
        </is>
      </c>
      <c r="B516" s="1" t="n">
        <v>45733.65049768519</v>
      </c>
      <c r="C516" s="1" t="n">
        <v>45988</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43200-2023</t>
        </is>
      </c>
      <c r="B517" s="1" t="n">
        <v>45183</v>
      </c>
      <c r="C517" s="1" t="n">
        <v>45988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3935-2025</t>
        </is>
      </c>
      <c r="B518" s="1" t="n">
        <v>45684.46070601852</v>
      </c>
      <c r="C518" s="1" t="n">
        <v>45988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21792-2024</t>
        </is>
      </c>
      <c r="B519" s="1" t="n">
        <v>45442.64326388889</v>
      </c>
      <c r="C519" s="1" t="n">
        <v>45988</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48843-2024</t>
        </is>
      </c>
      <c r="B520" s="1" t="n">
        <v>45593</v>
      </c>
      <c r="C520" s="1" t="n">
        <v>45988</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10653-2023</t>
        </is>
      </c>
      <c r="B521" s="1" t="n">
        <v>44988.48859953704</v>
      </c>
      <c r="C521" s="1" t="n">
        <v>45988</v>
      </c>
      <c r="D521" t="inlineStr">
        <is>
          <t>GOTLANDS LÄN</t>
        </is>
      </c>
      <c r="E521" t="inlineStr">
        <is>
          <t>GOTLAND</t>
        </is>
      </c>
      <c r="F521" t="inlineStr">
        <is>
          <t>Kyrkan</t>
        </is>
      </c>
      <c r="G521" t="n">
        <v>3</v>
      </c>
      <c r="H521" t="n">
        <v>0</v>
      </c>
      <c r="I521" t="n">
        <v>0</v>
      </c>
      <c r="J521" t="n">
        <v>0</v>
      </c>
      <c r="K521" t="n">
        <v>0</v>
      </c>
      <c r="L521" t="n">
        <v>0</v>
      </c>
      <c r="M521" t="n">
        <v>0</v>
      </c>
      <c r="N521" t="n">
        <v>0</v>
      </c>
      <c r="O521" t="n">
        <v>0</v>
      </c>
      <c r="P521" t="n">
        <v>0</v>
      </c>
      <c r="Q521" t="n">
        <v>0</v>
      </c>
      <c r="R521" s="2" t="inlineStr"/>
    </row>
    <row r="522" ht="15" customHeight="1">
      <c r="A522" t="inlineStr">
        <is>
          <t>A 35512-2023</t>
        </is>
      </c>
      <c r="B522" s="1" t="n">
        <v>45147.25623842593</v>
      </c>
      <c r="C522" s="1" t="n">
        <v>45988</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11874-2024</t>
        </is>
      </c>
      <c r="B523" s="1" t="n">
        <v>45376.46956018519</v>
      </c>
      <c r="C523" s="1" t="n">
        <v>45988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20225-2025</t>
        </is>
      </c>
      <c r="B524" s="1" t="n">
        <v>45772.65802083333</v>
      </c>
      <c r="C524" s="1" t="n">
        <v>45988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45988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64831-2023</t>
        </is>
      </c>
      <c r="B526" s="1" t="n">
        <v>45282.44924768519</v>
      </c>
      <c r="C526" s="1" t="n">
        <v>45988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8036-2022</t>
        </is>
      </c>
      <c r="B527" s="1" t="n">
        <v>44609.44362268518</v>
      </c>
      <c r="C527" s="1" t="n">
        <v>45988</v>
      </c>
      <c r="D527" t="inlineStr">
        <is>
          <t>GOTLANDS LÄN</t>
        </is>
      </c>
      <c r="E527" t="inlineStr">
        <is>
          <t>GOTLAND</t>
        </is>
      </c>
      <c r="G527" t="n">
        <v>6.1</v>
      </c>
      <c r="H527" t="n">
        <v>0</v>
      </c>
      <c r="I527" t="n">
        <v>0</v>
      </c>
      <c r="J527" t="n">
        <v>0</v>
      </c>
      <c r="K527" t="n">
        <v>0</v>
      </c>
      <c r="L527" t="n">
        <v>0</v>
      </c>
      <c r="M527" t="n">
        <v>0</v>
      </c>
      <c r="N527" t="n">
        <v>0</v>
      </c>
      <c r="O527" t="n">
        <v>0</v>
      </c>
      <c r="P527" t="n">
        <v>0</v>
      </c>
      <c r="Q527" t="n">
        <v>0</v>
      </c>
      <c r="R527" s="2" t="inlineStr"/>
    </row>
    <row r="528" ht="15" customHeight="1">
      <c r="A528" t="inlineStr">
        <is>
          <t>A 46375-2024</t>
        </is>
      </c>
      <c r="B528" s="1" t="n">
        <v>45582</v>
      </c>
      <c r="C528" s="1" t="n">
        <v>45988</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62915-2021</t>
        </is>
      </c>
      <c r="B529" s="1" t="n">
        <v>44504</v>
      </c>
      <c r="C529" s="1" t="n">
        <v>45988</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45988</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45988</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45988</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45988</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45988</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37222-2021</t>
        </is>
      </c>
      <c r="B535" s="1" t="n">
        <v>44396</v>
      </c>
      <c r="C535" s="1" t="n">
        <v>45988</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46396-2023</t>
        </is>
      </c>
      <c r="B536" s="1" t="n">
        <v>45197</v>
      </c>
      <c r="C536" s="1" t="n">
        <v>45988</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45988</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53934-2024</t>
        </is>
      </c>
      <c r="B538" s="1" t="n">
        <v>45615</v>
      </c>
      <c r="C538" s="1" t="n">
        <v>45988</v>
      </c>
      <c r="D538" t="inlineStr">
        <is>
          <t>GOTLANDS LÄN</t>
        </is>
      </c>
      <c r="E538" t="inlineStr">
        <is>
          <t>GOTLAND</t>
        </is>
      </c>
      <c r="G538" t="n">
        <v>5</v>
      </c>
      <c r="H538" t="n">
        <v>0</v>
      </c>
      <c r="I538" t="n">
        <v>0</v>
      </c>
      <c r="J538" t="n">
        <v>0</v>
      </c>
      <c r="K538" t="n">
        <v>0</v>
      </c>
      <c r="L538" t="n">
        <v>0</v>
      </c>
      <c r="M538" t="n">
        <v>0</v>
      </c>
      <c r="N538" t="n">
        <v>0</v>
      </c>
      <c r="O538" t="n">
        <v>0</v>
      </c>
      <c r="P538" t="n">
        <v>0</v>
      </c>
      <c r="Q538" t="n">
        <v>0</v>
      </c>
      <c r="R538" s="2" t="inlineStr"/>
    </row>
    <row r="539" ht="15" customHeight="1">
      <c r="A539" t="inlineStr">
        <is>
          <t>A 58132-2023</t>
        </is>
      </c>
      <c r="B539" s="1" t="n">
        <v>45250</v>
      </c>
      <c r="C539" s="1" t="n">
        <v>45988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22899-2023</t>
        </is>
      </c>
      <c r="B540" s="1" t="n">
        <v>45072</v>
      </c>
      <c r="C540" s="1" t="n">
        <v>45988</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28285-2024</t>
        </is>
      </c>
      <c r="B541" s="1" t="n">
        <v>45477</v>
      </c>
      <c r="C541" s="1" t="n">
        <v>45988</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51963-2024</t>
        </is>
      </c>
      <c r="B542" s="1" t="n">
        <v>45607.64833333333</v>
      </c>
      <c r="C542" s="1" t="n">
        <v>45988</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1734-2025</t>
        </is>
      </c>
      <c r="B543" s="1" t="n">
        <v>45671.3840625</v>
      </c>
      <c r="C543" s="1" t="n">
        <v>45988</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30365-2024</t>
        </is>
      </c>
      <c r="B544" s="1" t="n">
        <v>45491.3716087963</v>
      </c>
      <c r="C544" s="1" t="n">
        <v>45988</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45988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45988</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45988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10655-2023</t>
        </is>
      </c>
      <c r="B548" s="1" t="n">
        <v>44988.49543981482</v>
      </c>
      <c r="C548" s="1" t="n">
        <v>45988</v>
      </c>
      <c r="D548" t="inlineStr">
        <is>
          <t>GOTLANDS LÄN</t>
        </is>
      </c>
      <c r="E548" t="inlineStr">
        <is>
          <t>GOTLAND</t>
        </is>
      </c>
      <c r="F548" t="inlineStr">
        <is>
          <t>Kyrkan</t>
        </is>
      </c>
      <c r="G548" t="n">
        <v>2</v>
      </c>
      <c r="H548" t="n">
        <v>0</v>
      </c>
      <c r="I548" t="n">
        <v>0</v>
      </c>
      <c r="J548" t="n">
        <v>0</v>
      </c>
      <c r="K548" t="n">
        <v>0</v>
      </c>
      <c r="L548" t="n">
        <v>0</v>
      </c>
      <c r="M548" t="n">
        <v>0</v>
      </c>
      <c r="N548" t="n">
        <v>0</v>
      </c>
      <c r="O548" t="n">
        <v>0</v>
      </c>
      <c r="P548" t="n">
        <v>0</v>
      </c>
      <c r="Q548" t="n">
        <v>0</v>
      </c>
      <c r="R548" s="2" t="inlineStr"/>
    </row>
    <row r="549" ht="15" customHeight="1">
      <c r="A549" t="inlineStr">
        <is>
          <t>A 44649-2021</t>
        </is>
      </c>
      <c r="B549" s="1" t="n">
        <v>44437</v>
      </c>
      <c r="C549" s="1" t="n">
        <v>45988</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8484-2025</t>
        </is>
      </c>
      <c r="B550" s="1" t="n">
        <v>45709</v>
      </c>
      <c r="C550" s="1" t="n">
        <v>45988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49962-2023</t>
        </is>
      </c>
      <c r="B551" s="1" t="n">
        <v>45215.38775462963</v>
      </c>
      <c r="C551" s="1" t="n">
        <v>45988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50744-2024</t>
        </is>
      </c>
      <c r="B552" s="1" t="n">
        <v>45602.4187037037</v>
      </c>
      <c r="C552" s="1" t="n">
        <v>45988</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45244-2024</t>
        </is>
      </c>
      <c r="B553" s="1" t="n">
        <v>45576</v>
      </c>
      <c r="C553" s="1" t="n">
        <v>45988</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38787-2023</t>
        </is>
      </c>
      <c r="B554" s="1" t="n">
        <v>45163</v>
      </c>
      <c r="C554" s="1" t="n">
        <v>45988</v>
      </c>
      <c r="D554" t="inlineStr">
        <is>
          <t>GOTLANDS LÄN</t>
        </is>
      </c>
      <c r="E554" t="inlineStr">
        <is>
          <t>GOTLAND</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45988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22897-2023</t>
        </is>
      </c>
      <c r="B556" s="1" t="n">
        <v>45072.55239583334</v>
      </c>
      <c r="C556" s="1" t="n">
        <v>45988</v>
      </c>
      <c r="D556" t="inlineStr">
        <is>
          <t>GOTLANDS LÄN</t>
        </is>
      </c>
      <c r="E556" t="inlineStr">
        <is>
          <t>GOTLAND</t>
        </is>
      </c>
      <c r="G556" t="n">
        <v>1.1</v>
      </c>
      <c r="H556" t="n">
        <v>0</v>
      </c>
      <c r="I556" t="n">
        <v>0</v>
      </c>
      <c r="J556" t="n">
        <v>0</v>
      </c>
      <c r="K556" t="n">
        <v>0</v>
      </c>
      <c r="L556" t="n">
        <v>0</v>
      </c>
      <c r="M556" t="n">
        <v>0</v>
      </c>
      <c r="N556" t="n">
        <v>0</v>
      </c>
      <c r="O556" t="n">
        <v>0</v>
      </c>
      <c r="P556" t="n">
        <v>0</v>
      </c>
      <c r="Q556" t="n">
        <v>0</v>
      </c>
      <c r="R556" s="2" t="inlineStr"/>
    </row>
    <row r="557" ht="15" customHeight="1">
      <c r="A557" t="inlineStr">
        <is>
          <t>A 4568-2025</t>
        </is>
      </c>
      <c r="B557" s="1" t="n">
        <v>45687</v>
      </c>
      <c r="C557" s="1" t="n">
        <v>45988</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44938.39715277778</v>
      </c>
      <c r="C558" s="1" t="n">
        <v>45988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42338-2023</t>
        </is>
      </c>
      <c r="B559" s="1" t="n">
        <v>45180</v>
      </c>
      <c r="C559" s="1" t="n">
        <v>45988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18918-2025</t>
        </is>
      </c>
      <c r="B560" s="1" t="n">
        <v>45764</v>
      </c>
      <c r="C560" s="1" t="n">
        <v>45988</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11013-2024</t>
        </is>
      </c>
      <c r="B561" s="1" t="n">
        <v>45370</v>
      </c>
      <c r="C561" s="1" t="n">
        <v>45988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45084-2024</t>
        </is>
      </c>
      <c r="B562" s="1" t="n">
        <v>45575</v>
      </c>
      <c r="C562" s="1" t="n">
        <v>45988</v>
      </c>
      <c r="D562" t="inlineStr">
        <is>
          <t>GOTLANDS LÄN</t>
        </is>
      </c>
      <c r="E562" t="inlineStr">
        <is>
          <t>GOTLAND</t>
        </is>
      </c>
      <c r="G562" t="n">
        <v>6.8</v>
      </c>
      <c r="H562" t="n">
        <v>0</v>
      </c>
      <c r="I562" t="n">
        <v>0</v>
      </c>
      <c r="J562" t="n">
        <v>0</v>
      </c>
      <c r="K562" t="n">
        <v>0</v>
      </c>
      <c r="L562" t="n">
        <v>0</v>
      </c>
      <c r="M562" t="n">
        <v>0</v>
      </c>
      <c r="N562" t="n">
        <v>0</v>
      </c>
      <c r="O562" t="n">
        <v>0</v>
      </c>
      <c r="P562" t="n">
        <v>0</v>
      </c>
      <c r="Q562" t="n">
        <v>0</v>
      </c>
      <c r="R562" s="2" t="inlineStr"/>
    </row>
    <row r="563" ht="15" customHeight="1">
      <c r="A563" t="inlineStr">
        <is>
          <t>A 20356-2022</t>
        </is>
      </c>
      <c r="B563" s="1" t="n">
        <v>44699</v>
      </c>
      <c r="C563" s="1" t="n">
        <v>45988</v>
      </c>
      <c r="D563" t="inlineStr">
        <is>
          <t>GOTLANDS LÄN</t>
        </is>
      </c>
      <c r="E563" t="inlineStr">
        <is>
          <t>GOTLAND</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4868-2024</t>
        </is>
      </c>
      <c r="B564" s="1" t="n">
        <v>45329</v>
      </c>
      <c r="C564" s="1" t="n">
        <v>45988</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9613-2025</t>
        </is>
      </c>
      <c r="B565" s="1" t="n">
        <v>45715</v>
      </c>
      <c r="C565" s="1" t="n">
        <v>45988</v>
      </c>
      <c r="D565" t="inlineStr">
        <is>
          <t>GOTLANDS LÄN</t>
        </is>
      </c>
      <c r="E565" t="inlineStr">
        <is>
          <t>GOTLAND</t>
        </is>
      </c>
      <c r="G565" t="n">
        <v>3.5</v>
      </c>
      <c r="H565" t="n">
        <v>0</v>
      </c>
      <c r="I565" t="n">
        <v>0</v>
      </c>
      <c r="J565" t="n">
        <v>0</v>
      </c>
      <c r="K565" t="n">
        <v>0</v>
      </c>
      <c r="L565" t="n">
        <v>0</v>
      </c>
      <c r="M565" t="n">
        <v>0</v>
      </c>
      <c r="N565" t="n">
        <v>0</v>
      </c>
      <c r="O565" t="n">
        <v>0</v>
      </c>
      <c r="P565" t="n">
        <v>0</v>
      </c>
      <c r="Q565" t="n">
        <v>0</v>
      </c>
      <c r="R565" s="2" t="inlineStr"/>
    </row>
    <row r="566" ht="15" customHeight="1">
      <c r="A566" t="inlineStr">
        <is>
          <t>A 5386-2023</t>
        </is>
      </c>
      <c r="B566" s="1" t="n">
        <v>44959</v>
      </c>
      <c r="C566" s="1" t="n">
        <v>45988</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58211-2024</t>
        </is>
      </c>
      <c r="B567" s="1" t="n">
        <v>45632.49292824074</v>
      </c>
      <c r="C567" s="1" t="n">
        <v>45988</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11634-2024</t>
        </is>
      </c>
      <c r="B568" s="1" t="n">
        <v>45373</v>
      </c>
      <c r="C568" s="1" t="n">
        <v>45988</v>
      </c>
      <c r="D568" t="inlineStr">
        <is>
          <t>GOTLANDS LÄN</t>
        </is>
      </c>
      <c r="E568" t="inlineStr">
        <is>
          <t>GOTLAND</t>
        </is>
      </c>
      <c r="G568" t="n">
        <v>3</v>
      </c>
      <c r="H568" t="n">
        <v>0</v>
      </c>
      <c r="I568" t="n">
        <v>0</v>
      </c>
      <c r="J568" t="n">
        <v>0</v>
      </c>
      <c r="K568" t="n">
        <v>0</v>
      </c>
      <c r="L568" t="n">
        <v>0</v>
      </c>
      <c r="M568" t="n">
        <v>0</v>
      </c>
      <c r="N568" t="n">
        <v>0</v>
      </c>
      <c r="O568" t="n">
        <v>0</v>
      </c>
      <c r="P568" t="n">
        <v>0</v>
      </c>
      <c r="Q568" t="n">
        <v>0</v>
      </c>
      <c r="R568" s="2" t="inlineStr"/>
    </row>
    <row r="569" ht="15" customHeight="1">
      <c r="A569" t="inlineStr">
        <is>
          <t>A 5884-2025</t>
        </is>
      </c>
      <c r="B569" s="1" t="n">
        <v>45695.37482638889</v>
      </c>
      <c r="C569" s="1" t="n">
        <v>45988</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5897-2025</t>
        </is>
      </c>
      <c r="B570" s="1" t="n">
        <v>45695.39273148148</v>
      </c>
      <c r="C570" s="1" t="n">
        <v>45988</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5909-2025</t>
        </is>
      </c>
      <c r="B571" s="1" t="n">
        <v>45695.40634259259</v>
      </c>
      <c r="C571" s="1" t="n">
        <v>45988</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60086-2022</t>
        </is>
      </c>
      <c r="B572" s="1" t="n">
        <v>44909</v>
      </c>
      <c r="C572" s="1" t="n">
        <v>45988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22704-2023</t>
        </is>
      </c>
      <c r="B573" s="1" t="n">
        <v>45071</v>
      </c>
      <c r="C573" s="1" t="n">
        <v>45988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45988</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9887-2025</t>
        </is>
      </c>
      <c r="B575" s="1" t="n">
        <v>45716</v>
      </c>
      <c r="C575" s="1" t="n">
        <v>45988</v>
      </c>
      <c r="D575" t="inlineStr">
        <is>
          <t>GOTLANDS LÄN</t>
        </is>
      </c>
      <c r="E575" t="inlineStr">
        <is>
          <t>GOTLAND</t>
        </is>
      </c>
      <c r="G575" t="n">
        <v>7.5</v>
      </c>
      <c r="H575" t="n">
        <v>0</v>
      </c>
      <c r="I575" t="n">
        <v>0</v>
      </c>
      <c r="J575" t="n">
        <v>0</v>
      </c>
      <c r="K575" t="n">
        <v>0</v>
      </c>
      <c r="L575" t="n">
        <v>0</v>
      </c>
      <c r="M575" t="n">
        <v>0</v>
      </c>
      <c r="N575" t="n">
        <v>0</v>
      </c>
      <c r="O575" t="n">
        <v>0</v>
      </c>
      <c r="P575" t="n">
        <v>0</v>
      </c>
      <c r="Q575" t="n">
        <v>0</v>
      </c>
      <c r="R575" s="2" t="inlineStr"/>
    </row>
    <row r="576" ht="15" customHeight="1">
      <c r="A576" t="inlineStr">
        <is>
          <t>A 12209-2024</t>
        </is>
      </c>
      <c r="B576" s="1" t="n">
        <v>45378</v>
      </c>
      <c r="C576" s="1" t="n">
        <v>45988</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12210-2024</t>
        </is>
      </c>
      <c r="B577" s="1" t="n">
        <v>45378</v>
      </c>
      <c r="C577" s="1" t="n">
        <v>45988</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59986-2022</t>
        </is>
      </c>
      <c r="B578" s="1" t="n">
        <v>44909</v>
      </c>
      <c r="C578" s="1" t="n">
        <v>45988</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31802-2024</t>
        </is>
      </c>
      <c r="B579" s="1" t="n">
        <v>45509</v>
      </c>
      <c r="C579" s="1" t="n">
        <v>45988</v>
      </c>
      <c r="D579" t="inlineStr">
        <is>
          <t>GOTLANDS LÄN</t>
        </is>
      </c>
      <c r="E579" t="inlineStr">
        <is>
          <t>GOTLAND</t>
        </is>
      </c>
      <c r="G579" t="n">
        <v>2.8</v>
      </c>
      <c r="H579" t="n">
        <v>0</v>
      </c>
      <c r="I579" t="n">
        <v>0</v>
      </c>
      <c r="J579" t="n">
        <v>0</v>
      </c>
      <c r="K579" t="n">
        <v>0</v>
      </c>
      <c r="L579" t="n">
        <v>0</v>
      </c>
      <c r="M579" t="n">
        <v>0</v>
      </c>
      <c r="N579" t="n">
        <v>0</v>
      </c>
      <c r="O579" t="n">
        <v>0</v>
      </c>
      <c r="P579" t="n">
        <v>0</v>
      </c>
      <c r="Q579" t="n">
        <v>0</v>
      </c>
      <c r="R579" s="2" t="inlineStr"/>
    </row>
    <row r="580" ht="15" customHeight="1">
      <c r="A580" t="inlineStr">
        <is>
          <t>A 20993-2023</t>
        </is>
      </c>
      <c r="B580" s="1" t="n">
        <v>45056</v>
      </c>
      <c r="C580" s="1" t="n">
        <v>45988</v>
      </c>
      <c r="D580" t="inlineStr">
        <is>
          <t>GOTLANDS LÄN</t>
        </is>
      </c>
      <c r="E580" t="inlineStr">
        <is>
          <t>GOTLAND</t>
        </is>
      </c>
      <c r="G580" t="n">
        <v>7.1</v>
      </c>
      <c r="H580" t="n">
        <v>0</v>
      </c>
      <c r="I580" t="n">
        <v>0</v>
      </c>
      <c r="J580" t="n">
        <v>0</v>
      </c>
      <c r="K580" t="n">
        <v>0</v>
      </c>
      <c r="L580" t="n">
        <v>0</v>
      </c>
      <c r="M580" t="n">
        <v>0</v>
      </c>
      <c r="N580" t="n">
        <v>0</v>
      </c>
      <c r="O580" t="n">
        <v>0</v>
      </c>
      <c r="P580" t="n">
        <v>0</v>
      </c>
      <c r="Q580" t="n">
        <v>0</v>
      </c>
      <c r="R580" s="2" t="inlineStr"/>
    </row>
    <row r="581" ht="15" customHeight="1">
      <c r="A581" t="inlineStr">
        <is>
          <t>A 15042-2025</t>
        </is>
      </c>
      <c r="B581" s="1" t="n">
        <v>45743</v>
      </c>
      <c r="C581" s="1" t="n">
        <v>45988</v>
      </c>
      <c r="D581" t="inlineStr">
        <is>
          <t>GOTLANDS LÄN</t>
        </is>
      </c>
      <c r="E581" t="inlineStr">
        <is>
          <t>GOTLAND</t>
        </is>
      </c>
      <c r="G581" t="n">
        <v>8.5</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45988</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4420-2025</t>
        </is>
      </c>
      <c r="B583" s="1" t="n">
        <v>45686.47157407407</v>
      </c>
      <c r="C583" s="1" t="n">
        <v>45988</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14427-2024</t>
        </is>
      </c>
      <c r="B584" s="1" t="n">
        <v>45394</v>
      </c>
      <c r="C584" s="1" t="n">
        <v>45988</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49257-2024</t>
        </is>
      </c>
      <c r="B585" s="1" t="n">
        <v>45595.47627314815</v>
      </c>
      <c r="C585" s="1" t="n">
        <v>45988</v>
      </c>
      <c r="D585" t="inlineStr">
        <is>
          <t>GOTLANDS LÄN</t>
        </is>
      </c>
      <c r="E585" t="inlineStr">
        <is>
          <t>GOTLAND</t>
        </is>
      </c>
      <c r="G585" t="n">
        <v>6.3</v>
      </c>
      <c r="H585" t="n">
        <v>0</v>
      </c>
      <c r="I585" t="n">
        <v>0</v>
      </c>
      <c r="J585" t="n">
        <v>0</v>
      </c>
      <c r="K585" t="n">
        <v>0</v>
      </c>
      <c r="L585" t="n">
        <v>0</v>
      </c>
      <c r="M585" t="n">
        <v>0</v>
      </c>
      <c r="N585" t="n">
        <v>0</v>
      </c>
      <c r="O585" t="n">
        <v>0</v>
      </c>
      <c r="P585" t="n">
        <v>0</v>
      </c>
      <c r="Q585" t="n">
        <v>0</v>
      </c>
      <c r="R585" s="2" t="inlineStr"/>
    </row>
    <row r="586" ht="15" customHeight="1">
      <c r="A586" t="inlineStr">
        <is>
          <t>A 49315-2024</t>
        </is>
      </c>
      <c r="B586" s="1" t="n">
        <v>45595</v>
      </c>
      <c r="C586" s="1" t="n">
        <v>45988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45988</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56115-2023</t>
        </is>
      </c>
      <c r="B588" s="1" t="n">
        <v>45236</v>
      </c>
      <c r="C588" s="1" t="n">
        <v>45988</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64969-2023</t>
        </is>
      </c>
      <c r="B589" s="1" t="n">
        <v>45284.54009259259</v>
      </c>
      <c r="C589" s="1" t="n">
        <v>45988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33853-2024</t>
        </is>
      </c>
      <c r="B590" s="1" t="n">
        <v>45520.64298611111</v>
      </c>
      <c r="C590" s="1" t="n">
        <v>45988</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45988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46949-2024</t>
        </is>
      </c>
      <c r="B592" s="1" t="n">
        <v>45585</v>
      </c>
      <c r="C592" s="1" t="n">
        <v>45988</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24001-2021</t>
        </is>
      </c>
      <c r="B593" s="1" t="n">
        <v>44335</v>
      </c>
      <c r="C593" s="1" t="n">
        <v>45988</v>
      </c>
      <c r="D593" t="inlineStr">
        <is>
          <t>GOTLANDS LÄN</t>
        </is>
      </c>
      <c r="E593" t="inlineStr">
        <is>
          <t>GOTLAND</t>
        </is>
      </c>
      <c r="G593" t="n">
        <v>3.4</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45988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45988</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45988</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45988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17682-2024</t>
        </is>
      </c>
      <c r="B598" s="1" t="n">
        <v>45418.42966435185</v>
      </c>
      <c r="C598" s="1" t="n">
        <v>45988</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61897-2024</t>
        </is>
      </c>
      <c r="B599" s="1" t="n">
        <v>45652.75685185185</v>
      </c>
      <c r="C599" s="1" t="n">
        <v>45988</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12032-2025</t>
        </is>
      </c>
      <c r="B600" s="1" t="n">
        <v>45728.64472222222</v>
      </c>
      <c r="C600" s="1" t="n">
        <v>45988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15595-2024</t>
        </is>
      </c>
      <c r="B601" s="1" t="n">
        <v>45401.81480324074</v>
      </c>
      <c r="C601" s="1" t="n">
        <v>45988</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21164-2024</t>
        </is>
      </c>
      <c r="B602" s="1" t="n">
        <v>45440</v>
      </c>
      <c r="C602" s="1" t="n">
        <v>45988</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17541-2024</t>
        </is>
      </c>
      <c r="B603" s="1" t="n">
        <v>45415</v>
      </c>
      <c r="C603" s="1" t="n">
        <v>45988</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883-2025</t>
        </is>
      </c>
      <c r="B604" s="1" t="n">
        <v>45665</v>
      </c>
      <c r="C604" s="1" t="n">
        <v>45988</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13910-2025</t>
        </is>
      </c>
      <c r="B605" s="1" t="n">
        <v>45737</v>
      </c>
      <c r="C605" s="1" t="n">
        <v>45988</v>
      </c>
      <c r="D605" t="inlineStr">
        <is>
          <t>GOTLANDS LÄN</t>
        </is>
      </c>
      <c r="E605" t="inlineStr">
        <is>
          <t>GOTLAND</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20794-2025</t>
        </is>
      </c>
      <c r="B606" s="1" t="n">
        <v>45776</v>
      </c>
      <c r="C606" s="1" t="n">
        <v>45988</v>
      </c>
      <c r="D606" t="inlineStr">
        <is>
          <t>GOTLANDS LÄN</t>
        </is>
      </c>
      <c r="E606" t="inlineStr">
        <is>
          <t>GOTLAND</t>
        </is>
      </c>
      <c r="G606" t="n">
        <v>6</v>
      </c>
      <c r="H606" t="n">
        <v>0</v>
      </c>
      <c r="I606" t="n">
        <v>0</v>
      </c>
      <c r="J606" t="n">
        <v>0</v>
      </c>
      <c r="K606" t="n">
        <v>0</v>
      </c>
      <c r="L606" t="n">
        <v>0</v>
      </c>
      <c r="M606" t="n">
        <v>0</v>
      </c>
      <c r="N606" t="n">
        <v>0</v>
      </c>
      <c r="O606" t="n">
        <v>0</v>
      </c>
      <c r="P606" t="n">
        <v>0</v>
      </c>
      <c r="Q606" t="n">
        <v>0</v>
      </c>
      <c r="R606" s="2" t="inlineStr"/>
    </row>
    <row r="607" ht="15" customHeight="1">
      <c r="A607" t="inlineStr">
        <is>
          <t>A 20805-2025</t>
        </is>
      </c>
      <c r="B607" s="1" t="n">
        <v>45776</v>
      </c>
      <c r="C607" s="1" t="n">
        <v>45988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21389-2025</t>
        </is>
      </c>
      <c r="B608" s="1" t="n">
        <v>45782</v>
      </c>
      <c r="C608" s="1" t="n">
        <v>45988</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c r="A609" t="inlineStr">
        <is>
          <t>A 21651-2025</t>
        </is>
      </c>
      <c r="B609" s="1" t="n">
        <v>45783</v>
      </c>
      <c r="C609" s="1" t="n">
        <v>45988</v>
      </c>
      <c r="D609" t="inlineStr">
        <is>
          <t>GOTLANDS LÄN</t>
        </is>
      </c>
      <c r="E609" t="inlineStr">
        <is>
          <t>GOTLAND</t>
        </is>
      </c>
      <c r="G609" t="n">
        <v>4.2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2025-11-27T10:24:38Z</dcterms:created>
  <dcterms:modified xmlns:dcterms="http://purl.org/dc/terms/" xmlns:xsi="http://www.w3.org/2001/XMLSchema-instance" xsi:type="dcterms:W3CDTF">2025-11-27T10:24:38Z</dcterms:modified>
</cp:coreProperties>
</file>