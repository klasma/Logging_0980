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46077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46077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46077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46077</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46077</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46077</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46077</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46077</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46077</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46077</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46077</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46077</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46077</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46077</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46077</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46077</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17762-2024</t>
        </is>
      </c>
      <c r="B32" s="1" t="n">
        <v>45418</v>
      </c>
      <c r="C32" s="1" t="n">
        <v>46077</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46077</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46077</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2804-2023</t>
        </is>
      </c>
      <c r="B35" s="1" t="n">
        <v>44944</v>
      </c>
      <c r="C35" s="1" t="n">
        <v>46077</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46077</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46077</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46077</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46077</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46077</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46077</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46077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46077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46077</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46077</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46077</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46077</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46077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584-2023</t>
        </is>
      </c>
      <c r="B51" s="1" t="n">
        <v>44930</v>
      </c>
      <c r="C51" s="1" t="n">
        <v>46077</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17766-2024</t>
        </is>
      </c>
      <c r="B52" s="1" t="n">
        <v>45418</v>
      </c>
      <c r="C52" s="1" t="n">
        <v>46077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46077</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46077</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46077</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46077</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46077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46077</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46077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46077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46077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46077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44944-2022</t>
        </is>
      </c>
      <c r="B63" s="1" t="n">
        <v>44841</v>
      </c>
      <c r="C63" s="1" t="n">
        <v>46077</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18541-2024</t>
        </is>
      </c>
      <c r="B64" s="1" t="n">
        <v>45425</v>
      </c>
      <c r="C64" s="1" t="n">
        <v>46077</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27280-2023</t>
        </is>
      </c>
      <c r="B65" s="1" t="n">
        <v>45096</v>
      </c>
      <c r="C65" s="1" t="n">
        <v>46077</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46077</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27168-2022</t>
        </is>
      </c>
      <c r="B67" s="1" t="n">
        <v>44741</v>
      </c>
      <c r="C67" s="1" t="n">
        <v>46077</v>
      </c>
      <c r="D67" t="inlineStr">
        <is>
          <t>GOTLANDS LÄN</t>
        </is>
      </c>
      <c r="E67" t="inlineStr">
        <is>
          <t>GOTLAND</t>
        </is>
      </c>
      <c r="G67" t="n">
        <v>2.2</v>
      </c>
      <c r="H67" t="n">
        <v>4</v>
      </c>
      <c r="I67" t="n">
        <v>2</v>
      </c>
      <c r="J67" t="n">
        <v>2</v>
      </c>
      <c r="K67" t="n">
        <v>1</v>
      </c>
      <c r="L67" t="n">
        <v>0</v>
      </c>
      <c r="M67" t="n">
        <v>0</v>
      </c>
      <c r="N67" t="n">
        <v>0</v>
      </c>
      <c r="O67" t="n">
        <v>3</v>
      </c>
      <c r="P67" t="n">
        <v>1</v>
      </c>
      <c r="Q67" t="n">
        <v>7</v>
      </c>
      <c r="R67" s="2" t="inlineStr">
        <is>
          <t>Gotlandsmåra
Solvända
Svinrot
Purpurknipprot
Vit skogslilja
Brudsporre
Kärrknipprot</t>
        </is>
      </c>
      <c r="S67">
        <f>HYPERLINK("https://klasma.github.io/Logging_0980/artfynd/A 27168-2022 artfynd.xlsx", "A 27168-2022")</f>
        <v/>
      </c>
      <c r="T67">
        <f>HYPERLINK("https://klasma.github.io/Logging_0980/kartor/A 27168-2022 karta.png", "A 27168-2022")</f>
        <v/>
      </c>
      <c r="V67">
        <f>HYPERLINK("https://klasma.github.io/Logging_0980/klagomål/A 27168-2022 FSC-klagomål.docx", "A 27168-2022")</f>
        <v/>
      </c>
      <c r="W67">
        <f>HYPERLINK("https://klasma.github.io/Logging_0980/klagomålsmail/A 27168-2022 FSC-klagomål mail.docx", "A 27168-2022")</f>
        <v/>
      </c>
      <c r="X67">
        <f>HYPERLINK("https://klasma.github.io/Logging_0980/tillsyn/A 27168-2022 tillsynsbegäran.docx", "A 27168-2022")</f>
        <v/>
      </c>
      <c r="Y67">
        <f>HYPERLINK("https://klasma.github.io/Logging_0980/tillsynsmail/A 27168-2022 tillsynsbegäran mail.docx", "A 27168-2022")</f>
        <v/>
      </c>
    </row>
    <row r="68" ht="15" customHeight="1">
      <c r="A68" t="inlineStr">
        <is>
          <t>A 56687-2025</t>
        </is>
      </c>
      <c r="B68" s="1" t="n">
        <v>45975.84065972222</v>
      </c>
      <c r="C68" s="1" t="n">
        <v>46077</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10419-2025</t>
        </is>
      </c>
      <c r="B69" s="1" t="n">
        <v>45720</v>
      </c>
      <c r="C69" s="1" t="n">
        <v>46077</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46077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7038-2023</t>
        </is>
      </c>
      <c r="B73" s="1" t="n">
        <v>44968</v>
      </c>
      <c r="C73" s="1" t="n">
        <v>46077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46077</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46077</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16823-2024</t>
        </is>
      </c>
      <c r="B76" s="1" t="n">
        <v>45411</v>
      </c>
      <c r="C76" s="1" t="n">
        <v>46077</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57773-2025</t>
        </is>
      </c>
      <c r="B77" s="1" t="n">
        <v>45981.56349537037</v>
      </c>
      <c r="C77" s="1" t="n">
        <v>46077</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46077</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46077</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46077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54055-2022</t>
        </is>
      </c>
      <c r="B81" s="1" t="n">
        <v>44881</v>
      </c>
      <c r="C81" s="1" t="n">
        <v>46077</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42936-2024</t>
        </is>
      </c>
      <c r="B82" s="1" t="n">
        <v>45567</v>
      </c>
      <c r="C82" s="1" t="n">
        <v>46077</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2213-2023</t>
        </is>
      </c>
      <c r="B83" s="1" t="n">
        <v>44942</v>
      </c>
      <c r="C83" s="1" t="n">
        <v>46077</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46077</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46077</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6839-2026</t>
        </is>
      </c>
      <c r="B86" s="1" t="n">
        <v>46057.41193287037</v>
      </c>
      <c r="C86" s="1" t="n">
        <v>46077</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46077</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46077</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46077</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1971-2023</t>
        </is>
      </c>
      <c r="B90" s="1" t="n">
        <v>44939</v>
      </c>
      <c r="C90" s="1" t="n">
        <v>46077</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44933-2022</t>
        </is>
      </c>
      <c r="B91" s="1" t="n">
        <v>44841</v>
      </c>
      <c r="C91" s="1" t="n">
        <v>46077</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6159-2023</t>
        </is>
      </c>
      <c r="B92" s="1" t="n">
        <v>44964</v>
      </c>
      <c r="C92" s="1" t="n">
        <v>46077</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2485-2025</t>
        </is>
      </c>
      <c r="B93" s="1" t="n">
        <v>45673</v>
      </c>
      <c r="C93" s="1" t="n">
        <v>46077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46077</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40099-2025</t>
        </is>
      </c>
      <c r="B95" s="1" t="n">
        <v>45894.48462962963</v>
      </c>
      <c r="C95" s="1" t="n">
        <v>46077</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43197-2023</t>
        </is>
      </c>
      <c r="B96" s="1" t="n">
        <v>45183</v>
      </c>
      <c r="C96" s="1" t="n">
        <v>46077</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8265-2023</t>
        </is>
      </c>
      <c r="B97" s="1" t="n">
        <v>44974</v>
      </c>
      <c r="C97" s="1" t="n">
        <v>46077</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186-2023</t>
        </is>
      </c>
      <c r="B98" s="1" t="n">
        <v>44928</v>
      </c>
      <c r="C98" s="1" t="n">
        <v>46077</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56717-2024</t>
        </is>
      </c>
      <c r="B99" s="1" t="n">
        <v>45628.3166550926</v>
      </c>
      <c r="C99" s="1" t="n">
        <v>46077</v>
      </c>
      <c r="D99" t="inlineStr">
        <is>
          <t>GOTLANDS LÄN</t>
        </is>
      </c>
      <c r="E99" t="inlineStr">
        <is>
          <t>GOTLAND</t>
        </is>
      </c>
      <c r="G99" t="n">
        <v>9.699999999999999</v>
      </c>
      <c r="H99" t="n">
        <v>0</v>
      </c>
      <c r="I99" t="n">
        <v>2</v>
      </c>
      <c r="J99" t="n">
        <v>2</v>
      </c>
      <c r="K99" t="n">
        <v>0</v>
      </c>
      <c r="L99" t="n">
        <v>0</v>
      </c>
      <c r="M99" t="n">
        <v>0</v>
      </c>
      <c r="N99" t="n">
        <v>0</v>
      </c>
      <c r="O99" t="n">
        <v>2</v>
      </c>
      <c r="P99" t="n">
        <v>0</v>
      </c>
      <c r="Q99" t="n">
        <v>4</v>
      </c>
      <c r="R99" s="2" t="inlineStr">
        <is>
          <t>Ekvaxskivling
Odörspindling
Fjällig taggsvamp s.str.
Kattfotslav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54523-2023</t>
        </is>
      </c>
      <c r="B100" s="1" t="n">
        <v>45233</v>
      </c>
      <c r="C100" s="1" t="n">
        <v>46077</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6836-2026</t>
        </is>
      </c>
      <c r="B101" s="1" t="n">
        <v>46057.40902777778</v>
      </c>
      <c r="C101" s="1" t="n">
        <v>46077</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52250-2025</t>
        </is>
      </c>
      <c r="B102" s="1" t="n">
        <v>45953.48998842593</v>
      </c>
      <c r="C102" s="1" t="n">
        <v>46077</v>
      </c>
      <c r="D102" t="inlineStr">
        <is>
          <t>GOTLANDS LÄN</t>
        </is>
      </c>
      <c r="E102" t="inlineStr">
        <is>
          <t>GOTLAND</t>
        </is>
      </c>
      <c r="F102" t="inlineStr">
        <is>
          <t>Övriga Aktiebolag</t>
        </is>
      </c>
      <c r="G102" t="n">
        <v>1.2</v>
      </c>
      <c r="H102" t="n">
        <v>2</v>
      </c>
      <c r="I102" t="n">
        <v>1</v>
      </c>
      <c r="J102" t="n">
        <v>2</v>
      </c>
      <c r="K102" t="n">
        <v>0</v>
      </c>
      <c r="L102" t="n">
        <v>0</v>
      </c>
      <c r="M102" t="n">
        <v>0</v>
      </c>
      <c r="N102" t="n">
        <v>0</v>
      </c>
      <c r="O102" t="n">
        <v>2</v>
      </c>
      <c r="P102" t="n">
        <v>0</v>
      </c>
      <c r="Q102" t="n">
        <v>4</v>
      </c>
      <c r="R102" s="2" t="inlineStr">
        <is>
          <t>Backtimjan
Spillkråka
Anisspindling
Nattviol</t>
        </is>
      </c>
      <c r="S102">
        <f>HYPERLINK("https://klasma.github.io/Logging_0980/artfynd/A 52250-2025 artfynd.xlsx", "A 52250-2025")</f>
        <v/>
      </c>
      <c r="T102">
        <f>HYPERLINK("https://klasma.github.io/Logging_0980/kartor/A 52250-2025 karta.png", "A 52250-2025")</f>
        <v/>
      </c>
      <c r="V102">
        <f>HYPERLINK("https://klasma.github.io/Logging_0980/klagomål/A 52250-2025 FSC-klagomål.docx", "A 52250-2025")</f>
        <v/>
      </c>
      <c r="W102">
        <f>HYPERLINK("https://klasma.github.io/Logging_0980/klagomålsmail/A 52250-2025 FSC-klagomål mail.docx", "A 52250-2025")</f>
        <v/>
      </c>
      <c r="X102">
        <f>HYPERLINK("https://klasma.github.io/Logging_0980/tillsyn/A 52250-2025 tillsynsbegäran.docx", "A 52250-2025")</f>
        <v/>
      </c>
      <c r="Y102">
        <f>HYPERLINK("https://klasma.github.io/Logging_0980/tillsynsmail/A 52250-2025 tillsynsbegäran mail.docx", "A 52250-2025")</f>
        <v/>
      </c>
      <c r="Z102">
        <f>HYPERLINK("https://klasma.github.io/Logging_0980/fåglar/A 52250-2025 prioriterade fågelarter.docx", "A 52250-2025")</f>
        <v/>
      </c>
    </row>
    <row r="103" ht="15" customHeight="1">
      <c r="A103" t="inlineStr">
        <is>
          <t>A 57463-2025</t>
        </is>
      </c>
      <c r="B103" s="1" t="n">
        <v>45980.54174768519</v>
      </c>
      <c r="C103" s="1" t="n">
        <v>46077</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57463-2025 artfynd.xlsx", "A 57463-2025")</f>
        <v/>
      </c>
      <c r="T103">
        <f>HYPERLINK("https://klasma.github.io/Logging_0980/kartor/A 57463-2025 karta.png", "A 57463-2025")</f>
        <v/>
      </c>
      <c r="V103">
        <f>HYPERLINK("https://klasma.github.io/Logging_0980/klagomål/A 57463-2025 FSC-klagomål.docx", "A 57463-2025")</f>
        <v/>
      </c>
      <c r="W103">
        <f>HYPERLINK("https://klasma.github.io/Logging_0980/klagomålsmail/A 57463-2025 FSC-klagomål mail.docx", "A 57463-2025")</f>
        <v/>
      </c>
      <c r="X103">
        <f>HYPERLINK("https://klasma.github.io/Logging_0980/tillsyn/A 57463-2025 tillsynsbegäran.docx", "A 57463-2025")</f>
        <v/>
      </c>
      <c r="Y103">
        <f>HYPERLINK("https://klasma.github.io/Logging_0980/tillsynsmail/A 57463-2025 tillsynsbegäran mail.docx", "A 57463-2025")</f>
        <v/>
      </c>
    </row>
    <row r="104" ht="15" customHeight="1">
      <c r="A104" t="inlineStr">
        <is>
          <t>A 20833-2024</t>
        </is>
      </c>
      <c r="B104" s="1" t="n">
        <v>45439</v>
      </c>
      <c r="C104" s="1" t="n">
        <v>46077</v>
      </c>
      <c r="D104" t="inlineStr">
        <is>
          <t>GOTLANDS LÄN</t>
        </is>
      </c>
      <c r="E104" t="inlineStr">
        <is>
          <t>GOTLAND</t>
        </is>
      </c>
      <c r="G104" t="n">
        <v>0.9</v>
      </c>
      <c r="H104" t="n">
        <v>3</v>
      </c>
      <c r="I104" t="n">
        <v>1</v>
      </c>
      <c r="J104" t="n">
        <v>3</v>
      </c>
      <c r="K104" t="n">
        <v>0</v>
      </c>
      <c r="L104" t="n">
        <v>0</v>
      </c>
      <c r="M104" t="n">
        <v>0</v>
      </c>
      <c r="N104" t="n">
        <v>0</v>
      </c>
      <c r="O104" t="n">
        <v>3</v>
      </c>
      <c r="P104" t="n">
        <v>0</v>
      </c>
      <c r="Q104" t="n">
        <v>4</v>
      </c>
      <c r="R104" s="2" t="inlineStr">
        <is>
          <t>Dårgräsfjäril
Spillkråka
Svinrot
Skogsknipprot</t>
        </is>
      </c>
      <c r="S104">
        <f>HYPERLINK("https://klasma.github.io/Logging_0980/artfynd/A 20833-2024 artfynd.xlsx", "A 20833-2024")</f>
        <v/>
      </c>
      <c r="T104">
        <f>HYPERLINK("https://klasma.github.io/Logging_0980/kartor/A 20833-2024 karta.png", "A 20833-2024")</f>
        <v/>
      </c>
      <c r="V104">
        <f>HYPERLINK("https://klasma.github.io/Logging_0980/klagomål/A 20833-2024 FSC-klagomål.docx", "A 20833-2024")</f>
        <v/>
      </c>
      <c r="W104">
        <f>HYPERLINK("https://klasma.github.io/Logging_0980/klagomålsmail/A 20833-2024 FSC-klagomål mail.docx", "A 20833-2024")</f>
        <v/>
      </c>
      <c r="X104">
        <f>HYPERLINK("https://klasma.github.io/Logging_0980/tillsyn/A 20833-2024 tillsynsbegäran.docx", "A 20833-2024")</f>
        <v/>
      </c>
      <c r="Y104">
        <f>HYPERLINK("https://klasma.github.io/Logging_0980/tillsynsmail/A 20833-2024 tillsynsbegäran mail.docx", "A 20833-2024")</f>
        <v/>
      </c>
      <c r="Z104">
        <f>HYPERLINK("https://klasma.github.io/Logging_0980/fåglar/A 20833-2024 prioriterade fågelarter.docx", "A 20833-2024")</f>
        <v/>
      </c>
    </row>
    <row r="105" ht="15" customHeight="1">
      <c r="A105" t="inlineStr">
        <is>
          <t>A 44323-2021</t>
        </is>
      </c>
      <c r="B105" s="1" t="n">
        <v>44434</v>
      </c>
      <c r="C105" s="1" t="n">
        <v>46077</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46077</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46077</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46077</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46077</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53552-2021</t>
        </is>
      </c>
      <c r="B110" s="1" t="n">
        <v>44468</v>
      </c>
      <c r="C110" s="1" t="n">
        <v>46077</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43013-2022</t>
        </is>
      </c>
      <c r="B111" s="1" t="n">
        <v>44833</v>
      </c>
      <c r="C111" s="1" t="n">
        <v>46077</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46077</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17982-2023</t>
        </is>
      </c>
      <c r="B113" s="1" t="n">
        <v>45040</v>
      </c>
      <c r="C113" s="1" t="n">
        <v>46077</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46077</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46077</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12315-2024</t>
        </is>
      </c>
      <c r="B116" s="1" t="n">
        <v>45378.6434837963</v>
      </c>
      <c r="C116" s="1" t="n">
        <v>46077</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46077</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46077</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73144-2021</t>
        </is>
      </c>
      <c r="B119" s="1" t="n">
        <v>44550</v>
      </c>
      <c r="C119" s="1" t="n">
        <v>46077</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30490-2025</t>
        </is>
      </c>
      <c r="B120" s="1" t="n">
        <v>45830</v>
      </c>
      <c r="C120" s="1" t="n">
        <v>46077</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1520-2026</t>
        </is>
      </c>
      <c r="B121" s="1" t="n">
        <v>46034.35891203704</v>
      </c>
      <c r="C121" s="1" t="n">
        <v>46077</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20831-2024</t>
        </is>
      </c>
      <c r="B122" s="1" t="n">
        <v>45439</v>
      </c>
      <c r="C122" s="1" t="n">
        <v>46077</v>
      </c>
      <c r="D122" t="inlineStr">
        <is>
          <t>GOTLANDS LÄN</t>
        </is>
      </c>
      <c r="E122" t="inlineStr">
        <is>
          <t>GOTLAND</t>
        </is>
      </c>
      <c r="G122" t="n">
        <v>2.9</v>
      </c>
      <c r="H122" t="n">
        <v>2</v>
      </c>
      <c r="I122" t="n">
        <v>1</v>
      </c>
      <c r="J122" t="n">
        <v>2</v>
      </c>
      <c r="K122" t="n">
        <v>0</v>
      </c>
      <c r="L122" t="n">
        <v>0</v>
      </c>
      <c r="M122" t="n">
        <v>0</v>
      </c>
      <c r="N122" t="n">
        <v>0</v>
      </c>
      <c r="O122" t="n">
        <v>2</v>
      </c>
      <c r="P122" t="n">
        <v>0</v>
      </c>
      <c r="Q122" t="n">
        <v>3</v>
      </c>
      <c r="R122" s="2" t="inlineStr">
        <is>
          <t>Dårgräsfjäril
Svinrot
Skogsknipprot</t>
        </is>
      </c>
      <c r="S122">
        <f>HYPERLINK("https://klasma.github.io/Logging_0980/artfynd/A 20831-2024 artfynd.xlsx", "A 20831-2024")</f>
        <v/>
      </c>
      <c r="T122">
        <f>HYPERLINK("https://klasma.github.io/Logging_0980/kartor/A 20831-2024 karta.png", "A 20831-2024")</f>
        <v/>
      </c>
      <c r="V122">
        <f>HYPERLINK("https://klasma.github.io/Logging_0980/klagomål/A 20831-2024 FSC-klagomål.docx", "A 20831-2024")</f>
        <v/>
      </c>
      <c r="W122">
        <f>HYPERLINK("https://klasma.github.io/Logging_0980/klagomålsmail/A 20831-2024 FSC-klagomål mail.docx", "A 20831-2024")</f>
        <v/>
      </c>
      <c r="X122">
        <f>HYPERLINK("https://klasma.github.io/Logging_0980/tillsyn/A 20831-2024 tillsynsbegäran.docx", "A 20831-2024")</f>
        <v/>
      </c>
      <c r="Y122">
        <f>HYPERLINK("https://klasma.github.io/Logging_0980/tillsynsmail/A 20831-2024 tillsynsbegäran mail.docx", "A 20831-2024")</f>
        <v/>
      </c>
    </row>
    <row r="123" ht="15" customHeight="1">
      <c r="A123" t="inlineStr">
        <is>
          <t>A 29870-2021</t>
        </is>
      </c>
      <c r="B123" s="1" t="n">
        <v>44362</v>
      </c>
      <c r="C123" s="1" t="n">
        <v>46077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46077</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46077</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46077</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46077</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26077-2024</t>
        </is>
      </c>
      <c r="B131" s="1" t="n">
        <v>45467</v>
      </c>
      <c r="C131" s="1" t="n">
        <v>46077</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12914-2025</t>
        </is>
      </c>
      <c r="B132" s="1" t="n">
        <v>45733</v>
      </c>
      <c r="C132" s="1" t="n">
        <v>46077</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7070-2022</t>
        </is>
      </c>
      <c r="B133" s="1" t="n">
        <v>44603</v>
      </c>
      <c r="C133" s="1" t="n">
        <v>46077</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28261-2024</t>
        </is>
      </c>
      <c r="B134" s="1" t="n">
        <v>45477</v>
      </c>
      <c r="C134" s="1" t="n">
        <v>46077</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55649-2024</t>
        </is>
      </c>
      <c r="B135" s="1" t="n">
        <v>45622.63053240741</v>
      </c>
      <c r="C135" s="1" t="n">
        <v>46077</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43219-2023</t>
        </is>
      </c>
      <c r="B136" s="1" t="n">
        <v>45183</v>
      </c>
      <c r="C136" s="1" t="n">
        <v>46077</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46077</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46077</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63162-2025</t>
        </is>
      </c>
      <c r="B139" s="1" t="n">
        <v>46010.37629629629</v>
      </c>
      <c r="C139" s="1" t="n">
        <v>46077</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62760-2025</t>
        </is>
      </c>
      <c r="B140" s="1" t="n">
        <v>46008</v>
      </c>
      <c r="C140" s="1" t="n">
        <v>46077</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10274-2026</t>
        </is>
      </c>
      <c r="B141" s="1" t="n">
        <v>46076.58261574074</v>
      </c>
      <c r="C141" s="1" t="n">
        <v>46077</v>
      </c>
      <c r="D141" t="inlineStr">
        <is>
          <t>GOTLANDS LÄN</t>
        </is>
      </c>
      <c r="E141" t="inlineStr">
        <is>
          <t>GOTLAND</t>
        </is>
      </c>
      <c r="G141" t="n">
        <v>9.800000000000001</v>
      </c>
      <c r="H141" t="n">
        <v>1</v>
      </c>
      <c r="I141" t="n">
        <v>0</v>
      </c>
      <c r="J141" t="n">
        <v>0</v>
      </c>
      <c r="K141" t="n">
        <v>1</v>
      </c>
      <c r="L141" t="n">
        <v>0</v>
      </c>
      <c r="M141" t="n">
        <v>0</v>
      </c>
      <c r="N141" t="n">
        <v>0</v>
      </c>
      <c r="O141" t="n">
        <v>1</v>
      </c>
      <c r="P141" t="n">
        <v>1</v>
      </c>
      <c r="Q141" t="n">
        <v>2</v>
      </c>
      <c r="R141" s="2" t="inlineStr">
        <is>
          <t>Gråfingerört
Alvarstånds</t>
        </is>
      </c>
      <c r="S141">
        <f>HYPERLINK("https://klasma.github.io/Logging_0980/artfynd/A 10274-2026 artfynd.xlsx", "A 10274-2026")</f>
        <v/>
      </c>
      <c r="T141">
        <f>HYPERLINK("https://klasma.github.io/Logging_0980/kartor/A 10274-2026 karta.png", "A 10274-2026")</f>
        <v/>
      </c>
      <c r="V141">
        <f>HYPERLINK("https://klasma.github.io/Logging_0980/klagomål/A 10274-2026 FSC-klagomål.docx", "A 10274-2026")</f>
        <v/>
      </c>
      <c r="W141">
        <f>HYPERLINK("https://klasma.github.io/Logging_0980/klagomålsmail/A 10274-2026 FSC-klagomål mail.docx", "A 10274-2026")</f>
        <v/>
      </c>
      <c r="X141">
        <f>HYPERLINK("https://klasma.github.io/Logging_0980/tillsyn/A 10274-2026 tillsynsbegäran.docx", "A 10274-2026")</f>
        <v/>
      </c>
      <c r="Y141">
        <f>HYPERLINK("https://klasma.github.io/Logging_0980/tillsynsmail/A 10274-2026 tillsynsbegäran mail.docx", "A 10274-2026")</f>
        <v/>
      </c>
    </row>
    <row r="142" ht="15" customHeight="1">
      <c r="A142" t="inlineStr">
        <is>
          <t>A 46362-2021</t>
        </is>
      </c>
      <c r="B142" s="1" t="n">
        <v>44442</v>
      </c>
      <c r="C142" s="1" t="n">
        <v>46077</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46077</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46077</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2476-2025</t>
        </is>
      </c>
      <c r="B145" s="1" t="n">
        <v>45673</v>
      </c>
      <c r="C145" s="1" t="n">
        <v>46077</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12379-2024</t>
        </is>
      </c>
      <c r="B146" s="1" t="n">
        <v>45379.28155092592</v>
      </c>
      <c r="C146" s="1" t="n">
        <v>46077</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61796-2022</t>
        </is>
      </c>
      <c r="B147" s="1" t="n">
        <v>44917</v>
      </c>
      <c r="C147" s="1" t="n">
        <v>46077</v>
      </c>
      <c r="D147" t="inlineStr">
        <is>
          <t>GOTLANDS LÄN</t>
        </is>
      </c>
      <c r="E147" t="inlineStr">
        <is>
          <t>GOTLAND</t>
        </is>
      </c>
      <c r="G147" t="n">
        <v>1.5</v>
      </c>
      <c r="H147" t="n">
        <v>1</v>
      </c>
      <c r="I147" t="n">
        <v>0</v>
      </c>
      <c r="J147" t="n">
        <v>0</v>
      </c>
      <c r="K147" t="n">
        <v>0</v>
      </c>
      <c r="L147" t="n">
        <v>0</v>
      </c>
      <c r="M147" t="n">
        <v>0</v>
      </c>
      <c r="N147" t="n">
        <v>0</v>
      </c>
      <c r="O147" t="n">
        <v>0</v>
      </c>
      <c r="P147" t="n">
        <v>0</v>
      </c>
      <c r="Q147" t="n">
        <v>1</v>
      </c>
      <c r="R147" s="2" t="inlineStr">
        <is>
          <t>Skogsduva</t>
        </is>
      </c>
      <c r="S147">
        <f>HYPERLINK("https://klasma.github.io/Logging_0980/artfynd/A 61796-2022 artfynd.xlsx", "A 61796-2022")</f>
        <v/>
      </c>
      <c r="T147">
        <f>HYPERLINK("https://klasma.github.io/Logging_0980/kartor/A 61796-2022 karta.png", "A 61796-2022")</f>
        <v/>
      </c>
      <c r="V147">
        <f>HYPERLINK("https://klasma.github.io/Logging_0980/klagomål/A 61796-2022 FSC-klagomål.docx", "A 61796-2022")</f>
        <v/>
      </c>
      <c r="W147">
        <f>HYPERLINK("https://klasma.github.io/Logging_0980/klagomålsmail/A 61796-2022 FSC-klagomål mail.docx", "A 61796-2022")</f>
        <v/>
      </c>
      <c r="X147">
        <f>HYPERLINK("https://klasma.github.io/Logging_0980/tillsyn/A 61796-2022 tillsynsbegäran.docx", "A 61796-2022")</f>
        <v/>
      </c>
      <c r="Y147">
        <f>HYPERLINK("https://klasma.github.io/Logging_0980/tillsynsmail/A 61796-2022 tillsynsbegäran mail.docx", "A 61796-2022")</f>
        <v/>
      </c>
      <c r="Z147">
        <f>HYPERLINK("https://klasma.github.io/Logging_0980/fåglar/A 61796-2022 prioriterade fågelarter.docx", "A 61796-2022")</f>
        <v/>
      </c>
    </row>
    <row r="148" ht="15" customHeight="1">
      <c r="A148" t="inlineStr">
        <is>
          <t>A 17723-2021</t>
        </is>
      </c>
      <c r="B148" s="1" t="n">
        <v>44300</v>
      </c>
      <c r="C148" s="1" t="n">
        <v>46077</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10995-2023</t>
        </is>
      </c>
      <c r="B149" s="1" t="n">
        <v>44986</v>
      </c>
      <c r="C149" s="1" t="n">
        <v>46077</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44308-2021</t>
        </is>
      </c>
      <c r="B150" s="1" t="n">
        <v>44434</v>
      </c>
      <c r="C150" s="1" t="n">
        <v>46077</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62552-2022</t>
        </is>
      </c>
      <c r="B151" s="1" t="n">
        <v>44924</v>
      </c>
      <c r="C151" s="1" t="n">
        <v>46077</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46077</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15637-2024</t>
        </is>
      </c>
      <c r="B153" s="1" t="n">
        <v>45403.6684837963</v>
      </c>
      <c r="C153" s="1" t="n">
        <v>46077</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447-2023</t>
        </is>
      </c>
      <c r="B154" s="1" t="n">
        <v>44929</v>
      </c>
      <c r="C154" s="1" t="n">
        <v>46077</v>
      </c>
      <c r="D154" t="inlineStr">
        <is>
          <t>GOTLANDS LÄN</t>
        </is>
      </c>
      <c r="E154" t="inlineStr">
        <is>
          <t>GOTLAND</t>
        </is>
      </c>
      <c r="G154" t="n">
        <v>5.1</v>
      </c>
      <c r="H154" t="n">
        <v>0</v>
      </c>
      <c r="I154" t="n">
        <v>0</v>
      </c>
      <c r="J154" t="n">
        <v>1</v>
      </c>
      <c r="K154" t="n">
        <v>0</v>
      </c>
      <c r="L154" t="n">
        <v>0</v>
      </c>
      <c r="M154" t="n">
        <v>0</v>
      </c>
      <c r="N154" t="n">
        <v>0</v>
      </c>
      <c r="O154" t="n">
        <v>1</v>
      </c>
      <c r="P154" t="n">
        <v>0</v>
      </c>
      <c r="Q154" t="n">
        <v>1</v>
      </c>
      <c r="R154" s="2" t="inlineStr">
        <is>
          <t>Äggspindling</t>
        </is>
      </c>
      <c r="S154">
        <f>HYPERLINK("https://klasma.github.io/Logging_0980/artfynd/A 447-2023 artfynd.xlsx", "A 447-2023")</f>
        <v/>
      </c>
      <c r="T154">
        <f>HYPERLINK("https://klasma.github.io/Logging_0980/kartor/A 447-2023 karta.png", "A 447-2023")</f>
        <v/>
      </c>
      <c r="V154">
        <f>HYPERLINK("https://klasma.github.io/Logging_0980/klagomål/A 447-2023 FSC-klagomål.docx", "A 447-2023")</f>
        <v/>
      </c>
      <c r="W154">
        <f>HYPERLINK("https://klasma.github.io/Logging_0980/klagomålsmail/A 447-2023 FSC-klagomål mail.docx", "A 447-2023")</f>
        <v/>
      </c>
      <c r="X154">
        <f>HYPERLINK("https://klasma.github.io/Logging_0980/tillsyn/A 447-2023 tillsynsbegäran.docx", "A 447-2023")</f>
        <v/>
      </c>
      <c r="Y154">
        <f>HYPERLINK("https://klasma.github.io/Logging_0980/tillsynsmail/A 447-2023 tillsynsbegäran mail.docx", "A 447-2023")</f>
        <v/>
      </c>
    </row>
    <row r="155" ht="15" customHeight="1">
      <c r="A155" t="inlineStr">
        <is>
          <t>A 44304-2021</t>
        </is>
      </c>
      <c r="B155" s="1" t="n">
        <v>44434</v>
      </c>
      <c r="C155" s="1" t="n">
        <v>46077</v>
      </c>
      <c r="D155" t="inlineStr">
        <is>
          <t>GOTLANDS LÄN</t>
        </is>
      </c>
      <c r="E155" t="inlineStr">
        <is>
          <t>GOTLAND</t>
        </is>
      </c>
      <c r="G155" t="n">
        <v>5.8</v>
      </c>
      <c r="H155" t="n">
        <v>0</v>
      </c>
      <c r="I155" t="n">
        <v>0</v>
      </c>
      <c r="J155" t="n">
        <v>1</v>
      </c>
      <c r="K155" t="n">
        <v>0</v>
      </c>
      <c r="L155" t="n">
        <v>0</v>
      </c>
      <c r="M155" t="n">
        <v>0</v>
      </c>
      <c r="N155" t="n">
        <v>0</v>
      </c>
      <c r="O155" t="n">
        <v>1</v>
      </c>
      <c r="P155" t="n">
        <v>0</v>
      </c>
      <c r="Q155" t="n">
        <v>1</v>
      </c>
      <c r="R155" s="2" t="inlineStr">
        <is>
          <t>Svinrot</t>
        </is>
      </c>
      <c r="S155">
        <f>HYPERLINK("https://klasma.github.io/Logging_0980/artfynd/A 44304-2021 artfynd.xlsx", "A 44304-2021")</f>
        <v/>
      </c>
      <c r="T155">
        <f>HYPERLINK("https://klasma.github.io/Logging_0980/kartor/A 44304-2021 karta.png", "A 44304-2021")</f>
        <v/>
      </c>
      <c r="V155">
        <f>HYPERLINK("https://klasma.github.io/Logging_0980/klagomål/A 44304-2021 FSC-klagomål.docx", "A 44304-2021")</f>
        <v/>
      </c>
      <c r="W155">
        <f>HYPERLINK("https://klasma.github.io/Logging_0980/klagomålsmail/A 44304-2021 FSC-klagomål mail.docx", "A 44304-2021")</f>
        <v/>
      </c>
      <c r="X155">
        <f>HYPERLINK("https://klasma.github.io/Logging_0980/tillsyn/A 44304-2021 tillsynsbegäran.docx", "A 44304-2021")</f>
        <v/>
      </c>
      <c r="Y155">
        <f>HYPERLINK("https://klasma.github.io/Logging_0980/tillsynsmail/A 44304-2021 tillsynsbegäran mail.docx", "A 44304-2021")</f>
        <v/>
      </c>
    </row>
    <row r="156" ht="15" customHeight="1">
      <c r="A156" t="inlineStr">
        <is>
          <t>A 1477-2024</t>
        </is>
      </c>
      <c r="B156" s="1" t="n">
        <v>45305.37987268518</v>
      </c>
      <c r="C156" s="1" t="n">
        <v>46077</v>
      </c>
      <c r="D156" t="inlineStr">
        <is>
          <t>GOTLANDS LÄN</t>
        </is>
      </c>
      <c r="E156" t="inlineStr">
        <is>
          <t>GOTLAND</t>
        </is>
      </c>
      <c r="G156" t="n">
        <v>6.9</v>
      </c>
      <c r="H156" t="n">
        <v>0</v>
      </c>
      <c r="I156" t="n">
        <v>0</v>
      </c>
      <c r="J156" t="n">
        <v>1</v>
      </c>
      <c r="K156" t="n">
        <v>0</v>
      </c>
      <c r="L156" t="n">
        <v>0</v>
      </c>
      <c r="M156" t="n">
        <v>0</v>
      </c>
      <c r="N156" t="n">
        <v>0</v>
      </c>
      <c r="O156" t="n">
        <v>1</v>
      </c>
      <c r="P156" t="n">
        <v>0</v>
      </c>
      <c r="Q156" t="n">
        <v>1</v>
      </c>
      <c r="R156" s="2" t="inlineStr">
        <is>
          <t>Igelkott</t>
        </is>
      </c>
      <c r="S156">
        <f>HYPERLINK("https://klasma.github.io/Logging_0980/artfynd/A 1477-2024 artfynd.xlsx", "A 1477-2024")</f>
        <v/>
      </c>
      <c r="T156">
        <f>HYPERLINK("https://klasma.github.io/Logging_0980/kartor/A 1477-2024 karta.png", "A 1477-2024")</f>
        <v/>
      </c>
      <c r="V156">
        <f>HYPERLINK("https://klasma.github.io/Logging_0980/klagomål/A 1477-2024 FSC-klagomål.docx", "A 1477-2024")</f>
        <v/>
      </c>
      <c r="W156">
        <f>HYPERLINK("https://klasma.github.io/Logging_0980/klagomålsmail/A 1477-2024 FSC-klagomål mail.docx", "A 1477-2024")</f>
        <v/>
      </c>
      <c r="X156">
        <f>HYPERLINK("https://klasma.github.io/Logging_0980/tillsyn/A 1477-2024 tillsynsbegäran.docx", "A 1477-2024")</f>
        <v/>
      </c>
      <c r="Y156">
        <f>HYPERLINK("https://klasma.github.io/Logging_0980/tillsynsmail/A 1477-2024 tillsynsbegäran mail.docx", "A 1477-2024")</f>
        <v/>
      </c>
    </row>
    <row r="157" ht="15" customHeight="1">
      <c r="A157" t="inlineStr">
        <is>
          <t>A 35574-2024</t>
        </is>
      </c>
      <c r="B157" s="1" t="n">
        <v>45531</v>
      </c>
      <c r="C157" s="1" t="n">
        <v>46077</v>
      </c>
      <c r="D157" t="inlineStr">
        <is>
          <t>GOTLANDS LÄN</t>
        </is>
      </c>
      <c r="E157" t="inlineStr">
        <is>
          <t>GOTLAND</t>
        </is>
      </c>
      <c r="G157" t="n">
        <v>5.7</v>
      </c>
      <c r="H157" t="n">
        <v>0</v>
      </c>
      <c r="I157" t="n">
        <v>1</v>
      </c>
      <c r="J157" t="n">
        <v>0</v>
      </c>
      <c r="K157" t="n">
        <v>0</v>
      </c>
      <c r="L157" t="n">
        <v>0</v>
      </c>
      <c r="M157" t="n">
        <v>0</v>
      </c>
      <c r="N157" t="n">
        <v>0</v>
      </c>
      <c r="O157" t="n">
        <v>0</v>
      </c>
      <c r="P157" t="n">
        <v>0</v>
      </c>
      <c r="Q157" t="n">
        <v>1</v>
      </c>
      <c r="R157" s="2" t="inlineStr">
        <is>
          <t>Murgröna</t>
        </is>
      </c>
      <c r="S157">
        <f>HYPERLINK("https://klasma.github.io/Logging_0980/artfynd/A 35574-2024 artfynd.xlsx", "A 35574-2024")</f>
        <v/>
      </c>
      <c r="T157">
        <f>HYPERLINK("https://klasma.github.io/Logging_0980/kartor/A 35574-2024 karta.png", "A 35574-2024")</f>
        <v/>
      </c>
      <c r="V157">
        <f>HYPERLINK("https://klasma.github.io/Logging_0980/klagomål/A 35574-2024 FSC-klagomål.docx", "A 35574-2024")</f>
        <v/>
      </c>
      <c r="W157">
        <f>HYPERLINK("https://klasma.github.io/Logging_0980/klagomålsmail/A 35574-2024 FSC-klagomål mail.docx", "A 35574-2024")</f>
        <v/>
      </c>
      <c r="X157">
        <f>HYPERLINK("https://klasma.github.io/Logging_0980/tillsyn/A 35574-2024 tillsynsbegäran.docx", "A 35574-2024")</f>
        <v/>
      </c>
      <c r="Y157">
        <f>HYPERLINK("https://klasma.github.io/Logging_0980/tillsynsmail/A 35574-2024 tillsynsbegäran mail.docx", "A 35574-2024")</f>
        <v/>
      </c>
    </row>
    <row r="158" ht="15" customHeight="1">
      <c r="A158" t="inlineStr">
        <is>
          <t>A 7637-2025</t>
        </is>
      </c>
      <c r="B158" s="1" t="n">
        <v>45705.77181712963</v>
      </c>
      <c r="C158" s="1" t="n">
        <v>46077</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947-2023</t>
        </is>
      </c>
      <c r="B159" s="1" t="n">
        <v>44934</v>
      </c>
      <c r="C159" s="1" t="n">
        <v>46077</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49304-2024</t>
        </is>
      </c>
      <c r="B160" s="1" t="n">
        <v>45595.54996527778</v>
      </c>
      <c r="C160" s="1" t="n">
        <v>46077</v>
      </c>
      <c r="D160" t="inlineStr">
        <is>
          <t>GOTLANDS LÄN</t>
        </is>
      </c>
      <c r="E160" t="inlineStr">
        <is>
          <t>GOTLAND</t>
        </is>
      </c>
      <c r="G160" t="n">
        <v>10.8</v>
      </c>
      <c r="H160" t="n">
        <v>0</v>
      </c>
      <c r="I160" t="n">
        <v>0</v>
      </c>
      <c r="J160" t="n">
        <v>1</v>
      </c>
      <c r="K160" t="n">
        <v>0</v>
      </c>
      <c r="L160" t="n">
        <v>0</v>
      </c>
      <c r="M160" t="n">
        <v>0</v>
      </c>
      <c r="N160" t="n">
        <v>0</v>
      </c>
      <c r="O160" t="n">
        <v>1</v>
      </c>
      <c r="P160" t="n">
        <v>0</v>
      </c>
      <c r="Q160" t="n">
        <v>1</v>
      </c>
      <c r="R160" s="2" t="inlineStr">
        <is>
          <t>Åkerranunkel</t>
        </is>
      </c>
      <c r="S160">
        <f>HYPERLINK("https://klasma.github.io/Logging_0980/artfynd/A 49304-2024 artfynd.xlsx", "A 49304-2024")</f>
        <v/>
      </c>
      <c r="T160">
        <f>HYPERLINK("https://klasma.github.io/Logging_0980/kartor/A 49304-2024 karta.png", "A 49304-2024")</f>
        <v/>
      </c>
      <c r="V160">
        <f>HYPERLINK("https://klasma.github.io/Logging_0980/klagomål/A 49304-2024 FSC-klagomål.docx", "A 49304-2024")</f>
        <v/>
      </c>
      <c r="W160">
        <f>HYPERLINK("https://klasma.github.io/Logging_0980/klagomålsmail/A 49304-2024 FSC-klagomål mail.docx", "A 49304-2024")</f>
        <v/>
      </c>
      <c r="X160">
        <f>HYPERLINK("https://klasma.github.io/Logging_0980/tillsyn/A 49304-2024 tillsynsbegäran.docx", "A 49304-2024")</f>
        <v/>
      </c>
      <c r="Y160">
        <f>HYPERLINK("https://klasma.github.io/Logging_0980/tillsynsmail/A 49304-2024 tillsynsbegäran mail.docx", "A 49304-2024")</f>
        <v/>
      </c>
    </row>
    <row r="161" ht="15" customHeight="1">
      <c r="A161" t="inlineStr">
        <is>
          <t>A 63576-2021</t>
        </is>
      </c>
      <c r="B161" s="1" t="n">
        <v>44508</v>
      </c>
      <c r="C161" s="1" t="n">
        <v>46077</v>
      </c>
      <c r="D161" t="inlineStr">
        <is>
          <t>GOTLANDS LÄN</t>
        </is>
      </c>
      <c r="E161" t="inlineStr">
        <is>
          <t>GOTLAND</t>
        </is>
      </c>
      <c r="F161" t="inlineStr">
        <is>
          <t>Kyrkan</t>
        </is>
      </c>
      <c r="G161" t="n">
        <v>4.1</v>
      </c>
      <c r="H161" t="n">
        <v>1</v>
      </c>
      <c r="I161" t="n">
        <v>0</v>
      </c>
      <c r="J161" t="n">
        <v>1</v>
      </c>
      <c r="K161" t="n">
        <v>0</v>
      </c>
      <c r="L161" t="n">
        <v>0</v>
      </c>
      <c r="M161" t="n">
        <v>0</v>
      </c>
      <c r="N161" t="n">
        <v>0</v>
      </c>
      <c r="O161" t="n">
        <v>1</v>
      </c>
      <c r="P161" t="n">
        <v>0</v>
      </c>
      <c r="Q161" t="n">
        <v>1</v>
      </c>
      <c r="R161" s="2" t="inlineStr">
        <is>
          <t>Dårgräsfjäril</t>
        </is>
      </c>
      <c r="S161">
        <f>HYPERLINK("https://klasma.github.io/Logging_0980/artfynd/A 63576-2021 artfynd.xlsx", "A 63576-2021")</f>
        <v/>
      </c>
      <c r="T161">
        <f>HYPERLINK("https://klasma.github.io/Logging_0980/kartor/A 63576-2021 karta.png", "A 63576-2021")</f>
        <v/>
      </c>
      <c r="V161">
        <f>HYPERLINK("https://klasma.github.io/Logging_0980/klagomål/A 63576-2021 FSC-klagomål.docx", "A 63576-2021")</f>
        <v/>
      </c>
      <c r="W161">
        <f>HYPERLINK("https://klasma.github.io/Logging_0980/klagomålsmail/A 63576-2021 FSC-klagomål mail.docx", "A 63576-2021")</f>
        <v/>
      </c>
      <c r="X161">
        <f>HYPERLINK("https://klasma.github.io/Logging_0980/tillsyn/A 63576-2021 tillsynsbegäran.docx", "A 63576-2021")</f>
        <v/>
      </c>
      <c r="Y161">
        <f>HYPERLINK("https://klasma.github.io/Logging_0980/tillsynsmail/A 63576-2021 tillsynsbegäran mail.docx", "A 63576-2021")</f>
        <v/>
      </c>
    </row>
    <row r="162" ht="15" customHeight="1">
      <c r="A162" t="inlineStr">
        <is>
          <t>A 64700-2021</t>
        </is>
      </c>
      <c r="B162" s="1" t="n">
        <v>44511</v>
      </c>
      <c r="C162" s="1" t="n">
        <v>46077</v>
      </c>
      <c r="D162" t="inlineStr">
        <is>
          <t>GOTLANDS LÄN</t>
        </is>
      </c>
      <c r="E162" t="inlineStr">
        <is>
          <t>GOTLAND</t>
        </is>
      </c>
      <c r="F162" t="inlineStr">
        <is>
          <t>Naturvårdsverket</t>
        </is>
      </c>
      <c r="G162" t="n">
        <v>2.4</v>
      </c>
      <c r="H162" t="n">
        <v>1</v>
      </c>
      <c r="I162" t="n">
        <v>0</v>
      </c>
      <c r="J162" t="n">
        <v>0</v>
      </c>
      <c r="K162" t="n">
        <v>1</v>
      </c>
      <c r="L162" t="n">
        <v>0</v>
      </c>
      <c r="M162" t="n">
        <v>0</v>
      </c>
      <c r="N162" t="n">
        <v>0</v>
      </c>
      <c r="O162" t="n">
        <v>1</v>
      </c>
      <c r="P162" t="n">
        <v>1</v>
      </c>
      <c r="Q162" t="n">
        <v>1</v>
      </c>
      <c r="R162" s="2" t="inlineStr">
        <is>
          <t>Kalkdån</t>
        </is>
      </c>
      <c r="S162">
        <f>HYPERLINK("https://klasma.github.io/Logging_0980/artfynd/A 64700-2021 artfynd.xlsx", "A 64700-2021")</f>
        <v/>
      </c>
      <c r="T162">
        <f>HYPERLINK("https://klasma.github.io/Logging_0980/kartor/A 64700-2021 karta.png", "A 64700-2021")</f>
        <v/>
      </c>
      <c r="V162">
        <f>HYPERLINK("https://klasma.github.io/Logging_0980/klagomål/A 64700-2021 FSC-klagomål.docx", "A 64700-2021")</f>
        <v/>
      </c>
      <c r="W162">
        <f>HYPERLINK("https://klasma.github.io/Logging_0980/klagomålsmail/A 64700-2021 FSC-klagomål mail.docx", "A 64700-2021")</f>
        <v/>
      </c>
      <c r="X162">
        <f>HYPERLINK("https://klasma.github.io/Logging_0980/tillsyn/A 64700-2021 tillsynsbegäran.docx", "A 64700-2021")</f>
        <v/>
      </c>
      <c r="Y162">
        <f>HYPERLINK("https://klasma.github.io/Logging_0980/tillsynsmail/A 64700-2021 tillsynsbegäran mail.docx", "A 64700-2021")</f>
        <v/>
      </c>
    </row>
    <row r="163" ht="15" customHeight="1">
      <c r="A163" t="inlineStr">
        <is>
          <t>A 6303-2024</t>
        </is>
      </c>
      <c r="B163" s="1" t="n">
        <v>45338.35376157407</v>
      </c>
      <c r="C163" s="1" t="n">
        <v>46077</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27589-2023</t>
        </is>
      </c>
      <c r="B164" s="1" t="n">
        <v>45097</v>
      </c>
      <c r="C164" s="1" t="n">
        <v>46077</v>
      </c>
      <c r="D164" t="inlineStr">
        <is>
          <t>GOTLANDS LÄN</t>
        </is>
      </c>
      <c r="E164" t="inlineStr">
        <is>
          <t>GOTLAND</t>
        </is>
      </c>
      <c r="G164" t="n">
        <v>5.4</v>
      </c>
      <c r="H164" t="n">
        <v>0</v>
      </c>
      <c r="I164" t="n">
        <v>0</v>
      </c>
      <c r="J164" t="n">
        <v>0</v>
      </c>
      <c r="K164" t="n">
        <v>0</v>
      </c>
      <c r="L164" t="n">
        <v>0</v>
      </c>
      <c r="M164" t="n">
        <v>1</v>
      </c>
      <c r="N164" t="n">
        <v>0</v>
      </c>
      <c r="O164" t="n">
        <v>1</v>
      </c>
      <c r="P164" t="n">
        <v>1</v>
      </c>
      <c r="Q164" t="n">
        <v>1</v>
      </c>
      <c r="R164" s="2" t="inlineStr">
        <is>
          <t>Skogsalm</t>
        </is>
      </c>
      <c r="S164">
        <f>HYPERLINK("https://klasma.github.io/Logging_0980/artfynd/A 27589-2023 artfynd.xlsx", "A 27589-2023")</f>
        <v/>
      </c>
      <c r="T164">
        <f>HYPERLINK("https://klasma.github.io/Logging_0980/kartor/A 27589-2023 karta.png", "A 27589-2023")</f>
        <v/>
      </c>
      <c r="V164">
        <f>HYPERLINK("https://klasma.github.io/Logging_0980/klagomål/A 27589-2023 FSC-klagomål.docx", "A 27589-2023")</f>
        <v/>
      </c>
      <c r="W164">
        <f>HYPERLINK("https://klasma.github.io/Logging_0980/klagomålsmail/A 27589-2023 FSC-klagomål mail.docx", "A 27589-2023")</f>
        <v/>
      </c>
      <c r="X164">
        <f>HYPERLINK("https://klasma.github.io/Logging_0980/tillsyn/A 27589-2023 tillsynsbegäran.docx", "A 27589-2023")</f>
        <v/>
      </c>
      <c r="Y164">
        <f>HYPERLINK("https://klasma.github.io/Logging_0980/tillsynsmail/A 27589-2023 tillsynsbegäran mail.docx", "A 27589-2023")</f>
        <v/>
      </c>
    </row>
    <row r="165" ht="15" customHeight="1">
      <c r="A165" t="inlineStr">
        <is>
          <t>A 25977-2024</t>
        </is>
      </c>
      <c r="B165" s="1" t="n">
        <v>45467.69356481481</v>
      </c>
      <c r="C165" s="1" t="n">
        <v>46077</v>
      </c>
      <c r="D165" t="inlineStr">
        <is>
          <t>GOTLANDS LÄN</t>
        </is>
      </c>
      <c r="E165" t="inlineStr">
        <is>
          <t>GOTLAND</t>
        </is>
      </c>
      <c r="G165" t="n">
        <v>3</v>
      </c>
      <c r="H165" t="n">
        <v>1</v>
      </c>
      <c r="I165" t="n">
        <v>0</v>
      </c>
      <c r="J165" t="n">
        <v>0</v>
      </c>
      <c r="K165" t="n">
        <v>0</v>
      </c>
      <c r="L165" t="n">
        <v>0</v>
      </c>
      <c r="M165" t="n">
        <v>0</v>
      </c>
      <c r="N165" t="n">
        <v>0</v>
      </c>
      <c r="O165" t="n">
        <v>0</v>
      </c>
      <c r="P165" t="n">
        <v>0</v>
      </c>
      <c r="Q165" t="n">
        <v>1</v>
      </c>
      <c r="R165" s="2" t="inlineStr">
        <is>
          <t>Nattviol</t>
        </is>
      </c>
      <c r="S165">
        <f>HYPERLINK("https://klasma.github.io/Logging_0980/artfynd/A 25977-2024 artfynd.xlsx", "A 25977-2024")</f>
        <v/>
      </c>
      <c r="T165">
        <f>HYPERLINK("https://klasma.github.io/Logging_0980/kartor/A 25977-2024 karta.png", "A 25977-2024")</f>
        <v/>
      </c>
      <c r="V165">
        <f>HYPERLINK("https://klasma.github.io/Logging_0980/klagomål/A 25977-2024 FSC-klagomål.docx", "A 25977-2024")</f>
        <v/>
      </c>
      <c r="W165">
        <f>HYPERLINK("https://klasma.github.io/Logging_0980/klagomålsmail/A 25977-2024 FSC-klagomål mail.docx", "A 25977-2024")</f>
        <v/>
      </c>
      <c r="X165">
        <f>HYPERLINK("https://klasma.github.io/Logging_0980/tillsyn/A 25977-2024 tillsynsbegäran.docx", "A 25977-2024")</f>
        <v/>
      </c>
      <c r="Y165">
        <f>HYPERLINK("https://klasma.github.io/Logging_0980/tillsynsmail/A 25977-2024 tillsynsbegäran mail.docx", "A 25977-2024")</f>
        <v/>
      </c>
    </row>
    <row r="166" ht="15" customHeight="1">
      <c r="A166" t="inlineStr">
        <is>
          <t>A 61561-2023</t>
        </is>
      </c>
      <c r="B166" s="1" t="n">
        <v>45265</v>
      </c>
      <c r="C166" s="1" t="n">
        <v>46077</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34809-2024</t>
        </is>
      </c>
      <c r="B167" s="1" t="n">
        <v>45526</v>
      </c>
      <c r="C167" s="1" t="n">
        <v>46077</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39812-2025</t>
        </is>
      </c>
      <c r="B168" s="1" t="n">
        <v>45891</v>
      </c>
      <c r="C168" s="1" t="n">
        <v>46077</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65927-2021</t>
        </is>
      </c>
      <c r="B169" s="1" t="n">
        <v>44516</v>
      </c>
      <c r="C169" s="1" t="n">
        <v>46077</v>
      </c>
      <c r="D169" t="inlineStr">
        <is>
          <t>GOTLANDS LÄN</t>
        </is>
      </c>
      <c r="E169" t="inlineStr">
        <is>
          <t>GOTLAND</t>
        </is>
      </c>
      <c r="G169" t="n">
        <v>3.1</v>
      </c>
      <c r="H169" t="n">
        <v>1</v>
      </c>
      <c r="I169" t="n">
        <v>0</v>
      </c>
      <c r="J169" t="n">
        <v>0</v>
      </c>
      <c r="K169" t="n">
        <v>1</v>
      </c>
      <c r="L169" t="n">
        <v>0</v>
      </c>
      <c r="M169" t="n">
        <v>0</v>
      </c>
      <c r="N169" t="n">
        <v>0</v>
      </c>
      <c r="O169" t="n">
        <v>1</v>
      </c>
      <c r="P169" t="n">
        <v>1</v>
      </c>
      <c r="Q169" t="n">
        <v>1</v>
      </c>
      <c r="R169" s="2" t="inlineStr">
        <is>
          <t>Grenigt kungsljus</t>
        </is>
      </c>
      <c r="S169">
        <f>HYPERLINK("https://klasma.github.io/Logging_0980/artfynd/A 65927-2021 artfynd.xlsx", "A 65927-2021")</f>
        <v/>
      </c>
      <c r="T169">
        <f>HYPERLINK("https://klasma.github.io/Logging_0980/kartor/A 65927-2021 karta.png", "A 65927-2021")</f>
        <v/>
      </c>
      <c r="V169">
        <f>HYPERLINK("https://klasma.github.io/Logging_0980/klagomål/A 65927-2021 FSC-klagomål.docx", "A 65927-2021")</f>
        <v/>
      </c>
      <c r="W169">
        <f>HYPERLINK("https://klasma.github.io/Logging_0980/klagomålsmail/A 65927-2021 FSC-klagomål mail.docx", "A 65927-2021")</f>
        <v/>
      </c>
      <c r="X169">
        <f>HYPERLINK("https://klasma.github.io/Logging_0980/tillsyn/A 65927-2021 tillsynsbegäran.docx", "A 65927-2021")</f>
        <v/>
      </c>
      <c r="Y169">
        <f>HYPERLINK("https://klasma.github.io/Logging_0980/tillsynsmail/A 65927-2021 tillsynsbegäran mail.docx", "A 65927-2021")</f>
        <v/>
      </c>
    </row>
    <row r="170" ht="15" customHeight="1">
      <c r="A170" t="inlineStr">
        <is>
          <t>A 22782-2023</t>
        </is>
      </c>
      <c r="B170" s="1" t="n">
        <v>45072</v>
      </c>
      <c r="C170" s="1" t="n">
        <v>46077</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35467-2021</t>
        </is>
      </c>
      <c r="B171" s="1" t="n">
        <v>44385</v>
      </c>
      <c r="C171" s="1" t="n">
        <v>46077</v>
      </c>
      <c r="D171" t="inlineStr">
        <is>
          <t>GOTLANDS LÄN</t>
        </is>
      </c>
      <c r="E171" t="inlineStr">
        <is>
          <t>GOTLAND</t>
        </is>
      </c>
      <c r="G171" t="n">
        <v>12.7</v>
      </c>
      <c r="H171" t="n">
        <v>0</v>
      </c>
      <c r="I171" t="n">
        <v>0</v>
      </c>
      <c r="J171" t="n">
        <v>1</v>
      </c>
      <c r="K171" t="n">
        <v>0</v>
      </c>
      <c r="L171" t="n">
        <v>0</v>
      </c>
      <c r="M171" t="n">
        <v>0</v>
      </c>
      <c r="N171" t="n">
        <v>0</v>
      </c>
      <c r="O171" t="n">
        <v>1</v>
      </c>
      <c r="P171" t="n">
        <v>0</v>
      </c>
      <c r="Q171" t="n">
        <v>1</v>
      </c>
      <c r="R171" s="2" t="inlineStr">
        <is>
          <t>Loppstarr</t>
        </is>
      </c>
      <c r="S171">
        <f>HYPERLINK("https://klasma.github.io/Logging_0980/artfynd/A 35467-2021 artfynd.xlsx", "A 35467-2021")</f>
        <v/>
      </c>
      <c r="T171">
        <f>HYPERLINK("https://klasma.github.io/Logging_0980/kartor/A 35467-2021 karta.png", "A 35467-2021")</f>
        <v/>
      </c>
      <c r="V171">
        <f>HYPERLINK("https://klasma.github.io/Logging_0980/klagomål/A 35467-2021 FSC-klagomål.docx", "A 35467-2021")</f>
        <v/>
      </c>
      <c r="W171">
        <f>HYPERLINK("https://klasma.github.io/Logging_0980/klagomålsmail/A 35467-2021 FSC-klagomål mail.docx", "A 35467-2021")</f>
        <v/>
      </c>
      <c r="X171">
        <f>HYPERLINK("https://klasma.github.io/Logging_0980/tillsyn/A 35467-2021 tillsynsbegäran.docx", "A 35467-2021")</f>
        <v/>
      </c>
      <c r="Y171">
        <f>HYPERLINK("https://klasma.github.io/Logging_0980/tillsynsmail/A 35467-2021 tillsynsbegäran mail.docx", "A 35467-2021")</f>
        <v/>
      </c>
    </row>
    <row r="172" ht="15" customHeight="1">
      <c r="A172" t="inlineStr">
        <is>
          <t>A 22883-2024</t>
        </is>
      </c>
      <c r="B172" s="1" t="n">
        <v>45448.66368055555</v>
      </c>
      <c r="C172" s="1" t="n">
        <v>46077</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44619-2025</t>
        </is>
      </c>
      <c r="B173" s="1" t="n">
        <v>45917</v>
      </c>
      <c r="C173" s="1" t="n">
        <v>46077</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Ögonpyrola</t>
        </is>
      </c>
      <c r="S173">
        <f>HYPERLINK("https://klasma.github.io/Logging_0980/artfynd/A 44619-2025 artfynd.xlsx", "A 44619-2025")</f>
        <v/>
      </c>
      <c r="T173">
        <f>HYPERLINK("https://klasma.github.io/Logging_0980/kartor/A 44619-2025 karta.png", "A 44619-2025")</f>
        <v/>
      </c>
      <c r="V173">
        <f>HYPERLINK("https://klasma.github.io/Logging_0980/klagomål/A 44619-2025 FSC-klagomål.docx", "A 44619-2025")</f>
        <v/>
      </c>
      <c r="W173">
        <f>HYPERLINK("https://klasma.github.io/Logging_0980/klagomålsmail/A 44619-2025 FSC-klagomål mail.docx", "A 44619-2025")</f>
        <v/>
      </c>
      <c r="X173">
        <f>HYPERLINK("https://klasma.github.io/Logging_0980/tillsyn/A 44619-2025 tillsynsbegäran.docx", "A 44619-2025")</f>
        <v/>
      </c>
      <c r="Y173">
        <f>HYPERLINK("https://klasma.github.io/Logging_0980/tillsynsmail/A 44619-2025 tillsynsbegäran mail.docx", "A 44619-2025")</f>
        <v/>
      </c>
    </row>
    <row r="174" ht="15" customHeight="1">
      <c r="A174" t="inlineStr">
        <is>
          <t>A 49726-2025</t>
        </is>
      </c>
      <c r="B174" s="1" t="n">
        <v>45939.84466435185</v>
      </c>
      <c r="C174" s="1" t="n">
        <v>46077</v>
      </c>
      <c r="D174" t="inlineStr">
        <is>
          <t>GOTLANDS LÄN</t>
        </is>
      </c>
      <c r="E174" t="inlineStr">
        <is>
          <t>GOTLAND</t>
        </is>
      </c>
      <c r="F174" t="inlineStr">
        <is>
          <t>Kyrkan</t>
        </is>
      </c>
      <c r="G174" t="n">
        <v>5.4</v>
      </c>
      <c r="H174" t="n">
        <v>0</v>
      </c>
      <c r="I174" t="n">
        <v>0</v>
      </c>
      <c r="J174" t="n">
        <v>1</v>
      </c>
      <c r="K174" t="n">
        <v>0</v>
      </c>
      <c r="L174" t="n">
        <v>0</v>
      </c>
      <c r="M174" t="n">
        <v>0</v>
      </c>
      <c r="N174" t="n">
        <v>0</v>
      </c>
      <c r="O174" t="n">
        <v>1</v>
      </c>
      <c r="P174" t="n">
        <v>0</v>
      </c>
      <c r="Q174" t="n">
        <v>1</v>
      </c>
      <c r="R174" s="2" t="inlineStr">
        <is>
          <t>Odörspindling</t>
        </is>
      </c>
      <c r="S174">
        <f>HYPERLINK("https://klasma.github.io/Logging_0980/artfynd/A 49726-2025 artfynd.xlsx", "A 49726-2025")</f>
        <v/>
      </c>
      <c r="T174">
        <f>HYPERLINK("https://klasma.github.io/Logging_0980/kartor/A 49726-2025 karta.png", "A 49726-2025")</f>
        <v/>
      </c>
      <c r="V174">
        <f>HYPERLINK("https://klasma.github.io/Logging_0980/klagomål/A 49726-2025 FSC-klagomål.docx", "A 49726-2025")</f>
        <v/>
      </c>
      <c r="W174">
        <f>HYPERLINK("https://klasma.github.io/Logging_0980/klagomålsmail/A 49726-2025 FSC-klagomål mail.docx", "A 49726-2025")</f>
        <v/>
      </c>
      <c r="X174">
        <f>HYPERLINK("https://klasma.github.io/Logging_0980/tillsyn/A 49726-2025 tillsynsbegäran.docx", "A 49726-2025")</f>
        <v/>
      </c>
      <c r="Y174">
        <f>HYPERLINK("https://klasma.github.io/Logging_0980/tillsynsmail/A 49726-2025 tillsynsbegäran mail.docx", "A 49726-2025")</f>
        <v/>
      </c>
    </row>
    <row r="175" ht="15" customHeight="1">
      <c r="A175" t="inlineStr">
        <is>
          <t>A 20429-2025</t>
        </is>
      </c>
      <c r="B175" s="1" t="n">
        <v>45775.47728009259</v>
      </c>
      <c r="C175" s="1" t="n">
        <v>46077</v>
      </c>
      <c r="D175" t="inlineStr">
        <is>
          <t>GOTLANDS LÄN</t>
        </is>
      </c>
      <c r="E175" t="inlineStr">
        <is>
          <t>GOTLAND</t>
        </is>
      </c>
      <c r="G175" t="n">
        <v>1.4</v>
      </c>
      <c r="H175" t="n">
        <v>1</v>
      </c>
      <c r="I175" t="n">
        <v>0</v>
      </c>
      <c r="J175" t="n">
        <v>0</v>
      </c>
      <c r="K175" t="n">
        <v>0</v>
      </c>
      <c r="L175" t="n">
        <v>0</v>
      </c>
      <c r="M175" t="n">
        <v>0</v>
      </c>
      <c r="N175" t="n">
        <v>0</v>
      </c>
      <c r="O175" t="n">
        <v>0</v>
      </c>
      <c r="P175" t="n">
        <v>0</v>
      </c>
      <c r="Q175" t="n">
        <v>1</v>
      </c>
      <c r="R175" s="2" t="inlineStr">
        <is>
          <t>Äkta lopplummer</t>
        </is>
      </c>
      <c r="S175">
        <f>HYPERLINK("https://klasma.github.io/Logging_0980/artfynd/A 20429-2025 artfynd.xlsx", "A 20429-2025")</f>
        <v/>
      </c>
      <c r="T175">
        <f>HYPERLINK("https://klasma.github.io/Logging_0980/kartor/A 20429-2025 karta.png", "A 20429-2025")</f>
        <v/>
      </c>
      <c r="V175">
        <f>HYPERLINK("https://klasma.github.io/Logging_0980/klagomål/A 20429-2025 FSC-klagomål.docx", "A 20429-2025")</f>
        <v/>
      </c>
      <c r="W175">
        <f>HYPERLINK("https://klasma.github.io/Logging_0980/klagomålsmail/A 20429-2025 FSC-klagomål mail.docx", "A 20429-2025")</f>
        <v/>
      </c>
      <c r="X175">
        <f>HYPERLINK("https://klasma.github.io/Logging_0980/tillsyn/A 20429-2025 tillsynsbegäran.docx", "A 20429-2025")</f>
        <v/>
      </c>
      <c r="Y175">
        <f>HYPERLINK("https://klasma.github.io/Logging_0980/tillsynsmail/A 20429-2025 tillsynsbegäran mail.docx", "A 20429-2025")</f>
        <v/>
      </c>
    </row>
    <row r="176" ht="15" customHeight="1">
      <c r="A176" t="inlineStr">
        <is>
          <t>A 24245-2022</t>
        </is>
      </c>
      <c r="B176" s="1" t="n">
        <v>44725</v>
      </c>
      <c r="C176" s="1" t="n">
        <v>46077</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49847-2023</t>
        </is>
      </c>
      <c r="B177" s="1" t="n">
        <v>45212</v>
      </c>
      <c r="C177" s="1" t="n">
        <v>46077</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46527-2023</t>
        </is>
      </c>
      <c r="B178" s="1" t="n">
        <v>45197</v>
      </c>
      <c r="C178" s="1" t="n">
        <v>46077</v>
      </c>
      <c r="D178" t="inlineStr">
        <is>
          <t>GOTLANDS LÄN</t>
        </is>
      </c>
      <c r="E178" t="inlineStr">
        <is>
          <t>GOTLAND</t>
        </is>
      </c>
      <c r="G178" t="n">
        <v>0.9</v>
      </c>
      <c r="H178" t="n">
        <v>0</v>
      </c>
      <c r="I178" t="n">
        <v>0</v>
      </c>
      <c r="J178" t="n">
        <v>1</v>
      </c>
      <c r="K178" t="n">
        <v>0</v>
      </c>
      <c r="L178" t="n">
        <v>0</v>
      </c>
      <c r="M178" t="n">
        <v>0</v>
      </c>
      <c r="N178" t="n">
        <v>0</v>
      </c>
      <c r="O178" t="n">
        <v>1</v>
      </c>
      <c r="P178" t="n">
        <v>0</v>
      </c>
      <c r="Q178" t="n">
        <v>1</v>
      </c>
      <c r="R178" s="2" t="inlineStr">
        <is>
          <t>Guldgräshoppa</t>
        </is>
      </c>
      <c r="S178">
        <f>HYPERLINK("https://klasma.github.io/Logging_0980/artfynd/A 46527-2023 artfynd.xlsx", "A 46527-2023")</f>
        <v/>
      </c>
      <c r="T178">
        <f>HYPERLINK("https://klasma.github.io/Logging_0980/kartor/A 46527-2023 karta.png", "A 46527-2023")</f>
        <v/>
      </c>
      <c r="V178">
        <f>HYPERLINK("https://klasma.github.io/Logging_0980/klagomål/A 46527-2023 FSC-klagomål.docx", "A 46527-2023")</f>
        <v/>
      </c>
      <c r="W178">
        <f>HYPERLINK("https://klasma.github.io/Logging_0980/klagomålsmail/A 46527-2023 FSC-klagomål mail.docx", "A 46527-2023")</f>
        <v/>
      </c>
      <c r="X178">
        <f>HYPERLINK("https://klasma.github.io/Logging_0980/tillsyn/A 46527-2023 tillsynsbegäran.docx", "A 46527-2023")</f>
        <v/>
      </c>
      <c r="Y178">
        <f>HYPERLINK("https://klasma.github.io/Logging_0980/tillsynsmail/A 46527-2023 tillsynsbegäran mail.docx", "A 46527-2023")</f>
        <v/>
      </c>
    </row>
    <row r="179" ht="15" customHeight="1">
      <c r="A179" t="inlineStr">
        <is>
          <t>A 12324-2025</t>
        </is>
      </c>
      <c r="B179" s="1" t="n">
        <v>45730</v>
      </c>
      <c r="C179" s="1" t="n">
        <v>46077</v>
      </c>
      <c r="D179" t="inlineStr">
        <is>
          <t>GOTLANDS LÄN</t>
        </is>
      </c>
      <c r="E179" t="inlineStr">
        <is>
          <t>GOTLAND</t>
        </is>
      </c>
      <c r="G179" t="n">
        <v>5</v>
      </c>
      <c r="H179" t="n">
        <v>0</v>
      </c>
      <c r="I179" t="n">
        <v>0</v>
      </c>
      <c r="J179" t="n">
        <v>0</v>
      </c>
      <c r="K179" t="n">
        <v>1</v>
      </c>
      <c r="L179" t="n">
        <v>0</v>
      </c>
      <c r="M179" t="n">
        <v>0</v>
      </c>
      <c r="N179" t="n">
        <v>0</v>
      </c>
      <c r="O179" t="n">
        <v>1</v>
      </c>
      <c r="P179" t="n">
        <v>1</v>
      </c>
      <c r="Q179" t="n">
        <v>1</v>
      </c>
      <c r="R179" s="2" t="inlineStr">
        <is>
          <t>Sommarklynne</t>
        </is>
      </c>
      <c r="S179">
        <f>HYPERLINK("https://klasma.github.io/Logging_0980/artfynd/A 12324-2025 artfynd.xlsx", "A 12324-2025")</f>
        <v/>
      </c>
      <c r="T179">
        <f>HYPERLINK("https://klasma.github.io/Logging_0980/kartor/A 12324-2025 karta.png", "A 12324-2025")</f>
        <v/>
      </c>
      <c r="V179">
        <f>HYPERLINK("https://klasma.github.io/Logging_0980/klagomål/A 12324-2025 FSC-klagomål.docx", "A 12324-2025")</f>
        <v/>
      </c>
      <c r="W179">
        <f>HYPERLINK("https://klasma.github.io/Logging_0980/klagomålsmail/A 12324-2025 FSC-klagomål mail.docx", "A 12324-2025")</f>
        <v/>
      </c>
      <c r="X179">
        <f>HYPERLINK("https://klasma.github.io/Logging_0980/tillsyn/A 12324-2025 tillsynsbegäran.docx", "A 12324-2025")</f>
        <v/>
      </c>
      <c r="Y179">
        <f>HYPERLINK("https://klasma.github.io/Logging_0980/tillsynsmail/A 12324-2025 tillsynsbegäran mail.docx", "A 12324-2025")</f>
        <v/>
      </c>
    </row>
    <row r="180" ht="15" customHeight="1">
      <c r="A180" t="inlineStr">
        <is>
          <t>A 37591-2023</t>
        </is>
      </c>
      <c r="B180" s="1" t="n">
        <v>45159</v>
      </c>
      <c r="C180" s="1" t="n">
        <v>46077</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21466-2025</t>
        </is>
      </c>
      <c r="B181" s="1" t="n">
        <v>45782</v>
      </c>
      <c r="C181" s="1" t="n">
        <v>46077</v>
      </c>
      <c r="D181" t="inlineStr">
        <is>
          <t>GOTLANDS LÄN</t>
        </is>
      </c>
      <c r="E181" t="inlineStr">
        <is>
          <t>GOTLAND</t>
        </is>
      </c>
      <c r="F181" t="inlineStr">
        <is>
          <t>Övriga statliga verk och myndigheter</t>
        </is>
      </c>
      <c r="G181" t="n">
        <v>1.7</v>
      </c>
      <c r="H181" t="n">
        <v>1</v>
      </c>
      <c r="I181" t="n">
        <v>0</v>
      </c>
      <c r="J181" t="n">
        <v>0</v>
      </c>
      <c r="K181" t="n">
        <v>0</v>
      </c>
      <c r="L181" t="n">
        <v>0</v>
      </c>
      <c r="M181" t="n">
        <v>0</v>
      </c>
      <c r="N181" t="n">
        <v>0</v>
      </c>
      <c r="O181" t="n">
        <v>0</v>
      </c>
      <c r="P181" t="n">
        <v>0</v>
      </c>
      <c r="Q181" t="n">
        <v>1</v>
      </c>
      <c r="R181" s="2" t="inlineStr">
        <is>
          <t>Blåsippa</t>
        </is>
      </c>
      <c r="S181">
        <f>HYPERLINK("https://klasma.github.io/Logging_0980/artfynd/A 21466-2025 artfynd.xlsx", "A 21466-2025")</f>
        <v/>
      </c>
      <c r="T181">
        <f>HYPERLINK("https://klasma.github.io/Logging_0980/kartor/A 21466-2025 karta.png", "A 21466-2025")</f>
        <v/>
      </c>
      <c r="V181">
        <f>HYPERLINK("https://klasma.github.io/Logging_0980/klagomål/A 21466-2025 FSC-klagomål.docx", "A 21466-2025")</f>
        <v/>
      </c>
      <c r="W181">
        <f>HYPERLINK("https://klasma.github.io/Logging_0980/klagomålsmail/A 21466-2025 FSC-klagomål mail.docx", "A 21466-2025")</f>
        <v/>
      </c>
      <c r="X181">
        <f>HYPERLINK("https://klasma.github.io/Logging_0980/tillsyn/A 21466-2025 tillsynsbegäran.docx", "A 21466-2025")</f>
        <v/>
      </c>
      <c r="Y181">
        <f>HYPERLINK("https://klasma.github.io/Logging_0980/tillsynsmail/A 21466-2025 tillsynsbegäran mail.docx", "A 21466-2025")</f>
        <v/>
      </c>
    </row>
    <row r="182" ht="15" customHeight="1">
      <c r="A182" t="inlineStr">
        <is>
          <t>A 10440-2024</t>
        </is>
      </c>
      <c r="B182" s="1" t="n">
        <v>45366.32818287037</v>
      </c>
      <c r="C182" s="1" t="n">
        <v>46077</v>
      </c>
      <c r="D182" t="inlineStr">
        <is>
          <t>GOTLANDS LÄN</t>
        </is>
      </c>
      <c r="E182" t="inlineStr">
        <is>
          <t>GOTLAND</t>
        </is>
      </c>
      <c r="G182" t="n">
        <v>2.5</v>
      </c>
      <c r="H182" t="n">
        <v>1</v>
      </c>
      <c r="I182" t="n">
        <v>0</v>
      </c>
      <c r="J182" t="n">
        <v>1</v>
      </c>
      <c r="K182" t="n">
        <v>0</v>
      </c>
      <c r="L182" t="n">
        <v>0</v>
      </c>
      <c r="M182" t="n">
        <v>0</v>
      </c>
      <c r="N182" t="n">
        <v>0</v>
      </c>
      <c r="O182" t="n">
        <v>1</v>
      </c>
      <c r="P182" t="n">
        <v>0</v>
      </c>
      <c r="Q182" t="n">
        <v>1</v>
      </c>
      <c r="R182" s="2" t="inlineStr">
        <is>
          <t>Mindre hackspett</t>
        </is>
      </c>
      <c r="S182">
        <f>HYPERLINK("https://klasma.github.io/Logging_0980/artfynd/A 10440-2024 artfynd.xlsx", "A 10440-2024")</f>
        <v/>
      </c>
      <c r="T182">
        <f>HYPERLINK("https://klasma.github.io/Logging_0980/kartor/A 10440-2024 karta.png", "A 10440-2024")</f>
        <v/>
      </c>
      <c r="V182">
        <f>HYPERLINK("https://klasma.github.io/Logging_0980/klagomål/A 10440-2024 FSC-klagomål.docx", "A 10440-2024")</f>
        <v/>
      </c>
      <c r="W182">
        <f>HYPERLINK("https://klasma.github.io/Logging_0980/klagomålsmail/A 10440-2024 FSC-klagomål mail.docx", "A 10440-2024")</f>
        <v/>
      </c>
      <c r="X182">
        <f>HYPERLINK("https://klasma.github.io/Logging_0980/tillsyn/A 10440-2024 tillsynsbegäran.docx", "A 10440-2024")</f>
        <v/>
      </c>
      <c r="Y182">
        <f>HYPERLINK("https://klasma.github.io/Logging_0980/tillsynsmail/A 10440-2024 tillsynsbegäran mail.docx", "A 10440-2024")</f>
        <v/>
      </c>
      <c r="Z182">
        <f>HYPERLINK("https://klasma.github.io/Logging_0980/fåglar/A 10440-2024 prioriterade fågelarter.docx", "A 10440-2024")</f>
        <v/>
      </c>
    </row>
    <row r="183" ht="15" customHeight="1">
      <c r="A183" t="inlineStr">
        <is>
          <t>A 26461-2025</t>
        </is>
      </c>
      <c r="B183" s="1" t="n">
        <v>45807.43337962963</v>
      </c>
      <c r="C183" s="1" t="n">
        <v>46077</v>
      </c>
      <c r="D183" t="inlineStr">
        <is>
          <t>GOTLANDS LÄN</t>
        </is>
      </c>
      <c r="E183" t="inlineStr">
        <is>
          <t>GOTLAND</t>
        </is>
      </c>
      <c r="G183" t="n">
        <v>4.1</v>
      </c>
      <c r="H183" t="n">
        <v>0</v>
      </c>
      <c r="I183" t="n">
        <v>0</v>
      </c>
      <c r="J183" t="n">
        <v>0</v>
      </c>
      <c r="K183" t="n">
        <v>1</v>
      </c>
      <c r="L183" t="n">
        <v>0</v>
      </c>
      <c r="M183" t="n">
        <v>0</v>
      </c>
      <c r="N183" t="n">
        <v>0</v>
      </c>
      <c r="O183" t="n">
        <v>1</v>
      </c>
      <c r="P183" t="n">
        <v>1</v>
      </c>
      <c r="Q183" t="n">
        <v>1</v>
      </c>
      <c r="R183" s="2" t="inlineStr">
        <is>
          <t>Gotlandsmåra</t>
        </is>
      </c>
      <c r="S183">
        <f>HYPERLINK("https://klasma.github.io/Logging_0980/artfynd/A 26461-2025 artfynd.xlsx", "A 26461-2025")</f>
        <v/>
      </c>
      <c r="T183">
        <f>HYPERLINK("https://klasma.github.io/Logging_0980/kartor/A 26461-2025 karta.png", "A 26461-2025")</f>
        <v/>
      </c>
      <c r="V183">
        <f>HYPERLINK("https://klasma.github.io/Logging_0980/klagomål/A 26461-2025 FSC-klagomål.docx", "A 26461-2025")</f>
        <v/>
      </c>
      <c r="W183">
        <f>HYPERLINK("https://klasma.github.io/Logging_0980/klagomålsmail/A 26461-2025 FSC-klagomål mail.docx", "A 26461-2025")</f>
        <v/>
      </c>
      <c r="X183">
        <f>HYPERLINK("https://klasma.github.io/Logging_0980/tillsyn/A 26461-2025 tillsynsbegäran.docx", "A 26461-2025")</f>
        <v/>
      </c>
      <c r="Y183">
        <f>HYPERLINK("https://klasma.github.io/Logging_0980/tillsynsmail/A 26461-2025 tillsynsbegäran mail.docx", "A 26461-2025")</f>
        <v/>
      </c>
    </row>
    <row r="184" ht="15" customHeight="1">
      <c r="A184" t="inlineStr">
        <is>
          <t>A 63149-2025</t>
        </is>
      </c>
      <c r="B184" s="1" t="n">
        <v>46010</v>
      </c>
      <c r="C184" s="1" t="n">
        <v>46077</v>
      </c>
      <c r="D184" t="inlineStr">
        <is>
          <t>GOTLANDS LÄN</t>
        </is>
      </c>
      <c r="E184" t="inlineStr">
        <is>
          <t>GOTLAND</t>
        </is>
      </c>
      <c r="G184" t="n">
        <v>4.3</v>
      </c>
      <c r="H184" t="n">
        <v>0</v>
      </c>
      <c r="I184" t="n">
        <v>1</v>
      </c>
      <c r="J184" t="n">
        <v>0</v>
      </c>
      <c r="K184" t="n">
        <v>0</v>
      </c>
      <c r="L184" t="n">
        <v>0</v>
      </c>
      <c r="M184" t="n">
        <v>0</v>
      </c>
      <c r="N184" t="n">
        <v>0</v>
      </c>
      <c r="O184" t="n">
        <v>0</v>
      </c>
      <c r="P184" t="n">
        <v>0</v>
      </c>
      <c r="Q184" t="n">
        <v>1</v>
      </c>
      <c r="R184" s="2" t="inlineStr">
        <is>
          <t>Anisspindling</t>
        </is>
      </c>
      <c r="S184">
        <f>HYPERLINK("https://klasma.github.io/Logging_0980/artfynd/A 63149-2025 artfynd.xlsx", "A 63149-2025")</f>
        <v/>
      </c>
      <c r="T184">
        <f>HYPERLINK("https://klasma.github.io/Logging_0980/kartor/A 63149-2025 karta.png", "A 63149-2025")</f>
        <v/>
      </c>
      <c r="V184">
        <f>HYPERLINK("https://klasma.github.io/Logging_0980/klagomål/A 63149-2025 FSC-klagomål.docx", "A 63149-2025")</f>
        <v/>
      </c>
      <c r="W184">
        <f>HYPERLINK("https://klasma.github.io/Logging_0980/klagomålsmail/A 63149-2025 FSC-klagomål mail.docx", "A 63149-2025")</f>
        <v/>
      </c>
      <c r="X184">
        <f>HYPERLINK("https://klasma.github.io/Logging_0980/tillsyn/A 63149-2025 tillsynsbegäran.docx", "A 63149-2025")</f>
        <v/>
      </c>
      <c r="Y184">
        <f>HYPERLINK("https://klasma.github.io/Logging_0980/tillsynsmail/A 63149-2025 tillsynsbegäran mail.docx", "A 63149-2025")</f>
        <v/>
      </c>
    </row>
    <row r="185" ht="15" customHeight="1">
      <c r="A185" t="inlineStr">
        <is>
          <t>A 34141-2024</t>
        </is>
      </c>
      <c r="B185" s="1" t="n">
        <v>45524.36229166666</v>
      </c>
      <c r="C185" s="1" t="n">
        <v>46077</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46077</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12924-2025</t>
        </is>
      </c>
      <c r="B187" s="1" t="n">
        <v>45734</v>
      </c>
      <c r="C187" s="1" t="n">
        <v>46077</v>
      </c>
      <c r="D187" t="inlineStr">
        <is>
          <t>GOTLANDS LÄN</t>
        </is>
      </c>
      <c r="E187" t="inlineStr">
        <is>
          <t>GOTLAND</t>
        </is>
      </c>
      <c r="G187" t="n">
        <v>11.7</v>
      </c>
      <c r="H187" t="n">
        <v>0</v>
      </c>
      <c r="I187" t="n">
        <v>0</v>
      </c>
      <c r="J187" t="n">
        <v>0</v>
      </c>
      <c r="K187" t="n">
        <v>1</v>
      </c>
      <c r="L187" t="n">
        <v>0</v>
      </c>
      <c r="M187" t="n">
        <v>0</v>
      </c>
      <c r="N187" t="n">
        <v>0</v>
      </c>
      <c r="O187" t="n">
        <v>1</v>
      </c>
      <c r="P187" t="n">
        <v>1</v>
      </c>
      <c r="Q187" t="n">
        <v>1</v>
      </c>
      <c r="R187" s="2" t="inlineStr">
        <is>
          <t>Gotlandsmåra</t>
        </is>
      </c>
      <c r="S187">
        <f>HYPERLINK("https://klasma.github.io/Logging_0980/artfynd/A 12924-2025 artfynd.xlsx", "A 12924-2025")</f>
        <v/>
      </c>
      <c r="T187">
        <f>HYPERLINK("https://klasma.github.io/Logging_0980/kartor/A 12924-2025 karta.png", "A 12924-2025")</f>
        <v/>
      </c>
      <c r="V187">
        <f>HYPERLINK("https://klasma.github.io/Logging_0980/klagomål/A 12924-2025 FSC-klagomål.docx", "A 12924-2025")</f>
        <v/>
      </c>
      <c r="W187">
        <f>HYPERLINK("https://klasma.github.io/Logging_0980/klagomålsmail/A 12924-2025 FSC-klagomål mail.docx", "A 12924-2025")</f>
        <v/>
      </c>
      <c r="X187">
        <f>HYPERLINK("https://klasma.github.io/Logging_0980/tillsyn/A 12924-2025 tillsynsbegäran.docx", "A 12924-2025")</f>
        <v/>
      </c>
      <c r="Y187">
        <f>HYPERLINK("https://klasma.github.io/Logging_0980/tillsynsmail/A 12924-2025 tillsynsbegäran mail.docx", "A 12924-2025")</f>
        <v/>
      </c>
    </row>
    <row r="188" ht="15" customHeight="1">
      <c r="A188" t="inlineStr">
        <is>
          <t>A 13939-2021</t>
        </is>
      </c>
      <c r="B188" s="1" t="n">
        <v>44277</v>
      </c>
      <c r="C188" s="1" t="n">
        <v>46077</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19901-2021</t>
        </is>
      </c>
      <c r="B189" s="1" t="n">
        <v>44312</v>
      </c>
      <c r="C189" s="1" t="n">
        <v>46077</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46077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46077</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46077</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46077</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46077</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46077</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46077</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46077</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46077</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46077</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46077</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46077</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46077</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46077</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25199-2021</t>
        </is>
      </c>
      <c r="B205" s="1" t="n">
        <v>44342</v>
      </c>
      <c r="C205" s="1" t="n">
        <v>46077</v>
      </c>
      <c r="D205" t="inlineStr">
        <is>
          <t>GOTLANDS LÄN</t>
        </is>
      </c>
      <c r="E205" t="inlineStr">
        <is>
          <t>GOTLAND</t>
        </is>
      </c>
      <c r="G205" t="n">
        <v>1.6</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46077</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46077</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46077</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32691-2021</t>
        </is>
      </c>
      <c r="B209" s="1" t="n">
        <v>44375</v>
      </c>
      <c r="C209" s="1" t="n">
        <v>46077</v>
      </c>
      <c r="D209" t="inlineStr">
        <is>
          <t>GOTLANDS LÄN</t>
        </is>
      </c>
      <c r="E209" t="inlineStr">
        <is>
          <t>GOTLAND</t>
        </is>
      </c>
      <c r="G209" t="n">
        <v>0.8</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46077</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46077</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46077</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46077</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46077</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46077</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58224-2021</t>
        </is>
      </c>
      <c r="B216" s="1" t="n">
        <v>44487</v>
      </c>
      <c r="C216" s="1" t="n">
        <v>46077</v>
      </c>
      <c r="D216" t="inlineStr">
        <is>
          <t>GOTLANDS LÄN</t>
        </is>
      </c>
      <c r="E216" t="inlineStr">
        <is>
          <t>GOTLAND</t>
        </is>
      </c>
      <c r="G216" t="n">
        <v>1.4</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46077</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46077</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46077</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46077</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46077</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46077</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46077</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46077</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46077</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46077</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46077</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46077</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46077</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46077</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46077</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46077</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46077</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21792-2024</t>
        </is>
      </c>
      <c r="B234" s="1" t="n">
        <v>45442.64326388889</v>
      </c>
      <c r="C234" s="1" t="n">
        <v>46077</v>
      </c>
      <c r="D234" t="inlineStr">
        <is>
          <t>GOTLANDS LÄN</t>
        </is>
      </c>
      <c r="E234" t="inlineStr">
        <is>
          <t>GOTLAND</t>
        </is>
      </c>
      <c r="G234" t="n">
        <v>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46077</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44919-2022</t>
        </is>
      </c>
      <c r="B236" s="1" t="n">
        <v>44841</v>
      </c>
      <c r="C236" s="1" t="n">
        <v>46077</v>
      </c>
      <c r="D236" t="inlineStr">
        <is>
          <t>GOTLANDS LÄN</t>
        </is>
      </c>
      <c r="E236" t="inlineStr">
        <is>
          <t>GOTLAND</t>
        </is>
      </c>
      <c r="G236" t="n">
        <v>2.2</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46077</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46077</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1734-2025</t>
        </is>
      </c>
      <c r="B239" s="1" t="n">
        <v>45671.3840625</v>
      </c>
      <c r="C239" s="1" t="n">
        <v>46077</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17688-2024</t>
        </is>
      </c>
      <c r="B240" s="1" t="n">
        <v>45418.43575231481</v>
      </c>
      <c r="C240" s="1" t="n">
        <v>46077</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20993-2023</t>
        </is>
      </c>
      <c r="B241" s="1" t="n">
        <v>45056</v>
      </c>
      <c r="C241" s="1" t="n">
        <v>46077</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32330-2024</t>
        </is>
      </c>
      <c r="B242" s="1" t="n">
        <v>45512</v>
      </c>
      <c r="C242" s="1" t="n">
        <v>46077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7837-2024</t>
        </is>
      </c>
      <c r="B243" s="1" t="n">
        <v>45349.83787037037</v>
      </c>
      <c r="C243" s="1" t="n">
        <v>46077</v>
      </c>
      <c r="D243" t="inlineStr">
        <is>
          <t>GOTLANDS LÄN</t>
        </is>
      </c>
      <c r="E243" t="inlineStr">
        <is>
          <t>GOTLAND</t>
        </is>
      </c>
      <c r="G243" t="n">
        <v>5</v>
      </c>
      <c r="H243" t="n">
        <v>0</v>
      </c>
      <c r="I243" t="n">
        <v>0</v>
      </c>
      <c r="J243" t="n">
        <v>0</v>
      </c>
      <c r="K243" t="n">
        <v>0</v>
      </c>
      <c r="L243" t="n">
        <v>0</v>
      </c>
      <c r="M243" t="n">
        <v>0</v>
      </c>
      <c r="N243" t="n">
        <v>0</v>
      </c>
      <c r="O243" t="n">
        <v>0</v>
      </c>
      <c r="P243" t="n">
        <v>0</v>
      </c>
      <c r="Q243" t="n">
        <v>0</v>
      </c>
      <c r="R243" s="2" t="inlineStr"/>
    </row>
    <row r="244" ht="15" customHeight="1">
      <c r="A244" t="inlineStr">
        <is>
          <t>A 9613-2025</t>
        </is>
      </c>
      <c r="B244" s="1" t="n">
        <v>45715</v>
      </c>
      <c r="C244" s="1" t="n">
        <v>46077</v>
      </c>
      <c r="D244" t="inlineStr">
        <is>
          <t>GOTLANDS LÄN</t>
        </is>
      </c>
      <c r="E244" t="inlineStr">
        <is>
          <t>GOTLAND</t>
        </is>
      </c>
      <c r="G244" t="n">
        <v>3.5</v>
      </c>
      <c r="H244" t="n">
        <v>0</v>
      </c>
      <c r="I244" t="n">
        <v>0</v>
      </c>
      <c r="J244" t="n">
        <v>0</v>
      </c>
      <c r="K244" t="n">
        <v>0</v>
      </c>
      <c r="L244" t="n">
        <v>0</v>
      </c>
      <c r="M244" t="n">
        <v>0</v>
      </c>
      <c r="N244" t="n">
        <v>0</v>
      </c>
      <c r="O244" t="n">
        <v>0</v>
      </c>
      <c r="P244" t="n">
        <v>0</v>
      </c>
      <c r="Q244" t="n">
        <v>0</v>
      </c>
      <c r="R244" s="2" t="inlineStr"/>
    </row>
    <row r="245" ht="15" customHeight="1">
      <c r="A245" t="inlineStr">
        <is>
          <t>A 12596-2023</t>
        </is>
      </c>
      <c r="B245" s="1" t="n">
        <v>45000.43310185185</v>
      </c>
      <c r="C245" s="1" t="n">
        <v>46077</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46077</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2125-2025</t>
        </is>
      </c>
      <c r="B247" s="1" t="n">
        <v>45672.64940972222</v>
      </c>
      <c r="C247" s="1" t="n">
        <v>46077</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46077</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12155-2023</t>
        </is>
      </c>
      <c r="B249" s="1" t="n">
        <v>44998.49106481481</v>
      </c>
      <c r="C249" s="1" t="n">
        <v>46077</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457-2023</t>
        </is>
      </c>
      <c r="B250" s="1" t="n">
        <v>44929.87238425926</v>
      </c>
      <c r="C250" s="1" t="n">
        <v>46077</v>
      </c>
      <c r="D250" t="inlineStr">
        <is>
          <t>GOTLANDS LÄN</t>
        </is>
      </c>
      <c r="E250" t="inlineStr">
        <is>
          <t>GOTLAND</t>
        </is>
      </c>
      <c r="G250" t="n">
        <v>2.4</v>
      </c>
      <c r="H250" t="n">
        <v>0</v>
      </c>
      <c r="I250" t="n">
        <v>0</v>
      </c>
      <c r="J250" t="n">
        <v>0</v>
      </c>
      <c r="K250" t="n">
        <v>0</v>
      </c>
      <c r="L250" t="n">
        <v>0</v>
      </c>
      <c r="M250" t="n">
        <v>0</v>
      </c>
      <c r="N250" t="n">
        <v>0</v>
      </c>
      <c r="O250" t="n">
        <v>0</v>
      </c>
      <c r="P250" t="n">
        <v>0</v>
      </c>
      <c r="Q250" t="n">
        <v>0</v>
      </c>
      <c r="R250" s="2" t="inlineStr"/>
    </row>
    <row r="251" ht="15" customHeight="1">
      <c r="A251" t="inlineStr">
        <is>
          <t>A 459-2023</t>
        </is>
      </c>
      <c r="B251" s="1" t="n">
        <v>44929.87423611111</v>
      </c>
      <c r="C251" s="1" t="n">
        <v>46077</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4568-2025</t>
        </is>
      </c>
      <c r="B252" s="1" t="n">
        <v>45687</v>
      </c>
      <c r="C252" s="1" t="n">
        <v>46077</v>
      </c>
      <c r="D252" t="inlineStr">
        <is>
          <t>GOTLANDS LÄN</t>
        </is>
      </c>
      <c r="E252" t="inlineStr">
        <is>
          <t>GOTLAND</t>
        </is>
      </c>
      <c r="G252" t="n">
        <v>1.9</v>
      </c>
      <c r="H252" t="n">
        <v>0</v>
      </c>
      <c r="I252" t="n">
        <v>0</v>
      </c>
      <c r="J252" t="n">
        <v>0</v>
      </c>
      <c r="K252" t="n">
        <v>0</v>
      </c>
      <c r="L252" t="n">
        <v>0</v>
      </c>
      <c r="M252" t="n">
        <v>0</v>
      </c>
      <c r="N252" t="n">
        <v>0</v>
      </c>
      <c r="O252" t="n">
        <v>0</v>
      </c>
      <c r="P252" t="n">
        <v>0</v>
      </c>
      <c r="Q252" t="n">
        <v>0</v>
      </c>
      <c r="R252" s="2" t="inlineStr"/>
    </row>
    <row r="253" ht="15" customHeight="1">
      <c r="A253" t="inlineStr">
        <is>
          <t>A 38234-2023</t>
        </is>
      </c>
      <c r="B253" s="1" t="n">
        <v>45161.56663194444</v>
      </c>
      <c r="C253" s="1" t="n">
        <v>46077</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50744-2024</t>
        </is>
      </c>
      <c r="B254" s="1" t="n">
        <v>45602.4187037037</v>
      </c>
      <c r="C254" s="1" t="n">
        <v>46077</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53934-2024</t>
        </is>
      </c>
      <c r="B255" s="1" t="n">
        <v>45615</v>
      </c>
      <c r="C255" s="1" t="n">
        <v>46077</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35512-2023</t>
        </is>
      </c>
      <c r="B256" s="1" t="n">
        <v>45147.25623842593</v>
      </c>
      <c r="C256" s="1" t="n">
        <v>46077</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5905-2024</t>
        </is>
      </c>
      <c r="B257" s="1" t="n">
        <v>45335.88993055555</v>
      </c>
      <c r="C257" s="1" t="n">
        <v>46077</v>
      </c>
      <c r="D257" t="inlineStr">
        <is>
          <t>GOTLANDS LÄN</t>
        </is>
      </c>
      <c r="E257" t="inlineStr">
        <is>
          <t>GOTLAND</t>
        </is>
      </c>
      <c r="G257" t="n">
        <v>3</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46077</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24966-2023</t>
        </is>
      </c>
      <c r="B259" s="1" t="n">
        <v>45085</v>
      </c>
      <c r="C259" s="1" t="n">
        <v>46077</v>
      </c>
      <c r="D259" t="inlineStr">
        <is>
          <t>GOTLANDS LÄN</t>
        </is>
      </c>
      <c r="E259" t="inlineStr">
        <is>
          <t>GOTLAND</t>
        </is>
      </c>
      <c r="G259" t="n">
        <v>7</v>
      </c>
      <c r="H259" t="n">
        <v>0</v>
      </c>
      <c r="I259" t="n">
        <v>0</v>
      </c>
      <c r="J259" t="n">
        <v>0</v>
      </c>
      <c r="K259" t="n">
        <v>0</v>
      </c>
      <c r="L259" t="n">
        <v>0</v>
      </c>
      <c r="M259" t="n">
        <v>0</v>
      </c>
      <c r="N259" t="n">
        <v>0</v>
      </c>
      <c r="O259" t="n">
        <v>0</v>
      </c>
      <c r="P259" t="n">
        <v>0</v>
      </c>
      <c r="Q259" t="n">
        <v>0</v>
      </c>
      <c r="R259" s="2" t="inlineStr"/>
    </row>
    <row r="260" ht="15" customHeight="1">
      <c r="A260" t="inlineStr">
        <is>
          <t>A 46189-2022</t>
        </is>
      </c>
      <c r="B260" s="1" t="n">
        <v>44847</v>
      </c>
      <c r="C260" s="1" t="n">
        <v>46077</v>
      </c>
      <c r="D260" t="inlineStr">
        <is>
          <t>GOTLANDS LÄN</t>
        </is>
      </c>
      <c r="E260" t="inlineStr">
        <is>
          <t>GOTLAND</t>
        </is>
      </c>
      <c r="G260" t="n">
        <v>0.4</v>
      </c>
      <c r="H260" t="n">
        <v>0</v>
      </c>
      <c r="I260" t="n">
        <v>0</v>
      </c>
      <c r="J260" t="n">
        <v>0</v>
      </c>
      <c r="K260" t="n">
        <v>0</v>
      </c>
      <c r="L260" t="n">
        <v>0</v>
      </c>
      <c r="M260" t="n">
        <v>0</v>
      </c>
      <c r="N260" t="n">
        <v>0</v>
      </c>
      <c r="O260" t="n">
        <v>0</v>
      </c>
      <c r="P260" t="n">
        <v>0</v>
      </c>
      <c r="Q260" t="n">
        <v>0</v>
      </c>
      <c r="R260" s="2" t="inlineStr"/>
    </row>
    <row r="261" ht="15" customHeight="1">
      <c r="A261" t="inlineStr">
        <is>
          <t>A 1291-2023</t>
        </is>
      </c>
      <c r="B261" s="1" t="n">
        <v>44936.47561342592</v>
      </c>
      <c r="C261" s="1" t="n">
        <v>46077</v>
      </c>
      <c r="D261" t="inlineStr">
        <is>
          <t>GOTLANDS LÄN</t>
        </is>
      </c>
      <c r="E261" t="inlineStr">
        <is>
          <t>GOTLAND</t>
        </is>
      </c>
      <c r="G261" t="n">
        <v>7.4</v>
      </c>
      <c r="H261" t="n">
        <v>0</v>
      </c>
      <c r="I261" t="n">
        <v>0</v>
      </c>
      <c r="J261" t="n">
        <v>0</v>
      </c>
      <c r="K261" t="n">
        <v>0</v>
      </c>
      <c r="L261" t="n">
        <v>0</v>
      </c>
      <c r="M261" t="n">
        <v>0</v>
      </c>
      <c r="N261" t="n">
        <v>0</v>
      </c>
      <c r="O261" t="n">
        <v>0</v>
      </c>
      <c r="P261" t="n">
        <v>0</v>
      </c>
      <c r="Q261" t="n">
        <v>0</v>
      </c>
      <c r="R261" s="2" t="inlineStr"/>
    </row>
    <row r="262" ht="15" customHeight="1">
      <c r="A262" t="inlineStr">
        <is>
          <t>A 57652-2023</t>
        </is>
      </c>
      <c r="B262" s="1" t="n">
        <v>45246</v>
      </c>
      <c r="C262" s="1" t="n">
        <v>46077</v>
      </c>
      <c r="D262" t="inlineStr">
        <is>
          <t>GOTLANDS LÄN</t>
        </is>
      </c>
      <c r="E262" t="inlineStr">
        <is>
          <t>GOTLAND</t>
        </is>
      </c>
      <c r="G262" t="n">
        <v>7.2</v>
      </c>
      <c r="H262" t="n">
        <v>0</v>
      </c>
      <c r="I262" t="n">
        <v>0</v>
      </c>
      <c r="J262" t="n">
        <v>0</v>
      </c>
      <c r="K262" t="n">
        <v>0</v>
      </c>
      <c r="L262" t="n">
        <v>0</v>
      </c>
      <c r="M262" t="n">
        <v>0</v>
      </c>
      <c r="N262" t="n">
        <v>0</v>
      </c>
      <c r="O262" t="n">
        <v>0</v>
      </c>
      <c r="P262" t="n">
        <v>0</v>
      </c>
      <c r="Q262" t="n">
        <v>0</v>
      </c>
      <c r="R262" s="2" t="inlineStr"/>
    </row>
    <row r="263" ht="15" customHeight="1">
      <c r="A263" t="inlineStr">
        <is>
          <t>A 65901-2021</t>
        </is>
      </c>
      <c r="B263" s="1" t="n">
        <v>44516</v>
      </c>
      <c r="C263" s="1" t="n">
        <v>46077</v>
      </c>
      <c r="D263" t="inlineStr">
        <is>
          <t>GOTLANDS LÄN</t>
        </is>
      </c>
      <c r="E263" t="inlineStr">
        <is>
          <t>GOTLAND</t>
        </is>
      </c>
      <c r="G263" t="n">
        <v>4.9</v>
      </c>
      <c r="H263" t="n">
        <v>0</v>
      </c>
      <c r="I263" t="n">
        <v>0</v>
      </c>
      <c r="J263" t="n">
        <v>0</v>
      </c>
      <c r="K263" t="n">
        <v>0</v>
      </c>
      <c r="L263" t="n">
        <v>0</v>
      </c>
      <c r="M263" t="n">
        <v>0</v>
      </c>
      <c r="N263" t="n">
        <v>0</v>
      </c>
      <c r="O263" t="n">
        <v>0</v>
      </c>
      <c r="P263" t="n">
        <v>0</v>
      </c>
      <c r="Q263" t="n">
        <v>0</v>
      </c>
      <c r="R263" s="2" t="inlineStr"/>
    </row>
    <row r="264" ht="15" customHeight="1">
      <c r="A264" t="inlineStr">
        <is>
          <t>A 1446-2025</t>
        </is>
      </c>
      <c r="B264" s="1" t="n">
        <v>45669.86035879629</v>
      </c>
      <c r="C264" s="1" t="n">
        <v>46077</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22031-2024</t>
        </is>
      </c>
      <c r="B265" s="1" t="n">
        <v>45443.60075231481</v>
      </c>
      <c r="C265" s="1" t="n">
        <v>46077</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49314-2024</t>
        </is>
      </c>
      <c r="B266" s="1" t="n">
        <v>45595.55893518519</v>
      </c>
      <c r="C266" s="1" t="n">
        <v>46077</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49315-2024</t>
        </is>
      </c>
      <c r="B267" s="1" t="n">
        <v>45595</v>
      </c>
      <c r="C267" s="1" t="n">
        <v>46077</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46077</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45106-2024</t>
        </is>
      </c>
      <c r="B269" s="1" t="n">
        <v>45575</v>
      </c>
      <c r="C269" s="1" t="n">
        <v>46077</v>
      </c>
      <c r="D269" t="inlineStr">
        <is>
          <t>GOTLANDS LÄN</t>
        </is>
      </c>
      <c r="E269" t="inlineStr">
        <is>
          <t>GOTLAND</t>
        </is>
      </c>
      <c r="G269" t="n">
        <v>10</v>
      </c>
      <c r="H269" t="n">
        <v>0</v>
      </c>
      <c r="I269" t="n">
        <v>0</v>
      </c>
      <c r="J269" t="n">
        <v>0</v>
      </c>
      <c r="K269" t="n">
        <v>0</v>
      </c>
      <c r="L269" t="n">
        <v>0</v>
      </c>
      <c r="M269" t="n">
        <v>0</v>
      </c>
      <c r="N269" t="n">
        <v>0</v>
      </c>
      <c r="O269" t="n">
        <v>0</v>
      </c>
      <c r="P269" t="n">
        <v>0</v>
      </c>
      <c r="Q269" t="n">
        <v>0</v>
      </c>
      <c r="R269" s="2" t="inlineStr"/>
    </row>
    <row r="270" ht="15" customHeight="1">
      <c r="A270" t="inlineStr">
        <is>
          <t>A 45112-2024</t>
        </is>
      </c>
      <c r="B270" s="1" t="n">
        <v>45575</v>
      </c>
      <c r="C270" s="1" t="n">
        <v>46077</v>
      </c>
      <c r="D270" t="inlineStr">
        <is>
          <t>GOTLANDS LÄN</t>
        </is>
      </c>
      <c r="E270" t="inlineStr">
        <is>
          <t>GOTLAND</t>
        </is>
      </c>
      <c r="G270" t="n">
        <v>5.1</v>
      </c>
      <c r="H270" t="n">
        <v>0</v>
      </c>
      <c r="I270" t="n">
        <v>0</v>
      </c>
      <c r="J270" t="n">
        <v>0</v>
      </c>
      <c r="K270" t="n">
        <v>0</v>
      </c>
      <c r="L270" t="n">
        <v>0</v>
      </c>
      <c r="M270" t="n">
        <v>0</v>
      </c>
      <c r="N270" t="n">
        <v>0</v>
      </c>
      <c r="O270" t="n">
        <v>0</v>
      </c>
      <c r="P270" t="n">
        <v>0</v>
      </c>
      <c r="Q270" t="n">
        <v>0</v>
      </c>
      <c r="R270" s="2" t="inlineStr"/>
    </row>
    <row r="271" ht="15" customHeight="1">
      <c r="A271" t="inlineStr">
        <is>
          <t>A 17901-2023</t>
        </is>
      </c>
      <c r="B271" s="1" t="n">
        <v>45039</v>
      </c>
      <c r="C271" s="1" t="n">
        <v>46077</v>
      </c>
      <c r="D271" t="inlineStr">
        <is>
          <t>GOTLANDS LÄN</t>
        </is>
      </c>
      <c r="E271" t="inlineStr">
        <is>
          <t>GOTLAND</t>
        </is>
      </c>
      <c r="F271" t="inlineStr">
        <is>
          <t>Kyrkan</t>
        </is>
      </c>
      <c r="G271" t="n">
        <v>0.6</v>
      </c>
      <c r="H271" t="n">
        <v>0</v>
      </c>
      <c r="I271" t="n">
        <v>0</v>
      </c>
      <c r="J271" t="n">
        <v>0</v>
      </c>
      <c r="K271" t="n">
        <v>0</v>
      </c>
      <c r="L271" t="n">
        <v>0</v>
      </c>
      <c r="M271" t="n">
        <v>0</v>
      </c>
      <c r="N271" t="n">
        <v>0</v>
      </c>
      <c r="O271" t="n">
        <v>0</v>
      </c>
      <c r="P271" t="n">
        <v>0</v>
      </c>
      <c r="Q271" t="n">
        <v>0</v>
      </c>
      <c r="R271" s="2" t="inlineStr"/>
    </row>
    <row r="272" ht="15" customHeight="1">
      <c r="A272" t="inlineStr">
        <is>
          <t>A 43901-2023</t>
        </is>
      </c>
      <c r="B272" s="1" t="n">
        <v>45187</v>
      </c>
      <c r="C272" s="1" t="n">
        <v>46077</v>
      </c>
      <c r="D272" t="inlineStr">
        <is>
          <t>GOTLANDS LÄN</t>
        </is>
      </c>
      <c r="E272" t="inlineStr">
        <is>
          <t>GOTLAND</t>
        </is>
      </c>
      <c r="G272" t="n">
        <v>5.4</v>
      </c>
      <c r="H272" t="n">
        <v>0</v>
      </c>
      <c r="I272" t="n">
        <v>0</v>
      </c>
      <c r="J272" t="n">
        <v>0</v>
      </c>
      <c r="K272" t="n">
        <v>0</v>
      </c>
      <c r="L272" t="n">
        <v>0</v>
      </c>
      <c r="M272" t="n">
        <v>0</v>
      </c>
      <c r="N272" t="n">
        <v>0</v>
      </c>
      <c r="O272" t="n">
        <v>0</v>
      </c>
      <c r="P272" t="n">
        <v>0</v>
      </c>
      <c r="Q272" t="n">
        <v>0</v>
      </c>
      <c r="R272" s="2" t="inlineStr"/>
    </row>
    <row r="273" ht="15" customHeight="1">
      <c r="A273" t="inlineStr">
        <is>
          <t>A 2676-2023</t>
        </is>
      </c>
      <c r="B273" s="1" t="n">
        <v>44944</v>
      </c>
      <c r="C273" s="1" t="n">
        <v>46077</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10746-2025</t>
        </is>
      </c>
      <c r="B274" s="1" t="n">
        <v>45722.42766203704</v>
      </c>
      <c r="C274" s="1" t="n">
        <v>46077</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16501-2023</t>
        </is>
      </c>
      <c r="B275" s="1" t="n">
        <v>45029</v>
      </c>
      <c r="C275" s="1" t="n">
        <v>46077</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52892-2021</t>
        </is>
      </c>
      <c r="B276" s="1" t="n">
        <v>44467.49048611111</v>
      </c>
      <c r="C276" s="1" t="n">
        <v>46077</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3150-2025</t>
        </is>
      </c>
      <c r="B277" s="1" t="n">
        <v>45679.28974537037</v>
      </c>
      <c r="C277" s="1" t="n">
        <v>46077</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8484-2025</t>
        </is>
      </c>
      <c r="B278" s="1" t="n">
        <v>45709</v>
      </c>
      <c r="C278" s="1" t="n">
        <v>46077</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7635-2025</t>
        </is>
      </c>
      <c r="B279" s="1" t="n">
        <v>45705</v>
      </c>
      <c r="C279" s="1" t="n">
        <v>46077</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7636-2025</t>
        </is>
      </c>
      <c r="B280" s="1" t="n">
        <v>45705.7687962963</v>
      </c>
      <c r="C280" s="1" t="n">
        <v>46077</v>
      </c>
      <c r="D280" t="inlineStr">
        <is>
          <t>GOTLANDS LÄN</t>
        </is>
      </c>
      <c r="E280" t="inlineStr">
        <is>
          <t>GOTLAND</t>
        </is>
      </c>
      <c r="G280" t="n">
        <v>0.6</v>
      </c>
      <c r="H280" t="n">
        <v>0</v>
      </c>
      <c r="I280" t="n">
        <v>0</v>
      </c>
      <c r="J280" t="n">
        <v>0</v>
      </c>
      <c r="K280" t="n">
        <v>0</v>
      </c>
      <c r="L280" t="n">
        <v>0</v>
      </c>
      <c r="M280" t="n">
        <v>0</v>
      </c>
      <c r="N280" t="n">
        <v>0</v>
      </c>
      <c r="O280" t="n">
        <v>0</v>
      </c>
      <c r="P280" t="n">
        <v>0</v>
      </c>
      <c r="Q280" t="n">
        <v>0</v>
      </c>
      <c r="R280" s="2" t="inlineStr"/>
    </row>
    <row r="281" ht="15" customHeight="1">
      <c r="A281" t="inlineStr">
        <is>
          <t>A 7639-2025</t>
        </is>
      </c>
      <c r="B281" s="1" t="n">
        <v>45705.77465277778</v>
      </c>
      <c r="C281" s="1" t="n">
        <v>46077</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46396-2023</t>
        </is>
      </c>
      <c r="B282" s="1" t="n">
        <v>45197</v>
      </c>
      <c r="C282" s="1" t="n">
        <v>46077</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27930-2021</t>
        </is>
      </c>
      <c r="B283" s="1" t="n">
        <v>44354</v>
      </c>
      <c r="C283" s="1" t="n">
        <v>46077</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46077</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10492-2023</t>
        </is>
      </c>
      <c r="B285" s="1" t="n">
        <v>44987</v>
      </c>
      <c r="C285" s="1" t="n">
        <v>46077</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17724-2024</t>
        </is>
      </c>
      <c r="B286" s="1" t="n">
        <v>45418.55096064815</v>
      </c>
      <c r="C286" s="1" t="n">
        <v>46077</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20356-2022</t>
        </is>
      </c>
      <c r="B287" s="1" t="n">
        <v>44699</v>
      </c>
      <c r="C287" s="1" t="n">
        <v>46077</v>
      </c>
      <c r="D287" t="inlineStr">
        <is>
          <t>GOTLANDS LÄN</t>
        </is>
      </c>
      <c r="E287" t="inlineStr">
        <is>
          <t>GOTLAND</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48734-2022</t>
        </is>
      </c>
      <c r="B288" s="1" t="n">
        <v>44855</v>
      </c>
      <c r="C288" s="1" t="n">
        <v>46077</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34312-2024</t>
        </is>
      </c>
      <c r="B289" s="1" t="n">
        <v>45524.69703703704</v>
      </c>
      <c r="C289" s="1" t="n">
        <v>46077</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14141-2024</t>
        </is>
      </c>
      <c r="B290" s="1" t="n">
        <v>45392.85193287037</v>
      </c>
      <c r="C290" s="1" t="n">
        <v>46077</v>
      </c>
      <c r="D290" t="inlineStr">
        <is>
          <t>GOTLANDS LÄN</t>
        </is>
      </c>
      <c r="E290" t="inlineStr">
        <is>
          <t>GOTLAND</t>
        </is>
      </c>
      <c r="G290" t="n">
        <v>5.3</v>
      </c>
      <c r="H290" t="n">
        <v>0</v>
      </c>
      <c r="I290" t="n">
        <v>0</v>
      </c>
      <c r="J290" t="n">
        <v>0</v>
      </c>
      <c r="K290" t="n">
        <v>0</v>
      </c>
      <c r="L290" t="n">
        <v>0</v>
      </c>
      <c r="M290" t="n">
        <v>0</v>
      </c>
      <c r="N290" t="n">
        <v>0</v>
      </c>
      <c r="O290" t="n">
        <v>0</v>
      </c>
      <c r="P290" t="n">
        <v>0</v>
      </c>
      <c r="Q290" t="n">
        <v>0</v>
      </c>
      <c r="R290" s="2" t="inlineStr"/>
    </row>
    <row r="291" ht="15" customHeight="1">
      <c r="A291" t="inlineStr">
        <is>
          <t>A 29809-2022</t>
        </is>
      </c>
      <c r="B291" s="1" t="n">
        <v>44755.8713425926</v>
      </c>
      <c r="C291" s="1" t="n">
        <v>46077</v>
      </c>
      <c r="D291" t="inlineStr">
        <is>
          <t>GOTLANDS LÄN</t>
        </is>
      </c>
      <c r="E291" t="inlineStr">
        <is>
          <t>GOTLAND</t>
        </is>
      </c>
      <c r="G291" t="n">
        <v>11.5</v>
      </c>
      <c r="H291" t="n">
        <v>0</v>
      </c>
      <c r="I291" t="n">
        <v>0</v>
      </c>
      <c r="J291" t="n">
        <v>0</v>
      </c>
      <c r="K291" t="n">
        <v>0</v>
      </c>
      <c r="L291" t="n">
        <v>0</v>
      </c>
      <c r="M291" t="n">
        <v>0</v>
      </c>
      <c r="N291" t="n">
        <v>0</v>
      </c>
      <c r="O291" t="n">
        <v>0</v>
      </c>
      <c r="P291" t="n">
        <v>0</v>
      </c>
      <c r="Q291" t="n">
        <v>0</v>
      </c>
      <c r="R291" s="2" t="inlineStr"/>
    </row>
    <row r="292" ht="15" customHeight="1">
      <c r="A292" t="inlineStr">
        <is>
          <t>A 5909-2025</t>
        </is>
      </c>
      <c r="B292" s="1" t="n">
        <v>45695.40634259259</v>
      </c>
      <c r="C292" s="1" t="n">
        <v>46077</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10653-2023</t>
        </is>
      </c>
      <c r="B293" s="1" t="n">
        <v>44988.48859953704</v>
      </c>
      <c r="C293" s="1" t="n">
        <v>46077</v>
      </c>
      <c r="D293" t="inlineStr">
        <is>
          <t>GOTLANDS LÄN</t>
        </is>
      </c>
      <c r="E293" t="inlineStr">
        <is>
          <t>GOTLAND</t>
        </is>
      </c>
      <c r="F293" t="inlineStr">
        <is>
          <t>Kyrkan</t>
        </is>
      </c>
      <c r="G293" t="n">
        <v>3</v>
      </c>
      <c r="H293" t="n">
        <v>0</v>
      </c>
      <c r="I293" t="n">
        <v>0</v>
      </c>
      <c r="J293" t="n">
        <v>0</v>
      </c>
      <c r="K293" t="n">
        <v>0</v>
      </c>
      <c r="L293" t="n">
        <v>0</v>
      </c>
      <c r="M293" t="n">
        <v>0</v>
      </c>
      <c r="N293" t="n">
        <v>0</v>
      </c>
      <c r="O293" t="n">
        <v>0</v>
      </c>
      <c r="P293" t="n">
        <v>0</v>
      </c>
      <c r="Q293" t="n">
        <v>0</v>
      </c>
      <c r="R293" s="2" t="inlineStr"/>
    </row>
    <row r="294" ht="15" customHeight="1">
      <c r="A294" t="inlineStr">
        <is>
          <t>A 44649-2021</t>
        </is>
      </c>
      <c r="B294" s="1" t="n">
        <v>44437</v>
      </c>
      <c r="C294" s="1" t="n">
        <v>46077</v>
      </c>
      <c r="D294" t="inlineStr">
        <is>
          <t>GOTLANDS LÄN</t>
        </is>
      </c>
      <c r="E294" t="inlineStr">
        <is>
          <t>GOTLAND</t>
        </is>
      </c>
      <c r="G294" t="n">
        <v>8.1</v>
      </c>
      <c r="H294" t="n">
        <v>0</v>
      </c>
      <c r="I294" t="n">
        <v>0</v>
      </c>
      <c r="J294" t="n">
        <v>0</v>
      </c>
      <c r="K294" t="n">
        <v>0</v>
      </c>
      <c r="L294" t="n">
        <v>0</v>
      </c>
      <c r="M294" t="n">
        <v>0</v>
      </c>
      <c r="N294" t="n">
        <v>0</v>
      </c>
      <c r="O294" t="n">
        <v>0</v>
      </c>
      <c r="P294" t="n">
        <v>0</v>
      </c>
      <c r="Q294" t="n">
        <v>0</v>
      </c>
      <c r="R294" s="2" t="inlineStr"/>
    </row>
    <row r="295" ht="15" customHeight="1">
      <c r="A295" t="inlineStr">
        <is>
          <t>A 4990-2025</t>
        </is>
      </c>
      <c r="B295" s="1" t="n">
        <v>45691</v>
      </c>
      <c r="C295" s="1" t="n">
        <v>46077</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69112-2021</t>
        </is>
      </c>
      <c r="B296" s="1" t="n">
        <v>44530</v>
      </c>
      <c r="C296" s="1" t="n">
        <v>46077</v>
      </c>
      <c r="D296" t="inlineStr">
        <is>
          <t>GOTLANDS LÄN</t>
        </is>
      </c>
      <c r="E296" t="inlineStr">
        <is>
          <t>GOTLAND</t>
        </is>
      </c>
      <c r="G296" t="n">
        <v>4.2</v>
      </c>
      <c r="H296" t="n">
        <v>0</v>
      </c>
      <c r="I296" t="n">
        <v>0</v>
      </c>
      <c r="J296" t="n">
        <v>0</v>
      </c>
      <c r="K296" t="n">
        <v>0</v>
      </c>
      <c r="L296" t="n">
        <v>0</v>
      </c>
      <c r="M296" t="n">
        <v>0</v>
      </c>
      <c r="N296" t="n">
        <v>0</v>
      </c>
      <c r="O296" t="n">
        <v>0</v>
      </c>
      <c r="P296" t="n">
        <v>0</v>
      </c>
      <c r="Q296" t="n">
        <v>0</v>
      </c>
      <c r="R296" s="2" t="inlineStr"/>
    </row>
    <row r="297" ht="15" customHeight="1">
      <c r="A297" t="inlineStr">
        <is>
          <t>A 57685-2022</t>
        </is>
      </c>
      <c r="B297" s="1" t="n">
        <v>44897.4777662037</v>
      </c>
      <c r="C297" s="1" t="n">
        <v>46077</v>
      </c>
      <c r="D297" t="inlineStr">
        <is>
          <t>GOTLANDS LÄN</t>
        </is>
      </c>
      <c r="E297" t="inlineStr">
        <is>
          <t>GOTLAND</t>
        </is>
      </c>
      <c r="G297" t="n">
        <v>3.7</v>
      </c>
      <c r="H297" t="n">
        <v>0</v>
      </c>
      <c r="I297" t="n">
        <v>0</v>
      </c>
      <c r="J297" t="n">
        <v>0</v>
      </c>
      <c r="K297" t="n">
        <v>0</v>
      </c>
      <c r="L297" t="n">
        <v>0</v>
      </c>
      <c r="M297" t="n">
        <v>0</v>
      </c>
      <c r="N297" t="n">
        <v>0</v>
      </c>
      <c r="O297" t="n">
        <v>0</v>
      </c>
      <c r="P297" t="n">
        <v>0</v>
      </c>
      <c r="Q297" t="n">
        <v>0</v>
      </c>
      <c r="R297" s="2" t="inlineStr"/>
    </row>
    <row r="298" ht="15" customHeight="1">
      <c r="A298" t="inlineStr">
        <is>
          <t>A 43081-2022</t>
        </is>
      </c>
      <c r="B298" s="1" t="n">
        <v>44833</v>
      </c>
      <c r="C298" s="1" t="n">
        <v>46077</v>
      </c>
      <c r="D298" t="inlineStr">
        <is>
          <t>GOTLANDS LÄN</t>
        </is>
      </c>
      <c r="E298" t="inlineStr">
        <is>
          <t>GOTLAND</t>
        </is>
      </c>
      <c r="G298" t="n">
        <v>6.8</v>
      </c>
      <c r="H298" t="n">
        <v>0</v>
      </c>
      <c r="I298" t="n">
        <v>0</v>
      </c>
      <c r="J298" t="n">
        <v>0</v>
      </c>
      <c r="K298" t="n">
        <v>0</v>
      </c>
      <c r="L298" t="n">
        <v>0</v>
      </c>
      <c r="M298" t="n">
        <v>0</v>
      </c>
      <c r="N298" t="n">
        <v>0</v>
      </c>
      <c r="O298" t="n">
        <v>0</v>
      </c>
      <c r="P298" t="n">
        <v>0</v>
      </c>
      <c r="Q298" t="n">
        <v>0</v>
      </c>
      <c r="R298" s="2" t="inlineStr"/>
    </row>
    <row r="299" ht="15" customHeight="1">
      <c r="A299" t="inlineStr">
        <is>
          <t>A 7638-2025</t>
        </is>
      </c>
      <c r="B299" s="1" t="n">
        <v>45705.77306712963</v>
      </c>
      <c r="C299" s="1" t="n">
        <v>46077</v>
      </c>
      <c r="D299" t="inlineStr">
        <is>
          <t>GOTLANDS LÄN</t>
        </is>
      </c>
      <c r="E299" t="inlineStr">
        <is>
          <t>GOTLAND</t>
        </is>
      </c>
      <c r="G299" t="n">
        <v>2.2</v>
      </c>
      <c r="H299" t="n">
        <v>0</v>
      </c>
      <c r="I299" t="n">
        <v>0</v>
      </c>
      <c r="J299" t="n">
        <v>0</v>
      </c>
      <c r="K299" t="n">
        <v>0</v>
      </c>
      <c r="L299" t="n">
        <v>0</v>
      </c>
      <c r="M299" t="n">
        <v>0</v>
      </c>
      <c r="N299" t="n">
        <v>0</v>
      </c>
      <c r="O299" t="n">
        <v>0</v>
      </c>
      <c r="P299" t="n">
        <v>0</v>
      </c>
      <c r="Q299" t="n">
        <v>0</v>
      </c>
      <c r="R299" s="2" t="inlineStr"/>
    </row>
    <row r="300" ht="15" customHeight="1">
      <c r="A300" t="inlineStr">
        <is>
          <t>A 32958-2021</t>
        </is>
      </c>
      <c r="B300" s="1" t="n">
        <v>44376</v>
      </c>
      <c r="C300" s="1" t="n">
        <v>46077</v>
      </c>
      <c r="D300" t="inlineStr">
        <is>
          <t>GOTLANDS LÄN</t>
        </is>
      </c>
      <c r="E300" t="inlineStr">
        <is>
          <t>GOTLAND</t>
        </is>
      </c>
      <c r="G300" t="n">
        <v>2.2</v>
      </c>
      <c r="H300" t="n">
        <v>0</v>
      </c>
      <c r="I300" t="n">
        <v>0</v>
      </c>
      <c r="J300" t="n">
        <v>0</v>
      </c>
      <c r="K300" t="n">
        <v>0</v>
      </c>
      <c r="L300" t="n">
        <v>0</v>
      </c>
      <c r="M300" t="n">
        <v>0</v>
      </c>
      <c r="N300" t="n">
        <v>0</v>
      </c>
      <c r="O300" t="n">
        <v>0</v>
      </c>
      <c r="P300" t="n">
        <v>0</v>
      </c>
      <c r="Q300" t="n">
        <v>0</v>
      </c>
      <c r="R300" s="2" t="inlineStr"/>
    </row>
    <row r="301" ht="15" customHeight="1">
      <c r="A301" t="inlineStr">
        <is>
          <t>A 50482-2024</t>
        </is>
      </c>
      <c r="B301" s="1" t="n">
        <v>45601.48114583334</v>
      </c>
      <c r="C301" s="1" t="n">
        <v>46077</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5884-2025</t>
        </is>
      </c>
      <c r="B302" s="1" t="n">
        <v>45695.37482638889</v>
      </c>
      <c r="C302" s="1" t="n">
        <v>46077</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5897-2025</t>
        </is>
      </c>
      <c r="B303" s="1" t="n">
        <v>45695.39273148148</v>
      </c>
      <c r="C303" s="1" t="n">
        <v>46077</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1394-2023</t>
        </is>
      </c>
      <c r="B304" s="1" t="n">
        <v>44936.72997685185</v>
      </c>
      <c r="C304" s="1" t="n">
        <v>46077</v>
      </c>
      <c r="D304" t="inlineStr">
        <is>
          <t>GOTLANDS LÄN</t>
        </is>
      </c>
      <c r="E304" t="inlineStr">
        <is>
          <t>GOTLAND</t>
        </is>
      </c>
      <c r="G304" t="n">
        <v>2.1</v>
      </c>
      <c r="H304" t="n">
        <v>0</v>
      </c>
      <c r="I304" t="n">
        <v>0</v>
      </c>
      <c r="J304" t="n">
        <v>0</v>
      </c>
      <c r="K304" t="n">
        <v>0</v>
      </c>
      <c r="L304" t="n">
        <v>0</v>
      </c>
      <c r="M304" t="n">
        <v>0</v>
      </c>
      <c r="N304" t="n">
        <v>0</v>
      </c>
      <c r="O304" t="n">
        <v>0</v>
      </c>
      <c r="P304" t="n">
        <v>0</v>
      </c>
      <c r="Q304" t="n">
        <v>0</v>
      </c>
      <c r="R304" s="2" t="inlineStr"/>
    </row>
    <row r="305" ht="15" customHeight="1">
      <c r="A305" t="inlineStr">
        <is>
          <t>A 9947-2024</t>
        </is>
      </c>
      <c r="B305" s="1" t="n">
        <v>45363</v>
      </c>
      <c r="C305" s="1" t="n">
        <v>46077</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49693-2023</t>
        </is>
      </c>
      <c r="B306" s="1" t="n">
        <v>45212.38138888889</v>
      </c>
      <c r="C306" s="1" t="n">
        <v>46077</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49697-2023</t>
        </is>
      </c>
      <c r="B307" s="1" t="n">
        <v>45212.38909722222</v>
      </c>
      <c r="C307" s="1" t="n">
        <v>46077</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58230-2024</t>
        </is>
      </c>
      <c r="B308" s="1" t="n">
        <v>45632.51625</v>
      </c>
      <c r="C308" s="1" t="n">
        <v>46077</v>
      </c>
      <c r="D308" t="inlineStr">
        <is>
          <t>GOTLANDS LÄN</t>
        </is>
      </c>
      <c r="E308" t="inlineStr">
        <is>
          <t>GOTLAND</t>
        </is>
      </c>
      <c r="G308" t="n">
        <v>7.3</v>
      </c>
      <c r="H308" t="n">
        <v>0</v>
      </c>
      <c r="I308" t="n">
        <v>0</v>
      </c>
      <c r="J308" t="n">
        <v>0</v>
      </c>
      <c r="K308" t="n">
        <v>0</v>
      </c>
      <c r="L308" t="n">
        <v>0</v>
      </c>
      <c r="M308" t="n">
        <v>0</v>
      </c>
      <c r="N308" t="n">
        <v>0</v>
      </c>
      <c r="O308" t="n">
        <v>0</v>
      </c>
      <c r="P308" t="n">
        <v>0</v>
      </c>
      <c r="Q308" t="n">
        <v>0</v>
      </c>
      <c r="R308" s="2" t="inlineStr"/>
    </row>
    <row r="309" ht="15" customHeight="1">
      <c r="A309" t="inlineStr">
        <is>
          <t>A 1462-2025</t>
        </is>
      </c>
      <c r="B309" s="1" t="n">
        <v>45670.36319444444</v>
      </c>
      <c r="C309" s="1" t="n">
        <v>46077</v>
      </c>
      <c r="D309" t="inlineStr">
        <is>
          <t>GOTLANDS LÄN</t>
        </is>
      </c>
      <c r="E309" t="inlineStr">
        <is>
          <t>GOTLAND</t>
        </is>
      </c>
      <c r="G309" t="n">
        <v>2.8</v>
      </c>
      <c r="H309" t="n">
        <v>0</v>
      </c>
      <c r="I309" t="n">
        <v>0</v>
      </c>
      <c r="J309" t="n">
        <v>0</v>
      </c>
      <c r="K309" t="n">
        <v>0</v>
      </c>
      <c r="L309" t="n">
        <v>0</v>
      </c>
      <c r="M309" t="n">
        <v>0</v>
      </c>
      <c r="N309" t="n">
        <v>0</v>
      </c>
      <c r="O309" t="n">
        <v>0</v>
      </c>
      <c r="P309" t="n">
        <v>0</v>
      </c>
      <c r="Q309" t="n">
        <v>0</v>
      </c>
      <c r="R309" s="2" t="inlineStr"/>
    </row>
    <row r="310" ht="15" customHeight="1">
      <c r="A310" t="inlineStr">
        <is>
          <t>A 30815-2023</t>
        </is>
      </c>
      <c r="B310" s="1" t="n">
        <v>45112</v>
      </c>
      <c r="C310" s="1" t="n">
        <v>46077</v>
      </c>
      <c r="D310" t="inlineStr">
        <is>
          <t>GOTLANDS LÄN</t>
        </is>
      </c>
      <c r="E310" t="inlineStr">
        <is>
          <t>GOTLAND</t>
        </is>
      </c>
      <c r="G310" t="n">
        <v>6</v>
      </c>
      <c r="H310" t="n">
        <v>0</v>
      </c>
      <c r="I310" t="n">
        <v>0</v>
      </c>
      <c r="J310" t="n">
        <v>0</v>
      </c>
      <c r="K310" t="n">
        <v>0</v>
      </c>
      <c r="L310" t="n">
        <v>0</v>
      </c>
      <c r="M310" t="n">
        <v>0</v>
      </c>
      <c r="N310" t="n">
        <v>0</v>
      </c>
      <c r="O310" t="n">
        <v>0</v>
      </c>
      <c r="P310" t="n">
        <v>0</v>
      </c>
      <c r="Q310" t="n">
        <v>0</v>
      </c>
      <c r="R310" s="2" t="inlineStr"/>
    </row>
    <row r="311" ht="15" customHeight="1">
      <c r="A311" t="inlineStr">
        <is>
          <t>A 1677-2023</t>
        </is>
      </c>
      <c r="B311" s="1" t="n">
        <v>44938</v>
      </c>
      <c r="C311" s="1" t="n">
        <v>46077</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46077</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25129-2023</t>
        </is>
      </c>
      <c r="B313" s="1" t="n">
        <v>45086.44261574074</v>
      </c>
      <c r="C313" s="1" t="n">
        <v>46077</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7034-2023</t>
        </is>
      </c>
      <c r="B314" s="1" t="n">
        <v>44968.32108796296</v>
      </c>
      <c r="C314" s="1" t="n">
        <v>46077</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7042-2023</t>
        </is>
      </c>
      <c r="B315" s="1" t="n">
        <v>44968</v>
      </c>
      <c r="C315" s="1" t="n">
        <v>46077</v>
      </c>
      <c r="D315" t="inlineStr">
        <is>
          <t>GOTLANDS LÄN</t>
        </is>
      </c>
      <c r="E315" t="inlineStr">
        <is>
          <t>GOTLAND</t>
        </is>
      </c>
      <c r="G315" t="n">
        <v>0.7</v>
      </c>
      <c r="H315" t="n">
        <v>0</v>
      </c>
      <c r="I315" t="n">
        <v>0</v>
      </c>
      <c r="J315" t="n">
        <v>0</v>
      </c>
      <c r="K315" t="n">
        <v>0</v>
      </c>
      <c r="L315" t="n">
        <v>0</v>
      </c>
      <c r="M315" t="n">
        <v>0</v>
      </c>
      <c r="N315" t="n">
        <v>0</v>
      </c>
      <c r="O315" t="n">
        <v>0</v>
      </c>
      <c r="P315" t="n">
        <v>0</v>
      </c>
      <c r="Q315" t="n">
        <v>0</v>
      </c>
      <c r="R315" s="2" t="inlineStr"/>
    </row>
    <row r="316" ht="15" customHeight="1">
      <c r="A316" t="inlineStr">
        <is>
          <t>A 24192-2023</t>
        </is>
      </c>
      <c r="B316" s="1" t="n">
        <v>45079</v>
      </c>
      <c r="C316" s="1" t="n">
        <v>46077</v>
      </c>
      <c r="D316" t="inlineStr">
        <is>
          <t>GOTLANDS LÄN</t>
        </is>
      </c>
      <c r="E316" t="inlineStr">
        <is>
          <t>GOTLAND</t>
        </is>
      </c>
      <c r="G316" t="n">
        <v>2.1</v>
      </c>
      <c r="H316" t="n">
        <v>0</v>
      </c>
      <c r="I316" t="n">
        <v>0</v>
      </c>
      <c r="J316" t="n">
        <v>0</v>
      </c>
      <c r="K316" t="n">
        <v>0</v>
      </c>
      <c r="L316" t="n">
        <v>0</v>
      </c>
      <c r="M316" t="n">
        <v>0</v>
      </c>
      <c r="N316" t="n">
        <v>0</v>
      </c>
      <c r="O316" t="n">
        <v>0</v>
      </c>
      <c r="P316" t="n">
        <v>0</v>
      </c>
      <c r="Q316" t="n">
        <v>0</v>
      </c>
      <c r="R316" s="2" t="inlineStr"/>
    </row>
    <row r="317" ht="15" customHeight="1">
      <c r="A317" t="inlineStr">
        <is>
          <t>A 23516-2023</t>
        </is>
      </c>
      <c r="B317" s="1" t="n">
        <v>45076.93391203704</v>
      </c>
      <c r="C317" s="1" t="n">
        <v>46077</v>
      </c>
      <c r="D317" t="inlineStr">
        <is>
          <t>GOTLANDS LÄN</t>
        </is>
      </c>
      <c r="E317" t="inlineStr">
        <is>
          <t>GOTLAND</t>
        </is>
      </c>
      <c r="G317" t="n">
        <v>1.4</v>
      </c>
      <c r="H317" t="n">
        <v>0</v>
      </c>
      <c r="I317" t="n">
        <v>0</v>
      </c>
      <c r="J317" t="n">
        <v>0</v>
      </c>
      <c r="K317" t="n">
        <v>0</v>
      </c>
      <c r="L317" t="n">
        <v>0</v>
      </c>
      <c r="M317" t="n">
        <v>0</v>
      </c>
      <c r="N317" t="n">
        <v>0</v>
      </c>
      <c r="O317" t="n">
        <v>0</v>
      </c>
      <c r="P317" t="n">
        <v>0</v>
      </c>
      <c r="Q317" t="n">
        <v>0</v>
      </c>
      <c r="R317" s="2" t="inlineStr"/>
    </row>
    <row r="318" ht="15" customHeight="1">
      <c r="A318" t="inlineStr">
        <is>
          <t>A 64660-2023</t>
        </is>
      </c>
      <c r="B318" s="1" t="n">
        <v>45281.60122685185</v>
      </c>
      <c r="C318" s="1" t="n">
        <v>46077</v>
      </c>
      <c r="D318" t="inlineStr">
        <is>
          <t>GOTLANDS LÄN</t>
        </is>
      </c>
      <c r="E318" t="inlineStr">
        <is>
          <t>GOTLAND</t>
        </is>
      </c>
      <c r="G318" t="n">
        <v>6.3</v>
      </c>
      <c r="H318" t="n">
        <v>0</v>
      </c>
      <c r="I318" t="n">
        <v>0</v>
      </c>
      <c r="J318" t="n">
        <v>0</v>
      </c>
      <c r="K318" t="n">
        <v>0</v>
      </c>
      <c r="L318" t="n">
        <v>0</v>
      </c>
      <c r="M318" t="n">
        <v>0</v>
      </c>
      <c r="N318" t="n">
        <v>0</v>
      </c>
      <c r="O318" t="n">
        <v>0</v>
      </c>
      <c r="P318" t="n">
        <v>0</v>
      </c>
      <c r="Q318" t="n">
        <v>0</v>
      </c>
      <c r="R318" s="2" t="inlineStr"/>
    </row>
    <row r="319" ht="15" customHeight="1">
      <c r="A319" t="inlineStr">
        <is>
          <t>A 63763-2023</t>
        </is>
      </c>
      <c r="B319" s="1" t="n">
        <v>45278.33944444444</v>
      </c>
      <c r="C319" s="1" t="n">
        <v>46077</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17682-2024</t>
        </is>
      </c>
      <c r="B320" s="1" t="n">
        <v>45418.42966435185</v>
      </c>
      <c r="C320" s="1" t="n">
        <v>46077</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8260-2023</t>
        </is>
      </c>
      <c r="B321" s="1" t="n">
        <v>44974.61608796296</v>
      </c>
      <c r="C321" s="1" t="n">
        <v>46077</v>
      </c>
      <c r="D321" t="inlineStr">
        <is>
          <t>GOTLANDS LÄN</t>
        </is>
      </c>
      <c r="E321" t="inlineStr">
        <is>
          <t>GOTLAND</t>
        </is>
      </c>
      <c r="G321" t="n">
        <v>2.9</v>
      </c>
      <c r="H321" t="n">
        <v>0</v>
      </c>
      <c r="I321" t="n">
        <v>0</v>
      </c>
      <c r="J321" t="n">
        <v>0</v>
      </c>
      <c r="K321" t="n">
        <v>0</v>
      </c>
      <c r="L321" t="n">
        <v>0</v>
      </c>
      <c r="M321" t="n">
        <v>0</v>
      </c>
      <c r="N321" t="n">
        <v>0</v>
      </c>
      <c r="O321" t="n">
        <v>0</v>
      </c>
      <c r="P321" t="n">
        <v>0</v>
      </c>
      <c r="Q321" t="n">
        <v>0</v>
      </c>
      <c r="R321" s="2" t="inlineStr"/>
    </row>
    <row r="322" ht="15" customHeight="1">
      <c r="A322" t="inlineStr">
        <is>
          <t>A 5386-2023</t>
        </is>
      </c>
      <c r="B322" s="1" t="n">
        <v>44959</v>
      </c>
      <c r="C322" s="1" t="n">
        <v>46077</v>
      </c>
      <c r="D322" t="inlineStr">
        <is>
          <t>GOTLANDS LÄN</t>
        </is>
      </c>
      <c r="E322" t="inlineStr">
        <is>
          <t>GOTLAND</t>
        </is>
      </c>
      <c r="G322" t="n">
        <v>5.4</v>
      </c>
      <c r="H322" t="n">
        <v>0</v>
      </c>
      <c r="I322" t="n">
        <v>0</v>
      </c>
      <c r="J322" t="n">
        <v>0</v>
      </c>
      <c r="K322" t="n">
        <v>0</v>
      </c>
      <c r="L322" t="n">
        <v>0</v>
      </c>
      <c r="M322" t="n">
        <v>0</v>
      </c>
      <c r="N322" t="n">
        <v>0</v>
      </c>
      <c r="O322" t="n">
        <v>0</v>
      </c>
      <c r="P322" t="n">
        <v>0</v>
      </c>
      <c r="Q322" t="n">
        <v>0</v>
      </c>
      <c r="R322" s="2" t="inlineStr"/>
    </row>
    <row r="323" ht="15" customHeight="1">
      <c r="A323" t="inlineStr">
        <is>
          <t>A 57522-2022</t>
        </is>
      </c>
      <c r="B323" s="1" t="n">
        <v>44896</v>
      </c>
      <c r="C323" s="1" t="n">
        <v>46077</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7026-2023</t>
        </is>
      </c>
      <c r="B324" s="1" t="n">
        <v>44968.30340277778</v>
      </c>
      <c r="C324" s="1" t="n">
        <v>46077</v>
      </c>
      <c r="D324" t="inlineStr">
        <is>
          <t>GOTLANDS LÄN</t>
        </is>
      </c>
      <c r="E324" t="inlineStr">
        <is>
          <t>GOTLAND</t>
        </is>
      </c>
      <c r="G324" t="n">
        <v>2.9</v>
      </c>
      <c r="H324" t="n">
        <v>0</v>
      </c>
      <c r="I324" t="n">
        <v>0</v>
      </c>
      <c r="J324" t="n">
        <v>0</v>
      </c>
      <c r="K324" t="n">
        <v>0</v>
      </c>
      <c r="L324" t="n">
        <v>0</v>
      </c>
      <c r="M324" t="n">
        <v>0</v>
      </c>
      <c r="N324" t="n">
        <v>0</v>
      </c>
      <c r="O324" t="n">
        <v>0</v>
      </c>
      <c r="P324" t="n">
        <v>0</v>
      </c>
      <c r="Q324" t="n">
        <v>0</v>
      </c>
      <c r="R324" s="2" t="inlineStr"/>
    </row>
    <row r="325" ht="15" customHeight="1">
      <c r="A325" t="inlineStr">
        <is>
          <t>A 64969-2023</t>
        </is>
      </c>
      <c r="B325" s="1" t="n">
        <v>45284.54009259259</v>
      </c>
      <c r="C325" s="1" t="n">
        <v>46077</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46077</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48843-2024</t>
        </is>
      </c>
      <c r="B327" s="1" t="n">
        <v>45593</v>
      </c>
      <c r="C327" s="1" t="n">
        <v>46077</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17541-2024</t>
        </is>
      </c>
      <c r="B328" s="1" t="n">
        <v>45415</v>
      </c>
      <c r="C328" s="1" t="n">
        <v>46077</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63229-2021</t>
        </is>
      </c>
      <c r="B329" s="1" t="n">
        <v>44508.34518518519</v>
      </c>
      <c r="C329" s="1" t="n">
        <v>46077</v>
      </c>
      <c r="D329" t="inlineStr">
        <is>
          <t>GOTLANDS LÄN</t>
        </is>
      </c>
      <c r="E329" t="inlineStr">
        <is>
          <t>GOTLAND</t>
        </is>
      </c>
      <c r="F329" t="inlineStr">
        <is>
          <t>Kyrkan</t>
        </is>
      </c>
      <c r="G329" t="n">
        <v>3.8</v>
      </c>
      <c r="H329" t="n">
        <v>0</v>
      </c>
      <c r="I329" t="n">
        <v>0</v>
      </c>
      <c r="J329" t="n">
        <v>0</v>
      </c>
      <c r="K329" t="n">
        <v>0</v>
      </c>
      <c r="L329" t="n">
        <v>0</v>
      </c>
      <c r="M329" t="n">
        <v>0</v>
      </c>
      <c r="N329" t="n">
        <v>0</v>
      </c>
      <c r="O329" t="n">
        <v>0</v>
      </c>
      <c r="P329" t="n">
        <v>0</v>
      </c>
      <c r="Q329" t="n">
        <v>0</v>
      </c>
      <c r="R329" s="2" t="inlineStr"/>
    </row>
    <row r="330" ht="15" customHeight="1">
      <c r="A330" t="inlineStr">
        <is>
          <t>A 46375-2024</t>
        </is>
      </c>
      <c r="B330" s="1" t="n">
        <v>45582</v>
      </c>
      <c r="C330" s="1" t="n">
        <v>46077</v>
      </c>
      <c r="D330" t="inlineStr">
        <is>
          <t>GOTLANDS LÄN</t>
        </is>
      </c>
      <c r="E330" t="inlineStr">
        <is>
          <t>GOTLAND</t>
        </is>
      </c>
      <c r="G330" t="n">
        <v>3</v>
      </c>
      <c r="H330" t="n">
        <v>0</v>
      </c>
      <c r="I330" t="n">
        <v>0</v>
      </c>
      <c r="J330" t="n">
        <v>0</v>
      </c>
      <c r="K330" t="n">
        <v>0</v>
      </c>
      <c r="L330" t="n">
        <v>0</v>
      </c>
      <c r="M330" t="n">
        <v>0</v>
      </c>
      <c r="N330" t="n">
        <v>0</v>
      </c>
      <c r="O330" t="n">
        <v>0</v>
      </c>
      <c r="P330" t="n">
        <v>0</v>
      </c>
      <c r="Q330" t="n">
        <v>0</v>
      </c>
      <c r="R330" s="2" t="inlineStr"/>
    </row>
    <row r="331" ht="15" customHeight="1">
      <c r="A331" t="inlineStr">
        <is>
          <t>A 1000-2024</t>
        </is>
      </c>
      <c r="B331" s="1" t="n">
        <v>45301.63371527778</v>
      </c>
      <c r="C331" s="1" t="n">
        <v>46077</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1010-2024</t>
        </is>
      </c>
      <c r="B332" s="1" t="n">
        <v>45301</v>
      </c>
      <c r="C332" s="1" t="n">
        <v>46077</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2241-2025</t>
        </is>
      </c>
      <c r="B333" s="1" t="n">
        <v>45673.48710648148</v>
      </c>
      <c r="C333" s="1" t="n">
        <v>46077</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15434-2024</t>
        </is>
      </c>
      <c r="B334" s="1" t="n">
        <v>45401.38836805556</v>
      </c>
      <c r="C334" s="1" t="n">
        <v>46077</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47762-2023</t>
        </is>
      </c>
      <c r="B335" s="1" t="n">
        <v>45203.86256944444</v>
      </c>
      <c r="C335" s="1" t="n">
        <v>46077</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5943-2024</t>
        </is>
      </c>
      <c r="B336" s="1" t="n">
        <v>45336</v>
      </c>
      <c r="C336" s="1" t="n">
        <v>46077</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46545-2024</t>
        </is>
      </c>
      <c r="B337" s="1" t="n">
        <v>45582.65831018519</v>
      </c>
      <c r="C337" s="1" t="n">
        <v>46077</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27593-2023</t>
        </is>
      </c>
      <c r="B338" s="1" t="n">
        <v>45097</v>
      </c>
      <c r="C338" s="1" t="n">
        <v>46077</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54073-2022</t>
        </is>
      </c>
      <c r="B339" s="1" t="n">
        <v>44881.50380787037</v>
      </c>
      <c r="C339" s="1" t="n">
        <v>46077</v>
      </c>
      <c r="D339" t="inlineStr">
        <is>
          <t>GOTLANDS LÄN</t>
        </is>
      </c>
      <c r="E339" t="inlineStr">
        <is>
          <t>GOTLAND</t>
        </is>
      </c>
      <c r="G339" t="n">
        <v>3.8</v>
      </c>
      <c r="H339" t="n">
        <v>0</v>
      </c>
      <c r="I339" t="n">
        <v>0</v>
      </c>
      <c r="J339" t="n">
        <v>0</v>
      </c>
      <c r="K339" t="n">
        <v>0</v>
      </c>
      <c r="L339" t="n">
        <v>0</v>
      </c>
      <c r="M339" t="n">
        <v>0</v>
      </c>
      <c r="N339" t="n">
        <v>0</v>
      </c>
      <c r="O339" t="n">
        <v>0</v>
      </c>
      <c r="P339" t="n">
        <v>0</v>
      </c>
      <c r="Q339" t="n">
        <v>0</v>
      </c>
      <c r="R339" s="2" t="inlineStr"/>
    </row>
    <row r="340" ht="15" customHeight="1">
      <c r="A340" t="inlineStr">
        <is>
          <t>A 16361-2024</t>
        </is>
      </c>
      <c r="B340" s="1" t="n">
        <v>45407</v>
      </c>
      <c r="C340" s="1" t="n">
        <v>46077</v>
      </c>
      <c r="D340" t="inlineStr">
        <is>
          <t>GOTLANDS LÄN</t>
        </is>
      </c>
      <c r="E340" t="inlineStr">
        <is>
          <t>GOTLAND</t>
        </is>
      </c>
      <c r="G340" t="n">
        <v>6</v>
      </c>
      <c r="H340" t="n">
        <v>0</v>
      </c>
      <c r="I340" t="n">
        <v>0</v>
      </c>
      <c r="J340" t="n">
        <v>0</v>
      </c>
      <c r="K340" t="n">
        <v>0</v>
      </c>
      <c r="L340" t="n">
        <v>0</v>
      </c>
      <c r="M340" t="n">
        <v>0</v>
      </c>
      <c r="N340" t="n">
        <v>0</v>
      </c>
      <c r="O340" t="n">
        <v>0</v>
      </c>
      <c r="P340" t="n">
        <v>0</v>
      </c>
      <c r="Q340" t="n">
        <v>0</v>
      </c>
      <c r="R340" s="2" t="inlineStr"/>
    </row>
    <row r="341" ht="15" customHeight="1">
      <c r="A341" t="inlineStr">
        <is>
          <t>A 60086-2022</t>
        </is>
      </c>
      <c r="B341" s="1" t="n">
        <v>44909</v>
      </c>
      <c r="C341" s="1" t="n">
        <v>46077</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28480-2023</t>
        </is>
      </c>
      <c r="B342" s="1" t="n">
        <v>45103</v>
      </c>
      <c r="C342" s="1" t="n">
        <v>46077</v>
      </c>
      <c r="D342" t="inlineStr">
        <is>
          <t>GOTLANDS LÄN</t>
        </is>
      </c>
      <c r="E342" t="inlineStr">
        <is>
          <t>GOTLAND</t>
        </is>
      </c>
      <c r="G342" t="n">
        <v>5.7</v>
      </c>
      <c r="H342" t="n">
        <v>0</v>
      </c>
      <c r="I342" t="n">
        <v>0</v>
      </c>
      <c r="J342" t="n">
        <v>0</v>
      </c>
      <c r="K342" t="n">
        <v>0</v>
      </c>
      <c r="L342" t="n">
        <v>0</v>
      </c>
      <c r="M342" t="n">
        <v>0</v>
      </c>
      <c r="N342" t="n">
        <v>0</v>
      </c>
      <c r="O342" t="n">
        <v>0</v>
      </c>
      <c r="P342" t="n">
        <v>0</v>
      </c>
      <c r="Q342" t="n">
        <v>0</v>
      </c>
      <c r="R342" s="2" t="inlineStr"/>
    </row>
    <row r="343" ht="15" customHeight="1">
      <c r="A343" t="inlineStr">
        <is>
          <t>A 28485-2023</t>
        </is>
      </c>
      <c r="B343" s="1" t="n">
        <v>45103.43731481482</v>
      </c>
      <c r="C343" s="1" t="n">
        <v>46077</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41038-2023</t>
        </is>
      </c>
      <c r="B344" s="1" t="n">
        <v>45173.60959490741</v>
      </c>
      <c r="C344" s="1" t="n">
        <v>46077</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20225-2025</t>
        </is>
      </c>
      <c r="B345" s="1" t="n">
        <v>45772.65802083333</v>
      </c>
      <c r="C345" s="1" t="n">
        <v>46077</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883-2025</t>
        </is>
      </c>
      <c r="B346" s="1" t="n">
        <v>45665</v>
      </c>
      <c r="C346" s="1" t="n">
        <v>46077</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62915-2021</t>
        </is>
      </c>
      <c r="B347" s="1" t="n">
        <v>44504</v>
      </c>
      <c r="C347" s="1" t="n">
        <v>46077</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44949-2023</t>
        </is>
      </c>
      <c r="B348" s="1" t="n">
        <v>45190.69520833333</v>
      </c>
      <c r="C348" s="1" t="n">
        <v>46077</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14427-2024</t>
        </is>
      </c>
      <c r="B349" s="1" t="n">
        <v>45394</v>
      </c>
      <c r="C349" s="1" t="n">
        <v>46077</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37222-2021</t>
        </is>
      </c>
      <c r="B350" s="1" t="n">
        <v>44396</v>
      </c>
      <c r="C350" s="1" t="n">
        <v>46077</v>
      </c>
      <c r="D350" t="inlineStr">
        <is>
          <t>GOTLANDS LÄN</t>
        </is>
      </c>
      <c r="E350" t="inlineStr">
        <is>
          <t>GOTLAND</t>
        </is>
      </c>
      <c r="G350" t="n">
        <v>3</v>
      </c>
      <c r="H350" t="n">
        <v>0</v>
      </c>
      <c r="I350" t="n">
        <v>0</v>
      </c>
      <c r="J350" t="n">
        <v>0</v>
      </c>
      <c r="K350" t="n">
        <v>0</v>
      </c>
      <c r="L350" t="n">
        <v>0</v>
      </c>
      <c r="M350" t="n">
        <v>0</v>
      </c>
      <c r="N350" t="n">
        <v>0</v>
      </c>
      <c r="O350" t="n">
        <v>0</v>
      </c>
      <c r="P350" t="n">
        <v>0</v>
      </c>
      <c r="Q350" t="n">
        <v>0</v>
      </c>
      <c r="R350" s="2" t="inlineStr"/>
    </row>
    <row r="351" ht="15" customHeight="1">
      <c r="A351" t="inlineStr">
        <is>
          <t>A 1066-2024</t>
        </is>
      </c>
      <c r="B351" s="1" t="n">
        <v>45302.285</v>
      </c>
      <c r="C351" s="1" t="n">
        <v>46077</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31802-2024</t>
        </is>
      </c>
      <c r="B352" s="1" t="n">
        <v>45509</v>
      </c>
      <c r="C352" s="1" t="n">
        <v>46077</v>
      </c>
      <c r="D352" t="inlineStr">
        <is>
          <t>GOTLANDS LÄN</t>
        </is>
      </c>
      <c r="E352" t="inlineStr">
        <is>
          <t>GOTLAND</t>
        </is>
      </c>
      <c r="G352" t="n">
        <v>2.8</v>
      </c>
      <c r="H352" t="n">
        <v>0</v>
      </c>
      <c r="I352" t="n">
        <v>0</v>
      </c>
      <c r="J352" t="n">
        <v>0</v>
      </c>
      <c r="K352" t="n">
        <v>0</v>
      </c>
      <c r="L352" t="n">
        <v>0</v>
      </c>
      <c r="M352" t="n">
        <v>0</v>
      </c>
      <c r="N352" t="n">
        <v>0</v>
      </c>
      <c r="O352" t="n">
        <v>0</v>
      </c>
      <c r="P352" t="n">
        <v>0</v>
      </c>
      <c r="Q352" t="n">
        <v>0</v>
      </c>
      <c r="R352" s="2" t="inlineStr"/>
    </row>
    <row r="353" ht="15" customHeight="1">
      <c r="A353" t="inlineStr">
        <is>
          <t>A 17144-2025</t>
        </is>
      </c>
      <c r="B353" s="1" t="n">
        <v>45755.9499537037</v>
      </c>
      <c r="C353" s="1" t="n">
        <v>46077</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3964-2024</t>
        </is>
      </c>
      <c r="B354" s="1" t="n">
        <v>45322</v>
      </c>
      <c r="C354" s="1" t="n">
        <v>46077</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63516-2023</t>
        </is>
      </c>
      <c r="B355" s="1" t="n">
        <v>45274</v>
      </c>
      <c r="C355" s="1" t="n">
        <v>46077</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45084-2024</t>
        </is>
      </c>
      <c r="B356" s="1" t="n">
        <v>45575</v>
      </c>
      <c r="C356" s="1" t="n">
        <v>46077</v>
      </c>
      <c r="D356" t="inlineStr">
        <is>
          <t>GOTLANDS LÄN</t>
        </is>
      </c>
      <c r="E356" t="inlineStr">
        <is>
          <t>GOTLAND</t>
        </is>
      </c>
      <c r="G356" t="n">
        <v>6.8</v>
      </c>
      <c r="H356" t="n">
        <v>0</v>
      </c>
      <c r="I356" t="n">
        <v>0</v>
      </c>
      <c r="J356" t="n">
        <v>0</v>
      </c>
      <c r="K356" t="n">
        <v>0</v>
      </c>
      <c r="L356" t="n">
        <v>0</v>
      </c>
      <c r="M356" t="n">
        <v>0</v>
      </c>
      <c r="N356" t="n">
        <v>0</v>
      </c>
      <c r="O356" t="n">
        <v>0</v>
      </c>
      <c r="P356" t="n">
        <v>0</v>
      </c>
      <c r="Q356" t="n">
        <v>0</v>
      </c>
      <c r="R356" s="2" t="inlineStr"/>
    </row>
    <row r="357" ht="15" customHeight="1">
      <c r="A357" t="inlineStr">
        <is>
          <t>A 8036-2022</t>
        </is>
      </c>
      <c r="B357" s="1" t="n">
        <v>44609.44362268518</v>
      </c>
      <c r="C357" s="1" t="n">
        <v>46077</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12846-2025</t>
        </is>
      </c>
      <c r="B358" s="1" t="n">
        <v>45733.65049768519</v>
      </c>
      <c r="C358" s="1" t="n">
        <v>46077</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56009-2024</t>
        </is>
      </c>
      <c r="B359" s="1" t="n">
        <v>45623.80864583333</v>
      </c>
      <c r="C359" s="1" t="n">
        <v>46077</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46949-2024</t>
        </is>
      </c>
      <c r="B360" s="1" t="n">
        <v>45585</v>
      </c>
      <c r="C360" s="1" t="n">
        <v>46077</v>
      </c>
      <c r="D360" t="inlineStr">
        <is>
          <t>GOTLANDS LÄN</t>
        </is>
      </c>
      <c r="E360" t="inlineStr">
        <is>
          <t>GOTLAND</t>
        </is>
      </c>
      <c r="G360" t="n">
        <v>0.6</v>
      </c>
      <c r="H360" t="n">
        <v>0</v>
      </c>
      <c r="I360" t="n">
        <v>0</v>
      </c>
      <c r="J360" t="n">
        <v>0</v>
      </c>
      <c r="K360" t="n">
        <v>0</v>
      </c>
      <c r="L360" t="n">
        <v>0</v>
      </c>
      <c r="M360" t="n">
        <v>0</v>
      </c>
      <c r="N360" t="n">
        <v>0</v>
      </c>
      <c r="O360" t="n">
        <v>0</v>
      </c>
      <c r="P360" t="n">
        <v>0</v>
      </c>
      <c r="Q360" t="n">
        <v>0</v>
      </c>
      <c r="R360" s="2" t="inlineStr"/>
    </row>
    <row r="361" ht="15" customHeight="1">
      <c r="A361" t="inlineStr">
        <is>
          <t>A 42338-2023</t>
        </is>
      </c>
      <c r="B361" s="1" t="n">
        <v>45180</v>
      </c>
      <c r="C361" s="1" t="n">
        <v>46077</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5217-2023</t>
        </is>
      </c>
      <c r="B362" s="1" t="n">
        <v>44959.39582175926</v>
      </c>
      <c r="C362" s="1" t="n">
        <v>46077</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10650-2022</t>
        </is>
      </c>
      <c r="B363" s="1" t="n">
        <v>44624.57945601852</v>
      </c>
      <c r="C363" s="1" t="n">
        <v>46077</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24001-2021</t>
        </is>
      </c>
      <c r="B364" s="1" t="n">
        <v>44335</v>
      </c>
      <c r="C364" s="1" t="n">
        <v>46077</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30365-2024</t>
        </is>
      </c>
      <c r="B365" s="1" t="n">
        <v>45491.3716087963</v>
      </c>
      <c r="C365" s="1" t="n">
        <v>46077</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11634-2024</t>
        </is>
      </c>
      <c r="B366" s="1" t="n">
        <v>45373</v>
      </c>
      <c r="C366" s="1" t="n">
        <v>46077</v>
      </c>
      <c r="D366" t="inlineStr">
        <is>
          <t>GOTLANDS LÄN</t>
        </is>
      </c>
      <c r="E366" t="inlineStr">
        <is>
          <t>GOTLAND</t>
        </is>
      </c>
      <c r="G366" t="n">
        <v>3</v>
      </c>
      <c r="H366" t="n">
        <v>0</v>
      </c>
      <c r="I366" t="n">
        <v>0</v>
      </c>
      <c r="J366" t="n">
        <v>0</v>
      </c>
      <c r="K366" t="n">
        <v>0</v>
      </c>
      <c r="L366" t="n">
        <v>0</v>
      </c>
      <c r="M366" t="n">
        <v>0</v>
      </c>
      <c r="N366" t="n">
        <v>0</v>
      </c>
      <c r="O366" t="n">
        <v>0</v>
      </c>
      <c r="P366" t="n">
        <v>0</v>
      </c>
      <c r="Q366" t="n">
        <v>0</v>
      </c>
      <c r="R366" s="2" t="inlineStr"/>
    </row>
    <row r="367" ht="15" customHeight="1">
      <c r="A367" t="inlineStr">
        <is>
          <t>A 1351-2025</t>
        </is>
      </c>
      <c r="B367" s="1" t="n">
        <v>45667.62246527777</v>
      </c>
      <c r="C367" s="1" t="n">
        <v>46077</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1681-2023</t>
        </is>
      </c>
      <c r="B368" s="1" t="n">
        <v>44938.39715277778</v>
      </c>
      <c r="C368" s="1" t="n">
        <v>46077</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39496-2022</t>
        </is>
      </c>
      <c r="B369" s="1" t="n">
        <v>44818</v>
      </c>
      <c r="C369" s="1" t="n">
        <v>46077</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20356-2022</t>
        </is>
      </c>
      <c r="B370" s="1" t="n">
        <v>44699</v>
      </c>
      <c r="C370" s="1" t="n">
        <v>46077</v>
      </c>
      <c r="D370" t="inlineStr">
        <is>
          <t>GOTLANDS LÄN</t>
        </is>
      </c>
      <c r="E370" t="inlineStr">
        <is>
          <t>GOTLAND</t>
        </is>
      </c>
      <c r="F370" t="inlineStr">
        <is>
          <t>Övriga Aktiebolag</t>
        </is>
      </c>
      <c r="G370" t="n">
        <v>4.4</v>
      </c>
      <c r="H370" t="n">
        <v>0</v>
      </c>
      <c r="I370" t="n">
        <v>0</v>
      </c>
      <c r="J370" t="n">
        <v>0</v>
      </c>
      <c r="K370" t="n">
        <v>0</v>
      </c>
      <c r="L370" t="n">
        <v>0</v>
      </c>
      <c r="M370" t="n">
        <v>0</v>
      </c>
      <c r="N370" t="n">
        <v>0</v>
      </c>
      <c r="O370" t="n">
        <v>0</v>
      </c>
      <c r="P370" t="n">
        <v>0</v>
      </c>
      <c r="Q370" t="n">
        <v>0</v>
      </c>
      <c r="R370" s="2" t="inlineStr"/>
    </row>
    <row r="371" ht="15" customHeight="1">
      <c r="A371" t="inlineStr">
        <is>
          <t>A 49874-2024</t>
        </is>
      </c>
      <c r="B371" s="1" t="n">
        <v>45597.49274305555</v>
      </c>
      <c r="C371" s="1" t="n">
        <v>46077</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42201-2023</t>
        </is>
      </c>
      <c r="B372" s="1" t="n">
        <v>45179</v>
      </c>
      <c r="C372" s="1" t="n">
        <v>46077</v>
      </c>
      <c r="D372" t="inlineStr">
        <is>
          <t>GOTLANDS LÄN</t>
        </is>
      </c>
      <c r="E372" t="inlineStr">
        <is>
          <t>GOTLAND</t>
        </is>
      </c>
      <c r="G372" t="n">
        <v>11.9</v>
      </c>
      <c r="H372" t="n">
        <v>0</v>
      </c>
      <c r="I372" t="n">
        <v>0</v>
      </c>
      <c r="J372" t="n">
        <v>0</v>
      </c>
      <c r="K372" t="n">
        <v>0</v>
      </c>
      <c r="L372" t="n">
        <v>0</v>
      </c>
      <c r="M372" t="n">
        <v>0</v>
      </c>
      <c r="N372" t="n">
        <v>0</v>
      </c>
      <c r="O372" t="n">
        <v>0</v>
      </c>
      <c r="P372" t="n">
        <v>0</v>
      </c>
      <c r="Q372" t="n">
        <v>0</v>
      </c>
      <c r="R372" s="2" t="inlineStr"/>
    </row>
    <row r="373" ht="15" customHeight="1">
      <c r="A373" t="inlineStr">
        <is>
          <t>A 46400-2023</t>
        </is>
      </c>
      <c r="B373" s="1" t="n">
        <v>45197.49290509259</v>
      </c>
      <c r="C373" s="1" t="n">
        <v>46077</v>
      </c>
      <c r="D373" t="inlineStr">
        <is>
          <t>GOTLANDS LÄN</t>
        </is>
      </c>
      <c r="E373" t="inlineStr">
        <is>
          <t>GOTLAND</t>
        </is>
      </c>
      <c r="G373" t="n">
        <v>0.8</v>
      </c>
      <c r="H373" t="n">
        <v>0</v>
      </c>
      <c r="I373" t="n">
        <v>0</v>
      </c>
      <c r="J373" t="n">
        <v>0</v>
      </c>
      <c r="K373" t="n">
        <v>0</v>
      </c>
      <c r="L373" t="n">
        <v>0</v>
      </c>
      <c r="M373" t="n">
        <v>0</v>
      </c>
      <c r="N373" t="n">
        <v>0</v>
      </c>
      <c r="O373" t="n">
        <v>0</v>
      </c>
      <c r="P373" t="n">
        <v>0</v>
      </c>
      <c r="Q373" t="n">
        <v>0</v>
      </c>
      <c r="R373" s="2" t="inlineStr"/>
    </row>
    <row r="374" ht="15" customHeight="1">
      <c r="A374" t="inlineStr">
        <is>
          <t>A 581-2023</t>
        </is>
      </c>
      <c r="B374" s="1" t="n">
        <v>44930</v>
      </c>
      <c r="C374" s="1" t="n">
        <v>46077</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46077</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61386-2023</t>
        </is>
      </c>
      <c r="B376" s="1" t="n">
        <v>45264</v>
      </c>
      <c r="C376" s="1" t="n">
        <v>46077</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9875-2025</t>
        </is>
      </c>
      <c r="B377" s="1" t="n">
        <v>45716</v>
      </c>
      <c r="C377" s="1" t="n">
        <v>46077</v>
      </c>
      <c r="D377" t="inlineStr">
        <is>
          <t>GOTLANDS LÄN</t>
        </is>
      </c>
      <c r="E377" t="inlineStr">
        <is>
          <t>GOTLAND</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873-2024</t>
        </is>
      </c>
      <c r="B378" s="1" t="n">
        <v>45301</v>
      </c>
      <c r="C378" s="1" t="n">
        <v>46077</v>
      </c>
      <c r="D378" t="inlineStr">
        <is>
          <t>GOTLANDS LÄN</t>
        </is>
      </c>
      <c r="E378" t="inlineStr">
        <is>
          <t>GOTLAND</t>
        </is>
      </c>
      <c r="G378" t="n">
        <v>2.7</v>
      </c>
      <c r="H378" t="n">
        <v>0</v>
      </c>
      <c r="I378" t="n">
        <v>0</v>
      </c>
      <c r="J378" t="n">
        <v>0</v>
      </c>
      <c r="K378" t="n">
        <v>0</v>
      </c>
      <c r="L378" t="n">
        <v>0</v>
      </c>
      <c r="M378" t="n">
        <v>0</v>
      </c>
      <c r="N378" t="n">
        <v>0</v>
      </c>
      <c r="O378" t="n">
        <v>0</v>
      </c>
      <c r="P378" t="n">
        <v>0</v>
      </c>
      <c r="Q378" t="n">
        <v>0</v>
      </c>
      <c r="R378" s="2" t="inlineStr"/>
    </row>
    <row r="379" ht="15" customHeight="1">
      <c r="A379" t="inlineStr">
        <is>
          <t>A 1273-2023</t>
        </is>
      </c>
      <c r="B379" s="1" t="n">
        <v>44936</v>
      </c>
      <c r="C379" s="1" t="n">
        <v>46077</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49411-2023</t>
        </is>
      </c>
      <c r="B380" s="1" t="n">
        <v>45205</v>
      </c>
      <c r="C380" s="1" t="n">
        <v>46077</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21164-2024</t>
        </is>
      </c>
      <c r="B381" s="1" t="n">
        <v>45440</v>
      </c>
      <c r="C381" s="1" t="n">
        <v>46077</v>
      </c>
      <c r="D381" t="inlineStr">
        <is>
          <t>GOTLANDS LÄN</t>
        </is>
      </c>
      <c r="E381" t="inlineStr">
        <is>
          <t>GOTLAND</t>
        </is>
      </c>
      <c r="G381" t="n">
        <v>6.3</v>
      </c>
      <c r="H381" t="n">
        <v>0</v>
      </c>
      <c r="I381" t="n">
        <v>0</v>
      </c>
      <c r="J381" t="n">
        <v>0</v>
      </c>
      <c r="K381" t="n">
        <v>0</v>
      </c>
      <c r="L381" t="n">
        <v>0</v>
      </c>
      <c r="M381" t="n">
        <v>0</v>
      </c>
      <c r="N381" t="n">
        <v>0</v>
      </c>
      <c r="O381" t="n">
        <v>0</v>
      </c>
      <c r="P381" t="n">
        <v>0</v>
      </c>
      <c r="Q381" t="n">
        <v>0</v>
      </c>
      <c r="R381" s="2" t="inlineStr"/>
    </row>
    <row r="382" ht="15" customHeight="1">
      <c r="A382" t="inlineStr">
        <is>
          <t>A 22275-2023</t>
        </is>
      </c>
      <c r="B382" s="1" t="n">
        <v>45070.39875</v>
      </c>
      <c r="C382" s="1" t="n">
        <v>46077</v>
      </c>
      <c r="D382" t="inlineStr">
        <is>
          <t>GOTLANDS LÄN</t>
        </is>
      </c>
      <c r="E382" t="inlineStr">
        <is>
          <t>GOTLAND</t>
        </is>
      </c>
      <c r="G382" t="n">
        <v>7.2</v>
      </c>
      <c r="H382" t="n">
        <v>0</v>
      </c>
      <c r="I382" t="n">
        <v>0</v>
      </c>
      <c r="J382" t="n">
        <v>0</v>
      </c>
      <c r="K382" t="n">
        <v>0</v>
      </c>
      <c r="L382" t="n">
        <v>0</v>
      </c>
      <c r="M382" t="n">
        <v>0</v>
      </c>
      <c r="N382" t="n">
        <v>0</v>
      </c>
      <c r="O382" t="n">
        <v>0</v>
      </c>
      <c r="P382" t="n">
        <v>0</v>
      </c>
      <c r="Q382" t="n">
        <v>0</v>
      </c>
      <c r="R382" s="2" t="inlineStr"/>
    </row>
    <row r="383" ht="15" customHeight="1">
      <c r="A383" t="inlineStr">
        <is>
          <t>A 12322-2025</t>
        </is>
      </c>
      <c r="B383" s="1" t="n">
        <v>45730</v>
      </c>
      <c r="C383" s="1" t="n">
        <v>46077</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8045-2022</t>
        </is>
      </c>
      <c r="B384" s="1" t="n">
        <v>44609</v>
      </c>
      <c r="C384" s="1" t="n">
        <v>46077</v>
      </c>
      <c r="D384" t="inlineStr">
        <is>
          <t>GOTLANDS LÄN</t>
        </is>
      </c>
      <c r="E384" t="inlineStr">
        <is>
          <t>GOTLAND</t>
        </is>
      </c>
      <c r="G384" t="n">
        <v>7</v>
      </c>
      <c r="H384" t="n">
        <v>0</v>
      </c>
      <c r="I384" t="n">
        <v>0</v>
      </c>
      <c r="J384" t="n">
        <v>0</v>
      </c>
      <c r="K384" t="n">
        <v>0</v>
      </c>
      <c r="L384" t="n">
        <v>0</v>
      </c>
      <c r="M384" t="n">
        <v>0</v>
      </c>
      <c r="N384" t="n">
        <v>0</v>
      </c>
      <c r="O384" t="n">
        <v>0</v>
      </c>
      <c r="P384" t="n">
        <v>0</v>
      </c>
      <c r="Q384" t="n">
        <v>0</v>
      </c>
      <c r="R384" s="2" t="inlineStr"/>
    </row>
    <row r="385" ht="15" customHeight="1">
      <c r="A385" t="inlineStr">
        <is>
          <t>A 58780-2024</t>
        </is>
      </c>
      <c r="B385" s="1" t="n">
        <v>45635.84113425926</v>
      </c>
      <c r="C385" s="1" t="n">
        <v>46077</v>
      </c>
      <c r="D385" t="inlineStr">
        <is>
          <t>GOTLANDS LÄN</t>
        </is>
      </c>
      <c r="E385" t="inlineStr">
        <is>
          <t>GOTLAND</t>
        </is>
      </c>
      <c r="G385" t="n">
        <v>2.6</v>
      </c>
      <c r="H385" t="n">
        <v>0</v>
      </c>
      <c r="I385" t="n">
        <v>0</v>
      </c>
      <c r="J385" t="n">
        <v>0</v>
      </c>
      <c r="K385" t="n">
        <v>0</v>
      </c>
      <c r="L385" t="n">
        <v>0</v>
      </c>
      <c r="M385" t="n">
        <v>0</v>
      </c>
      <c r="N385" t="n">
        <v>0</v>
      </c>
      <c r="O385" t="n">
        <v>0</v>
      </c>
      <c r="P385" t="n">
        <v>0</v>
      </c>
      <c r="Q385" t="n">
        <v>0</v>
      </c>
      <c r="R385" s="2" t="inlineStr"/>
    </row>
    <row r="386" ht="15" customHeight="1">
      <c r="A386" t="inlineStr">
        <is>
          <t>A 14797-2024</t>
        </is>
      </c>
      <c r="B386" s="1" t="n">
        <v>45397.87030092593</v>
      </c>
      <c r="C386" s="1" t="n">
        <v>46077</v>
      </c>
      <c r="D386" t="inlineStr">
        <is>
          <t>GOTLANDS LÄN</t>
        </is>
      </c>
      <c r="E386" t="inlineStr">
        <is>
          <t>GOTLAND</t>
        </is>
      </c>
      <c r="G386" t="n">
        <v>8.1</v>
      </c>
      <c r="H386" t="n">
        <v>0</v>
      </c>
      <c r="I386" t="n">
        <v>0</v>
      </c>
      <c r="J386" t="n">
        <v>0</v>
      </c>
      <c r="K386" t="n">
        <v>0</v>
      </c>
      <c r="L386" t="n">
        <v>0</v>
      </c>
      <c r="M386" t="n">
        <v>0</v>
      </c>
      <c r="N386" t="n">
        <v>0</v>
      </c>
      <c r="O386" t="n">
        <v>0</v>
      </c>
      <c r="P386" t="n">
        <v>0</v>
      </c>
      <c r="Q386" t="n">
        <v>0</v>
      </c>
      <c r="R386" s="2" t="inlineStr"/>
    </row>
    <row r="387" ht="15" customHeight="1">
      <c r="A387" t="inlineStr">
        <is>
          <t>A 999-2024</t>
        </is>
      </c>
      <c r="B387" s="1" t="n">
        <v>45301</v>
      </c>
      <c r="C387" s="1" t="n">
        <v>46077</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45692-2023</t>
        </is>
      </c>
      <c r="B388" s="1" t="n">
        <v>45195</v>
      </c>
      <c r="C388" s="1" t="n">
        <v>46077</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61596-2023</t>
        </is>
      </c>
      <c r="B389" s="1" t="n">
        <v>45265</v>
      </c>
      <c r="C389" s="1" t="n">
        <v>46077</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33876-2024</t>
        </is>
      </c>
      <c r="B390" s="1" t="n">
        <v>45521.87988425926</v>
      </c>
      <c r="C390" s="1" t="n">
        <v>46077</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22897-2023</t>
        </is>
      </c>
      <c r="B391" s="1" t="n">
        <v>45072.55239583334</v>
      </c>
      <c r="C391" s="1" t="n">
        <v>46077</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14638-2025</t>
        </is>
      </c>
      <c r="B392" s="1" t="n">
        <v>45742</v>
      </c>
      <c r="C392" s="1" t="n">
        <v>46077</v>
      </c>
      <c r="D392" t="inlineStr">
        <is>
          <t>GOTLANDS LÄN</t>
        </is>
      </c>
      <c r="E392" t="inlineStr">
        <is>
          <t>GOTLAND</t>
        </is>
      </c>
      <c r="G392" t="n">
        <v>13.4</v>
      </c>
      <c r="H392" t="n">
        <v>0</v>
      </c>
      <c r="I392" t="n">
        <v>0</v>
      </c>
      <c r="J392" t="n">
        <v>0</v>
      </c>
      <c r="K392" t="n">
        <v>0</v>
      </c>
      <c r="L392" t="n">
        <v>0</v>
      </c>
      <c r="M392" t="n">
        <v>0</v>
      </c>
      <c r="N392" t="n">
        <v>0</v>
      </c>
      <c r="O392" t="n">
        <v>0</v>
      </c>
      <c r="P392" t="n">
        <v>0</v>
      </c>
      <c r="Q392" t="n">
        <v>0</v>
      </c>
      <c r="R392" s="2" t="inlineStr"/>
    </row>
    <row r="393" ht="15" customHeight="1">
      <c r="A393" t="inlineStr">
        <is>
          <t>A 18993-2025</t>
        </is>
      </c>
      <c r="B393" s="1" t="n">
        <v>45764</v>
      </c>
      <c r="C393" s="1" t="n">
        <v>46077</v>
      </c>
      <c r="D393" t="inlineStr">
        <is>
          <t>GOTLANDS LÄN</t>
        </is>
      </c>
      <c r="E393" t="inlineStr">
        <is>
          <t>GOTLAND</t>
        </is>
      </c>
      <c r="G393" t="n">
        <v>3</v>
      </c>
      <c r="H393" t="n">
        <v>0</v>
      </c>
      <c r="I393" t="n">
        <v>0</v>
      </c>
      <c r="J393" t="n">
        <v>0</v>
      </c>
      <c r="K393" t="n">
        <v>0</v>
      </c>
      <c r="L393" t="n">
        <v>0</v>
      </c>
      <c r="M393" t="n">
        <v>0</v>
      </c>
      <c r="N393" t="n">
        <v>0</v>
      </c>
      <c r="O393" t="n">
        <v>0</v>
      </c>
      <c r="P393" t="n">
        <v>0</v>
      </c>
      <c r="Q393" t="n">
        <v>0</v>
      </c>
      <c r="R393" s="2" t="inlineStr"/>
    </row>
    <row r="394" ht="15" customHeight="1">
      <c r="A394" t="inlineStr">
        <is>
          <t>A 61897-2024</t>
        </is>
      </c>
      <c r="B394" s="1" t="n">
        <v>45652.75685185185</v>
      </c>
      <c r="C394" s="1" t="n">
        <v>46077</v>
      </c>
      <c r="D394" t="inlineStr">
        <is>
          <t>GOTLANDS LÄN</t>
        </is>
      </c>
      <c r="E394" t="inlineStr">
        <is>
          <t>GOTLAND</t>
        </is>
      </c>
      <c r="G394" t="n">
        <v>6.4</v>
      </c>
      <c r="H394" t="n">
        <v>0</v>
      </c>
      <c r="I394" t="n">
        <v>0</v>
      </c>
      <c r="J394" t="n">
        <v>0</v>
      </c>
      <c r="K394" t="n">
        <v>0</v>
      </c>
      <c r="L394" t="n">
        <v>0</v>
      </c>
      <c r="M394" t="n">
        <v>0</v>
      </c>
      <c r="N394" t="n">
        <v>0</v>
      </c>
      <c r="O394" t="n">
        <v>0</v>
      </c>
      <c r="P394" t="n">
        <v>0</v>
      </c>
      <c r="Q394" t="n">
        <v>0</v>
      </c>
      <c r="R394" s="2" t="inlineStr"/>
    </row>
    <row r="395" ht="15" customHeight="1">
      <c r="A395" t="inlineStr">
        <is>
          <t>A 60675-2021</t>
        </is>
      </c>
      <c r="B395" s="1" t="n">
        <v>44496.64855324074</v>
      </c>
      <c r="C395" s="1" t="n">
        <v>46077</v>
      </c>
      <c r="D395" t="inlineStr">
        <is>
          <t>GOTLANDS LÄN</t>
        </is>
      </c>
      <c r="E395" t="inlineStr">
        <is>
          <t>GOTLAND</t>
        </is>
      </c>
      <c r="G395" t="n">
        <v>4.6</v>
      </c>
      <c r="H395" t="n">
        <v>0</v>
      </c>
      <c r="I395" t="n">
        <v>0</v>
      </c>
      <c r="J395" t="n">
        <v>0</v>
      </c>
      <c r="K395" t="n">
        <v>0</v>
      </c>
      <c r="L395" t="n">
        <v>0</v>
      </c>
      <c r="M395" t="n">
        <v>0</v>
      </c>
      <c r="N395" t="n">
        <v>0</v>
      </c>
      <c r="O395" t="n">
        <v>0</v>
      </c>
      <c r="P395" t="n">
        <v>0</v>
      </c>
      <c r="Q395" t="n">
        <v>0</v>
      </c>
      <c r="R395" s="2" t="inlineStr"/>
    </row>
    <row r="396" ht="15" customHeight="1">
      <c r="A396" t="inlineStr">
        <is>
          <t>A 37728-2024</t>
        </is>
      </c>
      <c r="B396" s="1" t="n">
        <v>45541</v>
      </c>
      <c r="C396" s="1" t="n">
        <v>46077</v>
      </c>
      <c r="D396" t="inlineStr">
        <is>
          <t>GOTLANDS LÄN</t>
        </is>
      </c>
      <c r="E396" t="inlineStr">
        <is>
          <t>GOTLAND</t>
        </is>
      </c>
      <c r="G396" t="n">
        <v>0.4</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46077</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49962-2023</t>
        </is>
      </c>
      <c r="B398" s="1" t="n">
        <v>45215.38775462963</v>
      </c>
      <c r="C398" s="1" t="n">
        <v>46077</v>
      </c>
      <c r="D398" t="inlineStr">
        <is>
          <t>GOTLANDS LÄN</t>
        </is>
      </c>
      <c r="E398" t="inlineStr">
        <is>
          <t>GOTLAND</t>
        </is>
      </c>
      <c r="G398" t="n">
        <v>1.4</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46077</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22287-2022</t>
        </is>
      </c>
      <c r="B400" s="1" t="n">
        <v>44712</v>
      </c>
      <c r="C400" s="1" t="n">
        <v>46077</v>
      </c>
      <c r="D400" t="inlineStr">
        <is>
          <t>GOTLANDS LÄN</t>
        </is>
      </c>
      <c r="E400" t="inlineStr">
        <is>
          <t>GOTLAND</t>
        </is>
      </c>
      <c r="G400" t="n">
        <v>6.1</v>
      </c>
      <c r="H400" t="n">
        <v>0</v>
      </c>
      <c r="I400" t="n">
        <v>0</v>
      </c>
      <c r="J400" t="n">
        <v>0</v>
      </c>
      <c r="K400" t="n">
        <v>0</v>
      </c>
      <c r="L400" t="n">
        <v>0</v>
      </c>
      <c r="M400" t="n">
        <v>0</v>
      </c>
      <c r="N400" t="n">
        <v>0</v>
      </c>
      <c r="O400" t="n">
        <v>0</v>
      </c>
      <c r="P400" t="n">
        <v>0</v>
      </c>
      <c r="Q400" t="n">
        <v>0</v>
      </c>
      <c r="R400" s="2" t="inlineStr"/>
    </row>
    <row r="401" ht="15" customHeight="1">
      <c r="A401" t="inlineStr">
        <is>
          <t>A 28285-2024</t>
        </is>
      </c>
      <c r="B401" s="1" t="n">
        <v>45477</v>
      </c>
      <c r="C401" s="1" t="n">
        <v>46077</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35141-2025</t>
        </is>
      </c>
      <c r="B402" s="1" t="n">
        <v>45852.65206018519</v>
      </c>
      <c r="C402" s="1" t="n">
        <v>46077</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61100-2022</t>
        </is>
      </c>
      <c r="B403" s="1" t="n">
        <v>44915</v>
      </c>
      <c r="C403" s="1" t="n">
        <v>46077</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35142-2025</t>
        </is>
      </c>
      <c r="B404" s="1" t="n">
        <v>45852.65532407408</v>
      </c>
      <c r="C404" s="1" t="n">
        <v>46077</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20165-2022</t>
        </is>
      </c>
      <c r="B405" s="1" t="n">
        <v>44698.49854166667</v>
      </c>
      <c r="C405" s="1" t="n">
        <v>46077</v>
      </c>
      <c r="D405" t="inlineStr">
        <is>
          <t>GOTLANDS LÄN</t>
        </is>
      </c>
      <c r="E405" t="inlineStr">
        <is>
          <t>GOTLAND</t>
        </is>
      </c>
      <c r="G405" t="n">
        <v>4.1</v>
      </c>
      <c r="H405" t="n">
        <v>0</v>
      </c>
      <c r="I405" t="n">
        <v>0</v>
      </c>
      <c r="J405" t="n">
        <v>0</v>
      </c>
      <c r="K405" t="n">
        <v>0</v>
      </c>
      <c r="L405" t="n">
        <v>0</v>
      </c>
      <c r="M405" t="n">
        <v>0</v>
      </c>
      <c r="N405" t="n">
        <v>0</v>
      </c>
      <c r="O405" t="n">
        <v>0</v>
      </c>
      <c r="P405" t="n">
        <v>0</v>
      </c>
      <c r="Q405" t="n">
        <v>0</v>
      </c>
      <c r="R405" s="2" t="inlineStr"/>
    </row>
    <row r="406" ht="15" customHeight="1">
      <c r="A406" t="inlineStr">
        <is>
          <t>A 54074-2022</t>
        </is>
      </c>
      <c r="B406" s="1" t="n">
        <v>44881</v>
      </c>
      <c r="C406" s="1" t="n">
        <v>46077</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40294-2022</t>
        </is>
      </c>
      <c r="B407" s="1" t="n">
        <v>44821</v>
      </c>
      <c r="C407" s="1" t="n">
        <v>46077</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61682-2024</t>
        </is>
      </c>
      <c r="B408" s="1" t="n">
        <v>45647.48824074074</v>
      </c>
      <c r="C408" s="1" t="n">
        <v>46077</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12032-2025</t>
        </is>
      </c>
      <c r="B409" s="1" t="n">
        <v>45728.64472222222</v>
      </c>
      <c r="C409" s="1" t="n">
        <v>46077</v>
      </c>
      <c r="D409" t="inlineStr">
        <is>
          <t>GOTLANDS LÄN</t>
        </is>
      </c>
      <c r="E409" t="inlineStr">
        <is>
          <t>GOTLAND</t>
        </is>
      </c>
      <c r="G409" t="n">
        <v>1.4</v>
      </c>
      <c r="H409" t="n">
        <v>0</v>
      </c>
      <c r="I409" t="n">
        <v>0</v>
      </c>
      <c r="J409" t="n">
        <v>0</v>
      </c>
      <c r="K409" t="n">
        <v>0</v>
      </c>
      <c r="L409" t="n">
        <v>0</v>
      </c>
      <c r="M409" t="n">
        <v>0</v>
      </c>
      <c r="N409" t="n">
        <v>0</v>
      </c>
      <c r="O409" t="n">
        <v>0</v>
      </c>
      <c r="P409" t="n">
        <v>0</v>
      </c>
      <c r="Q409" t="n">
        <v>0</v>
      </c>
      <c r="R409" s="2" t="inlineStr"/>
    </row>
    <row r="410" ht="15" customHeight="1">
      <c r="A410" t="inlineStr">
        <is>
          <t>A 65249-2023</t>
        </is>
      </c>
      <c r="B410" s="1" t="n">
        <v>45290</v>
      </c>
      <c r="C410" s="1" t="n">
        <v>46077</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38787-2023</t>
        </is>
      </c>
      <c r="B411" s="1" t="n">
        <v>45163</v>
      </c>
      <c r="C411" s="1" t="n">
        <v>46077</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39819-2025</t>
        </is>
      </c>
      <c r="B412" s="1" t="n">
        <v>45891.53418981482</v>
      </c>
      <c r="C412" s="1" t="n">
        <v>46077</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39814-2025</t>
        </is>
      </c>
      <c r="B413" s="1" t="n">
        <v>45891.52694444444</v>
      </c>
      <c r="C413" s="1" t="n">
        <v>46077</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39849-2025</t>
        </is>
      </c>
      <c r="B414" s="1" t="n">
        <v>45891.58502314815</v>
      </c>
      <c r="C414" s="1" t="n">
        <v>46077</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43231-2023</t>
        </is>
      </c>
      <c r="B415" s="1" t="n">
        <v>45183.47025462963</v>
      </c>
      <c r="C415" s="1" t="n">
        <v>46077</v>
      </c>
      <c r="D415" t="inlineStr">
        <is>
          <t>GOTLANDS LÄN</t>
        </is>
      </c>
      <c r="E415" t="inlineStr">
        <is>
          <t>GOTLAND</t>
        </is>
      </c>
      <c r="G415" t="n">
        <v>3.6</v>
      </c>
      <c r="H415" t="n">
        <v>0</v>
      </c>
      <c r="I415" t="n">
        <v>0</v>
      </c>
      <c r="J415" t="n">
        <v>0</v>
      </c>
      <c r="K415" t="n">
        <v>0</v>
      </c>
      <c r="L415" t="n">
        <v>0</v>
      </c>
      <c r="M415" t="n">
        <v>0</v>
      </c>
      <c r="N415" t="n">
        <v>0</v>
      </c>
      <c r="O415" t="n">
        <v>0</v>
      </c>
      <c r="P415" t="n">
        <v>0</v>
      </c>
      <c r="Q415" t="n">
        <v>0</v>
      </c>
      <c r="R415" s="2" t="inlineStr"/>
    </row>
    <row r="416" ht="15" customHeight="1">
      <c r="A416" t="inlineStr">
        <is>
          <t>A 39752-2025</t>
        </is>
      </c>
      <c r="B416" s="1" t="n">
        <v>45891</v>
      </c>
      <c r="C416" s="1" t="n">
        <v>46077</v>
      </c>
      <c r="D416" t="inlineStr">
        <is>
          <t>GOTLANDS LÄN</t>
        </is>
      </c>
      <c r="E416" t="inlineStr">
        <is>
          <t>GOTLAND</t>
        </is>
      </c>
      <c r="G416" t="n">
        <v>5.3</v>
      </c>
      <c r="H416" t="n">
        <v>0</v>
      </c>
      <c r="I416" t="n">
        <v>0</v>
      </c>
      <c r="J416" t="n">
        <v>0</v>
      </c>
      <c r="K416" t="n">
        <v>0</v>
      </c>
      <c r="L416" t="n">
        <v>0</v>
      </c>
      <c r="M416" t="n">
        <v>0</v>
      </c>
      <c r="N416" t="n">
        <v>0</v>
      </c>
      <c r="O416" t="n">
        <v>0</v>
      </c>
      <c r="P416" t="n">
        <v>0</v>
      </c>
      <c r="Q416" t="n">
        <v>0</v>
      </c>
      <c r="R416" s="2" t="inlineStr"/>
    </row>
    <row r="417" ht="15" customHeight="1">
      <c r="A417" t="inlineStr">
        <is>
          <t>A 17532-2024</t>
        </is>
      </c>
      <c r="B417" s="1" t="n">
        <v>45415</v>
      </c>
      <c r="C417" s="1" t="n">
        <v>46077</v>
      </c>
      <c r="D417" t="inlineStr">
        <is>
          <t>GOTLANDS LÄN</t>
        </is>
      </c>
      <c r="E417" t="inlineStr">
        <is>
          <t>GOTLAND</t>
        </is>
      </c>
      <c r="G417" t="n">
        <v>4.3</v>
      </c>
      <c r="H417" t="n">
        <v>0</v>
      </c>
      <c r="I417" t="n">
        <v>0</v>
      </c>
      <c r="J417" t="n">
        <v>0</v>
      </c>
      <c r="K417" t="n">
        <v>0</v>
      </c>
      <c r="L417" t="n">
        <v>0</v>
      </c>
      <c r="M417" t="n">
        <v>0</v>
      </c>
      <c r="N417" t="n">
        <v>0</v>
      </c>
      <c r="O417" t="n">
        <v>0</v>
      </c>
      <c r="P417" t="n">
        <v>0</v>
      </c>
      <c r="Q417" t="n">
        <v>0</v>
      </c>
      <c r="R417" s="2" t="inlineStr"/>
    </row>
    <row r="418" ht="15" customHeight="1">
      <c r="A418" t="inlineStr">
        <is>
          <t>A 39816-2025</t>
        </is>
      </c>
      <c r="B418" s="1" t="n">
        <v>45891</v>
      </c>
      <c r="C418" s="1" t="n">
        <v>46077</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40103-2025</t>
        </is>
      </c>
      <c r="B419" s="1" t="n">
        <v>45894.4880324074</v>
      </c>
      <c r="C419" s="1" t="n">
        <v>46077</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40373-2025</t>
        </is>
      </c>
      <c r="B420" s="1" t="n">
        <v>45895.51821759259</v>
      </c>
      <c r="C420" s="1" t="n">
        <v>46077</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3935-2025</t>
        </is>
      </c>
      <c r="B421" s="1" t="n">
        <v>45684.46070601852</v>
      </c>
      <c r="C421" s="1" t="n">
        <v>46077</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40499-2025</t>
        </is>
      </c>
      <c r="B422" s="1" t="n">
        <v>45896.32517361111</v>
      </c>
      <c r="C422" s="1" t="n">
        <v>46077</v>
      </c>
      <c r="D422" t="inlineStr">
        <is>
          <t>GOTLANDS LÄN</t>
        </is>
      </c>
      <c r="E422" t="inlineStr">
        <is>
          <t>GOTLAND</t>
        </is>
      </c>
      <c r="G422" t="n">
        <v>2.6</v>
      </c>
      <c r="H422" t="n">
        <v>0</v>
      </c>
      <c r="I422" t="n">
        <v>0</v>
      </c>
      <c r="J422" t="n">
        <v>0</v>
      </c>
      <c r="K422" t="n">
        <v>0</v>
      </c>
      <c r="L422" t="n">
        <v>0</v>
      </c>
      <c r="M422" t="n">
        <v>0</v>
      </c>
      <c r="N422" t="n">
        <v>0</v>
      </c>
      <c r="O422" t="n">
        <v>0</v>
      </c>
      <c r="P422" t="n">
        <v>0</v>
      </c>
      <c r="Q422" t="n">
        <v>0</v>
      </c>
      <c r="R422" s="2" t="inlineStr"/>
    </row>
    <row r="423" ht="15" customHeight="1">
      <c r="A423" t="inlineStr">
        <is>
          <t>A 40372-2025</t>
        </is>
      </c>
      <c r="B423" s="1" t="n">
        <v>45895.5162037037</v>
      </c>
      <c r="C423" s="1" t="n">
        <v>46077</v>
      </c>
      <c r="D423" t="inlineStr">
        <is>
          <t>GOTLANDS LÄN</t>
        </is>
      </c>
      <c r="E423" t="inlineStr">
        <is>
          <t>GOTLAND</t>
        </is>
      </c>
      <c r="G423" t="n">
        <v>3.3</v>
      </c>
      <c r="H423" t="n">
        <v>0</v>
      </c>
      <c r="I423" t="n">
        <v>0</v>
      </c>
      <c r="J423" t="n">
        <v>0</v>
      </c>
      <c r="K423" t="n">
        <v>0</v>
      </c>
      <c r="L423" t="n">
        <v>0</v>
      </c>
      <c r="M423" t="n">
        <v>0</v>
      </c>
      <c r="N423" t="n">
        <v>0</v>
      </c>
      <c r="O423" t="n">
        <v>0</v>
      </c>
      <c r="P423" t="n">
        <v>0</v>
      </c>
      <c r="Q423" t="n">
        <v>0</v>
      </c>
      <c r="R423" s="2" t="inlineStr"/>
    </row>
    <row r="424" ht="15" customHeight="1">
      <c r="A424" t="inlineStr">
        <is>
          <t>A 13910-2025</t>
        </is>
      </c>
      <c r="B424" s="1" t="n">
        <v>45737</v>
      </c>
      <c r="C424" s="1" t="n">
        <v>46077</v>
      </c>
      <c r="D424" t="inlineStr">
        <is>
          <t>GOTLANDS LÄN</t>
        </is>
      </c>
      <c r="E424" t="inlineStr">
        <is>
          <t>GOTLAND</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39278-2025</t>
        </is>
      </c>
      <c r="B425" s="1" t="n">
        <v>45889</v>
      </c>
      <c r="C425" s="1" t="n">
        <v>46077</v>
      </c>
      <c r="D425" t="inlineStr">
        <is>
          <t>GOTLANDS LÄN</t>
        </is>
      </c>
      <c r="E425" t="inlineStr">
        <is>
          <t>GOTLAND</t>
        </is>
      </c>
      <c r="G425" t="n">
        <v>3.7</v>
      </c>
      <c r="H425" t="n">
        <v>0</v>
      </c>
      <c r="I425" t="n">
        <v>0</v>
      </c>
      <c r="J425" t="n">
        <v>0</v>
      </c>
      <c r="K425" t="n">
        <v>0</v>
      </c>
      <c r="L425" t="n">
        <v>0</v>
      </c>
      <c r="M425" t="n">
        <v>0</v>
      </c>
      <c r="N425" t="n">
        <v>0</v>
      </c>
      <c r="O425" t="n">
        <v>0</v>
      </c>
      <c r="P425" t="n">
        <v>0</v>
      </c>
      <c r="Q425" t="n">
        <v>0</v>
      </c>
      <c r="R425" s="2" t="inlineStr"/>
    </row>
    <row r="426" ht="15" customHeight="1">
      <c r="A426" t="inlineStr">
        <is>
          <t>A 17780-2022</t>
        </is>
      </c>
      <c r="B426" s="1" t="n">
        <v>44682.82622685185</v>
      </c>
      <c r="C426" s="1" t="n">
        <v>46077</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59986-2022</t>
        </is>
      </c>
      <c r="B427" s="1" t="n">
        <v>44909</v>
      </c>
      <c r="C427" s="1" t="n">
        <v>46077</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14536-2021</t>
        </is>
      </c>
      <c r="B428" s="1" t="n">
        <v>44279.66168981481</v>
      </c>
      <c r="C428" s="1" t="n">
        <v>46077</v>
      </c>
      <c r="D428" t="inlineStr">
        <is>
          <t>GOTLANDS LÄN</t>
        </is>
      </c>
      <c r="E428" t="inlineStr">
        <is>
          <t>GOTLAND</t>
        </is>
      </c>
      <c r="G428" t="n">
        <v>8.5</v>
      </c>
      <c r="H428" t="n">
        <v>0</v>
      </c>
      <c r="I428" t="n">
        <v>0</v>
      </c>
      <c r="J428" t="n">
        <v>0</v>
      </c>
      <c r="K428" t="n">
        <v>0</v>
      </c>
      <c r="L428" t="n">
        <v>0</v>
      </c>
      <c r="M428" t="n">
        <v>0</v>
      </c>
      <c r="N428" t="n">
        <v>0</v>
      </c>
      <c r="O428" t="n">
        <v>0</v>
      </c>
      <c r="P428" t="n">
        <v>0</v>
      </c>
      <c r="Q428" t="n">
        <v>0</v>
      </c>
      <c r="R428" s="2" t="inlineStr"/>
    </row>
    <row r="429" ht="15" customHeight="1">
      <c r="A429" t="inlineStr">
        <is>
          <t>A 41435-2025</t>
        </is>
      </c>
      <c r="B429" s="1" t="n">
        <v>45901.39974537037</v>
      </c>
      <c r="C429" s="1" t="n">
        <v>46077</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58388-2022</t>
        </is>
      </c>
      <c r="B430" s="1" t="n">
        <v>44894</v>
      </c>
      <c r="C430" s="1" t="n">
        <v>46077</v>
      </c>
      <c r="D430" t="inlineStr">
        <is>
          <t>GOTLANDS LÄN</t>
        </is>
      </c>
      <c r="E430" t="inlineStr">
        <is>
          <t>GOTLAND</t>
        </is>
      </c>
      <c r="F430" t="inlineStr">
        <is>
          <t>Övriga statliga verk och myndigheter</t>
        </is>
      </c>
      <c r="G430" t="n">
        <v>3.1</v>
      </c>
      <c r="H430" t="n">
        <v>0</v>
      </c>
      <c r="I430" t="n">
        <v>0</v>
      </c>
      <c r="J430" t="n">
        <v>0</v>
      </c>
      <c r="K430" t="n">
        <v>0</v>
      </c>
      <c r="L430" t="n">
        <v>0</v>
      </c>
      <c r="M430" t="n">
        <v>0</v>
      </c>
      <c r="N430" t="n">
        <v>0</v>
      </c>
      <c r="O430" t="n">
        <v>0</v>
      </c>
      <c r="P430" t="n">
        <v>0</v>
      </c>
      <c r="Q430" t="n">
        <v>0</v>
      </c>
      <c r="R430" s="2" t="inlineStr"/>
    </row>
    <row r="431" ht="15" customHeight="1">
      <c r="A431" t="inlineStr">
        <is>
          <t>A 41551-2025</t>
        </is>
      </c>
      <c r="B431" s="1" t="n">
        <v>45901.58854166666</v>
      </c>
      <c r="C431" s="1" t="n">
        <v>46077</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11874-2024</t>
        </is>
      </c>
      <c r="B432" s="1" t="n">
        <v>45376.46956018519</v>
      </c>
      <c r="C432" s="1" t="n">
        <v>46077</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42041-2024</t>
        </is>
      </c>
      <c r="B433" s="1" t="n">
        <v>45561</v>
      </c>
      <c r="C433" s="1" t="n">
        <v>46077</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61694-2023</t>
        </is>
      </c>
      <c r="B434" s="1" t="n">
        <v>45264</v>
      </c>
      <c r="C434" s="1" t="n">
        <v>46077</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64555-2023</t>
        </is>
      </c>
      <c r="B435" s="1" t="n">
        <v>45281</v>
      </c>
      <c r="C435" s="1" t="n">
        <v>46077</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64831-2023</t>
        </is>
      </c>
      <c r="B436" s="1" t="n">
        <v>45282.44924768519</v>
      </c>
      <c r="C436" s="1" t="n">
        <v>46077</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42608-2025</t>
        </is>
      </c>
      <c r="B437" s="1" t="n">
        <v>45905</v>
      </c>
      <c r="C437" s="1" t="n">
        <v>46077</v>
      </c>
      <c r="D437" t="inlineStr">
        <is>
          <t>GOTLANDS LÄN</t>
        </is>
      </c>
      <c r="E437" t="inlineStr">
        <is>
          <t>GOTLAND</t>
        </is>
      </c>
      <c r="G437" t="n">
        <v>1.3</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46077</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999-2023</t>
        </is>
      </c>
      <c r="B439" s="1" t="n">
        <v>44935</v>
      </c>
      <c r="C439" s="1" t="n">
        <v>46077</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27602-2023</t>
        </is>
      </c>
      <c r="B440" s="1" t="n">
        <v>45097</v>
      </c>
      <c r="C440" s="1" t="n">
        <v>46077</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16373-2025</t>
        </is>
      </c>
      <c r="B441" s="1" t="n">
        <v>45751</v>
      </c>
      <c r="C441" s="1" t="n">
        <v>46077</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4377-2023</t>
        </is>
      </c>
      <c r="B442" s="1" t="n">
        <v>44955.5502662037</v>
      </c>
      <c r="C442" s="1" t="n">
        <v>46077</v>
      </c>
      <c r="D442" t="inlineStr">
        <is>
          <t>GOTLANDS LÄN</t>
        </is>
      </c>
      <c r="E442" t="inlineStr">
        <is>
          <t>GOTLAND</t>
        </is>
      </c>
      <c r="F442" t="inlineStr">
        <is>
          <t>Kyrkan</t>
        </is>
      </c>
      <c r="G442" t="n">
        <v>0.6</v>
      </c>
      <c r="H442" t="n">
        <v>0</v>
      </c>
      <c r="I442" t="n">
        <v>0</v>
      </c>
      <c r="J442" t="n">
        <v>0</v>
      </c>
      <c r="K442" t="n">
        <v>0</v>
      </c>
      <c r="L442" t="n">
        <v>0</v>
      </c>
      <c r="M442" t="n">
        <v>0</v>
      </c>
      <c r="N442" t="n">
        <v>0</v>
      </c>
      <c r="O442" t="n">
        <v>0</v>
      </c>
      <c r="P442" t="n">
        <v>0</v>
      </c>
      <c r="Q442" t="n">
        <v>0</v>
      </c>
      <c r="R442" s="2" t="inlineStr"/>
    </row>
    <row r="443" ht="15" customHeight="1">
      <c r="A443" t="inlineStr">
        <is>
          <t>A 4387-2023</t>
        </is>
      </c>
      <c r="B443" s="1" t="n">
        <v>44955.73359953704</v>
      </c>
      <c r="C443" s="1" t="n">
        <v>46077</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39479-2022</t>
        </is>
      </c>
      <c r="B444" s="1" t="n">
        <v>44818</v>
      </c>
      <c r="C444" s="1" t="n">
        <v>46077</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10158-2025</t>
        </is>
      </c>
      <c r="B445" s="1" t="n">
        <v>45719</v>
      </c>
      <c r="C445" s="1" t="n">
        <v>46077</v>
      </c>
      <c r="D445" t="inlineStr">
        <is>
          <t>GOTLANDS LÄN</t>
        </is>
      </c>
      <c r="E445" t="inlineStr">
        <is>
          <t>GOTLAND</t>
        </is>
      </c>
      <c r="G445" t="n">
        <v>3.5</v>
      </c>
      <c r="H445" t="n">
        <v>0</v>
      </c>
      <c r="I445" t="n">
        <v>0</v>
      </c>
      <c r="J445" t="n">
        <v>0</v>
      </c>
      <c r="K445" t="n">
        <v>0</v>
      </c>
      <c r="L445" t="n">
        <v>0</v>
      </c>
      <c r="M445" t="n">
        <v>0</v>
      </c>
      <c r="N445" t="n">
        <v>0</v>
      </c>
      <c r="O445" t="n">
        <v>0</v>
      </c>
      <c r="P445" t="n">
        <v>0</v>
      </c>
      <c r="Q445" t="n">
        <v>0</v>
      </c>
      <c r="R445" s="2" t="inlineStr"/>
    </row>
    <row r="446" ht="15" customHeight="1">
      <c r="A446" t="inlineStr">
        <is>
          <t>A 51963-2024</t>
        </is>
      </c>
      <c r="B446" s="1" t="n">
        <v>45607.64833333333</v>
      </c>
      <c r="C446" s="1" t="n">
        <v>46077</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43911-2025</t>
        </is>
      </c>
      <c r="B447" s="1" t="n">
        <v>45914.3881712963</v>
      </c>
      <c r="C447" s="1" t="n">
        <v>46077</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811-2023</t>
        </is>
      </c>
      <c r="B448" s="1" t="n">
        <v>44931</v>
      </c>
      <c r="C448" s="1" t="n">
        <v>46077</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44410-2025</t>
        </is>
      </c>
      <c r="B449" s="1" t="n">
        <v>45916.53699074074</v>
      </c>
      <c r="C449" s="1" t="n">
        <v>46077</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43951-2025</t>
        </is>
      </c>
      <c r="B450" s="1" t="n">
        <v>45915.38119212963</v>
      </c>
      <c r="C450" s="1" t="n">
        <v>46077</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46389-2021</t>
        </is>
      </c>
      <c r="B451" s="1" t="n">
        <v>44443</v>
      </c>
      <c r="C451" s="1" t="n">
        <v>46077</v>
      </c>
      <c r="D451" t="inlineStr">
        <is>
          <t>GOTLANDS LÄN</t>
        </is>
      </c>
      <c r="E451" t="inlineStr">
        <is>
          <t>GOTLAND</t>
        </is>
      </c>
      <c r="F451" t="inlineStr">
        <is>
          <t>Kyrkan</t>
        </is>
      </c>
      <c r="G451" t="n">
        <v>2.1</v>
      </c>
      <c r="H451" t="n">
        <v>0</v>
      </c>
      <c r="I451" t="n">
        <v>0</v>
      </c>
      <c r="J451" t="n">
        <v>0</v>
      </c>
      <c r="K451" t="n">
        <v>0</v>
      </c>
      <c r="L451" t="n">
        <v>0</v>
      </c>
      <c r="M451" t="n">
        <v>0</v>
      </c>
      <c r="N451" t="n">
        <v>0</v>
      </c>
      <c r="O451" t="n">
        <v>0</v>
      </c>
      <c r="P451" t="n">
        <v>0</v>
      </c>
      <c r="Q451" t="n">
        <v>0</v>
      </c>
      <c r="R451" s="2" t="inlineStr"/>
    </row>
    <row r="452" ht="15" customHeight="1">
      <c r="A452" t="inlineStr">
        <is>
          <t>A 44405-2025</t>
        </is>
      </c>
      <c r="B452" s="1" t="n">
        <v>45916.52405092592</v>
      </c>
      <c r="C452" s="1" t="n">
        <v>46077</v>
      </c>
      <c r="D452" t="inlineStr">
        <is>
          <t>GOTLANDS LÄN</t>
        </is>
      </c>
      <c r="E452" t="inlineStr">
        <is>
          <t>GOTLAND</t>
        </is>
      </c>
      <c r="G452" t="n">
        <v>2.6</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44349.55087962963</v>
      </c>
      <c r="C453" s="1" t="n">
        <v>46077</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5923-2023</t>
        </is>
      </c>
      <c r="B454" s="1" t="n">
        <v>44963.69503472222</v>
      </c>
      <c r="C454" s="1" t="n">
        <v>46077</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33853-2024</t>
        </is>
      </c>
      <c r="B455" s="1" t="n">
        <v>45520.64298611111</v>
      </c>
      <c r="C455" s="1" t="n">
        <v>46077</v>
      </c>
      <c r="D455" t="inlineStr">
        <is>
          <t>GOTLANDS LÄN</t>
        </is>
      </c>
      <c r="E455" t="inlineStr">
        <is>
          <t>GOTLAND</t>
        </is>
      </c>
      <c r="G455" t="n">
        <v>3.9</v>
      </c>
      <c r="H455" t="n">
        <v>0</v>
      </c>
      <c r="I455" t="n">
        <v>0</v>
      </c>
      <c r="J455" t="n">
        <v>0</v>
      </c>
      <c r="K455" t="n">
        <v>0</v>
      </c>
      <c r="L455" t="n">
        <v>0</v>
      </c>
      <c r="M455" t="n">
        <v>0</v>
      </c>
      <c r="N455" t="n">
        <v>0</v>
      </c>
      <c r="O455" t="n">
        <v>0</v>
      </c>
      <c r="P455" t="n">
        <v>0</v>
      </c>
      <c r="Q455" t="n">
        <v>0</v>
      </c>
      <c r="R455" s="2" t="inlineStr"/>
    </row>
    <row r="456" ht="15" customHeight="1">
      <c r="A456" t="inlineStr">
        <is>
          <t>A 18918-2025</t>
        </is>
      </c>
      <c r="B456" s="1" t="n">
        <v>45764</v>
      </c>
      <c r="C456" s="1" t="n">
        <v>46077</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2674-2023</t>
        </is>
      </c>
      <c r="B457" s="1" t="n">
        <v>44944</v>
      </c>
      <c r="C457" s="1" t="n">
        <v>46077</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10655-2023</t>
        </is>
      </c>
      <c r="B458" s="1" t="n">
        <v>44988.49543981482</v>
      </c>
      <c r="C458" s="1" t="n">
        <v>46077</v>
      </c>
      <c r="D458" t="inlineStr">
        <is>
          <t>GOTLANDS LÄN</t>
        </is>
      </c>
      <c r="E458" t="inlineStr">
        <is>
          <t>GOTLAND</t>
        </is>
      </c>
      <c r="F458" t="inlineStr">
        <is>
          <t>Kyrkan</t>
        </is>
      </c>
      <c r="G458" t="n">
        <v>2</v>
      </c>
      <c r="H458" t="n">
        <v>0</v>
      </c>
      <c r="I458" t="n">
        <v>0</v>
      </c>
      <c r="J458" t="n">
        <v>0</v>
      </c>
      <c r="K458" t="n">
        <v>0</v>
      </c>
      <c r="L458" t="n">
        <v>0</v>
      </c>
      <c r="M458" t="n">
        <v>0</v>
      </c>
      <c r="N458" t="n">
        <v>0</v>
      </c>
      <c r="O458" t="n">
        <v>0</v>
      </c>
      <c r="P458" t="n">
        <v>0</v>
      </c>
      <c r="Q458" t="n">
        <v>0</v>
      </c>
      <c r="R458" s="2" t="inlineStr"/>
    </row>
    <row r="459" ht="15" customHeight="1">
      <c r="A459" t="inlineStr">
        <is>
          <t>A 2719-2023</t>
        </is>
      </c>
      <c r="B459" s="1" t="n">
        <v>44944.55361111111</v>
      </c>
      <c r="C459" s="1" t="n">
        <v>46077</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26891-2024</t>
        </is>
      </c>
      <c r="B460" s="1" t="n">
        <v>45470.65540509259</v>
      </c>
      <c r="C460" s="1" t="n">
        <v>46077</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42007-2023</t>
        </is>
      </c>
      <c r="B461" s="1" t="n">
        <v>45177</v>
      </c>
      <c r="C461" s="1" t="n">
        <v>46077</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9887-2025</t>
        </is>
      </c>
      <c r="B462" s="1" t="n">
        <v>45716</v>
      </c>
      <c r="C462" s="1" t="n">
        <v>46077</v>
      </c>
      <c r="D462" t="inlineStr">
        <is>
          <t>GOTLANDS LÄN</t>
        </is>
      </c>
      <c r="E462" t="inlineStr">
        <is>
          <t>GOTLAND</t>
        </is>
      </c>
      <c r="G462" t="n">
        <v>7.5</v>
      </c>
      <c r="H462" t="n">
        <v>0</v>
      </c>
      <c r="I462" t="n">
        <v>0</v>
      </c>
      <c r="J462" t="n">
        <v>0</v>
      </c>
      <c r="K462" t="n">
        <v>0</v>
      </c>
      <c r="L462" t="n">
        <v>0</v>
      </c>
      <c r="M462" t="n">
        <v>0</v>
      </c>
      <c r="N462" t="n">
        <v>0</v>
      </c>
      <c r="O462" t="n">
        <v>0</v>
      </c>
      <c r="P462" t="n">
        <v>0</v>
      </c>
      <c r="Q462" t="n">
        <v>0</v>
      </c>
      <c r="R462" s="2" t="inlineStr"/>
    </row>
    <row r="463" ht="15" customHeight="1">
      <c r="A463" t="inlineStr">
        <is>
          <t>A 38165-2023</t>
        </is>
      </c>
      <c r="B463" s="1" t="n">
        <v>45161</v>
      </c>
      <c r="C463" s="1" t="n">
        <v>46077</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26391-2025</t>
        </is>
      </c>
      <c r="B464" s="1" t="n">
        <v>45806</v>
      </c>
      <c r="C464" s="1" t="n">
        <v>46077</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27596-2023</t>
        </is>
      </c>
      <c r="B465" s="1" t="n">
        <v>45097</v>
      </c>
      <c r="C465" s="1" t="n">
        <v>46077</v>
      </c>
      <c r="D465" t="inlineStr">
        <is>
          <t>GOTLANDS LÄN</t>
        </is>
      </c>
      <c r="E465" t="inlineStr">
        <is>
          <t>GOTLAND</t>
        </is>
      </c>
      <c r="G465" t="n">
        <v>3.6</v>
      </c>
      <c r="H465" t="n">
        <v>0</v>
      </c>
      <c r="I465" t="n">
        <v>0</v>
      </c>
      <c r="J465" t="n">
        <v>0</v>
      </c>
      <c r="K465" t="n">
        <v>0</v>
      </c>
      <c r="L465" t="n">
        <v>0</v>
      </c>
      <c r="M465" t="n">
        <v>0</v>
      </c>
      <c r="N465" t="n">
        <v>0</v>
      </c>
      <c r="O465" t="n">
        <v>0</v>
      </c>
      <c r="P465" t="n">
        <v>0</v>
      </c>
      <c r="Q465" t="n">
        <v>0</v>
      </c>
      <c r="R465" s="2" t="inlineStr"/>
    </row>
    <row r="466" ht="15" customHeight="1">
      <c r="A466" t="inlineStr">
        <is>
          <t>A 24825-2024</t>
        </is>
      </c>
      <c r="B466" s="1" t="n">
        <v>45461</v>
      </c>
      <c r="C466" s="1" t="n">
        <v>46077</v>
      </c>
      <c r="D466" t="inlineStr">
        <is>
          <t>GOTLANDS LÄN</t>
        </is>
      </c>
      <c r="E466" t="inlineStr">
        <is>
          <t>GOTLAND</t>
        </is>
      </c>
      <c r="G466" t="n">
        <v>1.3</v>
      </c>
      <c r="H466" t="n">
        <v>0</v>
      </c>
      <c r="I466" t="n">
        <v>0</v>
      </c>
      <c r="J466" t="n">
        <v>0</v>
      </c>
      <c r="K466" t="n">
        <v>0</v>
      </c>
      <c r="L466" t="n">
        <v>0</v>
      </c>
      <c r="M466" t="n">
        <v>0</v>
      </c>
      <c r="N466" t="n">
        <v>0</v>
      </c>
      <c r="O466" t="n">
        <v>0</v>
      </c>
      <c r="P466" t="n">
        <v>0</v>
      </c>
      <c r="Q466" t="n">
        <v>0</v>
      </c>
      <c r="R466" s="2" t="inlineStr"/>
    </row>
    <row r="467" ht="15" customHeight="1">
      <c r="A467" t="inlineStr">
        <is>
          <t>A 6696-2023</t>
        </is>
      </c>
      <c r="B467" s="1" t="n">
        <v>44966.66425925926</v>
      </c>
      <c r="C467" s="1" t="n">
        <v>46077</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46836-2025</t>
        </is>
      </c>
      <c r="B468" s="1" t="n">
        <v>45928.31511574074</v>
      </c>
      <c r="C468" s="1" t="n">
        <v>46077</v>
      </c>
      <c r="D468" t="inlineStr">
        <is>
          <t>GOTLANDS LÄN</t>
        </is>
      </c>
      <c r="E468" t="inlineStr">
        <is>
          <t>GOTLAND</t>
        </is>
      </c>
      <c r="G468" t="n">
        <v>2.8</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44705.38832175926</v>
      </c>
      <c r="C469" s="1" t="n">
        <v>46077</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456-2023</t>
        </is>
      </c>
      <c r="B470" s="1" t="n">
        <v>44929.87122685185</v>
      </c>
      <c r="C470" s="1" t="n">
        <v>46077</v>
      </c>
      <c r="D470" t="inlineStr">
        <is>
          <t>GOTLANDS LÄN</t>
        </is>
      </c>
      <c r="E470" t="inlineStr">
        <is>
          <t>GOTLAND</t>
        </is>
      </c>
      <c r="G470" t="n">
        <v>3.2</v>
      </c>
      <c r="H470" t="n">
        <v>0</v>
      </c>
      <c r="I470" t="n">
        <v>0</v>
      </c>
      <c r="J470" t="n">
        <v>0</v>
      </c>
      <c r="K470" t="n">
        <v>0</v>
      </c>
      <c r="L470" t="n">
        <v>0</v>
      </c>
      <c r="M470" t="n">
        <v>0</v>
      </c>
      <c r="N470" t="n">
        <v>0</v>
      </c>
      <c r="O470" t="n">
        <v>0</v>
      </c>
      <c r="P470" t="n">
        <v>0</v>
      </c>
      <c r="Q470" t="n">
        <v>0</v>
      </c>
      <c r="R470" s="2" t="inlineStr"/>
    </row>
    <row r="471" ht="15" customHeight="1">
      <c r="A471" t="inlineStr">
        <is>
          <t>A 47637-2025</t>
        </is>
      </c>
      <c r="B471" s="1" t="n">
        <v>45931.49753472222</v>
      </c>
      <c r="C471" s="1" t="n">
        <v>46077</v>
      </c>
      <c r="D471" t="inlineStr">
        <is>
          <t>GOTLANDS LÄN</t>
        </is>
      </c>
      <c r="E471" t="inlineStr">
        <is>
          <t>GOTLAND</t>
        </is>
      </c>
      <c r="G471" t="n">
        <v>1.3</v>
      </c>
      <c r="H471" t="n">
        <v>0</v>
      </c>
      <c r="I471" t="n">
        <v>0</v>
      </c>
      <c r="J471" t="n">
        <v>0</v>
      </c>
      <c r="K471" t="n">
        <v>0</v>
      </c>
      <c r="L471" t="n">
        <v>0</v>
      </c>
      <c r="M471" t="n">
        <v>0</v>
      </c>
      <c r="N471" t="n">
        <v>0</v>
      </c>
      <c r="O471" t="n">
        <v>0</v>
      </c>
      <c r="P471" t="n">
        <v>0</v>
      </c>
      <c r="Q471" t="n">
        <v>0</v>
      </c>
      <c r="R471" s="2" t="inlineStr"/>
    </row>
    <row r="472" ht="15" customHeight="1">
      <c r="A472" t="inlineStr">
        <is>
          <t>A 2714-2023</t>
        </is>
      </c>
      <c r="B472" s="1" t="n">
        <v>44944.54896990741</v>
      </c>
      <c r="C472" s="1" t="n">
        <v>46077</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4421-2024</t>
        </is>
      </c>
      <c r="B473" s="1" t="n">
        <v>45327.45173611111</v>
      </c>
      <c r="C473" s="1" t="n">
        <v>46077</v>
      </c>
      <c r="D473" t="inlineStr">
        <is>
          <t>GOTLANDS LÄN</t>
        </is>
      </c>
      <c r="E473" t="inlineStr">
        <is>
          <t>GOTLAND</t>
        </is>
      </c>
      <c r="G473" t="n">
        <v>5.1</v>
      </c>
      <c r="H473" t="n">
        <v>0</v>
      </c>
      <c r="I473" t="n">
        <v>0</v>
      </c>
      <c r="J473" t="n">
        <v>0</v>
      </c>
      <c r="K473" t="n">
        <v>0</v>
      </c>
      <c r="L473" t="n">
        <v>0</v>
      </c>
      <c r="M473" t="n">
        <v>0</v>
      </c>
      <c r="N473" t="n">
        <v>0</v>
      </c>
      <c r="O473" t="n">
        <v>0</v>
      </c>
      <c r="P473" t="n">
        <v>0</v>
      </c>
      <c r="Q473" t="n">
        <v>0</v>
      </c>
      <c r="R473" s="2" t="inlineStr"/>
    </row>
    <row r="474" ht="15" customHeight="1">
      <c r="A474" t="inlineStr">
        <is>
          <t>A 51782-2023</t>
        </is>
      </c>
      <c r="B474" s="1" t="n">
        <v>45222.80952546297</v>
      </c>
      <c r="C474" s="1" t="n">
        <v>46077</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54268-2022</t>
        </is>
      </c>
      <c r="B475" s="1" t="n">
        <v>44882</v>
      </c>
      <c r="C475" s="1" t="n">
        <v>46077</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32378-2025</t>
        </is>
      </c>
      <c r="B476" s="1" t="n">
        <v>45837</v>
      </c>
      <c r="C476" s="1" t="n">
        <v>46077</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57534-2022</t>
        </is>
      </c>
      <c r="B477" s="1" t="n">
        <v>44896</v>
      </c>
      <c r="C477" s="1" t="n">
        <v>46077</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25866-2022</t>
        </is>
      </c>
      <c r="B478" s="1" t="n">
        <v>44733</v>
      </c>
      <c r="C478" s="1" t="n">
        <v>46077</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43229-2023</t>
        </is>
      </c>
      <c r="B479" s="1" t="n">
        <v>45183.46704861111</v>
      </c>
      <c r="C479" s="1" t="n">
        <v>46077</v>
      </c>
      <c r="D479" t="inlineStr">
        <is>
          <t>GOTLANDS LÄN</t>
        </is>
      </c>
      <c r="E479" t="inlineStr">
        <is>
          <t>GOTLAND</t>
        </is>
      </c>
      <c r="G479" t="n">
        <v>7.1</v>
      </c>
      <c r="H479" t="n">
        <v>0</v>
      </c>
      <c r="I479" t="n">
        <v>0</v>
      </c>
      <c r="J479" t="n">
        <v>0</v>
      </c>
      <c r="K479" t="n">
        <v>0</v>
      </c>
      <c r="L479" t="n">
        <v>0</v>
      </c>
      <c r="M479" t="n">
        <v>0</v>
      </c>
      <c r="N479" t="n">
        <v>0</v>
      </c>
      <c r="O479" t="n">
        <v>0</v>
      </c>
      <c r="P479" t="n">
        <v>0</v>
      </c>
      <c r="Q479" t="n">
        <v>0</v>
      </c>
      <c r="R479" s="2" t="inlineStr"/>
    </row>
    <row r="480" ht="15" customHeight="1">
      <c r="A480" t="inlineStr">
        <is>
          <t>A 1175-2025</t>
        </is>
      </c>
      <c r="B480" s="1" t="n">
        <v>45667.34449074074</v>
      </c>
      <c r="C480" s="1" t="n">
        <v>46077</v>
      </c>
      <c r="D480" t="inlineStr">
        <is>
          <t>GOTLANDS LÄN</t>
        </is>
      </c>
      <c r="E480" t="inlineStr">
        <is>
          <t>GOTLAND</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35550-2025</t>
        </is>
      </c>
      <c r="B481" s="1" t="n">
        <v>45856.49324074074</v>
      </c>
      <c r="C481" s="1" t="n">
        <v>46077</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27095-2022</t>
        </is>
      </c>
      <c r="B482" s="1" t="n">
        <v>44741</v>
      </c>
      <c r="C482" s="1" t="n">
        <v>46077</v>
      </c>
      <c r="D482" t="inlineStr">
        <is>
          <t>GOTLANDS LÄN</t>
        </is>
      </c>
      <c r="E482" t="inlineStr">
        <is>
          <t>GOTLAND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22899-2023</t>
        </is>
      </c>
      <c r="B483" s="1" t="n">
        <v>45072</v>
      </c>
      <c r="C483" s="1" t="n">
        <v>46077</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23978-2023</t>
        </is>
      </c>
      <c r="B484" s="1" t="n">
        <v>45078</v>
      </c>
      <c r="C484" s="1" t="n">
        <v>46077</v>
      </c>
      <c r="D484" t="inlineStr">
        <is>
          <t>GOTLANDS LÄN</t>
        </is>
      </c>
      <c r="E484" t="inlineStr">
        <is>
          <t>GOTLAND</t>
        </is>
      </c>
      <c r="F484" t="inlineStr">
        <is>
          <t>Naturvårdsverket</t>
        </is>
      </c>
      <c r="G484" t="n">
        <v>1.7</v>
      </c>
      <c r="H484" t="n">
        <v>0</v>
      </c>
      <c r="I484" t="n">
        <v>0</v>
      </c>
      <c r="J484" t="n">
        <v>0</v>
      </c>
      <c r="K484" t="n">
        <v>0</v>
      </c>
      <c r="L484" t="n">
        <v>0</v>
      </c>
      <c r="M484" t="n">
        <v>0</v>
      </c>
      <c r="N484" t="n">
        <v>0</v>
      </c>
      <c r="O484" t="n">
        <v>0</v>
      </c>
      <c r="P484" t="n">
        <v>0</v>
      </c>
      <c r="Q484" t="n">
        <v>0</v>
      </c>
      <c r="R484" s="2" t="inlineStr"/>
    </row>
    <row r="485" ht="15" customHeight="1">
      <c r="A485" t="inlineStr">
        <is>
          <t>A 34407-2023</t>
        </is>
      </c>
      <c r="B485" s="1" t="n">
        <v>45132</v>
      </c>
      <c r="C485" s="1" t="n">
        <v>46077</v>
      </c>
      <c r="D485" t="inlineStr">
        <is>
          <t>GOTLANDS LÄN</t>
        </is>
      </c>
      <c r="E485" t="inlineStr">
        <is>
          <t>GOTLAND</t>
        </is>
      </c>
      <c r="G485" t="n">
        <v>4.4</v>
      </c>
      <c r="H485" t="n">
        <v>0</v>
      </c>
      <c r="I485" t="n">
        <v>0</v>
      </c>
      <c r="J485" t="n">
        <v>0</v>
      </c>
      <c r="K485" t="n">
        <v>0</v>
      </c>
      <c r="L485" t="n">
        <v>0</v>
      </c>
      <c r="M485" t="n">
        <v>0</v>
      </c>
      <c r="N485" t="n">
        <v>0</v>
      </c>
      <c r="O485" t="n">
        <v>0</v>
      </c>
      <c r="P485" t="n">
        <v>0</v>
      </c>
      <c r="Q485" t="n">
        <v>0</v>
      </c>
      <c r="R485" s="2" t="inlineStr"/>
    </row>
    <row r="486" ht="15" customHeight="1">
      <c r="A486" t="inlineStr">
        <is>
          <t>A 11013-2024</t>
        </is>
      </c>
      <c r="B486" s="1" t="n">
        <v>45370</v>
      </c>
      <c r="C486" s="1" t="n">
        <v>46077</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27694-2024</t>
        </is>
      </c>
      <c r="B487" s="1" t="n">
        <v>45475</v>
      </c>
      <c r="C487" s="1" t="n">
        <v>46077</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47578-2025</t>
        </is>
      </c>
      <c r="B488" s="1" t="n">
        <v>45931</v>
      </c>
      <c r="C488" s="1" t="n">
        <v>46077</v>
      </c>
      <c r="D488" t="inlineStr">
        <is>
          <t>GOTLANDS LÄN</t>
        </is>
      </c>
      <c r="E488" t="inlineStr">
        <is>
          <t>GOTLAND</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15083-2025</t>
        </is>
      </c>
      <c r="B489" s="1" t="n">
        <v>45743</v>
      </c>
      <c r="C489" s="1" t="n">
        <v>46077</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13037-2025</t>
        </is>
      </c>
      <c r="B490" s="1" t="n">
        <v>45734</v>
      </c>
      <c r="C490" s="1" t="n">
        <v>46077</v>
      </c>
      <c r="D490" t="inlineStr">
        <is>
          <t>GOTLANDS LÄN</t>
        </is>
      </c>
      <c r="E490" t="inlineStr">
        <is>
          <t>GOTLAND</t>
        </is>
      </c>
      <c r="G490" t="n">
        <v>9.5</v>
      </c>
      <c r="H490" t="n">
        <v>0</v>
      </c>
      <c r="I490" t="n">
        <v>0</v>
      </c>
      <c r="J490" t="n">
        <v>0</v>
      </c>
      <c r="K490" t="n">
        <v>0</v>
      </c>
      <c r="L490" t="n">
        <v>0</v>
      </c>
      <c r="M490" t="n">
        <v>0</v>
      </c>
      <c r="N490" t="n">
        <v>0</v>
      </c>
      <c r="O490" t="n">
        <v>0</v>
      </c>
      <c r="P490" t="n">
        <v>0</v>
      </c>
      <c r="Q490" t="n">
        <v>0</v>
      </c>
      <c r="R490" s="2" t="inlineStr"/>
    </row>
    <row r="491" ht="15" customHeight="1">
      <c r="A491" t="inlineStr">
        <is>
          <t>A 49724-2025</t>
        </is>
      </c>
      <c r="B491" s="1" t="n">
        <v>45939.83730324074</v>
      </c>
      <c r="C491" s="1" t="n">
        <v>46077</v>
      </c>
      <c r="D491" t="inlineStr">
        <is>
          <t>GOTLANDS LÄN</t>
        </is>
      </c>
      <c r="E491" t="inlineStr">
        <is>
          <t>GOTLAND</t>
        </is>
      </c>
      <c r="F491" t="inlineStr">
        <is>
          <t>Kyrkan</t>
        </is>
      </c>
      <c r="G491" t="n">
        <v>3.1</v>
      </c>
      <c r="H491" t="n">
        <v>0</v>
      </c>
      <c r="I491" t="n">
        <v>0</v>
      </c>
      <c r="J491" t="n">
        <v>0</v>
      </c>
      <c r="K491" t="n">
        <v>0</v>
      </c>
      <c r="L491" t="n">
        <v>0</v>
      </c>
      <c r="M491" t="n">
        <v>0</v>
      </c>
      <c r="N491" t="n">
        <v>0</v>
      </c>
      <c r="O491" t="n">
        <v>0</v>
      </c>
      <c r="P491" t="n">
        <v>0</v>
      </c>
      <c r="Q491" t="n">
        <v>0</v>
      </c>
      <c r="R491" s="2" t="inlineStr"/>
    </row>
    <row r="492" ht="15" customHeight="1">
      <c r="A492" t="inlineStr">
        <is>
          <t>A 49730-2025</t>
        </is>
      </c>
      <c r="B492" s="1" t="n">
        <v>45939.87613425926</v>
      </c>
      <c r="C492" s="1" t="n">
        <v>46077</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458-2023</t>
        </is>
      </c>
      <c r="B493" s="1" t="n">
        <v>44929</v>
      </c>
      <c r="C493" s="1" t="n">
        <v>46077</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49690-2025</t>
        </is>
      </c>
      <c r="B494" s="1" t="n">
        <v>45939.66730324074</v>
      </c>
      <c r="C494" s="1" t="n">
        <v>46077</v>
      </c>
      <c r="D494" t="inlineStr">
        <is>
          <t>GOTLANDS LÄN</t>
        </is>
      </c>
      <c r="E494" t="inlineStr">
        <is>
          <t>GOTLAND</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33011-2025</t>
        </is>
      </c>
      <c r="B495" s="1" t="n">
        <v>45840</v>
      </c>
      <c r="C495" s="1" t="n">
        <v>46077</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44228-2022</t>
        </is>
      </c>
      <c r="B496" s="1" t="n">
        <v>44839.51599537037</v>
      </c>
      <c r="C496" s="1" t="n">
        <v>46077</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58132-2023</t>
        </is>
      </c>
      <c r="B497" s="1" t="n">
        <v>45250</v>
      </c>
      <c r="C497" s="1" t="n">
        <v>46077</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50421-2025</t>
        </is>
      </c>
      <c r="B498" s="1" t="n">
        <v>45944.66049768519</v>
      </c>
      <c r="C498" s="1" t="n">
        <v>46077</v>
      </c>
      <c r="D498" t="inlineStr">
        <is>
          <t>GOTLANDS LÄN</t>
        </is>
      </c>
      <c r="E498" t="inlineStr">
        <is>
          <t>GOTLAND</t>
        </is>
      </c>
      <c r="G498" t="n">
        <v>3.9</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46077</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50928-2025</t>
        </is>
      </c>
      <c r="B500" s="1" t="n">
        <v>45946.67896990741</v>
      </c>
      <c r="C500" s="1" t="n">
        <v>46077</v>
      </c>
      <c r="D500" t="inlineStr">
        <is>
          <t>GOTLANDS LÄN</t>
        </is>
      </c>
      <c r="E500" t="inlineStr">
        <is>
          <t>GOTLAND</t>
        </is>
      </c>
      <c r="G500" t="n">
        <v>1.3</v>
      </c>
      <c r="H500" t="n">
        <v>0</v>
      </c>
      <c r="I500" t="n">
        <v>0</v>
      </c>
      <c r="J500" t="n">
        <v>0</v>
      </c>
      <c r="K500" t="n">
        <v>0</v>
      </c>
      <c r="L500" t="n">
        <v>0</v>
      </c>
      <c r="M500" t="n">
        <v>0</v>
      </c>
      <c r="N500" t="n">
        <v>0</v>
      </c>
      <c r="O500" t="n">
        <v>0</v>
      </c>
      <c r="P500" t="n">
        <v>0</v>
      </c>
      <c r="Q500" t="n">
        <v>0</v>
      </c>
      <c r="R500" s="2" t="inlineStr"/>
    </row>
    <row r="501" ht="15" customHeight="1">
      <c r="A501" t="inlineStr">
        <is>
          <t>A 49884-2023</t>
        </is>
      </c>
      <c r="B501" s="1" t="n">
        <v>45213</v>
      </c>
      <c r="C501" s="1" t="n">
        <v>46077</v>
      </c>
      <c r="D501" t="inlineStr">
        <is>
          <t>GOTLANDS LÄN</t>
        </is>
      </c>
      <c r="E501" t="inlineStr">
        <is>
          <t>GOTLAND</t>
        </is>
      </c>
      <c r="G501" t="n">
        <v>8.9</v>
      </c>
      <c r="H501" t="n">
        <v>0</v>
      </c>
      <c r="I501" t="n">
        <v>0</v>
      </c>
      <c r="J501" t="n">
        <v>0</v>
      </c>
      <c r="K501" t="n">
        <v>0</v>
      </c>
      <c r="L501" t="n">
        <v>0</v>
      </c>
      <c r="M501" t="n">
        <v>0</v>
      </c>
      <c r="N501" t="n">
        <v>0</v>
      </c>
      <c r="O501" t="n">
        <v>0</v>
      </c>
      <c r="P501" t="n">
        <v>0</v>
      </c>
      <c r="Q501" t="n">
        <v>0</v>
      </c>
      <c r="R501" s="2" t="inlineStr"/>
    </row>
    <row r="502" ht="15" customHeight="1">
      <c r="A502" t="inlineStr">
        <is>
          <t>A 876-2024</t>
        </is>
      </c>
      <c r="B502" s="1" t="n">
        <v>45301</v>
      </c>
      <c r="C502" s="1" t="n">
        <v>46077</v>
      </c>
      <c r="D502" t="inlineStr">
        <is>
          <t>GOTLANDS LÄN</t>
        </is>
      </c>
      <c r="E502" t="inlineStr">
        <is>
          <t>GOTLAND</t>
        </is>
      </c>
      <c r="G502" t="n">
        <v>5.3</v>
      </c>
      <c r="H502" t="n">
        <v>0</v>
      </c>
      <c r="I502" t="n">
        <v>0</v>
      </c>
      <c r="J502" t="n">
        <v>0</v>
      </c>
      <c r="K502" t="n">
        <v>0</v>
      </c>
      <c r="L502" t="n">
        <v>0</v>
      </c>
      <c r="M502" t="n">
        <v>0</v>
      </c>
      <c r="N502" t="n">
        <v>0</v>
      </c>
      <c r="O502" t="n">
        <v>0</v>
      </c>
      <c r="P502" t="n">
        <v>0</v>
      </c>
      <c r="Q502" t="n">
        <v>0</v>
      </c>
      <c r="R502" s="2" t="inlineStr"/>
    </row>
    <row r="503" ht="15" customHeight="1">
      <c r="A503" t="inlineStr">
        <is>
          <t>A 51262-2025</t>
        </is>
      </c>
      <c r="B503" s="1" t="n">
        <v>45949.49872685185</v>
      </c>
      <c r="C503" s="1" t="n">
        <v>46077</v>
      </c>
      <c r="D503" t="inlineStr">
        <is>
          <t>GOTLANDS LÄN</t>
        </is>
      </c>
      <c r="E503" t="inlineStr">
        <is>
          <t>GOTLAND</t>
        </is>
      </c>
      <c r="G503" t="n">
        <v>1.6</v>
      </c>
      <c r="H503" t="n">
        <v>0</v>
      </c>
      <c r="I503" t="n">
        <v>0</v>
      </c>
      <c r="J503" t="n">
        <v>0</v>
      </c>
      <c r="K503" t="n">
        <v>0</v>
      </c>
      <c r="L503" t="n">
        <v>0</v>
      </c>
      <c r="M503" t="n">
        <v>0</v>
      </c>
      <c r="N503" t="n">
        <v>0</v>
      </c>
      <c r="O503" t="n">
        <v>0</v>
      </c>
      <c r="P503" t="n">
        <v>0</v>
      </c>
      <c r="Q503" t="n">
        <v>0</v>
      </c>
      <c r="R503" s="2" t="inlineStr"/>
    </row>
    <row r="504" ht="15" customHeight="1">
      <c r="A504" t="inlineStr">
        <is>
          <t>A 22704-2023</t>
        </is>
      </c>
      <c r="B504" s="1" t="n">
        <v>45071</v>
      </c>
      <c r="C504" s="1" t="n">
        <v>46077</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28425-2023</t>
        </is>
      </c>
      <c r="B505" s="1" t="n">
        <v>45102</v>
      </c>
      <c r="C505" s="1" t="n">
        <v>46077</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58476-2022</t>
        </is>
      </c>
      <c r="B506" s="1" t="n">
        <v>44902</v>
      </c>
      <c r="C506" s="1" t="n">
        <v>46077</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43200-2023</t>
        </is>
      </c>
      <c r="B507" s="1" t="n">
        <v>45183</v>
      </c>
      <c r="C507" s="1" t="n">
        <v>46077</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43223-2023</t>
        </is>
      </c>
      <c r="B508" s="1" t="n">
        <v>45183.45642361111</v>
      </c>
      <c r="C508" s="1" t="n">
        <v>46077</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12327-2025</t>
        </is>
      </c>
      <c r="B509" s="1" t="n">
        <v>45730</v>
      </c>
      <c r="C509" s="1" t="n">
        <v>46077</v>
      </c>
      <c r="D509" t="inlineStr">
        <is>
          <t>GOTLANDS LÄN</t>
        </is>
      </c>
      <c r="E509" t="inlineStr">
        <is>
          <t>GOTLAND</t>
        </is>
      </c>
      <c r="G509" t="n">
        <v>1.8</v>
      </c>
      <c r="H509" t="n">
        <v>0</v>
      </c>
      <c r="I509" t="n">
        <v>0</v>
      </c>
      <c r="J509" t="n">
        <v>0</v>
      </c>
      <c r="K509" t="n">
        <v>0</v>
      </c>
      <c r="L509" t="n">
        <v>0</v>
      </c>
      <c r="M509" t="n">
        <v>0</v>
      </c>
      <c r="N509" t="n">
        <v>0</v>
      </c>
      <c r="O509" t="n">
        <v>0</v>
      </c>
      <c r="P509" t="n">
        <v>0</v>
      </c>
      <c r="Q509" t="n">
        <v>0</v>
      </c>
      <c r="R509" s="2" t="inlineStr"/>
    </row>
    <row r="510" ht="15" customHeight="1">
      <c r="A510" t="inlineStr">
        <is>
          <t>A 3431-2025</t>
        </is>
      </c>
      <c r="B510" s="1" t="n">
        <v>45680.42935185185</v>
      </c>
      <c r="C510" s="1" t="n">
        <v>46077</v>
      </c>
      <c r="D510" t="inlineStr">
        <is>
          <t>GOTLANDS LÄN</t>
        </is>
      </c>
      <c r="E510" t="inlineStr">
        <is>
          <t>GOTLAND</t>
        </is>
      </c>
      <c r="G510" t="n">
        <v>4.8</v>
      </c>
      <c r="H510" t="n">
        <v>0</v>
      </c>
      <c r="I510" t="n">
        <v>0</v>
      </c>
      <c r="J510" t="n">
        <v>0</v>
      </c>
      <c r="K510" t="n">
        <v>0</v>
      </c>
      <c r="L510" t="n">
        <v>0</v>
      </c>
      <c r="M510" t="n">
        <v>0</v>
      </c>
      <c r="N510" t="n">
        <v>0</v>
      </c>
      <c r="O510" t="n">
        <v>0</v>
      </c>
      <c r="P510" t="n">
        <v>0</v>
      </c>
      <c r="Q510" t="n">
        <v>0</v>
      </c>
      <c r="R510" s="2" t="inlineStr"/>
    </row>
    <row r="511" ht="15" customHeight="1">
      <c r="A511" t="inlineStr">
        <is>
          <t>A 52249-2025</t>
        </is>
      </c>
      <c r="B511" s="1" t="n">
        <v>45953.48637731482</v>
      </c>
      <c r="C511" s="1" t="n">
        <v>46077</v>
      </c>
      <c r="D511" t="inlineStr">
        <is>
          <t>GOTLANDS LÄN</t>
        </is>
      </c>
      <c r="E511" t="inlineStr">
        <is>
          <t>GOTLAND</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12209-2024</t>
        </is>
      </c>
      <c r="B512" s="1" t="n">
        <v>45378</v>
      </c>
      <c r="C512" s="1" t="n">
        <v>46077</v>
      </c>
      <c r="D512" t="inlineStr">
        <is>
          <t>GOTLANDS LÄN</t>
        </is>
      </c>
      <c r="E512" t="inlineStr">
        <is>
          <t>GOTLAND</t>
        </is>
      </c>
      <c r="G512" t="n">
        <v>5.3</v>
      </c>
      <c r="H512" t="n">
        <v>0</v>
      </c>
      <c r="I512" t="n">
        <v>0</v>
      </c>
      <c r="J512" t="n">
        <v>0</v>
      </c>
      <c r="K512" t="n">
        <v>0</v>
      </c>
      <c r="L512" t="n">
        <v>0</v>
      </c>
      <c r="M512" t="n">
        <v>0</v>
      </c>
      <c r="N512" t="n">
        <v>0</v>
      </c>
      <c r="O512" t="n">
        <v>0</v>
      </c>
      <c r="P512" t="n">
        <v>0</v>
      </c>
      <c r="Q512" t="n">
        <v>0</v>
      </c>
      <c r="R512" s="2" t="inlineStr"/>
    </row>
    <row r="513" ht="15" customHeight="1">
      <c r="A513" t="inlineStr">
        <is>
          <t>A 12210-2024</t>
        </is>
      </c>
      <c r="B513" s="1" t="n">
        <v>45378</v>
      </c>
      <c r="C513" s="1" t="n">
        <v>46077</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1364-2025</t>
        </is>
      </c>
      <c r="B514" s="1" t="n">
        <v>45667.63929398148</v>
      </c>
      <c r="C514" s="1" t="n">
        <v>46077</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15042-2025</t>
        </is>
      </c>
      <c r="B515" s="1" t="n">
        <v>45743</v>
      </c>
      <c r="C515" s="1" t="n">
        <v>46077</v>
      </c>
      <c r="D515" t="inlineStr">
        <is>
          <t>GOTLANDS LÄN</t>
        </is>
      </c>
      <c r="E515" t="inlineStr">
        <is>
          <t>GOTLAND</t>
        </is>
      </c>
      <c r="G515" t="n">
        <v>8.5</v>
      </c>
      <c r="H515" t="n">
        <v>0</v>
      </c>
      <c r="I515" t="n">
        <v>0</v>
      </c>
      <c r="J515" t="n">
        <v>0</v>
      </c>
      <c r="K515" t="n">
        <v>0</v>
      </c>
      <c r="L515" t="n">
        <v>0</v>
      </c>
      <c r="M515" t="n">
        <v>0</v>
      </c>
      <c r="N515" t="n">
        <v>0</v>
      </c>
      <c r="O515" t="n">
        <v>0</v>
      </c>
      <c r="P515" t="n">
        <v>0</v>
      </c>
      <c r="Q515" t="n">
        <v>0</v>
      </c>
      <c r="R515" s="2" t="inlineStr"/>
    </row>
    <row r="516" ht="15" customHeight="1">
      <c r="A516" t="inlineStr">
        <is>
          <t>A 52637-2025</t>
        </is>
      </c>
      <c r="B516" s="1" t="n">
        <v>45954.75099537037</v>
      </c>
      <c r="C516" s="1" t="n">
        <v>46077</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2180-2025</t>
        </is>
      </c>
      <c r="B517" s="1" t="n">
        <v>45673</v>
      </c>
      <c r="C517" s="1" t="n">
        <v>46077</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15436-2025</t>
        </is>
      </c>
      <c r="B518" s="1" t="n">
        <v>45747.47462962963</v>
      </c>
      <c r="C518" s="1" t="n">
        <v>46077</v>
      </c>
      <c r="D518" t="inlineStr">
        <is>
          <t>GOTLANDS LÄN</t>
        </is>
      </c>
      <c r="E518" t="inlineStr">
        <is>
          <t>GOTLAND</t>
        </is>
      </c>
      <c r="G518" t="n">
        <v>4.1</v>
      </c>
      <c r="H518" t="n">
        <v>0</v>
      </c>
      <c r="I518" t="n">
        <v>0</v>
      </c>
      <c r="J518" t="n">
        <v>0</v>
      </c>
      <c r="K518" t="n">
        <v>0</v>
      </c>
      <c r="L518" t="n">
        <v>0</v>
      </c>
      <c r="M518" t="n">
        <v>0</v>
      </c>
      <c r="N518" t="n">
        <v>0</v>
      </c>
      <c r="O518" t="n">
        <v>0</v>
      </c>
      <c r="P518" t="n">
        <v>0</v>
      </c>
      <c r="Q518" t="n">
        <v>0</v>
      </c>
      <c r="R518" s="2" t="inlineStr"/>
    </row>
    <row r="519" ht="15" customHeight="1">
      <c r="A519" t="inlineStr">
        <is>
          <t>A 49257-2024</t>
        </is>
      </c>
      <c r="B519" s="1" t="n">
        <v>45595.47627314815</v>
      </c>
      <c r="C519" s="1" t="n">
        <v>46077</v>
      </c>
      <c r="D519" t="inlineStr">
        <is>
          <t>GOTLANDS LÄN</t>
        </is>
      </c>
      <c r="E519" t="inlineStr">
        <is>
          <t>GOTLAND</t>
        </is>
      </c>
      <c r="G519" t="n">
        <v>6.3</v>
      </c>
      <c r="H519" t="n">
        <v>0</v>
      </c>
      <c r="I519" t="n">
        <v>0</v>
      </c>
      <c r="J519" t="n">
        <v>0</v>
      </c>
      <c r="K519" t="n">
        <v>0</v>
      </c>
      <c r="L519" t="n">
        <v>0</v>
      </c>
      <c r="M519" t="n">
        <v>0</v>
      </c>
      <c r="N519" t="n">
        <v>0</v>
      </c>
      <c r="O519" t="n">
        <v>0</v>
      </c>
      <c r="P519" t="n">
        <v>0</v>
      </c>
      <c r="Q519" t="n">
        <v>0</v>
      </c>
      <c r="R519" s="2" t="inlineStr"/>
    </row>
    <row r="520" ht="15" customHeight="1">
      <c r="A520" t="inlineStr">
        <is>
          <t>A 37202-2024</t>
        </is>
      </c>
      <c r="B520" s="1" t="n">
        <v>45539.67310185185</v>
      </c>
      <c r="C520" s="1" t="n">
        <v>46077</v>
      </c>
      <c r="D520" t="inlineStr">
        <is>
          <t>GOTLANDS LÄN</t>
        </is>
      </c>
      <c r="E520" t="inlineStr">
        <is>
          <t>GOTLAND</t>
        </is>
      </c>
      <c r="G520" t="n">
        <v>0.3</v>
      </c>
      <c r="H520" t="n">
        <v>0</v>
      </c>
      <c r="I520" t="n">
        <v>0</v>
      </c>
      <c r="J520" t="n">
        <v>0</v>
      </c>
      <c r="K520" t="n">
        <v>0</v>
      </c>
      <c r="L520" t="n">
        <v>0</v>
      </c>
      <c r="M520" t="n">
        <v>0</v>
      </c>
      <c r="N520" t="n">
        <v>0</v>
      </c>
      <c r="O520" t="n">
        <v>0</v>
      </c>
      <c r="P520" t="n">
        <v>0</v>
      </c>
      <c r="Q520" t="n">
        <v>0</v>
      </c>
      <c r="R520" s="2" t="inlineStr"/>
    </row>
    <row r="521" ht="15" customHeight="1">
      <c r="A521" t="inlineStr">
        <is>
          <t>A 53569-2025</t>
        </is>
      </c>
      <c r="B521" s="1" t="n">
        <v>45960.41155092593</v>
      </c>
      <c r="C521" s="1" t="n">
        <v>46077</v>
      </c>
      <c r="D521" t="inlineStr">
        <is>
          <t>GOTLANDS LÄN</t>
        </is>
      </c>
      <c r="E521" t="inlineStr">
        <is>
          <t>GOTLAND</t>
        </is>
      </c>
      <c r="F521" t="inlineStr">
        <is>
          <t>Övriga Aktiebolag</t>
        </is>
      </c>
      <c r="G521" t="n">
        <v>11.3</v>
      </c>
      <c r="H521" t="n">
        <v>0</v>
      </c>
      <c r="I521" t="n">
        <v>0</v>
      </c>
      <c r="J521" t="n">
        <v>0</v>
      </c>
      <c r="K521" t="n">
        <v>0</v>
      </c>
      <c r="L521" t="n">
        <v>0</v>
      </c>
      <c r="M521" t="n">
        <v>0</v>
      </c>
      <c r="N521" t="n">
        <v>0</v>
      </c>
      <c r="O521" t="n">
        <v>0</v>
      </c>
      <c r="P521" t="n">
        <v>0</v>
      </c>
      <c r="Q521" t="n">
        <v>0</v>
      </c>
      <c r="R521" s="2" t="inlineStr"/>
    </row>
    <row r="522" ht="15" customHeight="1">
      <c r="A522" t="inlineStr">
        <is>
          <t>A 53577-2025</t>
        </is>
      </c>
      <c r="B522" s="1" t="n">
        <v>45960.42224537037</v>
      </c>
      <c r="C522" s="1" t="n">
        <v>46077</v>
      </c>
      <c r="D522" t="inlineStr">
        <is>
          <t>GOTLANDS LÄN</t>
        </is>
      </c>
      <c r="E522" t="inlineStr">
        <is>
          <t>GOTLAND</t>
        </is>
      </c>
      <c r="F522" t="inlineStr">
        <is>
          <t>Övriga Aktiebolag</t>
        </is>
      </c>
      <c r="G522" t="n">
        <v>3.3</v>
      </c>
      <c r="H522" t="n">
        <v>0</v>
      </c>
      <c r="I522" t="n">
        <v>0</v>
      </c>
      <c r="J522" t="n">
        <v>0</v>
      </c>
      <c r="K522" t="n">
        <v>0</v>
      </c>
      <c r="L522" t="n">
        <v>0</v>
      </c>
      <c r="M522" t="n">
        <v>0</v>
      </c>
      <c r="N522" t="n">
        <v>0</v>
      </c>
      <c r="O522" t="n">
        <v>0</v>
      </c>
      <c r="P522" t="n">
        <v>0</v>
      </c>
      <c r="Q522" t="n">
        <v>0</v>
      </c>
      <c r="R522" s="2" t="inlineStr"/>
    </row>
    <row r="523" ht="15" customHeight="1">
      <c r="A523" t="inlineStr">
        <is>
          <t>A 56115-2023</t>
        </is>
      </c>
      <c r="B523" s="1" t="n">
        <v>45236</v>
      </c>
      <c r="C523" s="1" t="n">
        <v>46077</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2774-2024</t>
        </is>
      </c>
      <c r="B524" s="1" t="n">
        <v>45314.62375</v>
      </c>
      <c r="C524" s="1" t="n">
        <v>46077</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60709-2023</t>
        </is>
      </c>
      <c r="B525" s="1" t="n">
        <v>45260</v>
      </c>
      <c r="C525" s="1" t="n">
        <v>46077</v>
      </c>
      <c r="D525" t="inlineStr">
        <is>
          <t>GOTLANDS LÄN</t>
        </is>
      </c>
      <c r="E525" t="inlineStr">
        <is>
          <t>GOTLAND</t>
        </is>
      </c>
      <c r="G525" t="n">
        <v>1.7</v>
      </c>
      <c r="H525" t="n">
        <v>0</v>
      </c>
      <c r="I525" t="n">
        <v>0</v>
      </c>
      <c r="J525" t="n">
        <v>0</v>
      </c>
      <c r="K525" t="n">
        <v>0</v>
      </c>
      <c r="L525" t="n">
        <v>0</v>
      </c>
      <c r="M525" t="n">
        <v>0</v>
      </c>
      <c r="N525" t="n">
        <v>0</v>
      </c>
      <c r="O525" t="n">
        <v>0</v>
      </c>
      <c r="P525" t="n">
        <v>0</v>
      </c>
      <c r="Q525" t="n">
        <v>0</v>
      </c>
      <c r="R525" s="2" t="inlineStr"/>
    </row>
    <row r="526" ht="15" customHeight="1">
      <c r="A526" t="inlineStr">
        <is>
          <t>A 64208-2021</t>
        </is>
      </c>
      <c r="B526" s="1" t="n">
        <v>44510</v>
      </c>
      <c r="C526" s="1" t="n">
        <v>46077</v>
      </c>
      <c r="D526" t="inlineStr">
        <is>
          <t>GOTLANDS LÄN</t>
        </is>
      </c>
      <c r="E526" t="inlineStr">
        <is>
          <t>GOTLAND</t>
        </is>
      </c>
      <c r="G526" t="n">
        <v>4.7</v>
      </c>
      <c r="H526" t="n">
        <v>0</v>
      </c>
      <c r="I526" t="n">
        <v>0</v>
      </c>
      <c r="J526" t="n">
        <v>0</v>
      </c>
      <c r="K526" t="n">
        <v>0</v>
      </c>
      <c r="L526" t="n">
        <v>0</v>
      </c>
      <c r="M526" t="n">
        <v>0</v>
      </c>
      <c r="N526" t="n">
        <v>0</v>
      </c>
      <c r="O526" t="n">
        <v>0</v>
      </c>
      <c r="P526" t="n">
        <v>0</v>
      </c>
      <c r="Q526" t="n">
        <v>0</v>
      </c>
      <c r="R526" s="2" t="inlineStr"/>
    </row>
    <row r="527" ht="15" customHeight="1">
      <c r="A527" t="inlineStr">
        <is>
          <t>A 39764-2022</t>
        </is>
      </c>
      <c r="B527" s="1" t="n">
        <v>44819</v>
      </c>
      <c r="C527" s="1" t="n">
        <v>46077</v>
      </c>
      <c r="D527" t="inlineStr">
        <is>
          <t>GOTLANDS LÄN</t>
        </is>
      </c>
      <c r="E527" t="inlineStr">
        <is>
          <t>GOTLAND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46077</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30956-2024</t>
        </is>
      </c>
      <c r="B529" s="1" t="n">
        <v>45499.42527777778</v>
      </c>
      <c r="C529" s="1" t="n">
        <v>46077</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46077</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14635-2023</t>
        </is>
      </c>
      <c r="B531" s="1" t="n">
        <v>45013.69365740741</v>
      </c>
      <c r="C531" s="1" t="n">
        <v>46077</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59469-2024</t>
        </is>
      </c>
      <c r="B532" s="1" t="n">
        <v>45638</v>
      </c>
      <c r="C532" s="1" t="n">
        <v>46077</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7858-2025</t>
        </is>
      </c>
      <c r="B533" s="1" t="n">
        <v>45706.68633101852</v>
      </c>
      <c r="C533" s="1" t="n">
        <v>46077</v>
      </c>
      <c r="D533" t="inlineStr">
        <is>
          <t>GOTLANDS LÄN</t>
        </is>
      </c>
      <c r="E533" t="inlineStr">
        <is>
          <t>GOTLAND</t>
        </is>
      </c>
      <c r="G533" t="n">
        <v>3</v>
      </c>
      <c r="H533" t="n">
        <v>0</v>
      </c>
      <c r="I533" t="n">
        <v>0</v>
      </c>
      <c r="J533" t="n">
        <v>0</v>
      </c>
      <c r="K533" t="n">
        <v>0</v>
      </c>
      <c r="L533" t="n">
        <v>0</v>
      </c>
      <c r="M533" t="n">
        <v>0</v>
      </c>
      <c r="N533" t="n">
        <v>0</v>
      </c>
      <c r="O533" t="n">
        <v>0</v>
      </c>
      <c r="P533" t="n">
        <v>0</v>
      </c>
      <c r="Q533" t="n">
        <v>0</v>
      </c>
      <c r="R533" s="2" t="inlineStr"/>
    </row>
    <row r="534" ht="15" customHeight="1">
      <c r="A534" t="inlineStr">
        <is>
          <t>A 53935-2024</t>
        </is>
      </c>
      <c r="B534" s="1" t="n">
        <v>45615</v>
      </c>
      <c r="C534" s="1" t="n">
        <v>46077</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18223-2025</t>
        </is>
      </c>
      <c r="B535" s="1" t="n">
        <v>45761</v>
      </c>
      <c r="C535" s="1" t="n">
        <v>46077</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4420-2025</t>
        </is>
      </c>
      <c r="B536" s="1" t="n">
        <v>45686.47157407407</v>
      </c>
      <c r="C536" s="1" t="n">
        <v>46077</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56799-2025</t>
        </is>
      </c>
      <c r="B537" s="1" t="n">
        <v>45978.43392361111</v>
      </c>
      <c r="C537" s="1" t="n">
        <v>46077</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5891-2025</t>
        </is>
      </c>
      <c r="B538" s="1" t="n">
        <v>45695.38327546296</v>
      </c>
      <c r="C538" s="1" t="n">
        <v>46077</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56688-2025</t>
        </is>
      </c>
      <c r="B539" s="1" t="n">
        <v>45975.84331018518</v>
      </c>
      <c r="C539" s="1" t="n">
        <v>46077</v>
      </c>
      <c r="D539" t="inlineStr">
        <is>
          <t>GOTLANDS LÄN</t>
        </is>
      </c>
      <c r="E539" t="inlineStr">
        <is>
          <t>GOTLAND</t>
        </is>
      </c>
      <c r="G539" t="n">
        <v>1.3</v>
      </c>
      <c r="H539" t="n">
        <v>0</v>
      </c>
      <c r="I539" t="n">
        <v>0</v>
      </c>
      <c r="J539" t="n">
        <v>0</v>
      </c>
      <c r="K539" t="n">
        <v>0</v>
      </c>
      <c r="L539" t="n">
        <v>0</v>
      </c>
      <c r="M539" t="n">
        <v>0</v>
      </c>
      <c r="N539" t="n">
        <v>0</v>
      </c>
      <c r="O539" t="n">
        <v>0</v>
      </c>
      <c r="P539" t="n">
        <v>0</v>
      </c>
      <c r="Q539" t="n">
        <v>0</v>
      </c>
      <c r="R539" s="2" t="inlineStr"/>
    </row>
    <row r="540" ht="15" customHeight="1">
      <c r="A540" t="inlineStr">
        <is>
          <t>A 7835-2024</t>
        </is>
      </c>
      <c r="B540" s="1" t="n">
        <v>45349.83138888889</v>
      </c>
      <c r="C540" s="1" t="n">
        <v>46077</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20794-2025</t>
        </is>
      </c>
      <c r="B541" s="1" t="n">
        <v>45776</v>
      </c>
      <c r="C541" s="1" t="n">
        <v>46077</v>
      </c>
      <c r="D541" t="inlineStr">
        <is>
          <t>GOTLANDS LÄN</t>
        </is>
      </c>
      <c r="E541" t="inlineStr">
        <is>
          <t>GOTLAND</t>
        </is>
      </c>
      <c r="G541" t="n">
        <v>6</v>
      </c>
      <c r="H541" t="n">
        <v>0</v>
      </c>
      <c r="I541" t="n">
        <v>0</v>
      </c>
      <c r="J541" t="n">
        <v>0</v>
      </c>
      <c r="K541" t="n">
        <v>0</v>
      </c>
      <c r="L541" t="n">
        <v>0</v>
      </c>
      <c r="M541" t="n">
        <v>0</v>
      </c>
      <c r="N541" t="n">
        <v>0</v>
      </c>
      <c r="O541" t="n">
        <v>0</v>
      </c>
      <c r="P541" t="n">
        <v>0</v>
      </c>
      <c r="Q541" t="n">
        <v>0</v>
      </c>
      <c r="R541" s="2" t="inlineStr"/>
    </row>
    <row r="542" ht="15" customHeight="1">
      <c r="A542" t="inlineStr">
        <is>
          <t>A 20805-2025</t>
        </is>
      </c>
      <c r="B542" s="1" t="n">
        <v>45776</v>
      </c>
      <c r="C542" s="1" t="n">
        <v>46077</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21389-2025</t>
        </is>
      </c>
      <c r="B543" s="1" t="n">
        <v>45782</v>
      </c>
      <c r="C543" s="1" t="n">
        <v>46077</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21651-2025</t>
        </is>
      </c>
      <c r="B544" s="1" t="n">
        <v>45783</v>
      </c>
      <c r="C544" s="1" t="n">
        <v>46077</v>
      </c>
      <c r="D544" t="inlineStr">
        <is>
          <t>GOTLANDS LÄN</t>
        </is>
      </c>
      <c r="E544" t="inlineStr">
        <is>
          <t>GOTLAND</t>
        </is>
      </c>
      <c r="G544" t="n">
        <v>4.2</v>
      </c>
      <c r="H544" t="n">
        <v>0</v>
      </c>
      <c r="I544" t="n">
        <v>0</v>
      </c>
      <c r="J544" t="n">
        <v>0</v>
      </c>
      <c r="K544" t="n">
        <v>0</v>
      </c>
      <c r="L544" t="n">
        <v>0</v>
      </c>
      <c r="M544" t="n">
        <v>0</v>
      </c>
      <c r="N544" t="n">
        <v>0</v>
      </c>
      <c r="O544" t="n">
        <v>0</v>
      </c>
      <c r="P544" t="n">
        <v>0</v>
      </c>
      <c r="Q544" t="n">
        <v>0</v>
      </c>
      <c r="R544" s="2" t="inlineStr"/>
    </row>
    <row r="545" ht="15" customHeight="1">
      <c r="A545" t="inlineStr">
        <is>
          <t>A 59197-2025</t>
        </is>
      </c>
      <c r="B545" s="1" t="n">
        <v>45988.59846064815</v>
      </c>
      <c r="C545" s="1" t="n">
        <v>46077</v>
      </c>
      <c r="D545" t="inlineStr">
        <is>
          <t>GOTLANDS LÄN</t>
        </is>
      </c>
      <c r="E545" t="inlineStr">
        <is>
          <t>GOTLAND</t>
        </is>
      </c>
      <c r="G545" t="n">
        <v>2.3</v>
      </c>
      <c r="H545" t="n">
        <v>0</v>
      </c>
      <c r="I545" t="n">
        <v>0</v>
      </c>
      <c r="J545" t="n">
        <v>0</v>
      </c>
      <c r="K545" t="n">
        <v>0</v>
      </c>
      <c r="L545" t="n">
        <v>0</v>
      </c>
      <c r="M545" t="n">
        <v>0</v>
      </c>
      <c r="N545" t="n">
        <v>0</v>
      </c>
      <c r="O545" t="n">
        <v>0</v>
      </c>
      <c r="P545" t="n">
        <v>0</v>
      </c>
      <c r="Q545" t="n">
        <v>0</v>
      </c>
      <c r="R545" s="2" t="inlineStr"/>
    </row>
    <row r="546" ht="15" customHeight="1">
      <c r="A546" t="inlineStr">
        <is>
          <t>A 2415-2026</t>
        </is>
      </c>
      <c r="B546" s="1" t="n">
        <v>46036.76203703704</v>
      </c>
      <c r="C546" s="1" t="n">
        <v>46077</v>
      </c>
      <c r="D546" t="inlineStr">
        <is>
          <t>GOTLANDS LÄN</t>
        </is>
      </c>
      <c r="E546" t="inlineStr">
        <is>
          <t>GOTLAND</t>
        </is>
      </c>
      <c r="G546" t="n">
        <v>6.9</v>
      </c>
      <c r="H546" t="n">
        <v>0</v>
      </c>
      <c r="I546" t="n">
        <v>0</v>
      </c>
      <c r="J546" t="n">
        <v>0</v>
      </c>
      <c r="K546" t="n">
        <v>0</v>
      </c>
      <c r="L546" t="n">
        <v>0</v>
      </c>
      <c r="M546" t="n">
        <v>0</v>
      </c>
      <c r="N546" t="n">
        <v>0</v>
      </c>
      <c r="O546" t="n">
        <v>0</v>
      </c>
      <c r="P546" t="n">
        <v>0</v>
      </c>
      <c r="Q546" t="n">
        <v>0</v>
      </c>
      <c r="R546" s="2" t="inlineStr"/>
    </row>
    <row r="547" ht="15" customHeight="1">
      <c r="A547" t="inlineStr">
        <is>
          <t>A 36319-2025</t>
        </is>
      </c>
      <c r="B547" s="1" t="n">
        <v>45868</v>
      </c>
      <c r="C547" s="1" t="n">
        <v>46077</v>
      </c>
      <c r="D547" t="inlineStr">
        <is>
          <t>GOTLANDS LÄN</t>
        </is>
      </c>
      <c r="E547" t="inlineStr">
        <is>
          <t>GOTLAND</t>
        </is>
      </c>
      <c r="G547" t="n">
        <v>2.9</v>
      </c>
      <c r="H547" t="n">
        <v>0</v>
      </c>
      <c r="I547" t="n">
        <v>0</v>
      </c>
      <c r="J547" t="n">
        <v>0</v>
      </c>
      <c r="K547" t="n">
        <v>0</v>
      </c>
      <c r="L547" t="n">
        <v>0</v>
      </c>
      <c r="M547" t="n">
        <v>0</v>
      </c>
      <c r="N547" t="n">
        <v>0</v>
      </c>
      <c r="O547" t="n">
        <v>0</v>
      </c>
      <c r="P547" t="n">
        <v>0</v>
      </c>
      <c r="Q547" t="n">
        <v>0</v>
      </c>
      <c r="R547" s="2" t="inlineStr"/>
    </row>
    <row r="548" ht="15" customHeight="1">
      <c r="A548" t="inlineStr">
        <is>
          <t>A 1839-2026</t>
        </is>
      </c>
      <c r="B548" s="1" t="n">
        <v>46035.3942824074</v>
      </c>
      <c r="C548" s="1" t="n">
        <v>46077</v>
      </c>
      <c r="D548" t="inlineStr">
        <is>
          <t>GOTLANDS LÄN</t>
        </is>
      </c>
      <c r="E548" t="inlineStr">
        <is>
          <t>GOTLAND</t>
        </is>
      </c>
      <c r="G548" t="n">
        <v>3.5</v>
      </c>
      <c r="H548" t="n">
        <v>0</v>
      </c>
      <c r="I548" t="n">
        <v>0</v>
      </c>
      <c r="J548" t="n">
        <v>0</v>
      </c>
      <c r="K548" t="n">
        <v>0</v>
      </c>
      <c r="L548" t="n">
        <v>0</v>
      </c>
      <c r="M548" t="n">
        <v>0</v>
      </c>
      <c r="N548" t="n">
        <v>0</v>
      </c>
      <c r="O548" t="n">
        <v>0</v>
      </c>
      <c r="P548" t="n">
        <v>0</v>
      </c>
      <c r="Q548" t="n">
        <v>0</v>
      </c>
      <c r="R548" s="2" t="inlineStr"/>
    </row>
    <row r="549" ht="15" customHeight="1">
      <c r="A549" t="inlineStr">
        <is>
          <t>A 1854-2026</t>
        </is>
      </c>
      <c r="B549" s="1" t="n">
        <v>46035.4171875</v>
      </c>
      <c r="C549" s="1" t="n">
        <v>46077</v>
      </c>
      <c r="D549" t="inlineStr">
        <is>
          <t>GOTLANDS LÄN</t>
        </is>
      </c>
      <c r="E549" t="inlineStr">
        <is>
          <t>GOTLAND</t>
        </is>
      </c>
      <c r="G549" t="n">
        <v>3</v>
      </c>
      <c r="H549" t="n">
        <v>0</v>
      </c>
      <c r="I549" t="n">
        <v>0</v>
      </c>
      <c r="J549" t="n">
        <v>0</v>
      </c>
      <c r="K549" t="n">
        <v>0</v>
      </c>
      <c r="L549" t="n">
        <v>0</v>
      </c>
      <c r="M549" t="n">
        <v>0</v>
      </c>
      <c r="N549" t="n">
        <v>0</v>
      </c>
      <c r="O549" t="n">
        <v>0</v>
      </c>
      <c r="P549" t="n">
        <v>0</v>
      </c>
      <c r="Q549" t="n">
        <v>0</v>
      </c>
      <c r="R549" s="2" t="inlineStr"/>
    </row>
    <row r="550" ht="15" customHeight="1">
      <c r="A550" t="inlineStr">
        <is>
          <t>A 2135-2026</t>
        </is>
      </c>
      <c r="B550" s="1" t="n">
        <v>46036</v>
      </c>
      <c r="C550" s="1" t="n">
        <v>46077</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57356-2023</t>
        </is>
      </c>
      <c r="B551" s="1" t="n">
        <v>45240</v>
      </c>
      <c r="C551" s="1" t="n">
        <v>46077</v>
      </c>
      <c r="D551" t="inlineStr">
        <is>
          <t>GOTLANDS LÄN</t>
        </is>
      </c>
      <c r="E551" t="inlineStr">
        <is>
          <t>GOTLAND</t>
        </is>
      </c>
      <c r="G551" t="n">
        <v>6.4</v>
      </c>
      <c r="H551" t="n">
        <v>0</v>
      </c>
      <c r="I551" t="n">
        <v>0</v>
      </c>
      <c r="J551" t="n">
        <v>0</v>
      </c>
      <c r="K551" t="n">
        <v>0</v>
      </c>
      <c r="L551" t="n">
        <v>0</v>
      </c>
      <c r="M551" t="n">
        <v>0</v>
      </c>
      <c r="N551" t="n">
        <v>0</v>
      </c>
      <c r="O551" t="n">
        <v>0</v>
      </c>
      <c r="P551" t="n">
        <v>0</v>
      </c>
      <c r="Q551" t="n">
        <v>0</v>
      </c>
      <c r="R551" s="2" t="inlineStr"/>
    </row>
    <row r="552" ht="15" customHeight="1">
      <c r="A552" t="inlineStr">
        <is>
          <t>A 10656-2024</t>
        </is>
      </c>
      <c r="B552" s="1" t="n">
        <v>45368</v>
      </c>
      <c r="C552" s="1" t="n">
        <v>46077</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2134-2026</t>
        </is>
      </c>
      <c r="B553" s="1" t="n">
        <v>46036</v>
      </c>
      <c r="C553" s="1" t="n">
        <v>46077</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1898-2026</t>
        </is>
      </c>
      <c r="B554" s="1" t="n">
        <v>46035.52024305556</v>
      </c>
      <c r="C554" s="1" t="n">
        <v>46077</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28506-2023</t>
        </is>
      </c>
      <c r="B555" s="1" t="n">
        <v>45103</v>
      </c>
      <c r="C555" s="1" t="n">
        <v>46077</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21420-2024</t>
        </is>
      </c>
      <c r="B556" s="1" t="n">
        <v>45441.38293981482</v>
      </c>
      <c r="C556" s="1" t="n">
        <v>46077</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23188-2025</t>
        </is>
      </c>
      <c r="B557" s="1" t="n">
        <v>45791</v>
      </c>
      <c r="C557" s="1" t="n">
        <v>46077</v>
      </c>
      <c r="D557" t="inlineStr">
        <is>
          <t>GOTLANDS LÄN</t>
        </is>
      </c>
      <c r="E557" t="inlineStr">
        <is>
          <t>GOTLAND</t>
        </is>
      </c>
      <c r="G557" t="n">
        <v>6.2</v>
      </c>
      <c r="H557" t="n">
        <v>0</v>
      </c>
      <c r="I557" t="n">
        <v>0</v>
      </c>
      <c r="J557" t="n">
        <v>0</v>
      </c>
      <c r="K557" t="n">
        <v>0</v>
      </c>
      <c r="L557" t="n">
        <v>0</v>
      </c>
      <c r="M557" t="n">
        <v>0</v>
      </c>
      <c r="N557" t="n">
        <v>0</v>
      </c>
      <c r="O557" t="n">
        <v>0</v>
      </c>
      <c r="P557" t="n">
        <v>0</v>
      </c>
      <c r="Q557" t="n">
        <v>0</v>
      </c>
      <c r="R557" s="2" t="inlineStr"/>
    </row>
    <row r="558" ht="15" customHeight="1">
      <c r="A558" t="inlineStr">
        <is>
          <t>A 23473-2025</t>
        </is>
      </c>
      <c r="B558" s="1" t="n">
        <v>45792</v>
      </c>
      <c r="C558" s="1" t="n">
        <v>46077</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23856-2025</t>
        </is>
      </c>
      <c r="B559" s="1" t="n">
        <v>45793</v>
      </c>
      <c r="C559" s="1" t="n">
        <v>46077</v>
      </c>
      <c r="D559" t="inlineStr">
        <is>
          <t>GOTLANDS LÄN</t>
        </is>
      </c>
      <c r="E559" t="inlineStr">
        <is>
          <t>GOTLAND</t>
        </is>
      </c>
      <c r="G559" t="n">
        <v>4.4</v>
      </c>
      <c r="H559" t="n">
        <v>0</v>
      </c>
      <c r="I559" t="n">
        <v>0</v>
      </c>
      <c r="J559" t="n">
        <v>0</v>
      </c>
      <c r="K559" t="n">
        <v>0</v>
      </c>
      <c r="L559" t="n">
        <v>0</v>
      </c>
      <c r="M559" t="n">
        <v>0</v>
      </c>
      <c r="N559" t="n">
        <v>0</v>
      </c>
      <c r="O559" t="n">
        <v>0</v>
      </c>
      <c r="P559" t="n">
        <v>0</v>
      </c>
      <c r="Q559" t="n">
        <v>0</v>
      </c>
      <c r="R559" s="2" t="inlineStr"/>
    </row>
    <row r="560" ht="15" customHeight="1">
      <c r="A560" t="inlineStr">
        <is>
          <t>A 15073-2025</t>
        </is>
      </c>
      <c r="B560" s="1" t="n">
        <v>45743</v>
      </c>
      <c r="C560" s="1" t="n">
        <v>46077</v>
      </c>
      <c r="D560" t="inlineStr">
        <is>
          <t>GOTLANDS LÄN</t>
        </is>
      </c>
      <c r="E560" t="inlineStr">
        <is>
          <t>GOTLAND</t>
        </is>
      </c>
      <c r="G560" t="n">
        <v>12.1</v>
      </c>
      <c r="H560" t="n">
        <v>0</v>
      </c>
      <c r="I560" t="n">
        <v>0</v>
      </c>
      <c r="J560" t="n">
        <v>0</v>
      </c>
      <c r="K560" t="n">
        <v>0</v>
      </c>
      <c r="L560" t="n">
        <v>0</v>
      </c>
      <c r="M560" t="n">
        <v>0</v>
      </c>
      <c r="N560" t="n">
        <v>0</v>
      </c>
      <c r="O560" t="n">
        <v>0</v>
      </c>
      <c r="P560" t="n">
        <v>0</v>
      </c>
      <c r="Q560" t="n">
        <v>0</v>
      </c>
      <c r="R560" s="2" t="inlineStr"/>
    </row>
    <row r="561" ht="15" customHeight="1">
      <c r="A561" t="inlineStr">
        <is>
          <t>A 6749-2025</t>
        </is>
      </c>
      <c r="B561" s="1" t="n">
        <v>45700</v>
      </c>
      <c r="C561" s="1" t="n">
        <v>46077</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3067-2026</t>
        </is>
      </c>
      <c r="B562" s="1" t="n">
        <v>46040.59025462963</v>
      </c>
      <c r="C562" s="1" t="n">
        <v>46077</v>
      </c>
      <c r="D562" t="inlineStr">
        <is>
          <t>GOTLANDS LÄN</t>
        </is>
      </c>
      <c r="E562" t="inlineStr">
        <is>
          <t>GOTLAND</t>
        </is>
      </c>
      <c r="G562" t="n">
        <v>7.8</v>
      </c>
      <c r="H562" t="n">
        <v>0</v>
      </c>
      <c r="I562" t="n">
        <v>0</v>
      </c>
      <c r="J562" t="n">
        <v>0</v>
      </c>
      <c r="K562" t="n">
        <v>0</v>
      </c>
      <c r="L562" t="n">
        <v>0</v>
      </c>
      <c r="M562" t="n">
        <v>0</v>
      </c>
      <c r="N562" t="n">
        <v>0</v>
      </c>
      <c r="O562" t="n">
        <v>0</v>
      </c>
      <c r="P562" t="n">
        <v>0</v>
      </c>
      <c r="Q562" t="n">
        <v>0</v>
      </c>
      <c r="R562" s="2" t="inlineStr"/>
    </row>
    <row r="563" ht="15" customHeight="1">
      <c r="A563" t="inlineStr">
        <is>
          <t>A 3253-2026</t>
        </is>
      </c>
      <c r="B563" s="1" t="n">
        <v>46041.58902777778</v>
      </c>
      <c r="C563" s="1" t="n">
        <v>46077</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23698-2025</t>
        </is>
      </c>
      <c r="B564" s="1" t="n">
        <v>45793</v>
      </c>
      <c r="C564" s="1" t="n">
        <v>46077</v>
      </c>
      <c r="D564" t="inlineStr">
        <is>
          <t>GOTLANDS LÄN</t>
        </is>
      </c>
      <c r="E564" t="inlineStr">
        <is>
          <t>GOTLAND</t>
        </is>
      </c>
      <c r="G564" t="n">
        <v>0.8</v>
      </c>
      <c r="H564" t="n">
        <v>0</v>
      </c>
      <c r="I564" t="n">
        <v>0</v>
      </c>
      <c r="J564" t="n">
        <v>0</v>
      </c>
      <c r="K564" t="n">
        <v>0</v>
      </c>
      <c r="L564" t="n">
        <v>0</v>
      </c>
      <c r="M564" t="n">
        <v>0</v>
      </c>
      <c r="N564" t="n">
        <v>0</v>
      </c>
      <c r="O564" t="n">
        <v>0</v>
      </c>
      <c r="P564" t="n">
        <v>0</v>
      </c>
      <c r="Q564" t="n">
        <v>0</v>
      </c>
      <c r="R564" s="2" t="inlineStr"/>
    </row>
    <row r="565" ht="15" customHeight="1">
      <c r="A565" t="inlineStr">
        <is>
          <t>A 4662-2026</t>
        </is>
      </c>
      <c r="B565" s="1" t="n">
        <v>46048.40949074074</v>
      </c>
      <c r="C565" s="1" t="n">
        <v>46077</v>
      </c>
      <c r="D565" t="inlineStr">
        <is>
          <t>GOTLANDS LÄN</t>
        </is>
      </c>
      <c r="E565" t="inlineStr">
        <is>
          <t>GOTLAND</t>
        </is>
      </c>
      <c r="G565" t="n">
        <v>7.6</v>
      </c>
      <c r="H565" t="n">
        <v>0</v>
      </c>
      <c r="I565" t="n">
        <v>0</v>
      </c>
      <c r="J565" t="n">
        <v>0</v>
      </c>
      <c r="K565" t="n">
        <v>0</v>
      </c>
      <c r="L565" t="n">
        <v>0</v>
      </c>
      <c r="M565" t="n">
        <v>0</v>
      </c>
      <c r="N565" t="n">
        <v>0</v>
      </c>
      <c r="O565" t="n">
        <v>0</v>
      </c>
      <c r="P565" t="n">
        <v>0</v>
      </c>
      <c r="Q565" t="n">
        <v>0</v>
      </c>
      <c r="R565" s="2" t="inlineStr"/>
    </row>
    <row r="566" ht="15" customHeight="1">
      <c r="A566" t="inlineStr">
        <is>
          <t>A 4634-2026</t>
        </is>
      </c>
      <c r="B566" s="1" t="n">
        <v>46048.39304398148</v>
      </c>
      <c r="C566" s="1" t="n">
        <v>46077</v>
      </c>
      <c r="D566" t="inlineStr">
        <is>
          <t>GOTLANDS LÄN</t>
        </is>
      </c>
      <c r="E566" t="inlineStr">
        <is>
          <t>GOTLAND</t>
        </is>
      </c>
      <c r="G566" t="n">
        <v>7.8</v>
      </c>
      <c r="H566" t="n">
        <v>0</v>
      </c>
      <c r="I566" t="n">
        <v>0</v>
      </c>
      <c r="J566" t="n">
        <v>0</v>
      </c>
      <c r="K566" t="n">
        <v>0</v>
      </c>
      <c r="L566" t="n">
        <v>0</v>
      </c>
      <c r="M566" t="n">
        <v>0</v>
      </c>
      <c r="N566" t="n">
        <v>0</v>
      </c>
      <c r="O566" t="n">
        <v>0</v>
      </c>
      <c r="P566" t="n">
        <v>0</v>
      </c>
      <c r="Q566" t="n">
        <v>0</v>
      </c>
      <c r="R566" s="2" t="inlineStr"/>
    </row>
    <row r="567" ht="15" customHeight="1">
      <c r="A567" t="inlineStr">
        <is>
          <t>A 4646-2026</t>
        </is>
      </c>
      <c r="B567" s="1" t="n">
        <v>46048.40357638889</v>
      </c>
      <c r="C567" s="1" t="n">
        <v>46077</v>
      </c>
      <c r="D567" t="inlineStr">
        <is>
          <t>GOTLANDS LÄN</t>
        </is>
      </c>
      <c r="E567" t="inlineStr">
        <is>
          <t>GOTLAND</t>
        </is>
      </c>
      <c r="G567" t="n">
        <v>2.7</v>
      </c>
      <c r="H567" t="n">
        <v>0</v>
      </c>
      <c r="I567" t="n">
        <v>0</v>
      </c>
      <c r="J567" t="n">
        <v>0</v>
      </c>
      <c r="K567" t="n">
        <v>0</v>
      </c>
      <c r="L567" t="n">
        <v>0</v>
      </c>
      <c r="M567" t="n">
        <v>0</v>
      </c>
      <c r="N567" t="n">
        <v>0</v>
      </c>
      <c r="O567" t="n">
        <v>0</v>
      </c>
      <c r="P567" t="n">
        <v>0</v>
      </c>
      <c r="Q567" t="n">
        <v>0</v>
      </c>
      <c r="R567" s="2" t="inlineStr"/>
    </row>
    <row r="568" ht="15" customHeight="1">
      <c r="A568" t="inlineStr">
        <is>
          <t>A 5462-2025</t>
        </is>
      </c>
      <c r="B568" s="1" t="n">
        <v>45693.29331018519</v>
      </c>
      <c r="C568" s="1" t="n">
        <v>46077</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4670-2026</t>
        </is>
      </c>
      <c r="B569" s="1" t="n">
        <v>46048.41733796296</v>
      </c>
      <c r="C569" s="1" t="n">
        <v>46077</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62066-2025</t>
        </is>
      </c>
      <c r="B570" s="1" t="n">
        <v>46006.34738425926</v>
      </c>
      <c r="C570" s="1" t="n">
        <v>46077</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4639-2026</t>
        </is>
      </c>
      <c r="B571" s="1" t="n">
        <v>46048.39880787037</v>
      </c>
      <c r="C571" s="1" t="n">
        <v>46077</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25796-2025</t>
        </is>
      </c>
      <c r="B572" s="1" t="n">
        <v>45804.39543981481</v>
      </c>
      <c r="C572" s="1" t="n">
        <v>46077</v>
      </c>
      <c r="D572" t="inlineStr">
        <is>
          <t>GOTLANDS LÄN</t>
        </is>
      </c>
      <c r="E572" t="inlineStr">
        <is>
          <t>GOTLAND</t>
        </is>
      </c>
      <c r="G572" t="n">
        <v>2</v>
      </c>
      <c r="H572" t="n">
        <v>0</v>
      </c>
      <c r="I572" t="n">
        <v>0</v>
      </c>
      <c r="J572" t="n">
        <v>0</v>
      </c>
      <c r="K572" t="n">
        <v>0</v>
      </c>
      <c r="L572" t="n">
        <v>0</v>
      </c>
      <c r="M572" t="n">
        <v>0</v>
      </c>
      <c r="N572" t="n">
        <v>0</v>
      </c>
      <c r="O572" t="n">
        <v>0</v>
      </c>
      <c r="P572" t="n">
        <v>0</v>
      </c>
      <c r="Q572" t="n">
        <v>0</v>
      </c>
      <c r="R572" s="2" t="inlineStr"/>
    </row>
    <row r="573" ht="15" customHeight="1">
      <c r="A573" t="inlineStr">
        <is>
          <t>A 62103-2025</t>
        </is>
      </c>
      <c r="B573" s="1" t="n">
        <v>46006</v>
      </c>
      <c r="C573" s="1" t="n">
        <v>46077</v>
      </c>
      <c r="D573" t="inlineStr">
        <is>
          <t>GOTLANDS LÄN</t>
        </is>
      </c>
      <c r="E573" t="inlineStr">
        <is>
          <t>GOTLAND</t>
        </is>
      </c>
      <c r="F573" t="inlineStr">
        <is>
          <t>Övriga Aktiebolag</t>
        </is>
      </c>
      <c r="G573" t="n">
        <v>1.7</v>
      </c>
      <c r="H573" t="n">
        <v>0</v>
      </c>
      <c r="I573" t="n">
        <v>0</v>
      </c>
      <c r="J573" t="n">
        <v>0</v>
      </c>
      <c r="K573" t="n">
        <v>0</v>
      </c>
      <c r="L573" t="n">
        <v>0</v>
      </c>
      <c r="M573" t="n">
        <v>0</v>
      </c>
      <c r="N573" t="n">
        <v>0</v>
      </c>
      <c r="O573" t="n">
        <v>0</v>
      </c>
      <c r="P573" t="n">
        <v>0</v>
      </c>
      <c r="Q573" t="n">
        <v>0</v>
      </c>
      <c r="R573" s="2" t="inlineStr"/>
    </row>
    <row r="574" ht="15" customHeight="1">
      <c r="A574" t="inlineStr">
        <is>
          <t>A 47147-2025</t>
        </is>
      </c>
      <c r="B574" s="1" t="n">
        <v>45929</v>
      </c>
      <c r="C574" s="1" t="n">
        <v>46077</v>
      </c>
      <c r="D574" t="inlineStr">
        <is>
          <t>GOTLANDS LÄN</t>
        </is>
      </c>
      <c r="E574" t="inlineStr">
        <is>
          <t>GOTLAND</t>
        </is>
      </c>
      <c r="G574" t="n">
        <v>2.3</v>
      </c>
      <c r="H574" t="n">
        <v>0</v>
      </c>
      <c r="I574" t="n">
        <v>0</v>
      </c>
      <c r="J574" t="n">
        <v>0</v>
      </c>
      <c r="K574" t="n">
        <v>0</v>
      </c>
      <c r="L574" t="n">
        <v>0</v>
      </c>
      <c r="M574" t="n">
        <v>0</v>
      </c>
      <c r="N574" t="n">
        <v>0</v>
      </c>
      <c r="O574" t="n">
        <v>0</v>
      </c>
      <c r="P574" t="n">
        <v>0</v>
      </c>
      <c r="Q574" t="n">
        <v>0</v>
      </c>
      <c r="R574" s="2" t="inlineStr"/>
    </row>
    <row r="575" ht="15" customHeight="1">
      <c r="A575" t="inlineStr">
        <is>
          <t>A 26457-2025</t>
        </is>
      </c>
      <c r="B575" s="1" t="n">
        <v>45807.42773148148</v>
      </c>
      <c r="C575" s="1" t="n">
        <v>46077</v>
      </c>
      <c r="D575" t="inlineStr">
        <is>
          <t>GOTLANDS LÄN</t>
        </is>
      </c>
      <c r="E575" t="inlineStr">
        <is>
          <t>GOTLAND</t>
        </is>
      </c>
      <c r="G575" t="n">
        <v>5.7</v>
      </c>
      <c r="H575" t="n">
        <v>0</v>
      </c>
      <c r="I575" t="n">
        <v>0</v>
      </c>
      <c r="J575" t="n">
        <v>0</v>
      </c>
      <c r="K575" t="n">
        <v>0</v>
      </c>
      <c r="L575" t="n">
        <v>0</v>
      </c>
      <c r="M575" t="n">
        <v>0</v>
      </c>
      <c r="N575" t="n">
        <v>0</v>
      </c>
      <c r="O575" t="n">
        <v>0</v>
      </c>
      <c r="P575" t="n">
        <v>0</v>
      </c>
      <c r="Q575" t="n">
        <v>0</v>
      </c>
      <c r="R575" s="2" t="inlineStr"/>
    </row>
    <row r="576" ht="15" customHeight="1">
      <c r="A576" t="inlineStr">
        <is>
          <t>A 26467-2025</t>
        </is>
      </c>
      <c r="B576" s="1" t="n">
        <v>45807.44640046296</v>
      </c>
      <c r="C576" s="1" t="n">
        <v>46077</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26465-2025</t>
        </is>
      </c>
      <c r="B577" s="1" t="n">
        <v>45807.44377314814</v>
      </c>
      <c r="C577" s="1" t="n">
        <v>46077</v>
      </c>
      <c r="D577" t="inlineStr">
        <is>
          <t>GOTLANDS LÄN</t>
        </is>
      </c>
      <c r="E577" t="inlineStr">
        <is>
          <t>GOTLAND</t>
        </is>
      </c>
      <c r="G577" t="n">
        <v>4.5</v>
      </c>
      <c r="H577" t="n">
        <v>0</v>
      </c>
      <c r="I577" t="n">
        <v>0</v>
      </c>
      <c r="J577" t="n">
        <v>0</v>
      </c>
      <c r="K577" t="n">
        <v>0</v>
      </c>
      <c r="L577" t="n">
        <v>0</v>
      </c>
      <c r="M577" t="n">
        <v>0</v>
      </c>
      <c r="N577" t="n">
        <v>0</v>
      </c>
      <c r="O577" t="n">
        <v>0</v>
      </c>
      <c r="P577" t="n">
        <v>0</v>
      </c>
      <c r="Q577" t="n">
        <v>0</v>
      </c>
      <c r="R577" s="2" t="inlineStr"/>
    </row>
    <row r="578" ht="15" customHeight="1">
      <c r="A578" t="inlineStr">
        <is>
          <t>A 5863-2026</t>
        </is>
      </c>
      <c r="B578" s="1" t="n">
        <v>46052.36697916667</v>
      </c>
      <c r="C578" s="1" t="n">
        <v>46077</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63002-2025</t>
        </is>
      </c>
      <c r="B579" s="1" t="n">
        <v>46009.56564814815</v>
      </c>
      <c r="C579" s="1" t="n">
        <v>46077</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26660-2025</t>
        </is>
      </c>
      <c r="B580" s="1" t="n">
        <v>45810.39737268518</v>
      </c>
      <c r="C580" s="1" t="n">
        <v>46077</v>
      </c>
      <c r="D580" t="inlineStr">
        <is>
          <t>GOTLANDS LÄN</t>
        </is>
      </c>
      <c r="E580" t="inlineStr">
        <is>
          <t>GOTLAND</t>
        </is>
      </c>
      <c r="G580" t="n">
        <v>1.8</v>
      </c>
      <c r="H580" t="n">
        <v>0</v>
      </c>
      <c r="I580" t="n">
        <v>0</v>
      </c>
      <c r="J580" t="n">
        <v>0</v>
      </c>
      <c r="K580" t="n">
        <v>0</v>
      </c>
      <c r="L580" t="n">
        <v>0</v>
      </c>
      <c r="M580" t="n">
        <v>0</v>
      </c>
      <c r="N580" t="n">
        <v>0</v>
      </c>
      <c r="O580" t="n">
        <v>0</v>
      </c>
      <c r="P580" t="n">
        <v>0</v>
      </c>
      <c r="Q580" t="n">
        <v>0</v>
      </c>
      <c r="R580" s="2" t="inlineStr"/>
    </row>
    <row r="581" ht="15" customHeight="1">
      <c r="A581" t="inlineStr">
        <is>
          <t>A 6218-2026</t>
        </is>
      </c>
      <c r="B581" s="1" t="n">
        <v>46055.42859953704</v>
      </c>
      <c r="C581" s="1" t="n">
        <v>46077</v>
      </c>
      <c r="D581" t="inlineStr">
        <is>
          <t>GOTLANDS LÄN</t>
        </is>
      </c>
      <c r="E581" t="inlineStr">
        <is>
          <t>GOTLAND</t>
        </is>
      </c>
      <c r="G581" t="n">
        <v>4.3</v>
      </c>
      <c r="H581" t="n">
        <v>0</v>
      </c>
      <c r="I581" t="n">
        <v>0</v>
      </c>
      <c r="J581" t="n">
        <v>0</v>
      </c>
      <c r="K581" t="n">
        <v>0</v>
      </c>
      <c r="L581" t="n">
        <v>0</v>
      </c>
      <c r="M581" t="n">
        <v>0</v>
      </c>
      <c r="N581" t="n">
        <v>0</v>
      </c>
      <c r="O581" t="n">
        <v>0</v>
      </c>
      <c r="P581" t="n">
        <v>0</v>
      </c>
      <c r="Q581" t="n">
        <v>0</v>
      </c>
      <c r="R581" s="2" t="inlineStr"/>
    </row>
    <row r="582" ht="15" customHeight="1">
      <c r="A582" t="inlineStr">
        <is>
          <t>A 27371-2025</t>
        </is>
      </c>
      <c r="B582" s="1" t="n">
        <v>45812</v>
      </c>
      <c r="C582" s="1" t="n">
        <v>46077</v>
      </c>
      <c r="D582" t="inlineStr">
        <is>
          <t>GOTLANDS LÄN</t>
        </is>
      </c>
      <c r="E582" t="inlineStr">
        <is>
          <t>GOTLAND</t>
        </is>
      </c>
      <c r="G582" t="n">
        <v>8</v>
      </c>
      <c r="H582" t="n">
        <v>0</v>
      </c>
      <c r="I582" t="n">
        <v>0</v>
      </c>
      <c r="J582" t="n">
        <v>0</v>
      </c>
      <c r="K582" t="n">
        <v>0</v>
      </c>
      <c r="L582" t="n">
        <v>0</v>
      </c>
      <c r="M582" t="n">
        <v>0</v>
      </c>
      <c r="N582" t="n">
        <v>0</v>
      </c>
      <c r="O582" t="n">
        <v>0</v>
      </c>
      <c r="P582" t="n">
        <v>0</v>
      </c>
      <c r="Q582" t="n">
        <v>0</v>
      </c>
      <c r="R582" s="2" t="inlineStr"/>
    </row>
    <row r="583" ht="15" customHeight="1">
      <c r="A583" t="inlineStr">
        <is>
          <t>A 27355-2025</t>
        </is>
      </c>
      <c r="B583" s="1" t="n">
        <v>45812</v>
      </c>
      <c r="C583" s="1" t="n">
        <v>46077</v>
      </c>
      <c r="D583" t="inlineStr">
        <is>
          <t>GOTLANDS LÄN</t>
        </is>
      </c>
      <c r="E583" t="inlineStr">
        <is>
          <t>GOTLAND</t>
        </is>
      </c>
      <c r="G583" t="n">
        <v>1.1</v>
      </c>
      <c r="H583" t="n">
        <v>0</v>
      </c>
      <c r="I583" t="n">
        <v>0</v>
      </c>
      <c r="J583" t="n">
        <v>0</v>
      </c>
      <c r="K583" t="n">
        <v>0</v>
      </c>
      <c r="L583" t="n">
        <v>0</v>
      </c>
      <c r="M583" t="n">
        <v>0</v>
      </c>
      <c r="N583" t="n">
        <v>0</v>
      </c>
      <c r="O583" t="n">
        <v>0</v>
      </c>
      <c r="P583" t="n">
        <v>0</v>
      </c>
      <c r="Q583" t="n">
        <v>0</v>
      </c>
      <c r="R583" s="2" t="inlineStr"/>
    </row>
    <row r="584" ht="15" customHeight="1">
      <c r="A584" t="inlineStr">
        <is>
          <t>A 54584-2025</t>
        </is>
      </c>
      <c r="B584" s="1" t="n">
        <v>45965.71788194445</v>
      </c>
      <c r="C584" s="1" t="n">
        <v>46077</v>
      </c>
      <c r="D584" t="inlineStr">
        <is>
          <t>GOTLANDS LÄN</t>
        </is>
      </c>
      <c r="E584" t="inlineStr">
        <is>
          <t>GOTLAND</t>
        </is>
      </c>
      <c r="G584" t="n">
        <v>3.5</v>
      </c>
      <c r="H584" t="n">
        <v>0</v>
      </c>
      <c r="I584" t="n">
        <v>0</v>
      </c>
      <c r="J584" t="n">
        <v>0</v>
      </c>
      <c r="K584" t="n">
        <v>0</v>
      </c>
      <c r="L584" t="n">
        <v>0</v>
      </c>
      <c r="M584" t="n">
        <v>0</v>
      </c>
      <c r="N584" t="n">
        <v>0</v>
      </c>
      <c r="O584" t="n">
        <v>0</v>
      </c>
      <c r="P584" t="n">
        <v>0</v>
      </c>
      <c r="Q584" t="n">
        <v>0</v>
      </c>
      <c r="R584" s="2" t="inlineStr"/>
    </row>
    <row r="585" ht="15" customHeight="1">
      <c r="A585" t="inlineStr">
        <is>
          <t>A 6207-2026</t>
        </is>
      </c>
      <c r="B585" s="1" t="n">
        <v>46055.42083333333</v>
      </c>
      <c r="C585" s="1" t="n">
        <v>46077</v>
      </c>
      <c r="D585" t="inlineStr">
        <is>
          <t>GOTLANDS LÄN</t>
        </is>
      </c>
      <c r="E585" t="inlineStr">
        <is>
          <t>GOTLAND</t>
        </is>
      </c>
      <c r="G585" t="n">
        <v>7.6</v>
      </c>
      <c r="H585" t="n">
        <v>0</v>
      </c>
      <c r="I585" t="n">
        <v>0</v>
      </c>
      <c r="J585" t="n">
        <v>0</v>
      </c>
      <c r="K585" t="n">
        <v>0</v>
      </c>
      <c r="L585" t="n">
        <v>0</v>
      </c>
      <c r="M585" t="n">
        <v>0</v>
      </c>
      <c r="N585" t="n">
        <v>0</v>
      </c>
      <c r="O585" t="n">
        <v>0</v>
      </c>
      <c r="P585" t="n">
        <v>0</v>
      </c>
      <c r="Q585" t="n">
        <v>0</v>
      </c>
      <c r="R585" s="2" t="inlineStr"/>
    </row>
    <row r="586" ht="15" customHeight="1">
      <c r="A586" t="inlineStr">
        <is>
          <t>A 6739-2025</t>
        </is>
      </c>
      <c r="B586" s="1" t="n">
        <v>45700</v>
      </c>
      <c r="C586" s="1" t="n">
        <v>46077</v>
      </c>
      <c r="D586" t="inlineStr">
        <is>
          <t>GOTLANDS LÄN</t>
        </is>
      </c>
      <c r="E586" t="inlineStr">
        <is>
          <t>GOTLAND</t>
        </is>
      </c>
      <c r="G586" t="n">
        <v>4.5</v>
      </c>
      <c r="H586" t="n">
        <v>0</v>
      </c>
      <c r="I586" t="n">
        <v>0</v>
      </c>
      <c r="J586" t="n">
        <v>0</v>
      </c>
      <c r="K586" t="n">
        <v>0</v>
      </c>
      <c r="L586" t="n">
        <v>0</v>
      </c>
      <c r="M586" t="n">
        <v>0</v>
      </c>
      <c r="N586" t="n">
        <v>0</v>
      </c>
      <c r="O586" t="n">
        <v>0</v>
      </c>
      <c r="P586" t="n">
        <v>0</v>
      </c>
      <c r="Q586" t="n">
        <v>0</v>
      </c>
      <c r="R586" s="2" t="inlineStr"/>
    </row>
    <row r="587" ht="15" customHeight="1">
      <c r="A587" t="inlineStr">
        <is>
          <t>A 7850-2025</t>
        </is>
      </c>
      <c r="B587" s="1" t="n">
        <v>45706</v>
      </c>
      <c r="C587" s="1" t="n">
        <v>46077</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6960-2026</t>
        </is>
      </c>
      <c r="B588" s="1" t="n">
        <v>46057.58105324074</v>
      </c>
      <c r="C588" s="1" t="n">
        <v>46077</v>
      </c>
      <c r="D588" t="inlineStr">
        <is>
          <t>GOTLANDS LÄN</t>
        </is>
      </c>
      <c r="E588" t="inlineStr">
        <is>
          <t>GOTLAND</t>
        </is>
      </c>
      <c r="F588" t="inlineStr">
        <is>
          <t>Kyrkan</t>
        </is>
      </c>
      <c r="G588" t="n">
        <v>2.4</v>
      </c>
      <c r="H588" t="n">
        <v>0</v>
      </c>
      <c r="I588" t="n">
        <v>0</v>
      </c>
      <c r="J588" t="n">
        <v>0</v>
      </c>
      <c r="K588" t="n">
        <v>0</v>
      </c>
      <c r="L588" t="n">
        <v>0</v>
      </c>
      <c r="M588" t="n">
        <v>0</v>
      </c>
      <c r="N588" t="n">
        <v>0</v>
      </c>
      <c r="O588" t="n">
        <v>0</v>
      </c>
      <c r="P588" t="n">
        <v>0</v>
      </c>
      <c r="Q588" t="n">
        <v>0</v>
      </c>
      <c r="R588" s="2" t="inlineStr"/>
    </row>
    <row r="589" ht="15" customHeight="1">
      <c r="A589" t="inlineStr">
        <is>
          <t>A 6959-2026</t>
        </is>
      </c>
      <c r="B589" s="1" t="n">
        <v>46057.580625</v>
      </c>
      <c r="C589" s="1" t="n">
        <v>46077</v>
      </c>
      <c r="D589" t="inlineStr">
        <is>
          <t>GOTLANDS LÄN</t>
        </is>
      </c>
      <c r="E589" t="inlineStr">
        <is>
          <t>GOTLAND</t>
        </is>
      </c>
      <c r="F589" t="inlineStr">
        <is>
          <t>Kyrkan</t>
        </is>
      </c>
      <c r="G589" t="n">
        <v>1.2</v>
      </c>
      <c r="H589" t="n">
        <v>0</v>
      </c>
      <c r="I589" t="n">
        <v>0</v>
      </c>
      <c r="J589" t="n">
        <v>0</v>
      </c>
      <c r="K589" t="n">
        <v>0</v>
      </c>
      <c r="L589" t="n">
        <v>0</v>
      </c>
      <c r="M589" t="n">
        <v>0</v>
      </c>
      <c r="N589" t="n">
        <v>0</v>
      </c>
      <c r="O589" t="n">
        <v>0</v>
      </c>
      <c r="P589" t="n">
        <v>0</v>
      </c>
      <c r="Q589" t="n">
        <v>0</v>
      </c>
      <c r="R589" s="2" t="inlineStr"/>
    </row>
    <row r="590" ht="15" customHeight="1">
      <c r="A590" t="inlineStr">
        <is>
          <t>A 8444-2025</t>
        </is>
      </c>
      <c r="B590" s="1" t="n">
        <v>45709</v>
      </c>
      <c r="C590" s="1" t="n">
        <v>46077</v>
      </c>
      <c r="D590" t="inlineStr">
        <is>
          <t>GOTLANDS LÄN</t>
        </is>
      </c>
      <c r="E590" t="inlineStr">
        <is>
          <t>GOTLAND</t>
        </is>
      </c>
      <c r="G590" t="n">
        <v>5.2</v>
      </c>
      <c r="H590" t="n">
        <v>0</v>
      </c>
      <c r="I590" t="n">
        <v>0</v>
      </c>
      <c r="J590" t="n">
        <v>0</v>
      </c>
      <c r="K590" t="n">
        <v>0</v>
      </c>
      <c r="L590" t="n">
        <v>0</v>
      </c>
      <c r="M590" t="n">
        <v>0</v>
      </c>
      <c r="N590" t="n">
        <v>0</v>
      </c>
      <c r="O590" t="n">
        <v>0</v>
      </c>
      <c r="P590" t="n">
        <v>0</v>
      </c>
      <c r="Q590" t="n">
        <v>0</v>
      </c>
      <c r="R590" s="2" t="inlineStr"/>
    </row>
    <row r="591" ht="15" customHeight="1">
      <c r="A591" t="inlineStr">
        <is>
          <t>A 38649-2025</t>
        </is>
      </c>
      <c r="B591" s="1" t="n">
        <v>45884</v>
      </c>
      <c r="C591" s="1" t="n">
        <v>46077</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19905-2025</t>
        </is>
      </c>
      <c r="B592" s="1" t="n">
        <v>45771</v>
      </c>
      <c r="C592" s="1" t="n">
        <v>46077</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29196-2025</t>
        </is>
      </c>
      <c r="B593" s="1" t="n">
        <v>45822</v>
      </c>
      <c r="C593" s="1" t="n">
        <v>46077</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61078-2025</t>
        </is>
      </c>
      <c r="B594" s="1" t="n">
        <v>46000</v>
      </c>
      <c r="C594" s="1" t="n">
        <v>46077</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7625-2026</t>
        </is>
      </c>
      <c r="B595" s="1" t="n">
        <v>46062.35135416667</v>
      </c>
      <c r="C595" s="1" t="n">
        <v>46077</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7627-2026</t>
        </is>
      </c>
      <c r="B596" s="1" t="n">
        <v>46062.35465277778</v>
      </c>
      <c r="C596" s="1" t="n">
        <v>46077</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29207-2025</t>
        </is>
      </c>
      <c r="B597" s="1" t="n">
        <v>45823</v>
      </c>
      <c r="C597" s="1" t="n">
        <v>46077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30061-2025</t>
        </is>
      </c>
      <c r="B598" s="1" t="n">
        <v>45826.61488425926</v>
      </c>
      <c r="C598" s="1" t="n">
        <v>46077</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58160-2024</t>
        </is>
      </c>
      <c r="B599" s="1" t="n">
        <v>45632.44927083333</v>
      </c>
      <c r="C599" s="1" t="n">
        <v>46077</v>
      </c>
      <c r="D599" t="inlineStr">
        <is>
          <t>GOTLANDS LÄN</t>
        </is>
      </c>
      <c r="E599" t="inlineStr">
        <is>
          <t>GOTLAND</t>
        </is>
      </c>
      <c r="G599" t="n">
        <v>5.6</v>
      </c>
      <c r="H599" t="n">
        <v>0</v>
      </c>
      <c r="I599" t="n">
        <v>0</v>
      </c>
      <c r="J599" t="n">
        <v>0</v>
      </c>
      <c r="K599" t="n">
        <v>0</v>
      </c>
      <c r="L599" t="n">
        <v>0</v>
      </c>
      <c r="M599" t="n">
        <v>0</v>
      </c>
      <c r="N599" t="n">
        <v>0</v>
      </c>
      <c r="O599" t="n">
        <v>0</v>
      </c>
      <c r="P599" t="n">
        <v>0</v>
      </c>
      <c r="Q599" t="n">
        <v>0</v>
      </c>
      <c r="R599" s="2" t="inlineStr"/>
    </row>
    <row r="600" ht="15" customHeight="1">
      <c r="A600" t="inlineStr">
        <is>
          <t>A 36-2026</t>
        </is>
      </c>
      <c r="B600" s="1" t="n">
        <v>46024.38886574074</v>
      </c>
      <c r="C600" s="1" t="n">
        <v>46077</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62674-2025</t>
        </is>
      </c>
      <c r="B601" s="1" t="n">
        <v>46008</v>
      </c>
      <c r="C601" s="1" t="n">
        <v>46077</v>
      </c>
      <c r="D601" t="inlineStr">
        <is>
          <t>GOTLANDS LÄN</t>
        </is>
      </c>
      <c r="E601" t="inlineStr">
        <is>
          <t>GOTLAND</t>
        </is>
      </c>
      <c r="G601" t="n">
        <v>5</v>
      </c>
      <c r="H601" t="n">
        <v>0</v>
      </c>
      <c r="I601" t="n">
        <v>0</v>
      </c>
      <c r="J601" t="n">
        <v>0</v>
      </c>
      <c r="K601" t="n">
        <v>0</v>
      </c>
      <c r="L601" t="n">
        <v>0</v>
      </c>
      <c r="M601" t="n">
        <v>0</v>
      </c>
      <c r="N601" t="n">
        <v>0</v>
      </c>
      <c r="O601" t="n">
        <v>0</v>
      </c>
      <c r="P601" t="n">
        <v>0</v>
      </c>
      <c r="Q601" t="n">
        <v>0</v>
      </c>
      <c r="R601" s="2" t="inlineStr"/>
    </row>
    <row r="602" ht="15" customHeight="1">
      <c r="A602" t="inlineStr">
        <is>
          <t>A 53561-2025</t>
        </is>
      </c>
      <c r="B602" s="1" t="n">
        <v>45960.4059375</v>
      </c>
      <c r="C602" s="1" t="n">
        <v>46077</v>
      </c>
      <c r="D602" t="inlineStr">
        <is>
          <t>GOTLANDS LÄN</t>
        </is>
      </c>
      <c r="E602" t="inlineStr">
        <is>
          <t>GOTLAND</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60384-2025</t>
        </is>
      </c>
      <c r="B603" s="1" t="n">
        <v>45995</v>
      </c>
      <c r="C603" s="1" t="n">
        <v>46077</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53587-2025</t>
        </is>
      </c>
      <c r="B604" s="1" t="n">
        <v>45960.43681712963</v>
      </c>
      <c r="C604" s="1" t="n">
        <v>46077</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32379-2025</t>
        </is>
      </c>
      <c r="B605" s="1" t="n">
        <v>45837</v>
      </c>
      <c r="C605" s="1" t="n">
        <v>46077</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9543-2026</t>
        </is>
      </c>
      <c r="B606" s="1" t="n">
        <v>46071.62486111111</v>
      </c>
      <c r="C606" s="1" t="n">
        <v>46077</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32467-2025</t>
        </is>
      </c>
      <c r="B607" s="1" t="n">
        <v>45838.42111111111</v>
      </c>
      <c r="C607" s="1" t="n">
        <v>46077</v>
      </c>
      <c r="D607" t="inlineStr">
        <is>
          <t>GOTLANDS LÄN</t>
        </is>
      </c>
      <c r="E607" t="inlineStr">
        <is>
          <t>GOTLAND</t>
        </is>
      </c>
      <c r="G607" t="n">
        <v>4.3</v>
      </c>
      <c r="H607" t="n">
        <v>0</v>
      </c>
      <c r="I607" t="n">
        <v>0</v>
      </c>
      <c r="J607" t="n">
        <v>0</v>
      </c>
      <c r="K607" t="n">
        <v>0</v>
      </c>
      <c r="L607" t="n">
        <v>0</v>
      </c>
      <c r="M607" t="n">
        <v>0</v>
      </c>
      <c r="N607" t="n">
        <v>0</v>
      </c>
      <c r="O607" t="n">
        <v>0</v>
      </c>
      <c r="P607" t="n">
        <v>0</v>
      </c>
      <c r="Q607" t="n">
        <v>0</v>
      </c>
      <c r="R607" s="2" t="inlineStr"/>
    </row>
    <row r="608" ht="15" customHeight="1">
      <c r="A608" t="inlineStr">
        <is>
          <t>A 9521-2026</t>
        </is>
      </c>
      <c r="B608" s="1" t="n">
        <v>46071.59969907408</v>
      </c>
      <c r="C608" s="1" t="n">
        <v>46077</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9524-2026</t>
        </is>
      </c>
      <c r="B609" s="1" t="n">
        <v>46071.60108796296</v>
      </c>
      <c r="C609" s="1" t="n">
        <v>46077</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16109-2025</t>
        </is>
      </c>
      <c r="B610" s="1" t="n">
        <v>45750</v>
      </c>
      <c r="C610" s="1" t="n">
        <v>46077</v>
      </c>
      <c r="D610" t="inlineStr">
        <is>
          <t>GOTLANDS LÄN</t>
        </is>
      </c>
      <c r="E610" t="inlineStr">
        <is>
          <t>GOTLAND</t>
        </is>
      </c>
      <c r="G610" t="n">
        <v>4.9</v>
      </c>
      <c r="H610" t="n">
        <v>0</v>
      </c>
      <c r="I610" t="n">
        <v>0</v>
      </c>
      <c r="J610" t="n">
        <v>0</v>
      </c>
      <c r="K610" t="n">
        <v>0</v>
      </c>
      <c r="L610" t="n">
        <v>0</v>
      </c>
      <c r="M610" t="n">
        <v>0</v>
      </c>
      <c r="N610" t="n">
        <v>0</v>
      </c>
      <c r="O610" t="n">
        <v>0</v>
      </c>
      <c r="P610" t="n">
        <v>0</v>
      </c>
      <c r="Q610" t="n">
        <v>0</v>
      </c>
      <c r="R610" s="2" t="inlineStr"/>
    </row>
    <row r="611" ht="15" customHeight="1">
      <c r="A611" t="inlineStr">
        <is>
          <t>A 9518-2026</t>
        </is>
      </c>
      <c r="B611" s="1" t="n">
        <v>46071.59653935185</v>
      </c>
      <c r="C611" s="1" t="n">
        <v>46077</v>
      </c>
      <c r="D611" t="inlineStr">
        <is>
          <t>GOTLANDS LÄN</t>
        </is>
      </c>
      <c r="E611" t="inlineStr">
        <is>
          <t>GOTLAND</t>
        </is>
      </c>
      <c r="G611" t="n">
        <v>6.2</v>
      </c>
      <c r="H611" t="n">
        <v>0</v>
      </c>
      <c r="I611" t="n">
        <v>0</v>
      </c>
      <c r="J611" t="n">
        <v>0</v>
      </c>
      <c r="K611" t="n">
        <v>0</v>
      </c>
      <c r="L611" t="n">
        <v>0</v>
      </c>
      <c r="M611" t="n">
        <v>0</v>
      </c>
      <c r="N611" t="n">
        <v>0</v>
      </c>
      <c r="O611" t="n">
        <v>0</v>
      </c>
      <c r="P611" t="n">
        <v>0</v>
      </c>
      <c r="Q611" t="n">
        <v>0</v>
      </c>
      <c r="R611" s="2" t="inlineStr"/>
    </row>
    <row r="612" ht="15" customHeight="1">
      <c r="A612" t="inlineStr">
        <is>
          <t>A 33007-2025</t>
        </is>
      </c>
      <c r="B612" s="1" t="n">
        <v>45840</v>
      </c>
      <c r="C612" s="1" t="n">
        <v>46077</v>
      </c>
      <c r="D612" t="inlineStr">
        <is>
          <t>GOTLANDS LÄN</t>
        </is>
      </c>
      <c r="E612" t="inlineStr">
        <is>
          <t>GOTLAND</t>
        </is>
      </c>
      <c r="G612" t="n">
        <v>4.9</v>
      </c>
      <c r="H612" t="n">
        <v>0</v>
      </c>
      <c r="I612" t="n">
        <v>0</v>
      </c>
      <c r="J612" t="n">
        <v>0</v>
      </c>
      <c r="K612" t="n">
        <v>0</v>
      </c>
      <c r="L612" t="n">
        <v>0</v>
      </c>
      <c r="M612" t="n">
        <v>0</v>
      </c>
      <c r="N612" t="n">
        <v>0</v>
      </c>
      <c r="O612" t="n">
        <v>0</v>
      </c>
      <c r="P612" t="n">
        <v>0</v>
      </c>
      <c r="Q612" t="n">
        <v>0</v>
      </c>
      <c r="R612" s="2" t="inlineStr"/>
    </row>
    <row r="613" ht="15" customHeight="1">
      <c r="A613" t="inlineStr">
        <is>
          <t>A 9519-2026</t>
        </is>
      </c>
      <c r="B613" s="1" t="n">
        <v>46071.59820601852</v>
      </c>
      <c r="C613" s="1" t="n">
        <v>46077</v>
      </c>
      <c r="D613" t="inlineStr">
        <is>
          <t>GOTLANDS LÄN</t>
        </is>
      </c>
      <c r="E613" t="inlineStr">
        <is>
          <t>GOTLAND</t>
        </is>
      </c>
      <c r="G613" t="n">
        <v>4</v>
      </c>
      <c r="H613" t="n">
        <v>0</v>
      </c>
      <c r="I613" t="n">
        <v>0</v>
      </c>
      <c r="J613" t="n">
        <v>0</v>
      </c>
      <c r="K613" t="n">
        <v>0</v>
      </c>
      <c r="L613" t="n">
        <v>0</v>
      </c>
      <c r="M613" t="n">
        <v>0</v>
      </c>
      <c r="N613" t="n">
        <v>0</v>
      </c>
      <c r="O613" t="n">
        <v>0</v>
      </c>
      <c r="P613" t="n">
        <v>0</v>
      </c>
      <c r="Q613" t="n">
        <v>0</v>
      </c>
      <c r="R613" s="2" t="inlineStr"/>
    </row>
    <row r="614" ht="15" customHeight="1">
      <c r="A614" t="inlineStr">
        <is>
          <t>A 9540-2026</t>
        </is>
      </c>
      <c r="B614" s="1" t="n">
        <v>46071.61961805556</v>
      </c>
      <c r="C614" s="1" t="n">
        <v>46077</v>
      </c>
      <c r="D614" t="inlineStr">
        <is>
          <t>GOTLANDS LÄN</t>
        </is>
      </c>
      <c r="E614" t="inlineStr">
        <is>
          <t>GOTLAND</t>
        </is>
      </c>
      <c r="G614" t="n">
        <v>2.8</v>
      </c>
      <c r="H614" t="n">
        <v>0</v>
      </c>
      <c r="I614" t="n">
        <v>0</v>
      </c>
      <c r="J614" t="n">
        <v>0</v>
      </c>
      <c r="K614" t="n">
        <v>0</v>
      </c>
      <c r="L614" t="n">
        <v>0</v>
      </c>
      <c r="M614" t="n">
        <v>0</v>
      </c>
      <c r="N614" t="n">
        <v>0</v>
      </c>
      <c r="O614" t="n">
        <v>0</v>
      </c>
      <c r="P614" t="n">
        <v>0</v>
      </c>
      <c r="Q614" t="n">
        <v>0</v>
      </c>
      <c r="R614" s="2" t="inlineStr"/>
    </row>
    <row r="615" ht="15" customHeight="1">
      <c r="A615" t="inlineStr">
        <is>
          <t>A 9504-2026</t>
        </is>
      </c>
      <c r="B615" s="1" t="n">
        <v>46071.57730324074</v>
      </c>
      <c r="C615" s="1" t="n">
        <v>46077</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63105-2025</t>
        </is>
      </c>
      <c r="B616" s="1" t="n">
        <v>46009</v>
      </c>
      <c r="C616" s="1" t="n">
        <v>46077</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63152-2025</t>
        </is>
      </c>
      <c r="B617" s="1" t="n">
        <v>46010</v>
      </c>
      <c r="C617" s="1" t="n">
        <v>46077</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62754-2025</t>
        </is>
      </c>
      <c r="B618" s="1" t="n">
        <v>46008</v>
      </c>
      <c r="C618" s="1" t="n">
        <v>46077</v>
      </c>
      <c r="D618" t="inlineStr">
        <is>
          <t>GOTLANDS LÄN</t>
        </is>
      </c>
      <c r="E618" t="inlineStr">
        <is>
          <t>GOTLAND</t>
        </is>
      </c>
      <c r="F618" t="inlineStr">
        <is>
          <t>Övriga Aktiebolag</t>
        </is>
      </c>
      <c r="G618" t="n">
        <v>2.9</v>
      </c>
      <c r="H618" t="n">
        <v>0</v>
      </c>
      <c r="I618" t="n">
        <v>0</v>
      </c>
      <c r="J618" t="n">
        <v>0</v>
      </c>
      <c r="K618" t="n">
        <v>0</v>
      </c>
      <c r="L618" t="n">
        <v>0</v>
      </c>
      <c r="M618" t="n">
        <v>0</v>
      </c>
      <c r="N618" t="n">
        <v>0</v>
      </c>
      <c r="O618" t="n">
        <v>0</v>
      </c>
      <c r="P618" t="n">
        <v>0</v>
      </c>
      <c r="Q618" t="n">
        <v>0</v>
      </c>
      <c r="R618" s="2" t="inlineStr"/>
    </row>
    <row r="619" ht="15" customHeight="1">
      <c r="A619" t="inlineStr">
        <is>
          <t>A 62751-2025</t>
        </is>
      </c>
      <c r="B619" s="1" t="n">
        <v>46008</v>
      </c>
      <c r="C619" s="1" t="n">
        <v>46077</v>
      </c>
      <c r="D619" t="inlineStr">
        <is>
          <t>GOTLANDS LÄN</t>
        </is>
      </c>
      <c r="E619" t="inlineStr">
        <is>
          <t>GOTLAND</t>
        </is>
      </c>
      <c r="F619" t="inlineStr">
        <is>
          <t>Övriga Aktiebolag</t>
        </is>
      </c>
      <c r="G619" t="n">
        <v>7.8</v>
      </c>
      <c r="H619" t="n">
        <v>0</v>
      </c>
      <c r="I619" t="n">
        <v>0</v>
      </c>
      <c r="J619" t="n">
        <v>0</v>
      </c>
      <c r="K619" t="n">
        <v>0</v>
      </c>
      <c r="L619" t="n">
        <v>0</v>
      </c>
      <c r="M619" t="n">
        <v>0</v>
      </c>
      <c r="N619" t="n">
        <v>0</v>
      </c>
      <c r="O619" t="n">
        <v>0</v>
      </c>
      <c r="P619" t="n">
        <v>0</v>
      </c>
      <c r="Q619" t="n">
        <v>0</v>
      </c>
      <c r="R619" s="2" t="inlineStr"/>
    </row>
    <row r="620" ht="15" customHeight="1">
      <c r="A620" t="inlineStr">
        <is>
          <t>A 9901-2026</t>
        </is>
      </c>
      <c r="B620" s="1" t="n">
        <v>46073.40391203704</v>
      </c>
      <c r="C620" s="1" t="n">
        <v>46077</v>
      </c>
      <c r="D620" t="inlineStr">
        <is>
          <t>GOTLANDS LÄN</t>
        </is>
      </c>
      <c r="E620" t="inlineStr">
        <is>
          <t>GOTLAND</t>
        </is>
      </c>
      <c r="F620" t="inlineStr">
        <is>
          <t>Kyrkan</t>
        </is>
      </c>
      <c r="G620" t="n">
        <v>0.9</v>
      </c>
      <c r="H620" t="n">
        <v>0</v>
      </c>
      <c r="I620" t="n">
        <v>0</v>
      </c>
      <c r="J620" t="n">
        <v>0</v>
      </c>
      <c r="K620" t="n">
        <v>0</v>
      </c>
      <c r="L620" t="n">
        <v>0</v>
      </c>
      <c r="M620" t="n">
        <v>0</v>
      </c>
      <c r="N620" t="n">
        <v>0</v>
      </c>
      <c r="O620" t="n">
        <v>0</v>
      </c>
      <c r="P620" t="n">
        <v>0</v>
      </c>
      <c r="Q620" t="n">
        <v>0</v>
      </c>
      <c r="R620" s="2" t="inlineStr"/>
    </row>
    <row r="621" ht="15" customHeight="1">
      <c r="A621" t="inlineStr">
        <is>
          <t>A 15413-2025</t>
        </is>
      </c>
      <c r="B621" s="1" t="n">
        <v>45747.451875</v>
      </c>
      <c r="C621" s="1" t="n">
        <v>46077</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10284-2026</t>
        </is>
      </c>
      <c r="B622" s="1" t="n">
        <v>46076.59853009259</v>
      </c>
      <c r="C622" s="1" t="n">
        <v>46077</v>
      </c>
      <c r="D622" t="inlineStr">
        <is>
          <t>GOTLANDS LÄN</t>
        </is>
      </c>
      <c r="E622" t="inlineStr">
        <is>
          <t>GOTLAND</t>
        </is>
      </c>
      <c r="G622" t="n">
        <v>5.2</v>
      </c>
      <c r="H622" t="n">
        <v>0</v>
      </c>
      <c r="I622" t="n">
        <v>0</v>
      </c>
      <c r="J622" t="n">
        <v>0</v>
      </c>
      <c r="K622" t="n">
        <v>0</v>
      </c>
      <c r="L622" t="n">
        <v>0</v>
      </c>
      <c r="M622" t="n">
        <v>0</v>
      </c>
      <c r="N622" t="n">
        <v>0</v>
      </c>
      <c r="O622" t="n">
        <v>0</v>
      </c>
      <c r="P622" t="n">
        <v>0</v>
      </c>
      <c r="Q622" t="n">
        <v>0</v>
      </c>
      <c r="R622" s="2" t="inlineStr"/>
    </row>
    <row r="623" ht="15" customHeight="1">
      <c r="A623" t="inlineStr">
        <is>
          <t>A 62836-2025</t>
        </is>
      </c>
      <c r="B623" s="1" t="n">
        <v>46008</v>
      </c>
      <c r="C623" s="1" t="n">
        <v>46077</v>
      </c>
      <c r="D623" t="inlineStr">
        <is>
          <t>GOTLANDS LÄN</t>
        </is>
      </c>
      <c r="E623" t="inlineStr">
        <is>
          <t>GOTLAND</t>
        </is>
      </c>
      <c r="G623" t="n">
        <v>6.5</v>
      </c>
      <c r="H623" t="n">
        <v>0</v>
      </c>
      <c r="I623" t="n">
        <v>0</v>
      </c>
      <c r="J623" t="n">
        <v>0</v>
      </c>
      <c r="K623" t="n">
        <v>0</v>
      </c>
      <c r="L623" t="n">
        <v>0</v>
      </c>
      <c r="M623" t="n">
        <v>0</v>
      </c>
      <c r="N623" t="n">
        <v>0</v>
      </c>
      <c r="O623" t="n">
        <v>0</v>
      </c>
      <c r="P623" t="n">
        <v>0</v>
      </c>
      <c r="Q623" t="n">
        <v>0</v>
      </c>
      <c r="R623" s="2" t="inlineStr"/>
    </row>
    <row r="624" ht="15" customHeight="1">
      <c r="A624" t="inlineStr">
        <is>
          <t>A 35123-2025</t>
        </is>
      </c>
      <c r="B624" s="1" t="n">
        <v>45852.614375</v>
      </c>
      <c r="C624" s="1" t="n">
        <v>46077</v>
      </c>
      <c r="D624" t="inlineStr">
        <is>
          <t>GOTLANDS LÄN</t>
        </is>
      </c>
      <c r="E624" t="inlineStr">
        <is>
          <t>GOTLAND</t>
        </is>
      </c>
      <c r="G624" t="n">
        <v>1.1</v>
      </c>
      <c r="H624" t="n">
        <v>0</v>
      </c>
      <c r="I624" t="n">
        <v>0</v>
      </c>
      <c r="J624" t="n">
        <v>0</v>
      </c>
      <c r="K624" t="n">
        <v>0</v>
      </c>
      <c r="L624" t="n">
        <v>0</v>
      </c>
      <c r="M624" t="n">
        <v>0</v>
      </c>
      <c r="N624" t="n">
        <v>0</v>
      </c>
      <c r="O624" t="n">
        <v>0</v>
      </c>
      <c r="P624" t="n">
        <v>0</v>
      </c>
      <c r="Q624" t="n">
        <v>0</v>
      </c>
      <c r="R624" s="2" t="inlineStr"/>
    </row>
    <row r="625" ht="15" customHeight="1">
      <c r="A625" t="inlineStr">
        <is>
          <t>A 35096-2025</t>
        </is>
      </c>
      <c r="B625" s="1" t="n">
        <v>45852.54356481481</v>
      </c>
      <c r="C625" s="1" t="n">
        <v>46077</v>
      </c>
      <c r="D625" t="inlineStr">
        <is>
          <t>GOTLANDS LÄN</t>
        </is>
      </c>
      <c r="E625" t="inlineStr">
        <is>
          <t>GOTLAND</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1355-2026</t>
        </is>
      </c>
      <c r="B626" s="1" t="n">
        <v>46031.59909722222</v>
      </c>
      <c r="C626" s="1" t="n">
        <v>46077</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30104-2025</t>
        </is>
      </c>
      <c r="B627" s="1" t="n">
        <v>45826.68806712963</v>
      </c>
      <c r="C627" s="1" t="n">
        <v>46077</v>
      </c>
      <c r="D627" t="inlineStr">
        <is>
          <t>GOTLANDS LÄN</t>
        </is>
      </c>
      <c r="E627" t="inlineStr">
        <is>
          <t>GOTLAND</t>
        </is>
      </c>
      <c r="G627" t="n">
        <v>15.4</v>
      </c>
      <c r="H627" t="n">
        <v>0</v>
      </c>
      <c r="I627" t="n">
        <v>0</v>
      </c>
      <c r="J627" t="n">
        <v>0</v>
      </c>
      <c r="K627" t="n">
        <v>0</v>
      </c>
      <c r="L627" t="n">
        <v>0</v>
      </c>
      <c r="M627" t="n">
        <v>0</v>
      </c>
      <c r="N627" t="n">
        <v>0</v>
      </c>
      <c r="O627" t="n">
        <v>0</v>
      </c>
      <c r="P627" t="n">
        <v>0</v>
      </c>
      <c r="Q627" t="n">
        <v>0</v>
      </c>
      <c r="R627" s="2" t="inlineStr"/>
    </row>
    <row r="628" ht="15" customHeight="1">
      <c r="A628" t="inlineStr">
        <is>
          <t>A 63000-2025</t>
        </is>
      </c>
      <c r="B628" s="1" t="n">
        <v>46009</v>
      </c>
      <c r="C628" s="1" t="n">
        <v>46077</v>
      </c>
      <c r="D628" t="inlineStr">
        <is>
          <t>GOTLANDS LÄN</t>
        </is>
      </c>
      <c r="E628" t="inlineStr">
        <is>
          <t>GOTLAND</t>
        </is>
      </c>
      <c r="F628" t="inlineStr">
        <is>
          <t>Övriga Aktiebolag</t>
        </is>
      </c>
      <c r="G628" t="n">
        <v>1.7</v>
      </c>
      <c r="H628" t="n">
        <v>0</v>
      </c>
      <c r="I628" t="n">
        <v>0</v>
      </c>
      <c r="J628" t="n">
        <v>0</v>
      </c>
      <c r="K628" t="n">
        <v>0</v>
      </c>
      <c r="L628" t="n">
        <v>0</v>
      </c>
      <c r="M628" t="n">
        <v>0</v>
      </c>
      <c r="N628" t="n">
        <v>0</v>
      </c>
      <c r="O628" t="n">
        <v>0</v>
      </c>
      <c r="P628" t="n">
        <v>0</v>
      </c>
      <c r="Q628" t="n">
        <v>0</v>
      </c>
      <c r="R628" s="2" t="inlineStr"/>
    </row>
    <row r="629" ht="15" customHeight="1">
      <c r="A629" t="inlineStr">
        <is>
          <t>A 35290-2025</t>
        </is>
      </c>
      <c r="B629" s="1" t="n">
        <v>45854.38502314815</v>
      </c>
      <c r="C629" s="1" t="n">
        <v>46077</v>
      </c>
      <c r="D629" t="inlineStr">
        <is>
          <t>GOTLANDS LÄN</t>
        </is>
      </c>
      <c r="E629" t="inlineStr">
        <is>
          <t>GOTLAND</t>
        </is>
      </c>
      <c r="G629" t="n">
        <v>5.4</v>
      </c>
      <c r="H629" t="n">
        <v>0</v>
      </c>
      <c r="I629" t="n">
        <v>0</v>
      </c>
      <c r="J629" t="n">
        <v>0</v>
      </c>
      <c r="K629" t="n">
        <v>0</v>
      </c>
      <c r="L629" t="n">
        <v>0</v>
      </c>
      <c r="M629" t="n">
        <v>0</v>
      </c>
      <c r="N629" t="n">
        <v>0</v>
      </c>
      <c r="O629" t="n">
        <v>0</v>
      </c>
      <c r="P629" t="n">
        <v>0</v>
      </c>
      <c r="Q629" t="n">
        <v>0</v>
      </c>
      <c r="R629" s="2" t="inlineStr"/>
    </row>
    <row r="630" ht="15" customHeight="1">
      <c r="A630" t="inlineStr">
        <is>
          <t>A 32669-2024</t>
        </is>
      </c>
      <c r="B630" s="1" t="n">
        <v>45514</v>
      </c>
      <c r="C630" s="1" t="n">
        <v>46077</v>
      </c>
      <c r="D630" t="inlineStr">
        <is>
          <t>GOTLANDS LÄN</t>
        </is>
      </c>
      <c r="E630" t="inlineStr">
        <is>
          <t>GOTLAND</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35537-2025</t>
        </is>
      </c>
      <c r="B631" s="1" t="n">
        <v>45856</v>
      </c>
      <c r="C631" s="1" t="n">
        <v>46077</v>
      </c>
      <c r="D631" t="inlineStr">
        <is>
          <t>GOTLANDS LÄN</t>
        </is>
      </c>
      <c r="E631" t="inlineStr">
        <is>
          <t>GOTLAND</t>
        </is>
      </c>
      <c r="G631" t="n">
        <v>16.8</v>
      </c>
      <c r="H631" t="n">
        <v>0</v>
      </c>
      <c r="I631" t="n">
        <v>0</v>
      </c>
      <c r="J631" t="n">
        <v>0</v>
      </c>
      <c r="K631" t="n">
        <v>0</v>
      </c>
      <c r="L631" t="n">
        <v>0</v>
      </c>
      <c r="M631" t="n">
        <v>0</v>
      </c>
      <c r="N631" t="n">
        <v>0</v>
      </c>
      <c r="O631" t="n">
        <v>0</v>
      </c>
      <c r="P631" t="n">
        <v>0</v>
      </c>
      <c r="Q631" t="n">
        <v>0</v>
      </c>
      <c r="R631" s="2" t="inlineStr"/>
    </row>
    <row r="632" ht="15" customHeight="1">
      <c r="A632" t="inlineStr">
        <is>
          <t>A 15216-2025</t>
        </is>
      </c>
      <c r="B632" s="1" t="n">
        <v>45744</v>
      </c>
      <c r="C632" s="1" t="n">
        <v>46077</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43790-2024</t>
        </is>
      </c>
      <c r="B633" s="1" t="n">
        <v>45571</v>
      </c>
      <c r="C633" s="1" t="n">
        <v>46077</v>
      </c>
      <c r="D633" t="inlineStr">
        <is>
          <t>GOTLANDS LÄN</t>
        </is>
      </c>
      <c r="E633" t="inlineStr">
        <is>
          <t>GOTLAND</t>
        </is>
      </c>
      <c r="G633" t="n">
        <v>3.5</v>
      </c>
      <c r="H633" t="n">
        <v>0</v>
      </c>
      <c r="I633" t="n">
        <v>0</v>
      </c>
      <c r="J633" t="n">
        <v>0</v>
      </c>
      <c r="K633" t="n">
        <v>0</v>
      </c>
      <c r="L633" t="n">
        <v>0</v>
      </c>
      <c r="M633" t="n">
        <v>0</v>
      </c>
      <c r="N633" t="n">
        <v>0</v>
      </c>
      <c r="O633" t="n">
        <v>0</v>
      </c>
      <c r="P633" t="n">
        <v>0</v>
      </c>
      <c r="Q633" t="n">
        <v>0</v>
      </c>
      <c r="R633" s="2" t="inlineStr"/>
    </row>
    <row r="634" ht="15" customHeight="1">
      <c r="A634" t="inlineStr">
        <is>
          <t>A 15001-2025</t>
        </is>
      </c>
      <c r="B634" s="1" t="n">
        <v>45743</v>
      </c>
      <c r="C634" s="1" t="n">
        <v>46077</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30488-2025</t>
        </is>
      </c>
      <c r="B635" s="1" t="n">
        <v>45830</v>
      </c>
      <c r="C635" s="1" t="n">
        <v>46077</v>
      </c>
      <c r="D635" t="inlineStr">
        <is>
          <t>GOTLANDS LÄN</t>
        </is>
      </c>
      <c r="E635" t="inlineStr">
        <is>
          <t>GOTLAND</t>
        </is>
      </c>
      <c r="F635" t="inlineStr">
        <is>
          <t>Kyrkan</t>
        </is>
      </c>
      <c r="G635" t="n">
        <v>3.9</v>
      </c>
      <c r="H635" t="n">
        <v>0</v>
      </c>
      <c r="I635" t="n">
        <v>0</v>
      </c>
      <c r="J635" t="n">
        <v>0</v>
      </c>
      <c r="K635" t="n">
        <v>0</v>
      </c>
      <c r="L635" t="n">
        <v>0</v>
      </c>
      <c r="M635" t="n">
        <v>0</v>
      </c>
      <c r="N635" t="n">
        <v>0</v>
      </c>
      <c r="O635" t="n">
        <v>0</v>
      </c>
      <c r="P635" t="n">
        <v>0</v>
      </c>
      <c r="Q635" t="n">
        <v>0</v>
      </c>
      <c r="R635" s="2" t="inlineStr"/>
    </row>
    <row r="636" ht="15" customHeight="1">
      <c r="A636" t="inlineStr">
        <is>
          <t>A 17847-2025</t>
        </is>
      </c>
      <c r="B636" s="1" t="n">
        <v>45758</v>
      </c>
      <c r="C636" s="1" t="n">
        <v>46077</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18742-2025</t>
        </is>
      </c>
      <c r="B637" s="1" t="n">
        <v>45763</v>
      </c>
      <c r="C637" s="1" t="n">
        <v>46077</v>
      </c>
      <c r="D637" t="inlineStr">
        <is>
          <t>GOTLANDS LÄN</t>
        </is>
      </c>
      <c r="E637" t="inlineStr">
        <is>
          <t>GOTLAND</t>
        </is>
      </c>
      <c r="G637" t="n">
        <v>3.4</v>
      </c>
      <c r="H637" t="n">
        <v>0</v>
      </c>
      <c r="I637" t="n">
        <v>0</v>
      </c>
      <c r="J637" t="n">
        <v>0</v>
      </c>
      <c r="K637" t="n">
        <v>0</v>
      </c>
      <c r="L637" t="n">
        <v>0</v>
      </c>
      <c r="M637" t="n">
        <v>0</v>
      </c>
      <c r="N637" t="n">
        <v>0</v>
      </c>
      <c r="O637" t="n">
        <v>0</v>
      </c>
      <c r="P637" t="n">
        <v>0</v>
      </c>
      <c r="Q637" t="n">
        <v>0</v>
      </c>
      <c r="R637" s="2" t="inlineStr"/>
    </row>
    <row r="638" ht="15" customHeight="1">
      <c r="A638" t="inlineStr">
        <is>
          <t>A 35129-2025</t>
        </is>
      </c>
      <c r="B638" s="1" t="n">
        <v>45852.63224537037</v>
      </c>
      <c r="C638" s="1" t="n">
        <v>46077</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6108-2025</t>
        </is>
      </c>
      <c r="B639" s="1" t="n">
        <v>45698.29880787037</v>
      </c>
      <c r="C639" s="1" t="n">
        <v>46077</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21142-2025</t>
        </is>
      </c>
      <c r="B640" s="1" t="n">
        <v>45779</v>
      </c>
      <c r="C640" s="1" t="n">
        <v>46077</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17343-2025</t>
        </is>
      </c>
      <c r="B641" s="1" t="n">
        <v>45756.6687037037</v>
      </c>
      <c r="C641" s="1" t="n">
        <v>46077</v>
      </c>
      <c r="D641" t="inlineStr">
        <is>
          <t>GOTLANDS LÄN</t>
        </is>
      </c>
      <c r="E641" t="inlineStr">
        <is>
          <t>GOTLAND</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18938-2025</t>
        </is>
      </c>
      <c r="B642" s="1" t="n">
        <v>45764.49172453704</v>
      </c>
      <c r="C642" s="1" t="n">
        <v>46077</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30489-2025</t>
        </is>
      </c>
      <c r="B643" s="1" t="n">
        <v>45830</v>
      </c>
      <c r="C643" s="1" t="n">
        <v>46077</v>
      </c>
      <c r="D643" t="inlineStr">
        <is>
          <t>GOTLANDS LÄN</t>
        </is>
      </c>
      <c r="E643" t="inlineStr">
        <is>
          <t>GOTLAND</t>
        </is>
      </c>
      <c r="G643" t="n">
        <v>4.6</v>
      </c>
      <c r="H643" t="n">
        <v>0</v>
      </c>
      <c r="I643" t="n">
        <v>0</v>
      </c>
      <c r="J643" t="n">
        <v>0</v>
      </c>
      <c r="K643" t="n">
        <v>0</v>
      </c>
      <c r="L643" t="n">
        <v>0</v>
      </c>
      <c r="M643" t="n">
        <v>0</v>
      </c>
      <c r="N643" t="n">
        <v>0</v>
      </c>
      <c r="O643" t="n">
        <v>0</v>
      </c>
      <c r="P643" t="n">
        <v>0</v>
      </c>
      <c r="Q643" t="n">
        <v>0</v>
      </c>
      <c r="R643" s="2" t="inlineStr"/>
    </row>
    <row r="644">
      <c r="A644" t="inlineStr">
        <is>
          <t>A 20307-2025</t>
        </is>
      </c>
      <c r="B644" s="1" t="n">
        <v>45774.95546296296</v>
      </c>
      <c r="C644" s="1" t="n">
        <v>46077</v>
      </c>
      <c r="D644" t="inlineStr">
        <is>
          <t>GOTLANDS LÄN</t>
        </is>
      </c>
      <c r="E644" t="inlineStr">
        <is>
          <t>GOTLAND</t>
        </is>
      </c>
      <c r="G644" t="n">
        <v>6.8</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2026-02-24T11:12:02Z</dcterms:created>
  <dcterms:modified xmlns:dcterms="http://purl.org/dc/terms/" xmlns:xsi="http://www.w3.org/2001/XMLSchema-instance" xsi:type="dcterms:W3CDTF">2026-02-24T11:12:02Z</dcterms:modified>
</cp:coreProperties>
</file>