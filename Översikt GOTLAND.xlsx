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45913</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45913</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45913</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45913</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45913</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45913</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8645-2025</t>
        </is>
      </c>
      <c r="B13" s="1" t="n">
        <v>45712</v>
      </c>
      <c r="C13" s="1" t="n">
        <v>45913</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45913</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45913</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45913</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45913</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62132-2023</t>
        </is>
      </c>
      <c r="B18" s="1" t="n">
        <v>45267</v>
      </c>
      <c r="C18" s="1" t="n">
        <v>45913</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45913</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45913</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17762-2024</t>
        </is>
      </c>
      <c r="B21" s="1" t="n">
        <v>45418</v>
      </c>
      <c r="C21" s="1" t="n">
        <v>45913</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25779-2022</t>
        </is>
      </c>
      <c r="B22" s="1" t="n">
        <v>44733</v>
      </c>
      <c r="C22" s="1" t="n">
        <v>45913</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45913</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33728-2025</t>
        </is>
      </c>
      <c r="B24" s="1" t="n">
        <v>45842.29344907407</v>
      </c>
      <c r="C24" s="1" t="n">
        <v>45913</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45913</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45913</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44928-2022</t>
        </is>
      </c>
      <c r="B27" s="1" t="n">
        <v>44841</v>
      </c>
      <c r="C27" s="1" t="n">
        <v>45913</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45913</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35141-2022</t>
        </is>
      </c>
      <c r="B29" s="1" t="n">
        <v>44797.53318287037</v>
      </c>
      <c r="C29" s="1" t="n">
        <v>45913</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445-2023</t>
        </is>
      </c>
      <c r="B30" s="1" t="n">
        <v>44929</v>
      </c>
      <c r="C30" s="1" t="n">
        <v>45913</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45913</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45913</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45913</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45913</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45913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45913</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45913</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45913</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45913</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45913</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45913</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45913</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45913</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45913</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45913</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45913</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45913</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45913</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45913</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45913</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45913</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45913</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45913</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45913</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45913</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6960-2025</t>
        </is>
      </c>
      <c r="B56" s="1" t="n">
        <v>45701.49409722222</v>
      </c>
      <c r="C56" s="1" t="n">
        <v>45913</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25205-2021</t>
        </is>
      </c>
      <c r="B57" s="1" t="n">
        <v>44342</v>
      </c>
      <c r="C57" s="1" t="n">
        <v>45913</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45913</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45913</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65819-2020</t>
        </is>
      </c>
      <c r="B60" s="1" t="n">
        <v>44174</v>
      </c>
      <c r="C60" s="1" t="n">
        <v>45913</v>
      </c>
      <c r="D60" t="inlineStr">
        <is>
          <t>GOTLANDS LÄN</t>
        </is>
      </c>
      <c r="E60" t="inlineStr">
        <is>
          <t>GOTLAND</t>
        </is>
      </c>
      <c r="G60" t="n">
        <v>4.3</v>
      </c>
      <c r="H60" t="n">
        <v>1</v>
      </c>
      <c r="I60" t="n">
        <v>3</v>
      </c>
      <c r="J60" t="n">
        <v>1</v>
      </c>
      <c r="K60" t="n">
        <v>2</v>
      </c>
      <c r="L60" t="n">
        <v>0</v>
      </c>
      <c r="M60" t="n">
        <v>0</v>
      </c>
      <c r="N60" t="n">
        <v>0</v>
      </c>
      <c r="O60" t="n">
        <v>3</v>
      </c>
      <c r="P60" t="n">
        <v>2</v>
      </c>
      <c r="Q60" t="n">
        <v>6</v>
      </c>
      <c r="R60" s="2" t="inlineStr">
        <is>
          <t>Tallvaxskivling
Vit taggsvamp
Skugglosta
Blå slemspindling
Kattfotslav
Nästrot</t>
        </is>
      </c>
      <c r="S60">
        <f>HYPERLINK("https://klasma.github.io/Logging_0980/artfynd/A 65819-2020 artfynd.xlsx", "A 65819-2020")</f>
        <v/>
      </c>
      <c r="T60">
        <f>HYPERLINK("https://klasma.github.io/Logging_0980/kartor/A 65819-2020 karta.png", "A 65819-2020")</f>
        <v/>
      </c>
      <c r="V60">
        <f>HYPERLINK("https://klasma.github.io/Logging_0980/klagomål/A 65819-2020 FSC-klagomål.docx", "A 65819-2020")</f>
        <v/>
      </c>
      <c r="W60">
        <f>HYPERLINK("https://klasma.github.io/Logging_0980/klagomålsmail/A 65819-2020 FSC-klagomål mail.docx", "A 65819-2020")</f>
        <v/>
      </c>
      <c r="X60">
        <f>HYPERLINK("https://klasma.github.io/Logging_0980/tillsyn/A 65819-2020 tillsynsbegäran.docx", "A 65819-2020")</f>
        <v/>
      </c>
      <c r="Y60">
        <f>HYPERLINK("https://klasma.github.io/Logging_0980/tillsynsmail/A 65819-2020 tillsynsbegäran mail.docx", "A 65819-2020")</f>
        <v/>
      </c>
    </row>
    <row r="61" ht="15" customHeight="1">
      <c r="A61" t="inlineStr">
        <is>
          <t>A 7038-2023</t>
        </is>
      </c>
      <c r="B61" s="1" t="n">
        <v>44968</v>
      </c>
      <c r="C61" s="1" t="n">
        <v>45913</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54527-2023</t>
        </is>
      </c>
      <c r="B62" s="1" t="n">
        <v>45233</v>
      </c>
      <c r="C62" s="1" t="n">
        <v>45913</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45913</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16823-2024</t>
        </is>
      </c>
      <c r="B64" s="1" t="n">
        <v>45411</v>
      </c>
      <c r="C64" s="1" t="n">
        <v>45913</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66091-2021</t>
        </is>
      </c>
      <c r="B65" s="1" t="n">
        <v>44517</v>
      </c>
      <c r="C65" s="1" t="n">
        <v>45913</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45913</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45913</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45913</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45913</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44944-2022</t>
        </is>
      </c>
      <c r="B70" s="1" t="n">
        <v>44841</v>
      </c>
      <c r="C70" s="1" t="n">
        <v>45913</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35293-2025</t>
        </is>
      </c>
      <c r="B71" s="1" t="n">
        <v>45854.39438657407</v>
      </c>
      <c r="C71" s="1" t="n">
        <v>45913</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2213-2023</t>
        </is>
      </c>
      <c r="B72" s="1" t="n">
        <v>44942</v>
      </c>
      <c r="C72" s="1" t="n">
        <v>45913</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32326-2024</t>
        </is>
      </c>
      <c r="B73" s="1" t="n">
        <v>45512</v>
      </c>
      <c r="C73" s="1" t="n">
        <v>45913</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29331-2021</t>
        </is>
      </c>
      <c r="B74" s="1" t="n">
        <v>44361</v>
      </c>
      <c r="C74" s="1" t="n">
        <v>45913</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44933-2022</t>
        </is>
      </c>
      <c r="B75" s="1" t="n">
        <v>44841</v>
      </c>
      <c r="C75" s="1" t="n">
        <v>45913</v>
      </c>
      <c r="D75" t="inlineStr">
        <is>
          <t>GOTLANDS LÄN</t>
        </is>
      </c>
      <c r="E75" t="inlineStr">
        <is>
          <t>GOTLAND</t>
        </is>
      </c>
      <c r="G75" t="n">
        <v>4.5</v>
      </c>
      <c r="H75" t="n">
        <v>1</v>
      </c>
      <c r="I75" t="n">
        <v>2</v>
      </c>
      <c r="J75" t="n">
        <v>2</v>
      </c>
      <c r="K75" t="n">
        <v>0</v>
      </c>
      <c r="L75" t="n">
        <v>0</v>
      </c>
      <c r="M75" t="n">
        <v>0</v>
      </c>
      <c r="N75" t="n">
        <v>0</v>
      </c>
      <c r="O75" t="n">
        <v>2</v>
      </c>
      <c r="P75" t="n">
        <v>0</v>
      </c>
      <c r="Q75" t="n">
        <v>4</v>
      </c>
      <c r="R75" s="2" t="inlineStr">
        <is>
          <t>Ekvaxskivling
Odörspindling
Skarp dropptaggsvamp
Skogsknipprot</t>
        </is>
      </c>
      <c r="S75">
        <f>HYPERLINK("https://klasma.github.io/Logging_0980/artfynd/A 44933-2022 artfynd.xlsx", "A 44933-2022")</f>
        <v/>
      </c>
      <c r="T75">
        <f>HYPERLINK("https://klasma.github.io/Logging_0980/kartor/A 44933-2022 karta.png", "A 44933-2022")</f>
        <v/>
      </c>
      <c r="V75">
        <f>HYPERLINK("https://klasma.github.io/Logging_0980/klagomål/A 44933-2022 FSC-klagomål.docx", "A 44933-2022")</f>
        <v/>
      </c>
      <c r="W75">
        <f>HYPERLINK("https://klasma.github.io/Logging_0980/klagomålsmail/A 44933-2022 FSC-klagomål mail.docx", "A 44933-2022")</f>
        <v/>
      </c>
      <c r="X75">
        <f>HYPERLINK("https://klasma.github.io/Logging_0980/tillsyn/A 44933-2022 tillsynsbegäran.docx", "A 44933-2022")</f>
        <v/>
      </c>
      <c r="Y75">
        <f>HYPERLINK("https://klasma.github.io/Logging_0980/tillsynsmail/A 44933-2022 tillsynsbegäran mail.docx", "A 44933-2022")</f>
        <v/>
      </c>
    </row>
    <row r="76" ht="15" customHeight="1">
      <c r="A76" t="inlineStr">
        <is>
          <t>A 54523-2023</t>
        </is>
      </c>
      <c r="B76" s="1" t="n">
        <v>45233</v>
      </c>
      <c r="C76" s="1" t="n">
        <v>45913</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45913</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2485-2025</t>
        </is>
      </c>
      <c r="B78" s="1" t="n">
        <v>45673</v>
      </c>
      <c r="C78" s="1" t="n">
        <v>45913</v>
      </c>
      <c r="D78" t="inlineStr">
        <is>
          <t>GOTLANDS LÄN</t>
        </is>
      </c>
      <c r="E78" t="inlineStr">
        <is>
          <t>GOTLAND</t>
        </is>
      </c>
      <c r="G78" t="n">
        <v>5</v>
      </c>
      <c r="H78" t="n">
        <v>2</v>
      </c>
      <c r="I78" t="n">
        <v>2</v>
      </c>
      <c r="J78" t="n">
        <v>0</v>
      </c>
      <c r="K78" t="n">
        <v>2</v>
      </c>
      <c r="L78" t="n">
        <v>0</v>
      </c>
      <c r="M78" t="n">
        <v>0</v>
      </c>
      <c r="N78" t="n">
        <v>0</v>
      </c>
      <c r="O78" t="n">
        <v>2</v>
      </c>
      <c r="P78" t="n">
        <v>2</v>
      </c>
      <c r="Q78" t="n">
        <v>4</v>
      </c>
      <c r="R78" s="2" t="inlineStr">
        <is>
          <t>Gotlandsmåra
Skogskorn
Nästrot
Skogsknipprot</t>
        </is>
      </c>
      <c r="S78">
        <f>HYPERLINK("https://klasma.github.io/Logging_0980/artfynd/A 2485-2025 artfynd.xlsx", "A 2485-2025")</f>
        <v/>
      </c>
      <c r="T78">
        <f>HYPERLINK("https://klasma.github.io/Logging_0980/kartor/A 2485-2025 karta.png", "A 2485-2025")</f>
        <v/>
      </c>
      <c r="V78">
        <f>HYPERLINK("https://klasma.github.io/Logging_0980/klagomål/A 2485-2025 FSC-klagomål.docx", "A 2485-2025")</f>
        <v/>
      </c>
      <c r="W78">
        <f>HYPERLINK("https://klasma.github.io/Logging_0980/klagomålsmail/A 2485-2025 FSC-klagomål mail.docx", "A 2485-2025")</f>
        <v/>
      </c>
      <c r="X78">
        <f>HYPERLINK("https://klasma.github.io/Logging_0980/tillsyn/A 2485-2025 tillsynsbegäran.docx", "A 2485-2025")</f>
        <v/>
      </c>
      <c r="Y78">
        <f>HYPERLINK("https://klasma.github.io/Logging_0980/tillsynsmail/A 2485-2025 tillsynsbegäran mail.docx", "A 2485-2025")</f>
        <v/>
      </c>
    </row>
    <row r="79" ht="15" customHeight="1">
      <c r="A79" t="inlineStr">
        <is>
          <t>A 43197-2023</t>
        </is>
      </c>
      <c r="B79" s="1" t="n">
        <v>45183</v>
      </c>
      <c r="C79" s="1" t="n">
        <v>45913</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45913</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45913</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45913</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20833-2024</t>
        </is>
      </c>
      <c r="B83" s="1" t="n">
        <v>45439</v>
      </c>
      <c r="C83" s="1" t="n">
        <v>45913</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40099-2025</t>
        </is>
      </c>
      <c r="B84" s="1" t="n">
        <v>45894.48462962963</v>
      </c>
      <c r="C84" s="1" t="n">
        <v>45913</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8265-2023</t>
        </is>
      </c>
      <c r="B85" s="1" t="n">
        <v>44974</v>
      </c>
      <c r="C85" s="1" t="n">
        <v>45913</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186-2023</t>
        </is>
      </c>
      <c r="B86" s="1" t="n">
        <v>44928</v>
      </c>
      <c r="C86" s="1" t="n">
        <v>45913</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56717-2024</t>
        </is>
      </c>
      <c r="B87" s="1" t="n">
        <v>45628.3166550926</v>
      </c>
      <c r="C87" s="1" t="n">
        <v>45913</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55029-2020</t>
        </is>
      </c>
      <c r="B88" s="1" t="n">
        <v>44130</v>
      </c>
      <c r="C88" s="1" t="n">
        <v>45913</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45913</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45913</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45913</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45913</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45913</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48126-2022</t>
        </is>
      </c>
      <c r="B94" s="1" t="n">
        <v>44857</v>
      </c>
      <c r="C94" s="1" t="n">
        <v>45913</v>
      </c>
      <c r="D94" t="inlineStr">
        <is>
          <t>GOTLANDS LÄN</t>
        </is>
      </c>
      <c r="E94" t="inlineStr">
        <is>
          <t>GOTLAND</t>
        </is>
      </c>
      <c r="G94" t="n">
        <v>9.800000000000001</v>
      </c>
      <c r="H94" t="n">
        <v>1</v>
      </c>
      <c r="I94" t="n">
        <v>0</v>
      </c>
      <c r="J94" t="n">
        <v>3</v>
      </c>
      <c r="K94" t="n">
        <v>0</v>
      </c>
      <c r="L94" t="n">
        <v>0</v>
      </c>
      <c r="M94" t="n">
        <v>0</v>
      </c>
      <c r="N94" t="n">
        <v>0</v>
      </c>
      <c r="O94" t="n">
        <v>3</v>
      </c>
      <c r="P94" t="n">
        <v>0</v>
      </c>
      <c r="Q94" t="n">
        <v>3</v>
      </c>
      <c r="R94" s="2" t="inlineStr">
        <is>
          <t>Jordtistel
Spillkråka
Svinrot</t>
        </is>
      </c>
      <c r="S94">
        <f>HYPERLINK("https://klasma.github.io/Logging_0980/artfynd/A 48126-2022 artfynd.xlsx", "A 48126-2022")</f>
        <v/>
      </c>
      <c r="T94">
        <f>HYPERLINK("https://klasma.github.io/Logging_0980/kartor/A 48126-2022 karta.png", "A 48126-2022")</f>
        <v/>
      </c>
      <c r="V94">
        <f>HYPERLINK("https://klasma.github.io/Logging_0980/klagomål/A 48126-2022 FSC-klagomål.docx", "A 48126-2022")</f>
        <v/>
      </c>
      <c r="W94">
        <f>HYPERLINK("https://klasma.github.io/Logging_0980/klagomålsmail/A 48126-2022 FSC-klagomål mail.docx", "A 48126-2022")</f>
        <v/>
      </c>
      <c r="X94">
        <f>HYPERLINK("https://klasma.github.io/Logging_0980/tillsyn/A 48126-2022 tillsynsbegäran.docx", "A 48126-2022")</f>
        <v/>
      </c>
      <c r="Y94">
        <f>HYPERLINK("https://klasma.github.io/Logging_0980/tillsynsmail/A 48126-2022 tillsynsbegäran mail.docx", "A 48126-2022")</f>
        <v/>
      </c>
      <c r="Z94">
        <f>HYPERLINK("https://klasma.github.io/Logging_0980/fåglar/A 48126-2022 prioriterade fågelarter.docx", "A 48126-2022")</f>
        <v/>
      </c>
    </row>
    <row r="95" ht="15" customHeight="1">
      <c r="A95" t="inlineStr">
        <is>
          <t>A 32718-2021</t>
        </is>
      </c>
      <c r="B95" s="1" t="n">
        <v>44375</v>
      </c>
      <c r="C95" s="1" t="n">
        <v>45913</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17982-2023</t>
        </is>
      </c>
      <c r="B96" s="1" t="n">
        <v>45040</v>
      </c>
      <c r="C96" s="1" t="n">
        <v>45913</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17975-2024</t>
        </is>
      </c>
      <c r="B97" s="1" t="n">
        <v>45419.85546296297</v>
      </c>
      <c r="C97" s="1" t="n">
        <v>45913</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13499-2022</t>
        </is>
      </c>
      <c r="B98" s="1" t="n">
        <v>44647.79203703703</v>
      </c>
      <c r="C98" s="1" t="n">
        <v>45913</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30490-2025</t>
        </is>
      </c>
      <c r="B99" s="1" t="n">
        <v>45830</v>
      </c>
      <c r="C99" s="1" t="n">
        <v>45913</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12315-2024</t>
        </is>
      </c>
      <c r="B100" s="1" t="n">
        <v>45378.6434837963</v>
      </c>
      <c r="C100" s="1" t="n">
        <v>45913</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20831-2024</t>
        </is>
      </c>
      <c r="B101" s="1" t="n">
        <v>45439</v>
      </c>
      <c r="C101" s="1" t="n">
        <v>45913</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43013-2022</t>
        </is>
      </c>
      <c r="B102" s="1" t="n">
        <v>44833</v>
      </c>
      <c r="C102" s="1" t="n">
        <v>45913</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5235-2025</t>
        </is>
      </c>
      <c r="B103" s="1" t="n">
        <v>45692.26797453704</v>
      </c>
      <c r="C103" s="1" t="n">
        <v>45913</v>
      </c>
      <c r="D103" t="inlineStr">
        <is>
          <t>GOTLANDS LÄN</t>
        </is>
      </c>
      <c r="E103" t="inlineStr">
        <is>
          <t>GOTLAND</t>
        </is>
      </c>
      <c r="G103" t="n">
        <v>7.6</v>
      </c>
      <c r="H103" t="n">
        <v>1</v>
      </c>
      <c r="I103" t="n">
        <v>2</v>
      </c>
      <c r="J103" t="n">
        <v>1</v>
      </c>
      <c r="K103" t="n">
        <v>0</v>
      </c>
      <c r="L103" t="n">
        <v>0</v>
      </c>
      <c r="M103" t="n">
        <v>0</v>
      </c>
      <c r="N103" t="n">
        <v>0</v>
      </c>
      <c r="O103" t="n">
        <v>1</v>
      </c>
      <c r="P103" t="n">
        <v>0</v>
      </c>
      <c r="Q103" t="n">
        <v>3</v>
      </c>
      <c r="R103" s="2" t="inlineStr">
        <is>
          <t>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53552-2021</t>
        </is>
      </c>
      <c r="B104" s="1" t="n">
        <v>44468</v>
      </c>
      <c r="C104" s="1" t="n">
        <v>45913</v>
      </c>
      <c r="D104" t="inlineStr">
        <is>
          <t>GOTLANDS LÄN</t>
        </is>
      </c>
      <c r="E104" t="inlineStr">
        <is>
          <t>GOTLAND</t>
        </is>
      </c>
      <c r="G104" t="n">
        <v>6.2</v>
      </c>
      <c r="H104" t="n">
        <v>2</v>
      </c>
      <c r="I104" t="n">
        <v>0</v>
      </c>
      <c r="J104" t="n">
        <v>1</v>
      </c>
      <c r="K104" t="n">
        <v>0</v>
      </c>
      <c r="L104" t="n">
        <v>0</v>
      </c>
      <c r="M104" t="n">
        <v>0</v>
      </c>
      <c r="N104" t="n">
        <v>0</v>
      </c>
      <c r="O104" t="n">
        <v>1</v>
      </c>
      <c r="P104" t="n">
        <v>0</v>
      </c>
      <c r="Q104" t="n">
        <v>3</v>
      </c>
      <c r="R104" s="2" t="inlineStr">
        <is>
          <t>Bredbrämad bastardsvärmare
Grönvit nattviol
Gullviva</t>
        </is>
      </c>
      <c r="S104">
        <f>HYPERLINK("https://klasma.github.io/Logging_0980/artfynd/A 53552-2021 artfynd.xlsx", "A 53552-2021")</f>
        <v/>
      </c>
      <c r="T104">
        <f>HYPERLINK("https://klasma.github.io/Logging_0980/kartor/A 53552-2021 karta.png", "A 53552-2021")</f>
        <v/>
      </c>
      <c r="V104">
        <f>HYPERLINK("https://klasma.github.io/Logging_0980/klagomål/A 53552-2021 FSC-klagomål.docx", "A 53552-2021")</f>
        <v/>
      </c>
      <c r="W104">
        <f>HYPERLINK("https://klasma.github.io/Logging_0980/klagomålsmail/A 53552-2021 FSC-klagomål mail.docx", "A 53552-2021")</f>
        <v/>
      </c>
      <c r="X104">
        <f>HYPERLINK("https://klasma.github.io/Logging_0980/tillsyn/A 53552-2021 tillsynsbegäran.docx", "A 53552-2021")</f>
        <v/>
      </c>
      <c r="Y104">
        <f>HYPERLINK("https://klasma.github.io/Logging_0980/tillsynsmail/A 53552-2021 tillsynsbegäran mail.docx", "A 53552-2021")</f>
        <v/>
      </c>
    </row>
    <row r="105" ht="15" customHeight="1">
      <c r="A105" t="inlineStr">
        <is>
          <t>A 62326-2020</t>
        </is>
      </c>
      <c r="B105" s="1" t="n">
        <v>44160</v>
      </c>
      <c r="C105" s="1" t="n">
        <v>45913</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45913</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45913</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45913</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45913</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45913</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45913</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45913</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21879-2025</t>
        </is>
      </c>
      <c r="B113" s="1" t="n">
        <v>45784.40533564815</v>
      </c>
      <c r="C113" s="1" t="n">
        <v>45913</v>
      </c>
      <c r="D113" t="inlineStr">
        <is>
          <t>GOTLANDS LÄN</t>
        </is>
      </c>
      <c r="E113" t="inlineStr">
        <is>
          <t>GOTLAND</t>
        </is>
      </c>
      <c r="G113" t="n">
        <v>11.1</v>
      </c>
      <c r="H113" t="n">
        <v>0</v>
      </c>
      <c r="I113" t="n">
        <v>1</v>
      </c>
      <c r="J113" t="n">
        <v>0</v>
      </c>
      <c r="K113" t="n">
        <v>0</v>
      </c>
      <c r="L113" t="n">
        <v>1</v>
      </c>
      <c r="M113" t="n">
        <v>0</v>
      </c>
      <c r="N113" t="n">
        <v>0</v>
      </c>
      <c r="O113" t="n">
        <v>1</v>
      </c>
      <c r="P113" t="n">
        <v>1</v>
      </c>
      <c r="Q113" t="n">
        <v>2</v>
      </c>
      <c r="R113" s="2" t="inlineStr">
        <is>
          <t>Ask
Murgröna</t>
        </is>
      </c>
      <c r="S113">
        <f>HYPERLINK("https://klasma.github.io/Logging_0980/artfynd/A 21879-2025 artfynd.xlsx", "A 21879-2025")</f>
        <v/>
      </c>
      <c r="T113">
        <f>HYPERLINK("https://klasma.github.io/Logging_0980/kartor/A 21879-2025 karta.png", "A 21879-2025")</f>
        <v/>
      </c>
      <c r="V113">
        <f>HYPERLINK("https://klasma.github.io/Logging_0980/klagomål/A 21879-2025 FSC-klagomål.docx", "A 21879-2025")</f>
        <v/>
      </c>
      <c r="W113">
        <f>HYPERLINK("https://klasma.github.io/Logging_0980/klagomålsmail/A 21879-2025 FSC-klagomål mail.docx", "A 21879-2025")</f>
        <v/>
      </c>
      <c r="X113">
        <f>HYPERLINK("https://klasma.github.io/Logging_0980/tillsyn/A 21879-2025 tillsynsbegäran.docx", "A 21879-2025")</f>
        <v/>
      </c>
      <c r="Y113">
        <f>HYPERLINK("https://klasma.github.io/Logging_0980/tillsynsmail/A 21879-2025 tillsynsbegäran mail.docx", "A 21879-2025")</f>
        <v/>
      </c>
    </row>
    <row r="114" ht="15" customHeight="1">
      <c r="A114" t="inlineStr">
        <is>
          <t>A 54357-2024</t>
        </is>
      </c>
      <c r="B114" s="1" t="n">
        <v>45617.40662037037</v>
      </c>
      <c r="C114" s="1" t="n">
        <v>45913</v>
      </c>
      <c r="D114" t="inlineStr">
        <is>
          <t>GOTLANDS LÄN</t>
        </is>
      </c>
      <c r="E114" t="inlineStr">
        <is>
          <t>GOTLAND</t>
        </is>
      </c>
      <c r="G114" t="n">
        <v>1.5</v>
      </c>
      <c r="H114" t="n">
        <v>1</v>
      </c>
      <c r="I114" t="n">
        <v>0</v>
      </c>
      <c r="J114" t="n">
        <v>1</v>
      </c>
      <c r="K114" t="n">
        <v>0</v>
      </c>
      <c r="L114" t="n">
        <v>0</v>
      </c>
      <c r="M114" t="n">
        <v>0</v>
      </c>
      <c r="N114" t="n">
        <v>0</v>
      </c>
      <c r="O114" t="n">
        <v>1</v>
      </c>
      <c r="P114" t="n">
        <v>0</v>
      </c>
      <c r="Q114" t="n">
        <v>2</v>
      </c>
      <c r="R114" s="2" t="inlineStr">
        <is>
          <t>Loppstarr
Fläcknycklar</t>
        </is>
      </c>
      <c r="S114">
        <f>HYPERLINK("https://klasma.github.io/Logging_0980/artfynd/A 54357-2024 artfynd.xlsx", "A 54357-2024")</f>
        <v/>
      </c>
      <c r="T114">
        <f>HYPERLINK("https://klasma.github.io/Logging_0980/kartor/A 54357-2024 karta.png", "A 54357-2024")</f>
        <v/>
      </c>
      <c r="V114">
        <f>HYPERLINK("https://klasma.github.io/Logging_0980/klagomål/A 54357-2024 FSC-klagomål.docx", "A 54357-2024")</f>
        <v/>
      </c>
      <c r="W114">
        <f>HYPERLINK("https://klasma.github.io/Logging_0980/klagomålsmail/A 54357-2024 FSC-klagomål mail.docx", "A 54357-2024")</f>
        <v/>
      </c>
      <c r="X114">
        <f>HYPERLINK("https://klasma.github.io/Logging_0980/tillsyn/A 54357-2024 tillsynsbegäran.docx", "A 54357-2024")</f>
        <v/>
      </c>
      <c r="Y114">
        <f>HYPERLINK("https://klasma.github.io/Logging_0980/tillsynsmail/A 54357-2024 tillsynsbegäran mail.docx", "A 54357-2024")</f>
        <v/>
      </c>
    </row>
    <row r="115" ht="15" customHeight="1">
      <c r="A115" t="inlineStr">
        <is>
          <t>A 26077-2024</t>
        </is>
      </c>
      <c r="B115" s="1" t="n">
        <v>45467</v>
      </c>
      <c r="C115" s="1" t="n">
        <v>45913</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45913</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45913</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43219-2023</t>
        </is>
      </c>
      <c r="B118" s="1" t="n">
        <v>45183</v>
      </c>
      <c r="C118" s="1" t="n">
        <v>45913</v>
      </c>
      <c r="D118" t="inlineStr">
        <is>
          <t>GOTLANDS LÄN</t>
        </is>
      </c>
      <c r="E118" t="inlineStr">
        <is>
          <t>GOTLAND</t>
        </is>
      </c>
      <c r="G118" t="n">
        <v>3.6</v>
      </c>
      <c r="H118" t="n">
        <v>1</v>
      </c>
      <c r="I118" t="n">
        <v>0</v>
      </c>
      <c r="J118" t="n">
        <v>1</v>
      </c>
      <c r="K118" t="n">
        <v>0</v>
      </c>
      <c r="L118" t="n">
        <v>0</v>
      </c>
      <c r="M118" t="n">
        <v>0</v>
      </c>
      <c r="N118" t="n">
        <v>0</v>
      </c>
      <c r="O118" t="n">
        <v>1</v>
      </c>
      <c r="P118" t="n">
        <v>0</v>
      </c>
      <c r="Q118" t="n">
        <v>2</v>
      </c>
      <c r="R118" s="2" t="inlineStr">
        <is>
          <t>Axveronika
Skogsduva</t>
        </is>
      </c>
      <c r="S118">
        <f>HYPERLINK("https://klasma.github.io/Logging_0980/artfynd/A 43219-2023 artfynd.xlsx", "A 43219-2023")</f>
        <v/>
      </c>
      <c r="T118">
        <f>HYPERLINK("https://klasma.github.io/Logging_0980/kartor/A 43219-2023 karta.png", "A 43219-2023")</f>
        <v/>
      </c>
      <c r="V118">
        <f>HYPERLINK("https://klasma.github.io/Logging_0980/klagomål/A 43219-2023 FSC-klagomål.docx", "A 43219-2023")</f>
        <v/>
      </c>
      <c r="W118">
        <f>HYPERLINK("https://klasma.github.io/Logging_0980/klagomålsmail/A 43219-2023 FSC-klagomål mail.docx", "A 43219-2023")</f>
        <v/>
      </c>
      <c r="X118">
        <f>HYPERLINK("https://klasma.github.io/Logging_0980/tillsyn/A 43219-2023 tillsynsbegäran.docx", "A 43219-2023")</f>
        <v/>
      </c>
      <c r="Y118">
        <f>HYPERLINK("https://klasma.github.io/Logging_0980/tillsynsmail/A 43219-2023 tillsynsbegäran mail.docx", "A 43219-2023")</f>
        <v/>
      </c>
      <c r="Z118">
        <f>HYPERLINK("https://klasma.github.io/Logging_0980/fåglar/A 43219-2023 prioriterade fågelarter.docx", "A 43219-2023")</f>
        <v/>
      </c>
    </row>
    <row r="119" ht="15" customHeight="1">
      <c r="A119" t="inlineStr">
        <is>
          <t>A 12914-2025</t>
        </is>
      </c>
      <c r="B119" s="1" t="n">
        <v>45733</v>
      </c>
      <c r="C119" s="1" t="n">
        <v>45913</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45913</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45913</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20838-2024</t>
        </is>
      </c>
      <c r="B122" s="1" t="n">
        <v>45439</v>
      </c>
      <c r="C122" s="1" t="n">
        <v>45913</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45913</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41238-2025</t>
        </is>
      </c>
      <c r="B124" s="1" t="n">
        <v>45898</v>
      </c>
      <c r="C124" s="1" t="n">
        <v>45913</v>
      </c>
      <c r="D124" t="inlineStr">
        <is>
          <t>GOTLANDS LÄN</t>
        </is>
      </c>
      <c r="E124" t="inlineStr">
        <is>
          <t>GOTLAND</t>
        </is>
      </c>
      <c r="G124" t="n">
        <v>7.1</v>
      </c>
      <c r="H124" t="n">
        <v>1</v>
      </c>
      <c r="I124" t="n">
        <v>2</v>
      </c>
      <c r="J124" t="n">
        <v>0</v>
      </c>
      <c r="K124" t="n">
        <v>0</v>
      </c>
      <c r="L124" t="n">
        <v>0</v>
      </c>
      <c r="M124" t="n">
        <v>0</v>
      </c>
      <c r="N124" t="n">
        <v>0</v>
      </c>
      <c r="O124" t="n">
        <v>0</v>
      </c>
      <c r="P124" t="n">
        <v>0</v>
      </c>
      <c r="Q124" t="n">
        <v>2</v>
      </c>
      <c r="R124" s="2" t="inlineStr">
        <is>
          <t>Granbarkgnagare
Skogsknipprot</t>
        </is>
      </c>
      <c r="S124">
        <f>HYPERLINK("https://klasma.github.io/Logging_0980/artfynd/A 41238-2025 artfynd.xlsx", "A 41238-2025")</f>
        <v/>
      </c>
      <c r="T124">
        <f>HYPERLINK("https://klasma.github.io/Logging_0980/kartor/A 41238-2025 karta.png", "A 41238-2025")</f>
        <v/>
      </c>
      <c r="V124">
        <f>HYPERLINK("https://klasma.github.io/Logging_0980/klagomål/A 41238-2025 FSC-klagomål.docx", "A 41238-2025")</f>
        <v/>
      </c>
      <c r="W124">
        <f>HYPERLINK("https://klasma.github.io/Logging_0980/klagomålsmail/A 41238-2025 FSC-klagomål mail.docx", "A 41238-2025")</f>
        <v/>
      </c>
      <c r="X124">
        <f>HYPERLINK("https://klasma.github.io/Logging_0980/tillsyn/A 41238-2025 tillsynsbegäran.docx", "A 41238-2025")</f>
        <v/>
      </c>
      <c r="Y124">
        <f>HYPERLINK("https://klasma.github.io/Logging_0980/tillsynsmail/A 41238-2025 tillsynsbegäran mail.docx", "A 41238-2025")</f>
        <v/>
      </c>
    </row>
    <row r="125" ht="15" customHeight="1">
      <c r="A125" t="inlineStr">
        <is>
          <t>A 73144-2021</t>
        </is>
      </c>
      <c r="B125" s="1" t="n">
        <v>44550</v>
      </c>
      <c r="C125" s="1" t="n">
        <v>45913</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28276-2024</t>
        </is>
      </c>
      <c r="B126" s="1" t="n">
        <v>45477</v>
      </c>
      <c r="C126" s="1" t="n">
        <v>45913</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24-2021</t>
        </is>
      </c>
      <c r="B127" s="1" t="n">
        <v>44197</v>
      </c>
      <c r="C127" s="1" t="n">
        <v>45913</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45913</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45913</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45913</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45913</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10218-2025</t>
        </is>
      </c>
      <c r="B132" s="1" t="n">
        <v>45720</v>
      </c>
      <c r="C132" s="1" t="n">
        <v>45913</v>
      </c>
      <c r="D132" t="inlineStr">
        <is>
          <t>GOTLANDS LÄN</t>
        </is>
      </c>
      <c r="E132" t="inlineStr">
        <is>
          <t>GOTLAND</t>
        </is>
      </c>
      <c r="G132" t="n">
        <v>8.1</v>
      </c>
      <c r="H132" t="n">
        <v>0</v>
      </c>
      <c r="I132" t="n">
        <v>1</v>
      </c>
      <c r="J132" t="n">
        <v>0</v>
      </c>
      <c r="K132" t="n">
        <v>0</v>
      </c>
      <c r="L132" t="n">
        <v>0</v>
      </c>
      <c r="M132" t="n">
        <v>0</v>
      </c>
      <c r="N132" t="n">
        <v>0</v>
      </c>
      <c r="O132" t="n">
        <v>0</v>
      </c>
      <c r="P132" t="n">
        <v>0</v>
      </c>
      <c r="Q132" t="n">
        <v>1</v>
      </c>
      <c r="R132" s="2" t="inlineStr">
        <is>
          <t>Kalktallört</t>
        </is>
      </c>
      <c r="S132">
        <f>HYPERLINK("https://klasma.github.io/Logging_0980/artfynd/A 10218-2025 artfynd.xlsx", "A 10218-2025")</f>
        <v/>
      </c>
      <c r="T132">
        <f>HYPERLINK("https://klasma.github.io/Logging_0980/kartor/A 10218-2025 karta.png", "A 10218-2025")</f>
        <v/>
      </c>
      <c r="V132">
        <f>HYPERLINK("https://klasma.github.io/Logging_0980/klagomål/A 10218-2025 FSC-klagomål.docx", "A 10218-2025")</f>
        <v/>
      </c>
      <c r="W132">
        <f>HYPERLINK("https://klasma.github.io/Logging_0980/klagomålsmail/A 10218-2025 FSC-klagomål mail.docx", "A 10218-2025")</f>
        <v/>
      </c>
      <c r="X132">
        <f>HYPERLINK("https://klasma.github.io/Logging_0980/tillsyn/A 10218-2025 tillsynsbegäran.docx", "A 10218-2025")</f>
        <v/>
      </c>
      <c r="Y132">
        <f>HYPERLINK("https://klasma.github.io/Logging_0980/tillsynsmail/A 10218-2025 tillsynsbegäran mail.docx", "A 10218-2025")</f>
        <v/>
      </c>
    </row>
    <row r="133" ht="15" customHeight="1">
      <c r="A133" t="inlineStr">
        <is>
          <t>A 12379-2024</t>
        </is>
      </c>
      <c r="B133" s="1" t="n">
        <v>45379.28155092592</v>
      </c>
      <c r="C133" s="1" t="n">
        <v>45913</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45913</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20429-2025</t>
        </is>
      </c>
      <c r="B135" s="1" t="n">
        <v>45775.47728009259</v>
      </c>
      <c r="C135" s="1" t="n">
        <v>45913</v>
      </c>
      <c r="D135" t="inlineStr">
        <is>
          <t>GOTLANDS LÄN</t>
        </is>
      </c>
      <c r="E135" t="inlineStr">
        <is>
          <t>GOTLAND</t>
        </is>
      </c>
      <c r="G135" t="n">
        <v>1.4</v>
      </c>
      <c r="H135" t="n">
        <v>1</v>
      </c>
      <c r="I135" t="n">
        <v>0</v>
      </c>
      <c r="J135" t="n">
        <v>0</v>
      </c>
      <c r="K135" t="n">
        <v>0</v>
      </c>
      <c r="L135" t="n">
        <v>0</v>
      </c>
      <c r="M135" t="n">
        <v>0</v>
      </c>
      <c r="N135" t="n">
        <v>0</v>
      </c>
      <c r="O135" t="n">
        <v>0</v>
      </c>
      <c r="P135" t="n">
        <v>0</v>
      </c>
      <c r="Q135" t="n">
        <v>1</v>
      </c>
      <c r="R135" s="2" t="inlineStr">
        <is>
          <t>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63576-2021</t>
        </is>
      </c>
      <c r="B136" s="1" t="n">
        <v>44508</v>
      </c>
      <c r="C136" s="1" t="n">
        <v>45913</v>
      </c>
      <c r="D136" t="inlineStr">
        <is>
          <t>GOTLANDS LÄN</t>
        </is>
      </c>
      <c r="E136" t="inlineStr">
        <is>
          <t>GOTLAND</t>
        </is>
      </c>
      <c r="F136" t="inlineStr">
        <is>
          <t>Kyrkan</t>
        </is>
      </c>
      <c r="G136" t="n">
        <v>4.1</v>
      </c>
      <c r="H136" t="n">
        <v>1</v>
      </c>
      <c r="I136" t="n">
        <v>0</v>
      </c>
      <c r="J136" t="n">
        <v>1</v>
      </c>
      <c r="K136" t="n">
        <v>0</v>
      </c>
      <c r="L136" t="n">
        <v>0</v>
      </c>
      <c r="M136" t="n">
        <v>0</v>
      </c>
      <c r="N136" t="n">
        <v>0</v>
      </c>
      <c r="O136" t="n">
        <v>1</v>
      </c>
      <c r="P136" t="n">
        <v>0</v>
      </c>
      <c r="Q136" t="n">
        <v>1</v>
      </c>
      <c r="R136" s="2" t="inlineStr">
        <is>
          <t>Dårgräsfjäril</t>
        </is>
      </c>
      <c r="S136">
        <f>HYPERLINK("https://klasma.github.io/Logging_0980/artfynd/A 63576-2021 artfynd.xlsx", "A 63576-2021")</f>
        <v/>
      </c>
      <c r="T136">
        <f>HYPERLINK("https://klasma.github.io/Logging_0980/kartor/A 63576-2021 karta.png", "A 63576-2021")</f>
        <v/>
      </c>
      <c r="V136">
        <f>HYPERLINK("https://klasma.github.io/Logging_0980/klagomål/A 63576-2021 FSC-klagomål.docx", "A 63576-2021")</f>
        <v/>
      </c>
      <c r="W136">
        <f>HYPERLINK("https://klasma.github.io/Logging_0980/klagomålsmail/A 63576-2021 FSC-klagomål mail.docx", "A 63576-2021")</f>
        <v/>
      </c>
      <c r="X136">
        <f>HYPERLINK("https://klasma.github.io/Logging_0980/tillsyn/A 63576-2021 tillsynsbegäran.docx", "A 63576-2021")</f>
        <v/>
      </c>
      <c r="Y136">
        <f>HYPERLINK("https://klasma.github.io/Logging_0980/tillsynsmail/A 63576-2021 tillsynsbegäran mail.docx", "A 63576-2021")</f>
        <v/>
      </c>
    </row>
    <row r="137" ht="15" customHeight="1">
      <c r="A137" t="inlineStr">
        <is>
          <t>A 37591-2023</t>
        </is>
      </c>
      <c r="B137" s="1" t="n">
        <v>45159</v>
      </c>
      <c r="C137" s="1" t="n">
        <v>45913</v>
      </c>
      <c r="D137" t="inlineStr">
        <is>
          <t>GOTLANDS LÄN</t>
        </is>
      </c>
      <c r="E137" t="inlineStr">
        <is>
          <t>GOTLAND</t>
        </is>
      </c>
      <c r="G137" t="n">
        <v>8.300000000000001</v>
      </c>
      <c r="H137" t="n">
        <v>0</v>
      </c>
      <c r="I137" t="n">
        <v>0</v>
      </c>
      <c r="J137" t="n">
        <v>1</v>
      </c>
      <c r="K137" t="n">
        <v>0</v>
      </c>
      <c r="L137" t="n">
        <v>0</v>
      </c>
      <c r="M137" t="n">
        <v>0</v>
      </c>
      <c r="N137" t="n">
        <v>0</v>
      </c>
      <c r="O137" t="n">
        <v>1</v>
      </c>
      <c r="P137" t="n">
        <v>0</v>
      </c>
      <c r="Q137" t="n">
        <v>1</v>
      </c>
      <c r="R137" s="2" t="inlineStr">
        <is>
          <t>Ängsstarr</t>
        </is>
      </c>
      <c r="S137">
        <f>HYPERLINK("https://klasma.github.io/Logging_0980/artfynd/A 37591-2023 artfynd.xlsx", "A 37591-2023")</f>
        <v/>
      </c>
      <c r="T137">
        <f>HYPERLINK("https://klasma.github.io/Logging_0980/kartor/A 37591-2023 karta.png", "A 37591-2023")</f>
        <v/>
      </c>
      <c r="V137">
        <f>HYPERLINK("https://klasma.github.io/Logging_0980/klagomål/A 37591-2023 FSC-klagomål.docx", "A 37591-2023")</f>
        <v/>
      </c>
      <c r="W137">
        <f>HYPERLINK("https://klasma.github.io/Logging_0980/klagomålsmail/A 37591-2023 FSC-klagomål mail.docx", "A 37591-2023")</f>
        <v/>
      </c>
      <c r="X137">
        <f>HYPERLINK("https://klasma.github.io/Logging_0980/tillsyn/A 37591-2023 tillsynsbegäran.docx", "A 37591-2023")</f>
        <v/>
      </c>
      <c r="Y137">
        <f>HYPERLINK("https://klasma.github.io/Logging_0980/tillsynsmail/A 37591-2023 tillsynsbegäran mail.docx", "A 37591-2023")</f>
        <v/>
      </c>
    </row>
    <row r="138" ht="15" customHeight="1">
      <c r="A138" t="inlineStr">
        <is>
          <t>A 64700-2021</t>
        </is>
      </c>
      <c r="B138" s="1" t="n">
        <v>44511</v>
      </c>
      <c r="C138" s="1" t="n">
        <v>45913</v>
      </c>
      <c r="D138" t="inlineStr">
        <is>
          <t>GOTLANDS LÄN</t>
        </is>
      </c>
      <c r="E138" t="inlineStr">
        <is>
          <t>GOTLAND</t>
        </is>
      </c>
      <c r="F138" t="inlineStr">
        <is>
          <t>Naturvårdsverket</t>
        </is>
      </c>
      <c r="G138" t="n">
        <v>2.4</v>
      </c>
      <c r="H138" t="n">
        <v>1</v>
      </c>
      <c r="I138" t="n">
        <v>0</v>
      </c>
      <c r="J138" t="n">
        <v>0</v>
      </c>
      <c r="K138" t="n">
        <v>1</v>
      </c>
      <c r="L138" t="n">
        <v>0</v>
      </c>
      <c r="M138" t="n">
        <v>0</v>
      </c>
      <c r="N138" t="n">
        <v>0</v>
      </c>
      <c r="O138" t="n">
        <v>1</v>
      </c>
      <c r="P138" t="n">
        <v>1</v>
      </c>
      <c r="Q138" t="n">
        <v>1</v>
      </c>
      <c r="R138" s="2" t="inlineStr">
        <is>
          <t>Kalkdån</t>
        </is>
      </c>
      <c r="S138">
        <f>HYPERLINK("https://klasma.github.io/Logging_0980/artfynd/A 64700-2021 artfynd.xlsx", "A 64700-2021")</f>
        <v/>
      </c>
      <c r="T138">
        <f>HYPERLINK("https://klasma.github.io/Logging_0980/kartor/A 64700-2021 karta.png", "A 64700-2021")</f>
        <v/>
      </c>
      <c r="V138">
        <f>HYPERLINK("https://klasma.github.io/Logging_0980/klagomål/A 64700-2021 FSC-klagomål.docx", "A 64700-2021")</f>
        <v/>
      </c>
      <c r="W138">
        <f>HYPERLINK("https://klasma.github.io/Logging_0980/klagomålsmail/A 64700-2021 FSC-klagomål mail.docx", "A 64700-2021")</f>
        <v/>
      </c>
      <c r="X138">
        <f>HYPERLINK("https://klasma.github.io/Logging_0980/tillsyn/A 64700-2021 tillsynsbegäran.docx", "A 64700-2021")</f>
        <v/>
      </c>
      <c r="Y138">
        <f>HYPERLINK("https://klasma.github.io/Logging_0980/tillsynsmail/A 64700-2021 tillsynsbegäran mail.docx", "A 64700-2021")</f>
        <v/>
      </c>
    </row>
    <row r="139" ht="15" customHeight="1">
      <c r="A139" t="inlineStr">
        <is>
          <t>A 21466-2025</t>
        </is>
      </c>
      <c r="B139" s="1" t="n">
        <v>45782</v>
      </c>
      <c r="C139" s="1" t="n">
        <v>45913</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13627-2023</t>
        </is>
      </c>
      <c r="B140" s="1" t="n">
        <v>45006</v>
      </c>
      <c r="C140" s="1" t="n">
        <v>45913</v>
      </c>
      <c r="D140" t="inlineStr">
        <is>
          <t>GOTLANDS LÄN</t>
        </is>
      </c>
      <c r="E140" t="inlineStr">
        <is>
          <t>GOTLAND</t>
        </is>
      </c>
      <c r="G140" t="n">
        <v>10.7</v>
      </c>
      <c r="H140" t="n">
        <v>0</v>
      </c>
      <c r="I140" t="n">
        <v>0</v>
      </c>
      <c r="J140" t="n">
        <v>0</v>
      </c>
      <c r="K140" t="n">
        <v>1</v>
      </c>
      <c r="L140" t="n">
        <v>0</v>
      </c>
      <c r="M140" t="n">
        <v>0</v>
      </c>
      <c r="N140" t="n">
        <v>0</v>
      </c>
      <c r="O140" t="n">
        <v>1</v>
      </c>
      <c r="P140" t="n">
        <v>1</v>
      </c>
      <c r="Q140" t="n">
        <v>1</v>
      </c>
      <c r="R140" s="2" t="inlineStr">
        <is>
          <t>Sammetsbockrot</t>
        </is>
      </c>
      <c r="S140">
        <f>HYPERLINK("https://klasma.github.io/Logging_0980/artfynd/A 13627-2023 artfynd.xlsx", "A 13627-2023")</f>
        <v/>
      </c>
      <c r="T140">
        <f>HYPERLINK("https://klasma.github.io/Logging_0980/kartor/A 13627-2023 karta.png", "A 13627-2023")</f>
        <v/>
      </c>
      <c r="V140">
        <f>HYPERLINK("https://klasma.github.io/Logging_0980/klagomål/A 13627-2023 FSC-klagomål.docx", "A 13627-2023")</f>
        <v/>
      </c>
      <c r="W140">
        <f>HYPERLINK("https://klasma.github.io/Logging_0980/klagomålsmail/A 13627-2023 FSC-klagomål mail.docx", "A 13627-2023")</f>
        <v/>
      </c>
      <c r="X140">
        <f>HYPERLINK("https://klasma.github.io/Logging_0980/tillsyn/A 13627-2023 tillsynsbegäran.docx", "A 13627-2023")</f>
        <v/>
      </c>
      <c r="Y140">
        <f>HYPERLINK("https://klasma.github.io/Logging_0980/tillsynsmail/A 13627-2023 tillsynsbegäran mail.docx", "A 13627-2023")</f>
        <v/>
      </c>
    </row>
    <row r="141" ht="15" customHeight="1">
      <c r="A141" t="inlineStr">
        <is>
          <t>A 27589-2023</t>
        </is>
      </c>
      <c r="B141" s="1" t="n">
        <v>45097</v>
      </c>
      <c r="C141" s="1" t="n">
        <v>45913</v>
      </c>
      <c r="D141" t="inlineStr">
        <is>
          <t>GOTLANDS LÄN</t>
        </is>
      </c>
      <c r="E141" t="inlineStr">
        <is>
          <t>GOTLAND</t>
        </is>
      </c>
      <c r="G141" t="n">
        <v>5.4</v>
      </c>
      <c r="H141" t="n">
        <v>0</v>
      </c>
      <c r="I141" t="n">
        <v>0</v>
      </c>
      <c r="J141" t="n">
        <v>0</v>
      </c>
      <c r="K141" t="n">
        <v>0</v>
      </c>
      <c r="L141" t="n">
        <v>0</v>
      </c>
      <c r="M141" t="n">
        <v>1</v>
      </c>
      <c r="N141" t="n">
        <v>0</v>
      </c>
      <c r="O141" t="n">
        <v>1</v>
      </c>
      <c r="P141" t="n">
        <v>1</v>
      </c>
      <c r="Q141" t="n">
        <v>1</v>
      </c>
      <c r="R141" s="2" t="inlineStr">
        <is>
          <t>Skogsalm</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35574-2024</t>
        </is>
      </c>
      <c r="B142" s="1" t="n">
        <v>45531</v>
      </c>
      <c r="C142" s="1" t="n">
        <v>45913</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45913</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10440-2024</t>
        </is>
      </c>
      <c r="B144" s="1" t="n">
        <v>45366.32818287037</v>
      </c>
      <c r="C144" s="1" t="n">
        <v>45913</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12924-2025</t>
        </is>
      </c>
      <c r="B145" s="1" t="n">
        <v>45734</v>
      </c>
      <c r="C145" s="1" t="n">
        <v>45913</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44958-2020</t>
        </is>
      </c>
      <c r="B146" s="1" t="n">
        <v>44088</v>
      </c>
      <c r="C146" s="1" t="n">
        <v>45913</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6303-2024</t>
        </is>
      </c>
      <c r="B147" s="1" t="n">
        <v>45338.35376157407</v>
      </c>
      <c r="C147" s="1" t="n">
        <v>45913</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25977-2024</t>
        </is>
      </c>
      <c r="B148" s="1" t="n">
        <v>45467.69356481481</v>
      </c>
      <c r="C148" s="1" t="n">
        <v>45913</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45913</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26461-2025</t>
        </is>
      </c>
      <c r="B150" s="1" t="n">
        <v>45807.43337962963</v>
      </c>
      <c r="C150" s="1" t="n">
        <v>45913</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61796-2022</t>
        </is>
      </c>
      <c r="B151" s="1" t="n">
        <v>44917</v>
      </c>
      <c r="C151" s="1" t="n">
        <v>45913</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34809-2024</t>
        </is>
      </c>
      <c r="B152" s="1" t="n">
        <v>45526</v>
      </c>
      <c r="C152" s="1" t="n">
        <v>45913</v>
      </c>
      <c r="D152" t="inlineStr">
        <is>
          <t>GOTLANDS LÄN</t>
        </is>
      </c>
      <c r="E152" t="inlineStr">
        <is>
          <t>GOTLAND</t>
        </is>
      </c>
      <c r="G152" t="n">
        <v>9.9</v>
      </c>
      <c r="H152" t="n">
        <v>1</v>
      </c>
      <c r="I152" t="n">
        <v>0</v>
      </c>
      <c r="J152" t="n">
        <v>1</v>
      </c>
      <c r="K152" t="n">
        <v>0</v>
      </c>
      <c r="L152" t="n">
        <v>0</v>
      </c>
      <c r="M152" t="n">
        <v>0</v>
      </c>
      <c r="N152" t="n">
        <v>0</v>
      </c>
      <c r="O152" t="n">
        <v>1</v>
      </c>
      <c r="P152" t="n">
        <v>0</v>
      </c>
      <c r="Q152" t="n">
        <v>1</v>
      </c>
      <c r="R152" s="2" t="inlineStr">
        <is>
          <t>Brun ögontröst</t>
        </is>
      </c>
      <c r="S152">
        <f>HYPERLINK("https://klasma.github.io/Logging_0980/artfynd/A 34809-2024 artfynd.xlsx", "A 34809-2024")</f>
        <v/>
      </c>
      <c r="T152">
        <f>HYPERLINK("https://klasma.github.io/Logging_0980/kartor/A 34809-2024 karta.png", "A 34809-2024")</f>
        <v/>
      </c>
      <c r="V152">
        <f>HYPERLINK("https://klasma.github.io/Logging_0980/klagomål/A 34809-2024 FSC-klagomål.docx", "A 34809-2024")</f>
        <v/>
      </c>
      <c r="W152">
        <f>HYPERLINK("https://klasma.github.io/Logging_0980/klagomålsmail/A 34809-2024 FSC-klagomål mail.docx", "A 34809-2024")</f>
        <v/>
      </c>
      <c r="X152">
        <f>HYPERLINK("https://klasma.github.io/Logging_0980/tillsyn/A 34809-2024 tillsynsbegäran.docx", "A 34809-2024")</f>
        <v/>
      </c>
      <c r="Y152">
        <f>HYPERLINK("https://klasma.github.io/Logging_0980/tillsynsmail/A 34809-2024 tillsynsbegäran mail.docx", "A 34809-2024")</f>
        <v/>
      </c>
    </row>
    <row r="153" ht="15" customHeight="1">
      <c r="A153" t="inlineStr">
        <is>
          <t>A 15637-2024</t>
        </is>
      </c>
      <c r="B153" s="1" t="n">
        <v>45403.6684837963</v>
      </c>
      <c r="C153" s="1" t="n">
        <v>45913</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61561-2023</t>
        </is>
      </c>
      <c r="B154" s="1" t="n">
        <v>45265</v>
      </c>
      <c r="C154" s="1" t="n">
        <v>45913</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2476-2025</t>
        </is>
      </c>
      <c r="B155" s="1" t="n">
        <v>45673</v>
      </c>
      <c r="C155" s="1" t="n">
        <v>45913</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8725-2025</t>
        </is>
      </c>
      <c r="B156" s="1" t="n">
        <v>45712</v>
      </c>
      <c r="C156" s="1" t="n">
        <v>45913</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45913</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45913</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45913</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45913</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45913</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34141-2024</t>
        </is>
      </c>
      <c r="B162" s="1" t="n">
        <v>45524.36229166666</v>
      </c>
      <c r="C162" s="1" t="n">
        <v>45913</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947-2023</t>
        </is>
      </c>
      <c r="B163" s="1" t="n">
        <v>44934</v>
      </c>
      <c r="C163" s="1" t="n">
        <v>45913</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9862-2024</t>
        </is>
      </c>
      <c r="B164" s="1" t="n">
        <v>45363</v>
      </c>
      <c r="C164" s="1" t="n">
        <v>45913</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63299-2020</t>
        </is>
      </c>
      <c r="B165" s="1" t="n">
        <v>44165</v>
      </c>
      <c r="C165" s="1" t="n">
        <v>45913</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27168-2022</t>
        </is>
      </c>
      <c r="B166" s="1" t="n">
        <v>44741</v>
      </c>
      <c r="C166" s="1" t="n">
        <v>45913</v>
      </c>
      <c r="D166" t="inlineStr">
        <is>
          <t>GOTLANDS LÄN</t>
        </is>
      </c>
      <c r="E166" t="inlineStr">
        <is>
          <t>GOTLAND</t>
        </is>
      </c>
      <c r="G166" t="n">
        <v>2.2</v>
      </c>
      <c r="H166" t="n">
        <v>1</v>
      </c>
      <c r="I166" t="n">
        <v>1</v>
      </c>
      <c r="J166" t="n">
        <v>0</v>
      </c>
      <c r="K166" t="n">
        <v>0</v>
      </c>
      <c r="L166" t="n">
        <v>0</v>
      </c>
      <c r="M166" t="n">
        <v>0</v>
      </c>
      <c r="N166" t="n">
        <v>0</v>
      </c>
      <c r="O166" t="n">
        <v>0</v>
      </c>
      <c r="P166" t="n">
        <v>0</v>
      </c>
      <c r="Q166" t="n">
        <v>1</v>
      </c>
      <c r="R166" s="2" t="inlineStr">
        <is>
          <t>Purpurknipprot</t>
        </is>
      </c>
      <c r="S166">
        <f>HYPERLINK("https://klasma.github.io/Logging_0980/artfynd/A 27168-2022 artfynd.xlsx", "A 27168-2022")</f>
        <v/>
      </c>
      <c r="T166">
        <f>HYPERLINK("https://klasma.github.io/Logging_0980/kartor/A 27168-2022 karta.png", "A 27168-2022")</f>
        <v/>
      </c>
      <c r="V166">
        <f>HYPERLINK("https://klasma.github.io/Logging_0980/klagomål/A 27168-2022 FSC-klagomål.docx", "A 27168-2022")</f>
        <v/>
      </c>
      <c r="W166">
        <f>HYPERLINK("https://klasma.github.io/Logging_0980/klagomålsmail/A 27168-2022 FSC-klagomål mail.docx", "A 27168-2022")</f>
        <v/>
      </c>
      <c r="X166">
        <f>HYPERLINK("https://klasma.github.io/Logging_0980/tillsyn/A 27168-2022 tillsynsbegäran.docx", "A 27168-2022")</f>
        <v/>
      </c>
      <c r="Y166">
        <f>HYPERLINK("https://klasma.github.io/Logging_0980/tillsynsmail/A 27168-2022 tillsynsbegäran mail.docx", "A 27168-2022")</f>
        <v/>
      </c>
    </row>
    <row r="167" ht="15" customHeight="1">
      <c r="A167" t="inlineStr">
        <is>
          <t>A 49304-2024</t>
        </is>
      </c>
      <c r="B167" s="1" t="n">
        <v>45595.54996527778</v>
      </c>
      <c r="C167" s="1" t="n">
        <v>45913</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39812-2025</t>
        </is>
      </c>
      <c r="B168" s="1" t="n">
        <v>45891</v>
      </c>
      <c r="C168" s="1" t="n">
        <v>45913</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22782-2023</t>
        </is>
      </c>
      <c r="B169" s="1" t="n">
        <v>45072</v>
      </c>
      <c r="C169" s="1" t="n">
        <v>45913</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24245-2022</t>
        </is>
      </c>
      <c r="B170" s="1" t="n">
        <v>44725</v>
      </c>
      <c r="C170" s="1" t="n">
        <v>45913</v>
      </c>
      <c r="D170" t="inlineStr">
        <is>
          <t>GOTLANDS LÄN</t>
        </is>
      </c>
      <c r="E170" t="inlineStr">
        <is>
          <t>GOTLAND</t>
        </is>
      </c>
      <c r="G170" t="n">
        <v>4.9</v>
      </c>
      <c r="H170" t="n">
        <v>0</v>
      </c>
      <c r="I170" t="n">
        <v>0</v>
      </c>
      <c r="J170" t="n">
        <v>0</v>
      </c>
      <c r="K170" t="n">
        <v>0</v>
      </c>
      <c r="L170" t="n">
        <v>1</v>
      </c>
      <c r="M170" t="n">
        <v>0</v>
      </c>
      <c r="N170" t="n">
        <v>0</v>
      </c>
      <c r="O170" t="n">
        <v>1</v>
      </c>
      <c r="P170" t="n">
        <v>1</v>
      </c>
      <c r="Q170" t="n">
        <v>1</v>
      </c>
      <c r="R170" s="2" t="inlineStr">
        <is>
          <t>Slät taggsvamp</t>
        </is>
      </c>
      <c r="S170">
        <f>HYPERLINK("https://klasma.github.io/Logging_0980/artfynd/A 24245-2022 artfynd.xlsx", "A 24245-2022")</f>
        <v/>
      </c>
      <c r="T170">
        <f>HYPERLINK("https://klasma.github.io/Logging_0980/kartor/A 24245-2022 karta.png", "A 24245-2022")</f>
        <v/>
      </c>
      <c r="V170">
        <f>HYPERLINK("https://klasma.github.io/Logging_0980/klagomål/A 24245-2022 FSC-klagomål.docx", "A 24245-2022")</f>
        <v/>
      </c>
      <c r="W170">
        <f>HYPERLINK("https://klasma.github.io/Logging_0980/klagomålsmail/A 24245-2022 FSC-klagomål mail.docx", "A 24245-2022")</f>
        <v/>
      </c>
      <c r="X170">
        <f>HYPERLINK("https://klasma.github.io/Logging_0980/tillsyn/A 24245-2022 tillsynsbegäran.docx", "A 24245-2022")</f>
        <v/>
      </c>
      <c r="Y170">
        <f>HYPERLINK("https://klasma.github.io/Logging_0980/tillsynsmail/A 24245-2022 tillsynsbegäran mail.docx", "A 24245-2022")</f>
        <v/>
      </c>
    </row>
    <row r="171" ht="15" customHeight="1">
      <c r="A171" t="inlineStr">
        <is>
          <t>A 49847-2023</t>
        </is>
      </c>
      <c r="B171" s="1" t="n">
        <v>45212</v>
      </c>
      <c r="C171" s="1" t="n">
        <v>45913</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46527-2023</t>
        </is>
      </c>
      <c r="B172" s="1" t="n">
        <v>45197</v>
      </c>
      <c r="C172" s="1" t="n">
        <v>45913</v>
      </c>
      <c r="D172" t="inlineStr">
        <is>
          <t>GOTLANDS LÄN</t>
        </is>
      </c>
      <c r="E172" t="inlineStr">
        <is>
          <t>GOTLAND</t>
        </is>
      </c>
      <c r="G172" t="n">
        <v>0.9</v>
      </c>
      <c r="H172" t="n">
        <v>0</v>
      </c>
      <c r="I172" t="n">
        <v>0</v>
      </c>
      <c r="J172" t="n">
        <v>1</v>
      </c>
      <c r="K172" t="n">
        <v>0</v>
      </c>
      <c r="L172" t="n">
        <v>0</v>
      </c>
      <c r="M172" t="n">
        <v>0</v>
      </c>
      <c r="N172" t="n">
        <v>0</v>
      </c>
      <c r="O172" t="n">
        <v>1</v>
      </c>
      <c r="P172" t="n">
        <v>0</v>
      </c>
      <c r="Q172" t="n">
        <v>1</v>
      </c>
      <c r="R172" s="2" t="inlineStr">
        <is>
          <t>Guldgräshoppa</t>
        </is>
      </c>
      <c r="S172">
        <f>HYPERLINK("https://klasma.github.io/Logging_0980/artfynd/A 46527-2023 artfynd.xlsx", "A 46527-2023")</f>
        <v/>
      </c>
      <c r="T172">
        <f>HYPERLINK("https://klasma.github.io/Logging_0980/kartor/A 46527-2023 karta.png", "A 46527-2023")</f>
        <v/>
      </c>
      <c r="V172">
        <f>HYPERLINK("https://klasma.github.io/Logging_0980/klagomål/A 46527-2023 FSC-klagomål.docx", "A 46527-2023")</f>
        <v/>
      </c>
      <c r="W172">
        <f>HYPERLINK("https://klasma.github.io/Logging_0980/klagomålsmail/A 46527-2023 FSC-klagomål mail.docx", "A 46527-2023")</f>
        <v/>
      </c>
      <c r="X172">
        <f>HYPERLINK("https://klasma.github.io/Logging_0980/tillsyn/A 46527-2023 tillsynsbegäran.docx", "A 46527-2023")</f>
        <v/>
      </c>
      <c r="Y172">
        <f>HYPERLINK("https://klasma.github.io/Logging_0980/tillsynsmail/A 46527-2023 tillsynsbegäran mail.docx", "A 46527-2023")</f>
        <v/>
      </c>
    </row>
    <row r="173" ht="15" customHeight="1">
      <c r="A173" t="inlineStr">
        <is>
          <t>A 12324-2025</t>
        </is>
      </c>
      <c r="B173" s="1" t="n">
        <v>45730</v>
      </c>
      <c r="C173" s="1" t="n">
        <v>45913</v>
      </c>
      <c r="D173" t="inlineStr">
        <is>
          <t>GOTLANDS LÄN</t>
        </is>
      </c>
      <c r="E173" t="inlineStr">
        <is>
          <t>GOTLAND</t>
        </is>
      </c>
      <c r="G173" t="n">
        <v>5</v>
      </c>
      <c r="H173" t="n">
        <v>0</v>
      </c>
      <c r="I173" t="n">
        <v>0</v>
      </c>
      <c r="J173" t="n">
        <v>0</v>
      </c>
      <c r="K173" t="n">
        <v>1</v>
      </c>
      <c r="L173" t="n">
        <v>0</v>
      </c>
      <c r="M173" t="n">
        <v>0</v>
      </c>
      <c r="N173" t="n">
        <v>0</v>
      </c>
      <c r="O173" t="n">
        <v>1</v>
      </c>
      <c r="P173" t="n">
        <v>1</v>
      </c>
      <c r="Q173" t="n">
        <v>1</v>
      </c>
      <c r="R173" s="2" t="inlineStr">
        <is>
          <t>Sommarklynne</t>
        </is>
      </c>
      <c r="S173">
        <f>HYPERLINK("https://klasma.github.io/Logging_0980/artfynd/A 12324-2025 artfynd.xlsx", "A 12324-2025")</f>
        <v/>
      </c>
      <c r="T173">
        <f>HYPERLINK("https://klasma.github.io/Logging_0980/kartor/A 12324-2025 karta.png", "A 12324-2025")</f>
        <v/>
      </c>
      <c r="V173">
        <f>HYPERLINK("https://klasma.github.io/Logging_0980/klagomål/A 12324-2025 FSC-klagomål.docx", "A 12324-2025")</f>
        <v/>
      </c>
      <c r="W173">
        <f>HYPERLINK("https://klasma.github.io/Logging_0980/klagomålsmail/A 12324-2025 FSC-klagomål mail.docx", "A 12324-2025")</f>
        <v/>
      </c>
      <c r="X173">
        <f>HYPERLINK("https://klasma.github.io/Logging_0980/tillsyn/A 12324-2025 tillsynsbegäran.docx", "A 12324-2025")</f>
        <v/>
      </c>
      <c r="Y173">
        <f>HYPERLINK("https://klasma.github.io/Logging_0980/tillsynsmail/A 12324-2025 tillsynsbegäran mail.docx", "A 12324-2025")</f>
        <v/>
      </c>
    </row>
    <row r="174" ht="15" customHeight="1">
      <c r="A174" t="inlineStr">
        <is>
          <t>A 19901-2021</t>
        </is>
      </c>
      <c r="B174" s="1" t="n">
        <v>44312</v>
      </c>
      <c r="C174" s="1" t="n">
        <v>45913</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45913</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18038-2021</t>
        </is>
      </c>
      <c r="B176" s="1" t="n">
        <v>44302</v>
      </c>
      <c r="C176" s="1" t="n">
        <v>45913</v>
      </c>
      <c r="D176" t="inlineStr">
        <is>
          <t>GOTLANDS LÄN</t>
        </is>
      </c>
      <c r="E176" t="inlineStr">
        <is>
          <t>GOTLAND</t>
        </is>
      </c>
      <c r="G176" t="n">
        <v>1.7</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45913</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45913</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45913</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45913</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45913</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45913</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45913</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45913</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45913</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45913</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45913</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45913</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45913</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45913</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45913</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45913</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60356-2020</t>
        </is>
      </c>
      <c r="B195" s="1" t="n">
        <v>44152.71583333334</v>
      </c>
      <c r="C195" s="1" t="n">
        <v>45913</v>
      </c>
      <c r="D195" t="inlineStr">
        <is>
          <t>GOTLANDS LÄN</t>
        </is>
      </c>
      <c r="E195" t="inlineStr">
        <is>
          <t>GOTLAND</t>
        </is>
      </c>
      <c r="G195" t="n">
        <v>2</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45913</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22498-2022</t>
        </is>
      </c>
      <c r="B197" s="1" t="n">
        <v>44713.64682870371</v>
      </c>
      <c r="C197" s="1" t="n">
        <v>45913</v>
      </c>
      <c r="D197" t="inlineStr">
        <is>
          <t>GOTLANDS LÄN</t>
        </is>
      </c>
      <c r="E197" t="inlineStr">
        <is>
          <t>GOTLAND</t>
        </is>
      </c>
      <c r="G197" t="n">
        <v>0.7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45913</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45913</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45913</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45913</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45913</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45913</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45913</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45913</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45913</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45913</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45913</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45913</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45913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45913</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45913</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45913</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45913</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45913</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45913</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45913</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45913</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13498-2022</t>
        </is>
      </c>
      <c r="B220" s="1" t="n">
        <v>44647.78866898148</v>
      </c>
      <c r="C220" s="1" t="n">
        <v>45913</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13500-2022</t>
        </is>
      </c>
      <c r="B221" s="1" t="n">
        <v>44647.79513888889</v>
      </c>
      <c r="C221" s="1" t="n">
        <v>45913</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45913</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1229-2021</t>
        </is>
      </c>
      <c r="B223" s="1" t="n">
        <v>44208</v>
      </c>
      <c r="C223" s="1" t="n">
        <v>45913</v>
      </c>
      <c r="D223" t="inlineStr">
        <is>
          <t>GOTLANDS LÄN</t>
        </is>
      </c>
      <c r="E223" t="inlineStr">
        <is>
          <t>GOTLAND</t>
        </is>
      </c>
      <c r="G223" t="n">
        <v>5.3</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45913</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45913</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45913</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62120-2020</t>
        </is>
      </c>
      <c r="B227" s="1" t="n">
        <v>44158</v>
      </c>
      <c r="C227" s="1" t="n">
        <v>45913</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45913</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53641-2020</t>
        </is>
      </c>
      <c r="B229" s="1" t="n">
        <v>44124</v>
      </c>
      <c r="C229" s="1" t="n">
        <v>45913</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32330-2024</t>
        </is>
      </c>
      <c r="B230" s="1" t="n">
        <v>45512</v>
      </c>
      <c r="C230" s="1" t="n">
        <v>45913</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45913</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45913</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45913</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45913</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5751-2024</t>
        </is>
      </c>
      <c r="B235" s="1" t="n">
        <v>45335.32702546296</v>
      </c>
      <c r="C235" s="1" t="n">
        <v>45913</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45913</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24966-2023</t>
        </is>
      </c>
      <c r="B237" s="1" t="n">
        <v>45085</v>
      </c>
      <c r="C237" s="1" t="n">
        <v>45913</v>
      </c>
      <c r="D237" t="inlineStr">
        <is>
          <t>GOTLANDS LÄN</t>
        </is>
      </c>
      <c r="E237" t="inlineStr">
        <is>
          <t>GOTLAND</t>
        </is>
      </c>
      <c r="G237" t="n">
        <v>7</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45913</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46189-2022</t>
        </is>
      </c>
      <c r="B239" s="1" t="n">
        <v>44847</v>
      </c>
      <c r="C239" s="1" t="n">
        <v>45913</v>
      </c>
      <c r="D239" t="inlineStr">
        <is>
          <t>GOTLANDS LÄN</t>
        </is>
      </c>
      <c r="E239" t="inlineStr">
        <is>
          <t>GOTLAND</t>
        </is>
      </c>
      <c r="G239" t="n">
        <v>0.4</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45913</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6108-2025</t>
        </is>
      </c>
      <c r="B241" s="1" t="n">
        <v>45698.29880787037</v>
      </c>
      <c r="C241" s="1" t="n">
        <v>45913</v>
      </c>
      <c r="D241" t="inlineStr">
        <is>
          <t>GOTLANDS LÄN</t>
        </is>
      </c>
      <c r="E241" t="inlineStr">
        <is>
          <t>GOTLAND</t>
        </is>
      </c>
      <c r="G241" t="n">
        <v>2.8</v>
      </c>
      <c r="H241" t="n">
        <v>0</v>
      </c>
      <c r="I241" t="n">
        <v>0</v>
      </c>
      <c r="J241" t="n">
        <v>0</v>
      </c>
      <c r="K241" t="n">
        <v>0</v>
      </c>
      <c r="L241" t="n">
        <v>0</v>
      </c>
      <c r="M241" t="n">
        <v>0</v>
      </c>
      <c r="N241" t="n">
        <v>0</v>
      </c>
      <c r="O241" t="n">
        <v>0</v>
      </c>
      <c r="P241" t="n">
        <v>0</v>
      </c>
      <c r="Q241" t="n">
        <v>0</v>
      </c>
      <c r="R241" s="2" t="inlineStr"/>
    </row>
    <row r="242" ht="15" customHeight="1">
      <c r="A242" t="inlineStr">
        <is>
          <t>A 46545-2024</t>
        </is>
      </c>
      <c r="B242" s="1" t="n">
        <v>45582.65831018519</v>
      </c>
      <c r="C242" s="1" t="n">
        <v>45913</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45913</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18223-2025</t>
        </is>
      </c>
      <c r="B244" s="1" t="n">
        <v>45761</v>
      </c>
      <c r="C244" s="1" t="n">
        <v>45913</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60086-2022</t>
        </is>
      </c>
      <c r="B245" s="1" t="n">
        <v>44909</v>
      </c>
      <c r="C245" s="1" t="n">
        <v>45913</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4420-2025</t>
        </is>
      </c>
      <c r="B246" s="1" t="n">
        <v>45686.47157407407</v>
      </c>
      <c r="C246" s="1" t="n">
        <v>45913</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28480-2023</t>
        </is>
      </c>
      <c r="B247" s="1" t="n">
        <v>45103</v>
      </c>
      <c r="C247" s="1" t="n">
        <v>45913</v>
      </c>
      <c r="D247" t="inlineStr">
        <is>
          <t>GOTLANDS LÄN</t>
        </is>
      </c>
      <c r="E247" t="inlineStr">
        <is>
          <t>GOTLAND</t>
        </is>
      </c>
      <c r="G247" t="n">
        <v>5.7</v>
      </c>
      <c r="H247" t="n">
        <v>0</v>
      </c>
      <c r="I247" t="n">
        <v>0</v>
      </c>
      <c r="J247" t="n">
        <v>0</v>
      </c>
      <c r="K247" t="n">
        <v>0</v>
      </c>
      <c r="L247" t="n">
        <v>0</v>
      </c>
      <c r="M247" t="n">
        <v>0</v>
      </c>
      <c r="N247" t="n">
        <v>0</v>
      </c>
      <c r="O247" t="n">
        <v>0</v>
      </c>
      <c r="P247" t="n">
        <v>0</v>
      </c>
      <c r="Q247" t="n">
        <v>0</v>
      </c>
      <c r="R247" s="2" t="inlineStr"/>
    </row>
    <row r="248" ht="15" customHeight="1">
      <c r="A248" t="inlineStr">
        <is>
          <t>A 28485-2023</t>
        </is>
      </c>
      <c r="B248" s="1" t="n">
        <v>45103.43731481482</v>
      </c>
      <c r="C248" s="1" t="n">
        <v>45913</v>
      </c>
      <c r="D248" t="inlineStr">
        <is>
          <t>GOTLANDS LÄN</t>
        </is>
      </c>
      <c r="E248" t="inlineStr">
        <is>
          <t>GOTLAND</t>
        </is>
      </c>
      <c r="G248" t="n">
        <v>2.3</v>
      </c>
      <c r="H248" t="n">
        <v>0</v>
      </c>
      <c r="I248" t="n">
        <v>0</v>
      </c>
      <c r="J248" t="n">
        <v>0</v>
      </c>
      <c r="K248" t="n">
        <v>0</v>
      </c>
      <c r="L248" t="n">
        <v>0</v>
      </c>
      <c r="M248" t="n">
        <v>0</v>
      </c>
      <c r="N248" t="n">
        <v>0</v>
      </c>
      <c r="O248" t="n">
        <v>0</v>
      </c>
      <c r="P248" t="n">
        <v>0</v>
      </c>
      <c r="Q248" t="n">
        <v>0</v>
      </c>
      <c r="R248" s="2" t="inlineStr"/>
    </row>
    <row r="249" ht="15" customHeight="1">
      <c r="A249" t="inlineStr">
        <is>
          <t>A 62915-2021</t>
        </is>
      </c>
      <c r="B249" s="1" t="n">
        <v>44504</v>
      </c>
      <c r="C249" s="1" t="n">
        <v>45913</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5891-2025</t>
        </is>
      </c>
      <c r="B250" s="1" t="n">
        <v>45695.38327546296</v>
      </c>
      <c r="C250" s="1" t="n">
        <v>45913</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44949-2023</t>
        </is>
      </c>
      <c r="B251" s="1" t="n">
        <v>45190.69520833333</v>
      </c>
      <c r="C251" s="1" t="n">
        <v>45913</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37222-2021</t>
        </is>
      </c>
      <c r="B252" s="1" t="n">
        <v>44396</v>
      </c>
      <c r="C252" s="1" t="n">
        <v>45913</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45913</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44204-2022</t>
        </is>
      </c>
      <c r="B254" s="1" t="n">
        <v>44839</v>
      </c>
      <c r="C254" s="1" t="n">
        <v>45913</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7835-2024</t>
        </is>
      </c>
      <c r="B255" s="1" t="n">
        <v>45349.83138888889</v>
      </c>
      <c r="C255" s="1" t="n">
        <v>45913</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49314-2024</t>
        </is>
      </c>
      <c r="B256" s="1" t="n">
        <v>45595.55893518519</v>
      </c>
      <c r="C256" s="1" t="n">
        <v>45913</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45913</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45913</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20805-2025</t>
        </is>
      </c>
      <c r="B259" s="1" t="n">
        <v>45776</v>
      </c>
      <c r="C259" s="1" t="n">
        <v>45913</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3964-2024</t>
        </is>
      </c>
      <c r="B260" s="1" t="n">
        <v>45322</v>
      </c>
      <c r="C260" s="1" t="n">
        <v>45913</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45084-2024</t>
        </is>
      </c>
      <c r="B261" s="1" t="n">
        <v>45575</v>
      </c>
      <c r="C261" s="1" t="n">
        <v>45913</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21389-2025</t>
        </is>
      </c>
      <c r="B262" s="1" t="n">
        <v>45782</v>
      </c>
      <c r="C262" s="1" t="n">
        <v>45913</v>
      </c>
      <c r="D262" t="inlineStr">
        <is>
          <t>GOTLANDS LÄN</t>
        </is>
      </c>
      <c r="E262" t="inlineStr">
        <is>
          <t>GOTLAND</t>
        </is>
      </c>
      <c r="G262" t="n">
        <v>4.1</v>
      </c>
      <c r="H262" t="n">
        <v>0</v>
      </c>
      <c r="I262" t="n">
        <v>0</v>
      </c>
      <c r="J262" t="n">
        <v>0</v>
      </c>
      <c r="K262" t="n">
        <v>0</v>
      </c>
      <c r="L262" t="n">
        <v>0</v>
      </c>
      <c r="M262" t="n">
        <v>0</v>
      </c>
      <c r="N262" t="n">
        <v>0</v>
      </c>
      <c r="O262" t="n">
        <v>0</v>
      </c>
      <c r="P262" t="n">
        <v>0</v>
      </c>
      <c r="Q262" t="n">
        <v>0</v>
      </c>
      <c r="R262" s="2" t="inlineStr"/>
    </row>
    <row r="263" ht="15" customHeight="1">
      <c r="A263" t="inlineStr">
        <is>
          <t>A 21142-2025</t>
        </is>
      </c>
      <c r="B263" s="1" t="n">
        <v>45779</v>
      </c>
      <c r="C263" s="1" t="n">
        <v>45913</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45913</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21651-2025</t>
        </is>
      </c>
      <c r="B265" s="1" t="n">
        <v>45783</v>
      </c>
      <c r="C265" s="1" t="n">
        <v>45913</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45913</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14915-2025</t>
        </is>
      </c>
      <c r="B267" s="1" t="n">
        <v>45743.53121527778</v>
      </c>
      <c r="C267" s="1" t="n">
        <v>45913</v>
      </c>
      <c r="D267" t="inlineStr">
        <is>
          <t>GOTLANDS LÄN</t>
        </is>
      </c>
      <c r="E267" t="inlineStr">
        <is>
          <t>GOTLAND</t>
        </is>
      </c>
      <c r="G267" t="n">
        <v>5.9</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45913</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1477-2024</t>
        </is>
      </c>
      <c r="B269" s="1" t="n">
        <v>45305.37987268518</v>
      </c>
      <c r="C269" s="1" t="n">
        <v>45913</v>
      </c>
      <c r="D269" t="inlineStr">
        <is>
          <t>GOTLANDS LÄN</t>
        </is>
      </c>
      <c r="E269" t="inlineStr">
        <is>
          <t>GOTLAND</t>
        </is>
      </c>
      <c r="G269" t="n">
        <v>6.9</v>
      </c>
      <c r="H269" t="n">
        <v>0</v>
      </c>
      <c r="I269" t="n">
        <v>0</v>
      </c>
      <c r="J269" t="n">
        <v>0</v>
      </c>
      <c r="K269" t="n">
        <v>0</v>
      </c>
      <c r="L269" t="n">
        <v>0</v>
      </c>
      <c r="M269" t="n">
        <v>0</v>
      </c>
      <c r="N269" t="n">
        <v>0</v>
      </c>
      <c r="O269" t="n">
        <v>0</v>
      </c>
      <c r="P269" t="n">
        <v>0</v>
      </c>
      <c r="Q269" t="n">
        <v>0</v>
      </c>
      <c r="R269" s="2" t="inlineStr"/>
    </row>
    <row r="270" ht="15" customHeight="1">
      <c r="A270" t="inlineStr">
        <is>
          <t>A 44649-2021</t>
        </is>
      </c>
      <c r="B270" s="1" t="n">
        <v>44437</v>
      </c>
      <c r="C270" s="1" t="n">
        <v>45913</v>
      </c>
      <c r="D270" t="inlineStr">
        <is>
          <t>GOTLANDS LÄN</t>
        </is>
      </c>
      <c r="E270" t="inlineStr">
        <is>
          <t>GOTLAND</t>
        </is>
      </c>
      <c r="G270" t="n">
        <v>8.1</v>
      </c>
      <c r="H270" t="n">
        <v>0</v>
      </c>
      <c r="I270" t="n">
        <v>0</v>
      </c>
      <c r="J270" t="n">
        <v>0</v>
      </c>
      <c r="K270" t="n">
        <v>0</v>
      </c>
      <c r="L270" t="n">
        <v>0</v>
      </c>
      <c r="M270" t="n">
        <v>0</v>
      </c>
      <c r="N270" t="n">
        <v>0</v>
      </c>
      <c r="O270" t="n">
        <v>0</v>
      </c>
      <c r="P270" t="n">
        <v>0</v>
      </c>
      <c r="Q270" t="n">
        <v>0</v>
      </c>
      <c r="R270" s="2" t="inlineStr"/>
    </row>
    <row r="271" ht="15" customHeight="1">
      <c r="A271" t="inlineStr">
        <is>
          <t>A 1677-2023</t>
        </is>
      </c>
      <c r="B271" s="1" t="n">
        <v>44938</v>
      </c>
      <c r="C271" s="1" t="n">
        <v>45913</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45244-2024</t>
        </is>
      </c>
      <c r="B272" s="1" t="n">
        <v>45576</v>
      </c>
      <c r="C272" s="1" t="n">
        <v>45913</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45913</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44304-2021</t>
        </is>
      </c>
      <c r="B274" s="1" t="n">
        <v>44434</v>
      </c>
      <c r="C274" s="1" t="n">
        <v>45913</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8260-2023</t>
        </is>
      </c>
      <c r="B275" s="1" t="n">
        <v>44974.61608796296</v>
      </c>
      <c r="C275" s="1" t="n">
        <v>45913</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17682-2024</t>
        </is>
      </c>
      <c r="B276" s="1" t="n">
        <v>45418.42966435185</v>
      </c>
      <c r="C276" s="1" t="n">
        <v>45913</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57522-2022</t>
        </is>
      </c>
      <c r="B277" s="1" t="n">
        <v>44896</v>
      </c>
      <c r="C277" s="1" t="n">
        <v>45913</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64969-2023</t>
        </is>
      </c>
      <c r="B278" s="1" t="n">
        <v>45284.54009259259</v>
      </c>
      <c r="C278" s="1" t="n">
        <v>45913</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48843-2024</t>
        </is>
      </c>
      <c r="B279" s="1" t="n">
        <v>45593</v>
      </c>
      <c r="C279" s="1" t="n">
        <v>45913</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17541-2024</t>
        </is>
      </c>
      <c r="B280" s="1" t="n">
        <v>45415</v>
      </c>
      <c r="C280" s="1" t="n">
        <v>45913</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64380-2020</t>
        </is>
      </c>
      <c r="B281" s="1" t="n">
        <v>44168.60128472222</v>
      </c>
      <c r="C281" s="1" t="n">
        <v>45913</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2241-2025</t>
        </is>
      </c>
      <c r="B282" s="1" t="n">
        <v>45673.48710648148</v>
      </c>
      <c r="C282" s="1" t="n">
        <v>45913</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45913</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10656-2024</t>
        </is>
      </c>
      <c r="B284" s="1" t="n">
        <v>45368</v>
      </c>
      <c r="C284" s="1" t="n">
        <v>45913</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45913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2608-2021</t>
        </is>
      </c>
      <c r="B286" s="1" t="n">
        <v>44214</v>
      </c>
      <c r="C286" s="1" t="n">
        <v>45913</v>
      </c>
      <c r="D286" t="inlineStr">
        <is>
          <t>GOTLANDS LÄN</t>
        </is>
      </c>
      <c r="E286" t="inlineStr">
        <is>
          <t>GOTLAND</t>
        </is>
      </c>
      <c r="G286" t="n">
        <v>3.9</v>
      </c>
      <c r="H286" t="n">
        <v>0</v>
      </c>
      <c r="I286" t="n">
        <v>0</v>
      </c>
      <c r="J286" t="n">
        <v>0</v>
      </c>
      <c r="K286" t="n">
        <v>0</v>
      </c>
      <c r="L286" t="n">
        <v>0</v>
      </c>
      <c r="M286" t="n">
        <v>0</v>
      </c>
      <c r="N286" t="n">
        <v>0</v>
      </c>
      <c r="O286" t="n">
        <v>0</v>
      </c>
      <c r="P286" t="n">
        <v>0</v>
      </c>
      <c r="Q286" t="n">
        <v>0</v>
      </c>
      <c r="R286" s="2" t="inlineStr"/>
    </row>
    <row r="287" ht="15" customHeight="1">
      <c r="A287" t="inlineStr">
        <is>
          <t>A 15434-2024</t>
        </is>
      </c>
      <c r="B287" s="1" t="n">
        <v>45401.38836805556</v>
      </c>
      <c r="C287" s="1" t="n">
        <v>45913</v>
      </c>
      <c r="D287" t="inlineStr">
        <is>
          <t>GOTLANDS LÄN</t>
        </is>
      </c>
      <c r="E287" t="inlineStr">
        <is>
          <t>GOTLAND</t>
        </is>
      </c>
      <c r="G287" t="n">
        <v>2.5</v>
      </c>
      <c r="H287" t="n">
        <v>0</v>
      </c>
      <c r="I287" t="n">
        <v>0</v>
      </c>
      <c r="J287" t="n">
        <v>0</v>
      </c>
      <c r="K287" t="n">
        <v>0</v>
      </c>
      <c r="L287" t="n">
        <v>0</v>
      </c>
      <c r="M287" t="n">
        <v>0</v>
      </c>
      <c r="N287" t="n">
        <v>0</v>
      </c>
      <c r="O287" t="n">
        <v>0</v>
      </c>
      <c r="P287" t="n">
        <v>0</v>
      </c>
      <c r="Q287" t="n">
        <v>0</v>
      </c>
      <c r="R287" s="2" t="inlineStr"/>
    </row>
    <row r="288" ht="15" customHeight="1">
      <c r="A288" t="inlineStr">
        <is>
          <t>A 56951-2021</t>
        </is>
      </c>
      <c r="B288" s="1" t="n">
        <v>44482.37388888889</v>
      </c>
      <c r="C288" s="1" t="n">
        <v>45913</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45913</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45913</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5943-2024</t>
        </is>
      </c>
      <c r="B291" s="1" t="n">
        <v>45336</v>
      </c>
      <c r="C291" s="1" t="n">
        <v>45913</v>
      </c>
      <c r="D291" t="inlineStr">
        <is>
          <t>GOTLANDS LÄN</t>
        </is>
      </c>
      <c r="E291" t="inlineStr">
        <is>
          <t>GOTLAND</t>
        </is>
      </c>
      <c r="G291" t="n">
        <v>4.3</v>
      </c>
      <c r="H291" t="n">
        <v>0</v>
      </c>
      <c r="I291" t="n">
        <v>0</v>
      </c>
      <c r="J291" t="n">
        <v>0</v>
      </c>
      <c r="K291" t="n">
        <v>0</v>
      </c>
      <c r="L291" t="n">
        <v>0</v>
      </c>
      <c r="M291" t="n">
        <v>0</v>
      </c>
      <c r="N291" t="n">
        <v>0</v>
      </c>
      <c r="O291" t="n">
        <v>0</v>
      </c>
      <c r="P291" t="n">
        <v>0</v>
      </c>
      <c r="Q291" t="n">
        <v>0</v>
      </c>
      <c r="R291" s="2" t="inlineStr"/>
    </row>
    <row r="292" ht="15" customHeight="1">
      <c r="A292" t="inlineStr">
        <is>
          <t>A 63516-2023</t>
        </is>
      </c>
      <c r="B292" s="1" t="n">
        <v>45274</v>
      </c>
      <c r="C292" s="1" t="n">
        <v>45913</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45913</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45913</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45913</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45913</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45913</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24001-2021</t>
        </is>
      </c>
      <c r="B298" s="1" t="n">
        <v>44335</v>
      </c>
      <c r="C298" s="1" t="n">
        <v>45913</v>
      </c>
      <c r="D298" t="inlineStr">
        <is>
          <t>GOTLANDS LÄN</t>
        </is>
      </c>
      <c r="E298" t="inlineStr">
        <is>
          <t>GOTLAND</t>
        </is>
      </c>
      <c r="G298" t="n">
        <v>3.4</v>
      </c>
      <c r="H298" t="n">
        <v>0</v>
      </c>
      <c r="I298" t="n">
        <v>0</v>
      </c>
      <c r="J298" t="n">
        <v>0</v>
      </c>
      <c r="K298" t="n">
        <v>0</v>
      </c>
      <c r="L298" t="n">
        <v>0</v>
      </c>
      <c r="M298" t="n">
        <v>0</v>
      </c>
      <c r="N298" t="n">
        <v>0</v>
      </c>
      <c r="O298" t="n">
        <v>0</v>
      </c>
      <c r="P298" t="n">
        <v>0</v>
      </c>
      <c r="Q298" t="n">
        <v>0</v>
      </c>
      <c r="R298" s="2" t="inlineStr"/>
    </row>
    <row r="299" ht="15" customHeight="1">
      <c r="A299" t="inlineStr">
        <is>
          <t>A 34142-2024</t>
        </is>
      </c>
      <c r="B299" s="1" t="n">
        <v>45524.36521990741</v>
      </c>
      <c r="C299" s="1" t="n">
        <v>45913</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45913</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14427-2024</t>
        </is>
      </c>
      <c r="B301" s="1" t="n">
        <v>45394</v>
      </c>
      <c r="C301" s="1" t="n">
        <v>45913</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23700-2025</t>
        </is>
      </c>
      <c r="B302" s="1" t="n">
        <v>45793</v>
      </c>
      <c r="C302" s="1" t="n">
        <v>45913</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45913</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45913</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30365-2024</t>
        </is>
      </c>
      <c r="B305" s="1" t="n">
        <v>45491.3716087963</v>
      </c>
      <c r="C305" s="1" t="n">
        <v>45913</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6749-2025</t>
        </is>
      </c>
      <c r="B306" s="1" t="n">
        <v>45700</v>
      </c>
      <c r="C306" s="1" t="n">
        <v>45913</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1681-2023</t>
        </is>
      </c>
      <c r="B307" s="1" t="n">
        <v>44938.39715277778</v>
      </c>
      <c r="C307" s="1" t="n">
        <v>45913</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8684-2025</t>
        </is>
      </c>
      <c r="B308" s="1" t="n">
        <v>45712.45605324074</v>
      </c>
      <c r="C308" s="1" t="n">
        <v>45913</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45913</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23698-2025</t>
        </is>
      </c>
      <c r="B310" s="1" t="n">
        <v>45793</v>
      </c>
      <c r="C310" s="1" t="n">
        <v>45913</v>
      </c>
      <c r="D310" t="inlineStr">
        <is>
          <t>GOTLANDS LÄN</t>
        </is>
      </c>
      <c r="E310" t="inlineStr">
        <is>
          <t>GOTLAND</t>
        </is>
      </c>
      <c r="G310" t="n">
        <v>0.8</v>
      </c>
      <c r="H310" t="n">
        <v>0</v>
      </c>
      <c r="I310" t="n">
        <v>0</v>
      </c>
      <c r="J310" t="n">
        <v>0</v>
      </c>
      <c r="K310" t="n">
        <v>0</v>
      </c>
      <c r="L310" t="n">
        <v>0</v>
      </c>
      <c r="M310" t="n">
        <v>0</v>
      </c>
      <c r="N310" t="n">
        <v>0</v>
      </c>
      <c r="O310" t="n">
        <v>0</v>
      </c>
      <c r="P310" t="n">
        <v>0</v>
      </c>
      <c r="Q310" t="n">
        <v>0</v>
      </c>
      <c r="R310" s="2" t="inlineStr"/>
    </row>
    <row r="311" ht="15" customHeight="1">
      <c r="A311" t="inlineStr">
        <is>
          <t>A 8036-2022</t>
        </is>
      </c>
      <c r="B311" s="1" t="n">
        <v>44609.44362268518</v>
      </c>
      <c r="C311" s="1" t="n">
        <v>45913</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12846-2025</t>
        </is>
      </c>
      <c r="B312" s="1" t="n">
        <v>45733.65049768519</v>
      </c>
      <c r="C312" s="1" t="n">
        <v>45913</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45913</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1273-2023</t>
        </is>
      </c>
      <c r="B314" s="1" t="n">
        <v>44936</v>
      </c>
      <c r="C314" s="1" t="n">
        <v>45913</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46949-2024</t>
        </is>
      </c>
      <c r="B315" s="1" t="n">
        <v>45585</v>
      </c>
      <c r="C315" s="1" t="n">
        <v>45913</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45913</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58780-2024</t>
        </is>
      </c>
      <c r="B317" s="1" t="n">
        <v>45635.84113425926</v>
      </c>
      <c r="C317" s="1" t="n">
        <v>45913</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45692-2023</t>
        </is>
      </c>
      <c r="B318" s="1" t="n">
        <v>45195</v>
      </c>
      <c r="C318" s="1" t="n">
        <v>45913</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33876-2024</t>
        </is>
      </c>
      <c r="B319" s="1" t="n">
        <v>45521.87988425926</v>
      </c>
      <c r="C319" s="1" t="n">
        <v>45913</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46778-2020</t>
        </is>
      </c>
      <c r="B320" s="1" t="n">
        <v>44096</v>
      </c>
      <c r="C320" s="1" t="n">
        <v>45913</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5462-2025</t>
        </is>
      </c>
      <c r="B321" s="1" t="n">
        <v>45693.29331018519</v>
      </c>
      <c r="C321" s="1" t="n">
        <v>45913</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45913</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61100-2022</t>
        </is>
      </c>
      <c r="B323" s="1" t="n">
        <v>44915</v>
      </c>
      <c r="C323" s="1" t="n">
        <v>45913</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25796-2025</t>
        </is>
      </c>
      <c r="B324" s="1" t="n">
        <v>45804.39543981481</v>
      </c>
      <c r="C324" s="1" t="n">
        <v>45913</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11634-2024</t>
        </is>
      </c>
      <c r="B325" s="1" t="n">
        <v>45373</v>
      </c>
      <c r="C325" s="1" t="n">
        <v>45913</v>
      </c>
      <c r="D325" t="inlineStr">
        <is>
          <t>GOTLANDS LÄN</t>
        </is>
      </c>
      <c r="E325" t="inlineStr">
        <is>
          <t>GOTLAND</t>
        </is>
      </c>
      <c r="G325" t="n">
        <v>3</v>
      </c>
      <c r="H325" t="n">
        <v>0</v>
      </c>
      <c r="I325" t="n">
        <v>0</v>
      </c>
      <c r="J325" t="n">
        <v>0</v>
      </c>
      <c r="K325" t="n">
        <v>0</v>
      </c>
      <c r="L325" t="n">
        <v>0</v>
      </c>
      <c r="M325" t="n">
        <v>0</v>
      </c>
      <c r="N325" t="n">
        <v>0</v>
      </c>
      <c r="O325" t="n">
        <v>0</v>
      </c>
      <c r="P325" t="n">
        <v>0</v>
      </c>
      <c r="Q325" t="n">
        <v>0</v>
      </c>
      <c r="R325" s="2" t="inlineStr"/>
    </row>
    <row r="326" ht="15" customHeight="1">
      <c r="A326" t="inlineStr">
        <is>
          <t>A 1351-2025</t>
        </is>
      </c>
      <c r="B326" s="1" t="n">
        <v>45667.62246527777</v>
      </c>
      <c r="C326" s="1" t="n">
        <v>45913</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61682-2024</t>
        </is>
      </c>
      <c r="B327" s="1" t="n">
        <v>45647.48824074074</v>
      </c>
      <c r="C327" s="1" t="n">
        <v>45913</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39496-2022</t>
        </is>
      </c>
      <c r="B328" s="1" t="n">
        <v>44818</v>
      </c>
      <c r="C328" s="1" t="n">
        <v>45913</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49874-2024</t>
        </is>
      </c>
      <c r="B329" s="1" t="n">
        <v>45597.49274305555</v>
      </c>
      <c r="C329" s="1" t="n">
        <v>45913</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42201-2023</t>
        </is>
      </c>
      <c r="B330" s="1" t="n">
        <v>45179</v>
      </c>
      <c r="C330" s="1" t="n">
        <v>45913</v>
      </c>
      <c r="D330" t="inlineStr">
        <is>
          <t>GOTLANDS LÄN</t>
        </is>
      </c>
      <c r="E330" t="inlineStr">
        <is>
          <t>GOTLAND</t>
        </is>
      </c>
      <c r="G330" t="n">
        <v>11.9</v>
      </c>
      <c r="H330" t="n">
        <v>0</v>
      </c>
      <c r="I330" t="n">
        <v>0</v>
      </c>
      <c r="J330" t="n">
        <v>0</v>
      </c>
      <c r="K330" t="n">
        <v>0</v>
      </c>
      <c r="L330" t="n">
        <v>0</v>
      </c>
      <c r="M330" t="n">
        <v>0</v>
      </c>
      <c r="N330" t="n">
        <v>0</v>
      </c>
      <c r="O330" t="n">
        <v>0</v>
      </c>
      <c r="P330" t="n">
        <v>0</v>
      </c>
      <c r="Q330" t="n">
        <v>0</v>
      </c>
      <c r="R330" s="2" t="inlineStr"/>
    </row>
    <row r="331" ht="15" customHeight="1">
      <c r="A331" t="inlineStr">
        <is>
          <t>A 43785-2024</t>
        </is>
      </c>
      <c r="B331" s="1" t="n">
        <v>45570</v>
      </c>
      <c r="C331" s="1" t="n">
        <v>45913</v>
      </c>
      <c r="D331" t="inlineStr">
        <is>
          <t>GOTLANDS LÄN</t>
        </is>
      </c>
      <c r="E331" t="inlineStr">
        <is>
          <t>GOTLAND</t>
        </is>
      </c>
      <c r="G331" t="n">
        <v>12.6</v>
      </c>
      <c r="H331" t="n">
        <v>0</v>
      </c>
      <c r="I331" t="n">
        <v>0</v>
      </c>
      <c r="J331" t="n">
        <v>0</v>
      </c>
      <c r="K331" t="n">
        <v>0</v>
      </c>
      <c r="L331" t="n">
        <v>0</v>
      </c>
      <c r="M331" t="n">
        <v>0</v>
      </c>
      <c r="N331" t="n">
        <v>0</v>
      </c>
      <c r="O331" t="n">
        <v>0</v>
      </c>
      <c r="P331" t="n">
        <v>0</v>
      </c>
      <c r="Q331" t="n">
        <v>0</v>
      </c>
      <c r="R331" s="2" t="inlineStr"/>
    </row>
    <row r="332" ht="15" customHeight="1">
      <c r="A332" t="inlineStr">
        <is>
          <t>A 46400-2023</t>
        </is>
      </c>
      <c r="B332" s="1" t="n">
        <v>45197.49290509259</v>
      </c>
      <c r="C332" s="1" t="n">
        <v>45913</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9875-2025</t>
        </is>
      </c>
      <c r="B333" s="1" t="n">
        <v>45716</v>
      </c>
      <c r="C333" s="1" t="n">
        <v>45913</v>
      </c>
      <c r="D333" t="inlineStr">
        <is>
          <t>GOTLANDS LÄN</t>
        </is>
      </c>
      <c r="E333" t="inlineStr">
        <is>
          <t>GOTLAND</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19002-2025</t>
        </is>
      </c>
      <c r="B334" s="1" t="n">
        <v>45764</v>
      </c>
      <c r="C334" s="1" t="n">
        <v>45913</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45913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21164-2024</t>
        </is>
      </c>
      <c r="B336" s="1" t="n">
        <v>45440</v>
      </c>
      <c r="C336" s="1" t="n">
        <v>45913</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45913</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58388-2022</t>
        </is>
      </c>
      <c r="B338" s="1" t="n">
        <v>44894</v>
      </c>
      <c r="C338" s="1" t="n">
        <v>45913</v>
      </c>
      <c r="D338" t="inlineStr">
        <is>
          <t>GOTLANDS LÄN</t>
        </is>
      </c>
      <c r="E338" t="inlineStr">
        <is>
          <t>GOTLAND</t>
        </is>
      </c>
      <c r="F338" t="inlineStr">
        <is>
          <t>Övriga statliga verk och myndigheter</t>
        </is>
      </c>
      <c r="G338" t="n">
        <v>3.1</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45913</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21792-2024</t>
        </is>
      </c>
      <c r="B340" s="1" t="n">
        <v>45442.64326388889</v>
      </c>
      <c r="C340" s="1" t="n">
        <v>45913</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45913</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45913</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45913</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45913</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26465-2025</t>
        </is>
      </c>
      <c r="B345" s="1" t="n">
        <v>45807.44377314814</v>
      </c>
      <c r="C345" s="1" t="n">
        <v>45913</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26660-2025</t>
        </is>
      </c>
      <c r="B346" s="1" t="n">
        <v>45810.39737268518</v>
      </c>
      <c r="C346" s="1" t="n">
        <v>45913</v>
      </c>
      <c r="D346" t="inlineStr">
        <is>
          <t>GOTLANDS LÄN</t>
        </is>
      </c>
      <c r="E346" t="inlineStr">
        <is>
          <t>GOTLAND</t>
        </is>
      </c>
      <c r="G346" t="n">
        <v>1.8</v>
      </c>
      <c r="H346" t="n">
        <v>0</v>
      </c>
      <c r="I346" t="n">
        <v>0</v>
      </c>
      <c r="J346" t="n">
        <v>0</v>
      </c>
      <c r="K346" t="n">
        <v>0</v>
      </c>
      <c r="L346" t="n">
        <v>0</v>
      </c>
      <c r="M346" t="n">
        <v>0</v>
      </c>
      <c r="N346" t="n">
        <v>0</v>
      </c>
      <c r="O346" t="n">
        <v>0</v>
      </c>
      <c r="P346" t="n">
        <v>0</v>
      </c>
      <c r="Q346" t="n">
        <v>0</v>
      </c>
      <c r="R346" s="2" t="inlineStr"/>
    </row>
    <row r="347" ht="15" customHeight="1">
      <c r="A347" t="inlineStr">
        <is>
          <t>A 17688-2024</t>
        </is>
      </c>
      <c r="B347" s="1" t="n">
        <v>45418.43575231481</v>
      </c>
      <c r="C347" s="1" t="n">
        <v>45913</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49962-2023</t>
        </is>
      </c>
      <c r="B348" s="1" t="n">
        <v>45215.38775462963</v>
      </c>
      <c r="C348" s="1" t="n">
        <v>45913</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7837-2024</t>
        </is>
      </c>
      <c r="B349" s="1" t="n">
        <v>45349.83787037037</v>
      </c>
      <c r="C349" s="1" t="n">
        <v>45913</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27348-2025</t>
        </is>
      </c>
      <c r="B350" s="1" t="n">
        <v>45812.62451388889</v>
      </c>
      <c r="C350" s="1" t="n">
        <v>45913</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20165-2022</t>
        </is>
      </c>
      <c r="B351" s="1" t="n">
        <v>44698.49854166667</v>
      </c>
      <c r="C351" s="1" t="n">
        <v>45913</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27371-2025</t>
        </is>
      </c>
      <c r="B352" s="1" t="n">
        <v>45812</v>
      </c>
      <c r="C352" s="1" t="n">
        <v>45913</v>
      </c>
      <c r="D352" t="inlineStr">
        <is>
          <t>GOTLANDS LÄN</t>
        </is>
      </c>
      <c r="E352" t="inlineStr">
        <is>
          <t>GOTLAND</t>
        </is>
      </c>
      <c r="G352" t="n">
        <v>8</v>
      </c>
      <c r="H352" t="n">
        <v>0</v>
      </c>
      <c r="I352" t="n">
        <v>0</v>
      </c>
      <c r="J352" t="n">
        <v>0</v>
      </c>
      <c r="K352" t="n">
        <v>0</v>
      </c>
      <c r="L352" t="n">
        <v>0</v>
      </c>
      <c r="M352" t="n">
        <v>0</v>
      </c>
      <c r="N352" t="n">
        <v>0</v>
      </c>
      <c r="O352" t="n">
        <v>0</v>
      </c>
      <c r="P352" t="n">
        <v>0</v>
      </c>
      <c r="Q352" t="n">
        <v>0</v>
      </c>
      <c r="R352" s="2" t="inlineStr"/>
    </row>
    <row r="353" ht="15" customHeight="1">
      <c r="A353" t="inlineStr">
        <is>
          <t>A 27355-2025</t>
        </is>
      </c>
      <c r="B353" s="1" t="n">
        <v>45812</v>
      </c>
      <c r="C353" s="1" t="n">
        <v>45913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4568-2025</t>
        </is>
      </c>
      <c r="B354" s="1" t="n">
        <v>45687</v>
      </c>
      <c r="C354" s="1" t="n">
        <v>45913</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40294-2022</t>
        </is>
      </c>
      <c r="B355" s="1" t="n">
        <v>44821</v>
      </c>
      <c r="C355" s="1" t="n">
        <v>45913</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45913</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45913</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12032-2025</t>
        </is>
      </c>
      <c r="B358" s="1" t="n">
        <v>45728.64472222222</v>
      </c>
      <c r="C358" s="1" t="n">
        <v>45913</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38787-2023</t>
        </is>
      </c>
      <c r="B359" s="1" t="n">
        <v>45163</v>
      </c>
      <c r="C359" s="1" t="n">
        <v>45913</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20307-2025</t>
        </is>
      </c>
      <c r="B360" s="1" t="n">
        <v>45774.95546296296</v>
      </c>
      <c r="C360" s="1" t="n">
        <v>45913</v>
      </c>
      <c r="D360" t="inlineStr">
        <is>
          <t>GOTLANDS LÄN</t>
        </is>
      </c>
      <c r="E360" t="inlineStr">
        <is>
          <t>GOTLAND</t>
        </is>
      </c>
      <c r="G360" t="n">
        <v>6.8</v>
      </c>
      <c r="H360" t="n">
        <v>0</v>
      </c>
      <c r="I360" t="n">
        <v>0</v>
      </c>
      <c r="J360" t="n">
        <v>0</v>
      </c>
      <c r="K360" t="n">
        <v>0</v>
      </c>
      <c r="L360" t="n">
        <v>0</v>
      </c>
      <c r="M360" t="n">
        <v>0</v>
      </c>
      <c r="N360" t="n">
        <v>0</v>
      </c>
      <c r="O360" t="n">
        <v>0</v>
      </c>
      <c r="P360" t="n">
        <v>0</v>
      </c>
      <c r="Q360" t="n">
        <v>0</v>
      </c>
      <c r="R360" s="2" t="inlineStr"/>
    </row>
    <row r="361" ht="15" customHeight="1">
      <c r="A361" t="inlineStr">
        <is>
          <t>A 8444-2025</t>
        </is>
      </c>
      <c r="B361" s="1" t="n">
        <v>45709</v>
      </c>
      <c r="C361" s="1" t="n">
        <v>45913</v>
      </c>
      <c r="D361" t="inlineStr">
        <is>
          <t>GOTLANDS LÄN</t>
        </is>
      </c>
      <c r="E361" t="inlineStr">
        <is>
          <t>GOTLAND</t>
        </is>
      </c>
      <c r="G361" t="n">
        <v>5.2</v>
      </c>
      <c r="H361" t="n">
        <v>0</v>
      </c>
      <c r="I361" t="n">
        <v>0</v>
      </c>
      <c r="J361" t="n">
        <v>0</v>
      </c>
      <c r="K361" t="n">
        <v>0</v>
      </c>
      <c r="L361" t="n">
        <v>0</v>
      </c>
      <c r="M361" t="n">
        <v>0</v>
      </c>
      <c r="N361" t="n">
        <v>0</v>
      </c>
      <c r="O361" t="n">
        <v>0</v>
      </c>
      <c r="P361" t="n">
        <v>0</v>
      </c>
      <c r="Q361" t="n">
        <v>0</v>
      </c>
      <c r="R361" s="2" t="inlineStr"/>
    </row>
    <row r="362" ht="15" customHeight="1">
      <c r="A362" t="inlineStr">
        <is>
          <t>A 43231-2023</t>
        </is>
      </c>
      <c r="B362" s="1" t="n">
        <v>45183.47025462963</v>
      </c>
      <c r="C362" s="1" t="n">
        <v>45913</v>
      </c>
      <c r="D362" t="inlineStr">
        <is>
          <t>GOTLANDS LÄN</t>
        </is>
      </c>
      <c r="E362" t="inlineStr">
        <is>
          <t>GOTLAND</t>
        </is>
      </c>
      <c r="G362" t="n">
        <v>3.6</v>
      </c>
      <c r="H362" t="n">
        <v>0</v>
      </c>
      <c r="I362" t="n">
        <v>0</v>
      </c>
      <c r="J362" t="n">
        <v>0</v>
      </c>
      <c r="K362" t="n">
        <v>0</v>
      </c>
      <c r="L362" t="n">
        <v>0</v>
      </c>
      <c r="M362" t="n">
        <v>0</v>
      </c>
      <c r="N362" t="n">
        <v>0</v>
      </c>
      <c r="O362" t="n">
        <v>0</v>
      </c>
      <c r="P362" t="n">
        <v>0</v>
      </c>
      <c r="Q362" t="n">
        <v>0</v>
      </c>
      <c r="R362" s="2" t="inlineStr"/>
    </row>
    <row r="363" ht="15" customHeight="1">
      <c r="A363" t="inlineStr">
        <is>
          <t>A 35512-2023</t>
        </is>
      </c>
      <c r="B363" s="1" t="n">
        <v>45147.25623842593</v>
      </c>
      <c r="C363" s="1" t="n">
        <v>45913</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45913</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17532-2024</t>
        </is>
      </c>
      <c r="B365" s="1" t="n">
        <v>45415</v>
      </c>
      <c r="C365" s="1" t="n">
        <v>45913</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3935-2025</t>
        </is>
      </c>
      <c r="B366" s="1" t="n">
        <v>45684.46070601852</v>
      </c>
      <c r="C366" s="1" t="n">
        <v>45913</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1291-2023</t>
        </is>
      </c>
      <c r="B367" s="1" t="n">
        <v>44936.47561342592</v>
      </c>
      <c r="C367" s="1" t="n">
        <v>45913</v>
      </c>
      <c r="D367" t="inlineStr">
        <is>
          <t>GOTLANDS LÄN</t>
        </is>
      </c>
      <c r="E367" t="inlineStr">
        <is>
          <t>GOTLAND</t>
        </is>
      </c>
      <c r="G367" t="n">
        <v>7.4</v>
      </c>
      <c r="H367" t="n">
        <v>0</v>
      </c>
      <c r="I367" t="n">
        <v>0</v>
      </c>
      <c r="J367" t="n">
        <v>0</v>
      </c>
      <c r="K367" t="n">
        <v>0</v>
      </c>
      <c r="L367" t="n">
        <v>0</v>
      </c>
      <c r="M367" t="n">
        <v>0</v>
      </c>
      <c r="N367" t="n">
        <v>0</v>
      </c>
      <c r="O367" t="n">
        <v>0</v>
      </c>
      <c r="P367" t="n">
        <v>0</v>
      </c>
      <c r="Q367" t="n">
        <v>0</v>
      </c>
      <c r="R367" s="2" t="inlineStr"/>
    </row>
    <row r="368" ht="15" customHeight="1">
      <c r="A368" t="inlineStr">
        <is>
          <t>A 19905-2025</t>
        </is>
      </c>
      <c r="B368" s="1" t="n">
        <v>45771</v>
      </c>
      <c r="C368" s="1" t="n">
        <v>45913</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29196-2025</t>
        </is>
      </c>
      <c r="B369" s="1" t="n">
        <v>45822</v>
      </c>
      <c r="C369" s="1" t="n">
        <v>45913</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57652-2023</t>
        </is>
      </c>
      <c r="B370" s="1" t="n">
        <v>45246</v>
      </c>
      <c r="C370" s="1" t="n">
        <v>45913</v>
      </c>
      <c r="D370" t="inlineStr">
        <is>
          <t>GOTLANDS LÄN</t>
        </is>
      </c>
      <c r="E370" t="inlineStr">
        <is>
          <t>GOTLAND</t>
        </is>
      </c>
      <c r="G370" t="n">
        <v>7.2</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45913</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45913</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883-2025</t>
        </is>
      </c>
      <c r="B373" s="1" t="n">
        <v>45665</v>
      </c>
      <c r="C373" s="1" t="n">
        <v>45913</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18938-2025</t>
        </is>
      </c>
      <c r="B374" s="1" t="n">
        <v>45764.49172453704</v>
      </c>
      <c r="C374" s="1" t="n">
        <v>45913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45913</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30157-2025</t>
        </is>
      </c>
      <c r="B376" s="1" t="n">
        <v>45826</v>
      </c>
      <c r="C376" s="1" t="n">
        <v>45913</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45826.61488425926</v>
      </c>
      <c r="C377" s="1" t="n">
        <v>45913</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45106-2024</t>
        </is>
      </c>
      <c r="B378" s="1" t="n">
        <v>45575</v>
      </c>
      <c r="C378" s="1" t="n">
        <v>45913</v>
      </c>
      <c r="D378" t="inlineStr">
        <is>
          <t>GOTLANDS LÄN</t>
        </is>
      </c>
      <c r="E378" t="inlineStr">
        <is>
          <t>GOTLAND</t>
        </is>
      </c>
      <c r="G378" t="n">
        <v>10</v>
      </c>
      <c r="H378" t="n">
        <v>0</v>
      </c>
      <c r="I378" t="n">
        <v>0</v>
      </c>
      <c r="J378" t="n">
        <v>0</v>
      </c>
      <c r="K378" t="n">
        <v>0</v>
      </c>
      <c r="L378" t="n">
        <v>0</v>
      </c>
      <c r="M378" t="n">
        <v>0</v>
      </c>
      <c r="N378" t="n">
        <v>0</v>
      </c>
      <c r="O378" t="n">
        <v>0</v>
      </c>
      <c r="P378" t="n">
        <v>0</v>
      </c>
      <c r="Q378" t="n">
        <v>0</v>
      </c>
      <c r="R378" s="2" t="inlineStr"/>
    </row>
    <row r="379" ht="15" customHeight="1">
      <c r="A379" t="inlineStr">
        <is>
          <t>A 45112-2024</t>
        </is>
      </c>
      <c r="B379" s="1" t="n">
        <v>45575</v>
      </c>
      <c r="C379" s="1" t="n">
        <v>45913</v>
      </c>
      <c r="D379" t="inlineStr">
        <is>
          <t>GOTLANDS LÄN</t>
        </is>
      </c>
      <c r="E379" t="inlineStr">
        <is>
          <t>GOTLAND</t>
        </is>
      </c>
      <c r="G379" t="n">
        <v>5.1</v>
      </c>
      <c r="H379" t="n">
        <v>0</v>
      </c>
      <c r="I379" t="n">
        <v>0</v>
      </c>
      <c r="J379" t="n">
        <v>0</v>
      </c>
      <c r="K379" t="n">
        <v>0</v>
      </c>
      <c r="L379" t="n">
        <v>0</v>
      </c>
      <c r="M379" t="n">
        <v>0</v>
      </c>
      <c r="N379" t="n">
        <v>0</v>
      </c>
      <c r="O379" t="n">
        <v>0</v>
      </c>
      <c r="P379" t="n">
        <v>0</v>
      </c>
      <c r="Q379" t="n">
        <v>0</v>
      </c>
      <c r="R379" s="2" t="inlineStr"/>
    </row>
    <row r="380" ht="15" customHeight="1">
      <c r="A380" t="inlineStr">
        <is>
          <t>A 2676-2023</t>
        </is>
      </c>
      <c r="B380" s="1" t="n">
        <v>44944</v>
      </c>
      <c r="C380" s="1" t="n">
        <v>45913</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1066-2024</t>
        </is>
      </c>
      <c r="B381" s="1" t="n">
        <v>45302.285</v>
      </c>
      <c r="C381" s="1" t="n">
        <v>45913</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17144-2025</t>
        </is>
      </c>
      <c r="B382" s="1" t="n">
        <v>45755.9499537037</v>
      </c>
      <c r="C382" s="1" t="n">
        <v>45913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58160-2024</t>
        </is>
      </c>
      <c r="B383" s="1" t="n">
        <v>45632.44927083333</v>
      </c>
      <c r="C383" s="1" t="n">
        <v>45913</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3150-2025</t>
        </is>
      </c>
      <c r="B384" s="1" t="n">
        <v>45679.28974537037</v>
      </c>
      <c r="C384" s="1" t="n">
        <v>45913</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45913</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8484-2025</t>
        </is>
      </c>
      <c r="B386" s="1" t="n">
        <v>45709</v>
      </c>
      <c r="C386" s="1" t="n">
        <v>45913</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7635-2025</t>
        </is>
      </c>
      <c r="B387" s="1" t="n">
        <v>45705</v>
      </c>
      <c r="C387" s="1" t="n">
        <v>45913</v>
      </c>
      <c r="D387" t="inlineStr">
        <is>
          <t>GOTLANDS LÄN</t>
        </is>
      </c>
      <c r="E387" t="inlineStr">
        <is>
          <t>GOTLAND</t>
        </is>
      </c>
      <c r="G387" t="n">
        <v>0.9</v>
      </c>
      <c r="H387" t="n">
        <v>0</v>
      </c>
      <c r="I387" t="n">
        <v>0</v>
      </c>
      <c r="J387" t="n">
        <v>0</v>
      </c>
      <c r="K387" t="n">
        <v>0</v>
      </c>
      <c r="L387" t="n">
        <v>0</v>
      </c>
      <c r="M387" t="n">
        <v>0</v>
      </c>
      <c r="N387" t="n">
        <v>0</v>
      </c>
      <c r="O387" t="n">
        <v>0</v>
      </c>
      <c r="P387" t="n">
        <v>0</v>
      </c>
      <c r="Q387" t="n">
        <v>0</v>
      </c>
      <c r="R387" s="2" t="inlineStr"/>
    </row>
    <row r="388" ht="15" customHeight="1">
      <c r="A388" t="inlineStr">
        <is>
          <t>A 7636-2025</t>
        </is>
      </c>
      <c r="B388" s="1" t="n">
        <v>45705.7687962963</v>
      </c>
      <c r="C388" s="1" t="n">
        <v>45913</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7639-2025</t>
        </is>
      </c>
      <c r="B389" s="1" t="n">
        <v>45705.77465277778</v>
      </c>
      <c r="C389" s="1" t="n">
        <v>45913</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45913</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45913</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45913</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29809-2022</t>
        </is>
      </c>
      <c r="B393" s="1" t="n">
        <v>44755.8713425926</v>
      </c>
      <c r="C393" s="1" t="n">
        <v>45913</v>
      </c>
      <c r="D393" t="inlineStr">
        <is>
          <t>GOTLANDS LÄN</t>
        </is>
      </c>
      <c r="E393" t="inlineStr">
        <is>
          <t>GOTLAND</t>
        </is>
      </c>
      <c r="G393" t="n">
        <v>11.5</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45913</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56009-2024</t>
        </is>
      </c>
      <c r="B395" s="1" t="n">
        <v>45623.80864583333</v>
      </c>
      <c r="C395" s="1" t="n">
        <v>45913</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42338-2023</t>
        </is>
      </c>
      <c r="B396" s="1" t="n">
        <v>45180</v>
      </c>
      <c r="C396" s="1" t="n">
        <v>45913</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45913</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45913</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32686-2025</t>
        </is>
      </c>
      <c r="B399" s="1" t="n">
        <v>45838</v>
      </c>
      <c r="C399" s="1" t="n">
        <v>45913</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12599-2025</t>
        </is>
      </c>
      <c r="B400" s="1" t="n">
        <v>45733.29546296296</v>
      </c>
      <c r="C400" s="1" t="n">
        <v>45913</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45913</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45913</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45913</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23516-2023</t>
        </is>
      </c>
      <c r="B404" s="1" t="n">
        <v>45076.93391203704</v>
      </c>
      <c r="C404" s="1" t="n">
        <v>45913</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64660-2023</t>
        </is>
      </c>
      <c r="B405" s="1" t="n">
        <v>45281.60122685185</v>
      </c>
      <c r="C405" s="1" t="n">
        <v>45913</v>
      </c>
      <c r="D405" t="inlineStr">
        <is>
          <t>GOTLANDS LÄN</t>
        </is>
      </c>
      <c r="E405" t="inlineStr">
        <is>
          <t>GOTLAND</t>
        </is>
      </c>
      <c r="G405" t="n">
        <v>6.3</v>
      </c>
      <c r="H405" t="n">
        <v>0</v>
      </c>
      <c r="I405" t="n">
        <v>0</v>
      </c>
      <c r="J405" t="n">
        <v>0</v>
      </c>
      <c r="K405" t="n">
        <v>0</v>
      </c>
      <c r="L405" t="n">
        <v>0</v>
      </c>
      <c r="M405" t="n">
        <v>0</v>
      </c>
      <c r="N405" t="n">
        <v>0</v>
      </c>
      <c r="O405" t="n">
        <v>0</v>
      </c>
      <c r="P405" t="n">
        <v>0</v>
      </c>
      <c r="Q405" t="n">
        <v>0</v>
      </c>
      <c r="R405" s="2" t="inlineStr"/>
    </row>
    <row r="406" ht="15" customHeight="1">
      <c r="A406" t="inlineStr">
        <is>
          <t>A 63763-2023</t>
        </is>
      </c>
      <c r="B406" s="1" t="n">
        <v>45278.33944444444</v>
      </c>
      <c r="C406" s="1" t="n">
        <v>45913</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32379-2025</t>
        </is>
      </c>
      <c r="B407" s="1" t="n">
        <v>45837</v>
      </c>
      <c r="C407" s="1" t="n">
        <v>45913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63229-2021</t>
        </is>
      </c>
      <c r="B408" s="1" t="n">
        <v>44508.34518518519</v>
      </c>
      <c r="C408" s="1" t="n">
        <v>45913</v>
      </c>
      <c r="D408" t="inlineStr">
        <is>
          <t>GOTLANDS LÄN</t>
        </is>
      </c>
      <c r="E408" t="inlineStr">
        <is>
          <t>GOTLAND</t>
        </is>
      </c>
      <c r="F408" t="inlineStr">
        <is>
          <t>Kyrkan</t>
        </is>
      </c>
      <c r="G408" t="n">
        <v>3.8</v>
      </c>
      <c r="H408" t="n">
        <v>0</v>
      </c>
      <c r="I408" t="n">
        <v>0</v>
      </c>
      <c r="J408" t="n">
        <v>0</v>
      </c>
      <c r="K408" t="n">
        <v>0</v>
      </c>
      <c r="L408" t="n">
        <v>0</v>
      </c>
      <c r="M408" t="n">
        <v>0</v>
      </c>
      <c r="N408" t="n">
        <v>0</v>
      </c>
      <c r="O408" t="n">
        <v>0</v>
      </c>
      <c r="P408" t="n">
        <v>0</v>
      </c>
      <c r="Q408" t="n">
        <v>0</v>
      </c>
      <c r="R408" s="2" t="inlineStr"/>
    </row>
    <row r="409" ht="15" customHeight="1">
      <c r="A409" t="inlineStr">
        <is>
          <t>A 46375-2024</t>
        </is>
      </c>
      <c r="B409" s="1" t="n">
        <v>45582</v>
      </c>
      <c r="C409" s="1" t="n">
        <v>45913</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45913</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32378-2025</t>
        </is>
      </c>
      <c r="B411" s="1" t="n">
        <v>45837</v>
      </c>
      <c r="C411" s="1" t="n">
        <v>45913</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581-2023</t>
        </is>
      </c>
      <c r="B412" s="1" t="n">
        <v>44930</v>
      </c>
      <c r="C412" s="1" t="n">
        <v>45913</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61386-2023</t>
        </is>
      </c>
      <c r="B413" s="1" t="n">
        <v>45264</v>
      </c>
      <c r="C413" s="1" t="n">
        <v>45913</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16109-2025</t>
        </is>
      </c>
      <c r="B414" s="1" t="n">
        <v>45750</v>
      </c>
      <c r="C414" s="1" t="n">
        <v>45913</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873-2024</t>
        </is>
      </c>
      <c r="B415" s="1" t="n">
        <v>45301</v>
      </c>
      <c r="C415" s="1" t="n">
        <v>45913</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1734-2025</t>
        </is>
      </c>
      <c r="B416" s="1" t="n">
        <v>45671.3840625</v>
      </c>
      <c r="C416" s="1" t="n">
        <v>45913</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33078-2025</t>
        </is>
      </c>
      <c r="B417" s="1" t="n">
        <v>45840</v>
      </c>
      <c r="C417" s="1" t="n">
        <v>45913</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20993-2023</t>
        </is>
      </c>
      <c r="B418" s="1" t="n">
        <v>45056</v>
      </c>
      <c r="C418" s="1" t="n">
        <v>45913</v>
      </c>
      <c r="D418" t="inlineStr">
        <is>
          <t>GOTLANDS LÄN</t>
        </is>
      </c>
      <c r="E418" t="inlineStr">
        <is>
          <t>GOTLAND</t>
        </is>
      </c>
      <c r="G418" t="n">
        <v>7.1</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45913</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45913</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45913</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45913</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999-2024</t>
        </is>
      </c>
      <c r="B423" s="1" t="n">
        <v>45301</v>
      </c>
      <c r="C423" s="1" t="n">
        <v>45913</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12596-2023</t>
        </is>
      </c>
      <c r="B424" s="1" t="n">
        <v>45000.43310185185</v>
      </c>
      <c r="C424" s="1" t="n">
        <v>45913</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2125-2025</t>
        </is>
      </c>
      <c r="B425" s="1" t="n">
        <v>45672.64940972222</v>
      </c>
      <c r="C425" s="1" t="n">
        <v>45913</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61596-2023</t>
        </is>
      </c>
      <c r="B426" s="1" t="n">
        <v>45265</v>
      </c>
      <c r="C426" s="1" t="n">
        <v>45913</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45913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457-2023</t>
        </is>
      </c>
      <c r="B428" s="1" t="n">
        <v>44929.87238425926</v>
      </c>
      <c r="C428" s="1" t="n">
        <v>45913</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459-2023</t>
        </is>
      </c>
      <c r="B429" s="1" t="n">
        <v>44929.87423611111</v>
      </c>
      <c r="C429" s="1" t="n">
        <v>45913</v>
      </c>
      <c r="D429" t="inlineStr">
        <is>
          <t>GOTLANDS LÄN</t>
        </is>
      </c>
      <c r="E429" t="inlineStr">
        <is>
          <t>GOTLAND</t>
        </is>
      </c>
      <c r="G429" t="n">
        <v>4.2</v>
      </c>
      <c r="H429" t="n">
        <v>0</v>
      </c>
      <c r="I429" t="n">
        <v>0</v>
      </c>
      <c r="J429" t="n">
        <v>0</v>
      </c>
      <c r="K429" t="n">
        <v>0</v>
      </c>
      <c r="L429" t="n">
        <v>0</v>
      </c>
      <c r="M429" t="n">
        <v>0</v>
      </c>
      <c r="N429" t="n">
        <v>0</v>
      </c>
      <c r="O429" t="n">
        <v>0</v>
      </c>
      <c r="P429" t="n">
        <v>0</v>
      </c>
      <c r="Q429" t="n">
        <v>0</v>
      </c>
      <c r="R429" s="2" t="inlineStr"/>
    </row>
    <row r="430" ht="15" customHeight="1">
      <c r="A430" t="inlineStr">
        <is>
          <t>A 38234-2023</t>
        </is>
      </c>
      <c r="B430" s="1" t="n">
        <v>45161.56663194444</v>
      </c>
      <c r="C430" s="1" t="n">
        <v>45913</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50744-2024</t>
        </is>
      </c>
      <c r="B431" s="1" t="n">
        <v>45602.4187037037</v>
      </c>
      <c r="C431" s="1" t="n">
        <v>45913</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45913</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14638-2025</t>
        </is>
      </c>
      <c r="B433" s="1" t="n">
        <v>45742</v>
      </c>
      <c r="C433" s="1" t="n">
        <v>45913</v>
      </c>
      <c r="D433" t="inlineStr">
        <is>
          <t>GOTLANDS LÄN</t>
        </is>
      </c>
      <c r="E433" t="inlineStr">
        <is>
          <t>GOTLAND</t>
        </is>
      </c>
      <c r="G433" t="n">
        <v>13.4</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44496.64855324074</v>
      </c>
      <c r="C434" s="1" t="n">
        <v>45913</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37728-2024</t>
        </is>
      </c>
      <c r="B435" s="1" t="n">
        <v>45541</v>
      </c>
      <c r="C435" s="1" t="n">
        <v>45913</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45913</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10813-2025</t>
        </is>
      </c>
      <c r="B437" s="1" t="n">
        <v>45722.54163194444</v>
      </c>
      <c r="C437" s="1" t="n">
        <v>45913</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33007-2025</t>
        </is>
      </c>
      <c r="B438" s="1" t="n">
        <v>45840</v>
      </c>
      <c r="C438" s="1" t="n">
        <v>45913</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45913</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45913</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43901-2023</t>
        </is>
      </c>
      <c r="B441" s="1" t="n">
        <v>45187</v>
      </c>
      <c r="C441" s="1" t="n">
        <v>45913</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22287-2022</t>
        </is>
      </c>
      <c r="B442" s="1" t="n">
        <v>44712</v>
      </c>
      <c r="C442" s="1" t="n">
        <v>45913</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10746-2025</t>
        </is>
      </c>
      <c r="B443" s="1" t="n">
        <v>45722.42766203704</v>
      </c>
      <c r="C443" s="1" t="n">
        <v>45913</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16501-2023</t>
        </is>
      </c>
      <c r="B444" s="1" t="n">
        <v>45029</v>
      </c>
      <c r="C444" s="1" t="n">
        <v>45913</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45913</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45913</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61962-2024</t>
        </is>
      </c>
      <c r="B447" s="1" t="n">
        <v>45653.54340277778</v>
      </c>
      <c r="C447" s="1" t="n">
        <v>45913</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10492-2023</t>
        </is>
      </c>
      <c r="B448" s="1" t="n">
        <v>44987</v>
      </c>
      <c r="C448" s="1" t="n">
        <v>45913</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45913</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5909-2025</t>
        </is>
      </c>
      <c r="B450" s="1" t="n">
        <v>45695.40634259259</v>
      </c>
      <c r="C450" s="1" t="n">
        <v>45913</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10653-2023</t>
        </is>
      </c>
      <c r="B451" s="1" t="n">
        <v>44988.48859953704</v>
      </c>
      <c r="C451" s="1" t="n">
        <v>45913</v>
      </c>
      <c r="D451" t="inlineStr">
        <is>
          <t>GOTLANDS LÄN</t>
        </is>
      </c>
      <c r="E451" t="inlineStr">
        <is>
          <t>GOTLAND</t>
        </is>
      </c>
      <c r="F451" t="inlineStr">
        <is>
          <t>Kyrkan</t>
        </is>
      </c>
      <c r="G451" t="n">
        <v>3</v>
      </c>
      <c r="H451" t="n">
        <v>0</v>
      </c>
      <c r="I451" t="n">
        <v>0</v>
      </c>
      <c r="J451" t="n">
        <v>0</v>
      </c>
      <c r="K451" t="n">
        <v>0</v>
      </c>
      <c r="L451" t="n">
        <v>0</v>
      </c>
      <c r="M451" t="n">
        <v>0</v>
      </c>
      <c r="N451" t="n">
        <v>0</v>
      </c>
      <c r="O451" t="n">
        <v>0</v>
      </c>
      <c r="P451" t="n">
        <v>0</v>
      </c>
      <c r="Q451" t="n">
        <v>0</v>
      </c>
      <c r="R451" s="2" t="inlineStr"/>
    </row>
    <row r="452" ht="15" customHeight="1">
      <c r="A452" t="inlineStr">
        <is>
          <t>A 65249-2023</t>
        </is>
      </c>
      <c r="B452" s="1" t="n">
        <v>45290</v>
      </c>
      <c r="C452" s="1" t="n">
        <v>45913</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4990-2025</t>
        </is>
      </c>
      <c r="B453" s="1" t="n">
        <v>45691</v>
      </c>
      <c r="C453" s="1" t="n">
        <v>45913</v>
      </c>
      <c r="D453" t="inlineStr">
        <is>
          <t>GOTLANDS LÄN</t>
        </is>
      </c>
      <c r="E453" t="inlineStr">
        <is>
          <t>GOTLAND</t>
        </is>
      </c>
      <c r="G453" t="n">
        <v>7.7</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45913</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45913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5884-2025</t>
        </is>
      </c>
      <c r="B456" s="1" t="n">
        <v>45695.37482638889</v>
      </c>
      <c r="C456" s="1" t="n">
        <v>45913</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5897-2025</t>
        </is>
      </c>
      <c r="B457" s="1" t="n">
        <v>45695.39273148148</v>
      </c>
      <c r="C457" s="1" t="n">
        <v>45913</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49693-2023</t>
        </is>
      </c>
      <c r="B458" s="1" t="n">
        <v>45212.38138888889</v>
      </c>
      <c r="C458" s="1" t="n">
        <v>45913</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49697-2023</t>
        </is>
      </c>
      <c r="B459" s="1" t="n">
        <v>45212.38909722222</v>
      </c>
      <c r="C459" s="1" t="n">
        <v>45913</v>
      </c>
      <c r="D459" t="inlineStr">
        <is>
          <t>GOTLANDS LÄN</t>
        </is>
      </c>
      <c r="E459" t="inlineStr">
        <is>
          <t>GOTLAND</t>
        </is>
      </c>
      <c r="G459" t="n">
        <v>4.4</v>
      </c>
      <c r="H459" t="n">
        <v>0</v>
      </c>
      <c r="I459" t="n">
        <v>0</v>
      </c>
      <c r="J459" t="n">
        <v>0</v>
      </c>
      <c r="K459" t="n">
        <v>0</v>
      </c>
      <c r="L459" t="n">
        <v>0</v>
      </c>
      <c r="M459" t="n">
        <v>0</v>
      </c>
      <c r="N459" t="n">
        <v>0</v>
      </c>
      <c r="O459" t="n">
        <v>0</v>
      </c>
      <c r="P459" t="n">
        <v>0</v>
      </c>
      <c r="Q459" t="n">
        <v>0</v>
      </c>
      <c r="R459" s="2" t="inlineStr"/>
    </row>
    <row r="460" ht="15" customHeight="1">
      <c r="A460" t="inlineStr">
        <is>
          <t>A 17901-2023</t>
        </is>
      </c>
      <c r="B460" s="1" t="n">
        <v>45039</v>
      </c>
      <c r="C460" s="1" t="n">
        <v>45913</v>
      </c>
      <c r="D460" t="inlineStr">
        <is>
          <t>GOTLANDS LÄN</t>
        </is>
      </c>
      <c r="E460" t="inlineStr">
        <is>
          <t>GOTLAND</t>
        </is>
      </c>
      <c r="F460" t="inlineStr">
        <is>
          <t>Kyrkan</t>
        </is>
      </c>
      <c r="G460" t="n">
        <v>0.6</v>
      </c>
      <c r="H460" t="n">
        <v>0</v>
      </c>
      <c r="I460" t="n">
        <v>0</v>
      </c>
      <c r="J460" t="n">
        <v>0</v>
      </c>
      <c r="K460" t="n">
        <v>0</v>
      </c>
      <c r="L460" t="n">
        <v>0</v>
      </c>
      <c r="M460" t="n">
        <v>0</v>
      </c>
      <c r="N460" t="n">
        <v>0</v>
      </c>
      <c r="O460" t="n">
        <v>0</v>
      </c>
      <c r="P460" t="n">
        <v>0</v>
      </c>
      <c r="Q460" t="n">
        <v>0</v>
      </c>
      <c r="R460" s="2" t="inlineStr"/>
    </row>
    <row r="461" ht="15" customHeight="1">
      <c r="A461" t="inlineStr">
        <is>
          <t>A 2035-2025</t>
        </is>
      </c>
      <c r="B461" s="1" t="n">
        <v>45672</v>
      </c>
      <c r="C461" s="1" t="n">
        <v>45913</v>
      </c>
      <c r="D461" t="inlineStr">
        <is>
          <t>GOTLANDS LÄN</t>
        </is>
      </c>
      <c r="E461" t="inlineStr">
        <is>
          <t>GOTLAND</t>
        </is>
      </c>
      <c r="G461" t="n">
        <v>7.5</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44467.49048611111</v>
      </c>
      <c r="C462" s="1" t="n">
        <v>45913</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1713-2025</t>
        </is>
      </c>
      <c r="B463" s="1" t="n">
        <v>45671.32342592593</v>
      </c>
      <c r="C463" s="1" t="n">
        <v>45913</v>
      </c>
      <c r="D463" t="inlineStr">
        <is>
          <t>GOTLANDS LÄN</t>
        </is>
      </c>
      <c r="E463" t="inlineStr">
        <is>
          <t>GOTLAND</t>
        </is>
      </c>
      <c r="G463" t="n">
        <v>10.1</v>
      </c>
      <c r="H463" t="n">
        <v>0</v>
      </c>
      <c r="I463" t="n">
        <v>0</v>
      </c>
      <c r="J463" t="n">
        <v>0</v>
      </c>
      <c r="K463" t="n">
        <v>0</v>
      </c>
      <c r="L463" t="n">
        <v>0</v>
      </c>
      <c r="M463" t="n">
        <v>0</v>
      </c>
      <c r="N463" t="n">
        <v>0</v>
      </c>
      <c r="O463" t="n">
        <v>0</v>
      </c>
      <c r="P463" t="n">
        <v>0</v>
      </c>
      <c r="Q463" t="n">
        <v>0</v>
      </c>
      <c r="R463" s="2" t="inlineStr"/>
    </row>
    <row r="464" ht="15" customHeight="1">
      <c r="A464" t="inlineStr">
        <is>
          <t>A 46396-2023</t>
        </is>
      </c>
      <c r="B464" s="1" t="n">
        <v>45197</v>
      </c>
      <c r="C464" s="1" t="n">
        <v>45913</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17724-2024</t>
        </is>
      </c>
      <c r="B465" s="1" t="n">
        <v>45418.55096064815</v>
      </c>
      <c r="C465" s="1" t="n">
        <v>45913</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34312-2024</t>
        </is>
      </c>
      <c r="B466" s="1" t="n">
        <v>45524.69703703704</v>
      </c>
      <c r="C466" s="1" t="n">
        <v>45913</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6153-2024</t>
        </is>
      </c>
      <c r="B467" s="1" t="n">
        <v>45337</v>
      </c>
      <c r="C467" s="1" t="n">
        <v>45913</v>
      </c>
      <c r="D467" t="inlineStr">
        <is>
          <t>GOTLANDS LÄN</t>
        </is>
      </c>
      <c r="E467" t="inlineStr">
        <is>
          <t>GOTLAND</t>
        </is>
      </c>
      <c r="G467" t="n">
        <v>14.2</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45913</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45913</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13910-2025</t>
        </is>
      </c>
      <c r="B470" s="1" t="n">
        <v>45737</v>
      </c>
      <c r="C470" s="1" t="n">
        <v>45913</v>
      </c>
      <c r="D470" t="inlineStr">
        <is>
          <t>GOTLANDS LÄN</t>
        </is>
      </c>
      <c r="E470" t="inlineStr">
        <is>
          <t>GOTLAND</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50482-2024</t>
        </is>
      </c>
      <c r="B471" s="1" t="n">
        <v>45601.48114583334</v>
      </c>
      <c r="C471" s="1" t="n">
        <v>45913</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45913</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45913</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45913</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44682.82622685185</v>
      </c>
      <c r="C475" s="1" t="n">
        <v>45913</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25129-2023</t>
        </is>
      </c>
      <c r="B476" s="1" t="n">
        <v>45086.44261574074</v>
      </c>
      <c r="C476" s="1" t="n">
        <v>45913</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17343-2025</t>
        </is>
      </c>
      <c r="B477" s="1" t="n">
        <v>45756.6687037037</v>
      </c>
      <c r="C477" s="1" t="n">
        <v>45913</v>
      </c>
      <c r="D477" t="inlineStr">
        <is>
          <t>GOTLANDS LÄN</t>
        </is>
      </c>
      <c r="E477" t="inlineStr">
        <is>
          <t>GOTLAND</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24192-2023</t>
        </is>
      </c>
      <c r="B478" s="1" t="n">
        <v>45079</v>
      </c>
      <c r="C478" s="1" t="n">
        <v>45913</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18914-2025</t>
        </is>
      </c>
      <c r="B479" s="1" t="n">
        <v>45764.46783564815</v>
      </c>
      <c r="C479" s="1" t="n">
        <v>45913</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59986-2022</t>
        </is>
      </c>
      <c r="B480" s="1" t="n">
        <v>44909</v>
      </c>
      <c r="C480" s="1" t="n">
        <v>45913</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45913</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7026-2023</t>
        </is>
      </c>
      <c r="B482" s="1" t="n">
        <v>44968.30340277778</v>
      </c>
      <c r="C482" s="1" t="n">
        <v>45913</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20855-2023</t>
        </is>
      </c>
      <c r="B483" s="1" t="n">
        <v>45058.82172453704</v>
      </c>
      <c r="C483" s="1" t="n">
        <v>45913</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14536-2021</t>
        </is>
      </c>
      <c r="B484" s="1" t="n">
        <v>44279.66168981481</v>
      </c>
      <c r="C484" s="1" t="n">
        <v>45913</v>
      </c>
      <c r="D484" t="inlineStr">
        <is>
          <t>GOTLANDS LÄN</t>
        </is>
      </c>
      <c r="E484" t="inlineStr">
        <is>
          <t>GOTLAND</t>
        </is>
      </c>
      <c r="G484" t="n">
        <v>8.5</v>
      </c>
      <c r="H484" t="n">
        <v>0</v>
      </c>
      <c r="I484" t="n">
        <v>0</v>
      </c>
      <c r="J484" t="n">
        <v>0</v>
      </c>
      <c r="K484" t="n">
        <v>0</v>
      </c>
      <c r="L484" t="n">
        <v>0</v>
      </c>
      <c r="M484" t="n">
        <v>0</v>
      </c>
      <c r="N484" t="n">
        <v>0</v>
      </c>
      <c r="O484" t="n">
        <v>0</v>
      </c>
      <c r="P484" t="n">
        <v>0</v>
      </c>
      <c r="Q484" t="n">
        <v>0</v>
      </c>
      <c r="R484" s="2" t="inlineStr"/>
    </row>
    <row r="485" ht="15" customHeight="1">
      <c r="A485" t="inlineStr">
        <is>
          <t>A 16373-2025</t>
        </is>
      </c>
      <c r="B485" s="1" t="n">
        <v>45751</v>
      </c>
      <c r="C485" s="1" t="n">
        <v>45913</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1000-2024</t>
        </is>
      </c>
      <c r="B486" s="1" t="n">
        <v>45301.63371527778</v>
      </c>
      <c r="C486" s="1" t="n">
        <v>45913</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1010-2024</t>
        </is>
      </c>
      <c r="B487" s="1" t="n">
        <v>45301</v>
      </c>
      <c r="C487" s="1" t="n">
        <v>45913</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39278-2025</t>
        </is>
      </c>
      <c r="B488" s="1" t="n">
        <v>45889</v>
      </c>
      <c r="C488" s="1" t="n">
        <v>45913</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11874-2024</t>
        </is>
      </c>
      <c r="B489" s="1" t="n">
        <v>45376.46956018519</v>
      </c>
      <c r="C489" s="1" t="n">
        <v>45913</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2292-2021</t>
        </is>
      </c>
      <c r="B490" s="1" t="n">
        <v>44212</v>
      </c>
      <c r="C490" s="1" t="n">
        <v>45913</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45913</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45913</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42041-2024</t>
        </is>
      </c>
      <c r="B493" s="1" t="n">
        <v>45561</v>
      </c>
      <c r="C493" s="1" t="n">
        <v>45913</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61694-2023</t>
        </is>
      </c>
      <c r="B494" s="1" t="n">
        <v>45264</v>
      </c>
      <c r="C494" s="1" t="n">
        <v>45913</v>
      </c>
      <c r="D494" t="inlineStr">
        <is>
          <t>GOTLANDS LÄN</t>
        </is>
      </c>
      <c r="E494" t="inlineStr">
        <is>
          <t>GOTLAND</t>
        </is>
      </c>
      <c r="G494" t="n">
        <v>4.6</v>
      </c>
      <c r="H494" t="n">
        <v>0</v>
      </c>
      <c r="I494" t="n">
        <v>0</v>
      </c>
      <c r="J494" t="n">
        <v>0</v>
      </c>
      <c r="K494" t="n">
        <v>0</v>
      </c>
      <c r="L494" t="n">
        <v>0</v>
      </c>
      <c r="M494" t="n">
        <v>0</v>
      </c>
      <c r="N494" t="n">
        <v>0</v>
      </c>
      <c r="O494" t="n">
        <v>0</v>
      </c>
      <c r="P494" t="n">
        <v>0</v>
      </c>
      <c r="Q494" t="n">
        <v>0</v>
      </c>
      <c r="R494" s="2" t="inlineStr"/>
    </row>
    <row r="495" ht="15" customHeight="1">
      <c r="A495" t="inlineStr">
        <is>
          <t>A 35123-2025</t>
        </is>
      </c>
      <c r="B495" s="1" t="n">
        <v>45852.614375</v>
      </c>
      <c r="C495" s="1" t="n">
        <v>45913</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39814-2025</t>
        </is>
      </c>
      <c r="B496" s="1" t="n">
        <v>45891.52694444444</v>
      </c>
      <c r="C496" s="1" t="n">
        <v>45913</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35141-2025</t>
        </is>
      </c>
      <c r="B497" s="1" t="n">
        <v>45852.65206018519</v>
      </c>
      <c r="C497" s="1" t="n">
        <v>45913</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35096-2025</t>
        </is>
      </c>
      <c r="B498" s="1" t="n">
        <v>45852.54356481481</v>
      </c>
      <c r="C498" s="1" t="n">
        <v>45913</v>
      </c>
      <c r="D498" t="inlineStr">
        <is>
          <t>GOTLANDS LÄN</t>
        </is>
      </c>
      <c r="E498" t="inlineStr">
        <is>
          <t>GOTLAND</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35142-2025</t>
        </is>
      </c>
      <c r="B499" s="1" t="n">
        <v>45852.65532407408</v>
      </c>
      <c r="C499" s="1" t="n">
        <v>45913</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39849-2025</t>
        </is>
      </c>
      <c r="B500" s="1" t="n">
        <v>45891.58502314815</v>
      </c>
      <c r="C500" s="1" t="n">
        <v>45913</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40103-2025</t>
        </is>
      </c>
      <c r="B501" s="1" t="n">
        <v>45894.4880324074</v>
      </c>
      <c r="C501" s="1" t="n">
        <v>45913</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39819-2025</t>
        </is>
      </c>
      <c r="B502" s="1" t="n">
        <v>45891.53418981482</v>
      </c>
      <c r="C502" s="1" t="n">
        <v>45913</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45913</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64831-2023</t>
        </is>
      </c>
      <c r="B504" s="1" t="n">
        <v>45282.44924768519</v>
      </c>
      <c r="C504" s="1" t="n">
        <v>45913</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40372-2025</t>
        </is>
      </c>
      <c r="B505" s="1" t="n">
        <v>45895.5162037037</v>
      </c>
      <c r="C505" s="1" t="n">
        <v>45913</v>
      </c>
      <c r="D505" t="inlineStr">
        <is>
          <t>GOTLANDS LÄN</t>
        </is>
      </c>
      <c r="E505" t="inlineStr">
        <is>
          <t>GOTLAND</t>
        </is>
      </c>
      <c r="G505" t="n">
        <v>3.3</v>
      </c>
      <c r="H505" t="n">
        <v>0</v>
      </c>
      <c r="I505" t="n">
        <v>0</v>
      </c>
      <c r="J505" t="n">
        <v>0</v>
      </c>
      <c r="K505" t="n">
        <v>0</v>
      </c>
      <c r="L505" t="n">
        <v>0</v>
      </c>
      <c r="M505" t="n">
        <v>0</v>
      </c>
      <c r="N505" t="n">
        <v>0</v>
      </c>
      <c r="O505" t="n">
        <v>0</v>
      </c>
      <c r="P505" t="n">
        <v>0</v>
      </c>
      <c r="Q505" t="n">
        <v>0</v>
      </c>
      <c r="R505" s="2" t="inlineStr"/>
    </row>
    <row r="506" ht="15" customHeight="1">
      <c r="A506" t="inlineStr">
        <is>
          <t>A 40373-2025</t>
        </is>
      </c>
      <c r="B506" s="1" t="n">
        <v>45895.51821759259</v>
      </c>
      <c r="C506" s="1" t="n">
        <v>45913</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30104-2025</t>
        </is>
      </c>
      <c r="B507" s="1" t="n">
        <v>45826.68806712963</v>
      </c>
      <c r="C507" s="1" t="n">
        <v>45913</v>
      </c>
      <c r="D507" t="inlineStr">
        <is>
          <t>GOTLANDS LÄN</t>
        </is>
      </c>
      <c r="E507" t="inlineStr">
        <is>
          <t>GOTLAND</t>
        </is>
      </c>
      <c r="G507" t="n">
        <v>15.4</v>
      </c>
      <c r="H507" t="n">
        <v>0</v>
      </c>
      <c r="I507" t="n">
        <v>0</v>
      </c>
      <c r="J507" t="n">
        <v>0</v>
      </c>
      <c r="K507" t="n">
        <v>0</v>
      </c>
      <c r="L507" t="n">
        <v>0</v>
      </c>
      <c r="M507" t="n">
        <v>0</v>
      </c>
      <c r="N507" t="n">
        <v>0</v>
      </c>
      <c r="O507" t="n">
        <v>0</v>
      </c>
      <c r="P507" t="n">
        <v>0</v>
      </c>
      <c r="Q507" t="n">
        <v>0</v>
      </c>
      <c r="R507" s="2" t="inlineStr"/>
    </row>
    <row r="508" ht="15" customHeight="1">
      <c r="A508" t="inlineStr">
        <is>
          <t>A 14804-2021</t>
        </is>
      </c>
      <c r="B508" s="1" t="n">
        <v>44280</v>
      </c>
      <c r="C508" s="1" t="n">
        <v>45913</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40499-2025</t>
        </is>
      </c>
      <c r="B509" s="1" t="n">
        <v>45896.32517361111</v>
      </c>
      <c r="C509" s="1" t="n">
        <v>45913</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999-2023</t>
        </is>
      </c>
      <c r="B510" s="1" t="n">
        <v>44935</v>
      </c>
      <c r="C510" s="1" t="n">
        <v>45913</v>
      </c>
      <c r="D510" t="inlineStr">
        <is>
          <t>GOTLANDS LÄN</t>
        </is>
      </c>
      <c r="E510" t="inlineStr">
        <is>
          <t>GOTLAND</t>
        </is>
      </c>
      <c r="G510" t="n">
        <v>4.7</v>
      </c>
      <c r="H510" t="n">
        <v>0</v>
      </c>
      <c r="I510" t="n">
        <v>0</v>
      </c>
      <c r="J510" t="n">
        <v>0</v>
      </c>
      <c r="K510" t="n">
        <v>0</v>
      </c>
      <c r="L510" t="n">
        <v>0</v>
      </c>
      <c r="M510" t="n">
        <v>0</v>
      </c>
      <c r="N510" t="n">
        <v>0</v>
      </c>
      <c r="O510" t="n">
        <v>0</v>
      </c>
      <c r="P510" t="n">
        <v>0</v>
      </c>
      <c r="Q510" t="n">
        <v>0</v>
      </c>
      <c r="R510" s="2" t="inlineStr"/>
    </row>
    <row r="511" ht="15" customHeight="1">
      <c r="A511" t="inlineStr">
        <is>
          <t>A 35290-2025</t>
        </is>
      </c>
      <c r="B511" s="1" t="n">
        <v>45854.38502314815</v>
      </c>
      <c r="C511" s="1" t="n">
        <v>45913</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27602-2023</t>
        </is>
      </c>
      <c r="B512" s="1" t="n">
        <v>45097</v>
      </c>
      <c r="C512" s="1" t="n">
        <v>45913</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39752-2025</t>
        </is>
      </c>
      <c r="B513" s="1" t="n">
        <v>45891</v>
      </c>
      <c r="C513" s="1" t="n">
        <v>45913</v>
      </c>
      <c r="D513" t="inlineStr">
        <is>
          <t>GOTLANDS LÄN</t>
        </is>
      </c>
      <c r="E513" t="inlineStr">
        <is>
          <t>GOTLAND</t>
        </is>
      </c>
      <c r="G513" t="n">
        <v>5.3</v>
      </c>
      <c r="H513" t="n">
        <v>0</v>
      </c>
      <c r="I513" t="n">
        <v>0</v>
      </c>
      <c r="J513" t="n">
        <v>0</v>
      </c>
      <c r="K513" t="n">
        <v>0</v>
      </c>
      <c r="L513" t="n">
        <v>0</v>
      </c>
      <c r="M513" t="n">
        <v>0</v>
      </c>
      <c r="N513" t="n">
        <v>0</v>
      </c>
      <c r="O513" t="n">
        <v>0</v>
      </c>
      <c r="P513" t="n">
        <v>0</v>
      </c>
      <c r="Q513" t="n">
        <v>0</v>
      </c>
      <c r="R513" s="2" t="inlineStr"/>
    </row>
    <row r="514" ht="15" customHeight="1">
      <c r="A514" t="inlineStr">
        <is>
          <t>A 39816-2025</t>
        </is>
      </c>
      <c r="B514" s="1" t="n">
        <v>45891</v>
      </c>
      <c r="C514" s="1" t="n">
        <v>45913</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32669-2024</t>
        </is>
      </c>
      <c r="B515" s="1" t="n">
        <v>45514</v>
      </c>
      <c r="C515" s="1" t="n">
        <v>45913</v>
      </c>
      <c r="D515" t="inlineStr">
        <is>
          <t>GOTLANDS LÄN</t>
        </is>
      </c>
      <c r="E515" t="inlineStr">
        <is>
          <t>GOTLAND</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35537-2025</t>
        </is>
      </c>
      <c r="B516" s="1" t="n">
        <v>45856</v>
      </c>
      <c r="C516" s="1" t="n">
        <v>45913</v>
      </c>
      <c r="D516" t="inlineStr">
        <is>
          <t>GOTLANDS LÄN</t>
        </is>
      </c>
      <c r="E516" t="inlineStr">
        <is>
          <t>GOTLAND</t>
        </is>
      </c>
      <c r="G516" t="n">
        <v>16.8</v>
      </c>
      <c r="H516" t="n">
        <v>0</v>
      </c>
      <c r="I516" t="n">
        <v>0</v>
      </c>
      <c r="J516" t="n">
        <v>0</v>
      </c>
      <c r="K516" t="n">
        <v>0</v>
      </c>
      <c r="L516" t="n">
        <v>0</v>
      </c>
      <c r="M516" t="n">
        <v>0</v>
      </c>
      <c r="N516" t="n">
        <v>0</v>
      </c>
      <c r="O516" t="n">
        <v>0</v>
      </c>
      <c r="P516" t="n">
        <v>0</v>
      </c>
      <c r="Q516" t="n">
        <v>0</v>
      </c>
      <c r="R516" s="2" t="inlineStr"/>
    </row>
    <row r="517" ht="15" customHeight="1">
      <c r="A517" t="inlineStr">
        <is>
          <t>A 35550-2025</t>
        </is>
      </c>
      <c r="B517" s="1" t="n">
        <v>45856.49324074074</v>
      </c>
      <c r="C517" s="1" t="n">
        <v>45913</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4377-2023</t>
        </is>
      </c>
      <c r="B518" s="1" t="n">
        <v>44955.5502662037</v>
      </c>
      <c r="C518" s="1" t="n">
        <v>45913</v>
      </c>
      <c r="D518" t="inlineStr">
        <is>
          <t>GOTLANDS LÄN</t>
        </is>
      </c>
      <c r="E518" t="inlineStr">
        <is>
          <t>GOTLAND</t>
        </is>
      </c>
      <c r="F518" t="inlineStr">
        <is>
          <t>Kyrkan</t>
        </is>
      </c>
      <c r="G518" t="n">
        <v>0.6</v>
      </c>
      <c r="H518" t="n">
        <v>0</v>
      </c>
      <c r="I518" t="n">
        <v>0</v>
      </c>
      <c r="J518" t="n">
        <v>0</v>
      </c>
      <c r="K518" t="n">
        <v>0</v>
      </c>
      <c r="L518" t="n">
        <v>0</v>
      </c>
      <c r="M518" t="n">
        <v>0</v>
      </c>
      <c r="N518" t="n">
        <v>0</v>
      </c>
      <c r="O518" t="n">
        <v>0</v>
      </c>
      <c r="P518" t="n">
        <v>0</v>
      </c>
      <c r="Q518" t="n">
        <v>0</v>
      </c>
      <c r="R518" s="2" t="inlineStr"/>
    </row>
    <row r="519" ht="15" customHeight="1">
      <c r="A519" t="inlineStr">
        <is>
          <t>A 4387-2023</t>
        </is>
      </c>
      <c r="B519" s="1" t="n">
        <v>44955.73359953704</v>
      </c>
      <c r="C519" s="1" t="n">
        <v>45913</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39479-2022</t>
        </is>
      </c>
      <c r="B520" s="1" t="n">
        <v>44818</v>
      </c>
      <c r="C520" s="1" t="n">
        <v>45913</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41551-2025</t>
        </is>
      </c>
      <c r="B521" s="1" t="n">
        <v>45901.58854166666</v>
      </c>
      <c r="C521" s="1" t="n">
        <v>45913</v>
      </c>
      <c r="D521" t="inlineStr">
        <is>
          <t>GOTLANDS LÄN</t>
        </is>
      </c>
      <c r="E521" t="inlineStr">
        <is>
          <t>GOTLAND</t>
        </is>
      </c>
      <c r="G521" t="n">
        <v>5.6</v>
      </c>
      <c r="H521" t="n">
        <v>0</v>
      </c>
      <c r="I521" t="n">
        <v>0</v>
      </c>
      <c r="J521" t="n">
        <v>0</v>
      </c>
      <c r="K521" t="n">
        <v>0</v>
      </c>
      <c r="L521" t="n">
        <v>0</v>
      </c>
      <c r="M521" t="n">
        <v>0</v>
      </c>
      <c r="N521" t="n">
        <v>0</v>
      </c>
      <c r="O521" t="n">
        <v>0</v>
      </c>
      <c r="P521" t="n">
        <v>0</v>
      </c>
      <c r="Q521" t="n">
        <v>0</v>
      </c>
      <c r="R521" s="2" t="inlineStr"/>
    </row>
    <row r="522" ht="15" customHeight="1">
      <c r="A522" t="inlineStr">
        <is>
          <t>A 51963-2024</t>
        </is>
      </c>
      <c r="B522" s="1" t="n">
        <v>45607.64833333333</v>
      </c>
      <c r="C522" s="1" t="n">
        <v>45913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41435-2025</t>
        </is>
      </c>
      <c r="B523" s="1" t="n">
        <v>45901.39974537037</v>
      </c>
      <c r="C523" s="1" t="n">
        <v>45913</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40235-2025</t>
        </is>
      </c>
      <c r="B524" s="1" t="n">
        <v>45894.74005787037</v>
      </c>
      <c r="C524" s="1" t="n">
        <v>45913</v>
      </c>
      <c r="D524" t="inlineStr">
        <is>
          <t>GOTLANDS LÄN</t>
        </is>
      </c>
      <c r="E524" t="inlineStr">
        <is>
          <t>GOTLAND</t>
        </is>
      </c>
      <c r="G524" t="n">
        <v>10.6</v>
      </c>
      <c r="H524" t="n">
        <v>0</v>
      </c>
      <c r="I524" t="n">
        <v>0</v>
      </c>
      <c r="J524" t="n">
        <v>0</v>
      </c>
      <c r="K524" t="n">
        <v>0</v>
      </c>
      <c r="L524" t="n">
        <v>0</v>
      </c>
      <c r="M524" t="n">
        <v>0</v>
      </c>
      <c r="N524" t="n">
        <v>0</v>
      </c>
      <c r="O524" t="n">
        <v>0</v>
      </c>
      <c r="P524" t="n">
        <v>0</v>
      </c>
      <c r="Q524" t="n">
        <v>0</v>
      </c>
      <c r="R524" s="2" t="inlineStr"/>
    </row>
    <row r="525" ht="15" customHeight="1">
      <c r="A525" t="inlineStr">
        <is>
          <t>A 22883-2024</t>
        </is>
      </c>
      <c r="B525" s="1" t="n">
        <v>45448.66368055555</v>
      </c>
      <c r="C525" s="1" t="n">
        <v>45913</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811-2023</t>
        </is>
      </c>
      <c r="B526" s="1" t="n">
        <v>44931</v>
      </c>
      <c r="C526" s="1" t="n">
        <v>45913</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46389-2021</t>
        </is>
      </c>
      <c r="B527" s="1" t="n">
        <v>44443</v>
      </c>
      <c r="C527" s="1" t="n">
        <v>45913</v>
      </c>
      <c r="D527" t="inlineStr">
        <is>
          <t>GOTLANDS LÄN</t>
        </is>
      </c>
      <c r="E527" t="inlineStr">
        <is>
          <t>GOTLAND</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26810-2021</t>
        </is>
      </c>
      <c r="B528" s="1" t="n">
        <v>44349.55087962963</v>
      </c>
      <c r="C528" s="1" t="n">
        <v>45913</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5923-2023</t>
        </is>
      </c>
      <c r="B529" s="1" t="n">
        <v>44963.69503472222</v>
      </c>
      <c r="C529" s="1" t="n">
        <v>45913</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15216-2025</t>
        </is>
      </c>
      <c r="B530" s="1" t="n">
        <v>45744</v>
      </c>
      <c r="C530" s="1" t="n">
        <v>45913</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45913</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45913</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45913</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43790-2024</t>
        </is>
      </c>
      <c r="B534" s="1" t="n">
        <v>45571</v>
      </c>
      <c r="C534" s="1" t="n">
        <v>45913</v>
      </c>
      <c r="D534" t="inlineStr">
        <is>
          <t>GOTLANDS LÄN</t>
        </is>
      </c>
      <c r="E534" t="inlineStr">
        <is>
          <t>GOTLAND</t>
        </is>
      </c>
      <c r="G534" t="n">
        <v>3.5</v>
      </c>
      <c r="H534" t="n">
        <v>0</v>
      </c>
      <c r="I534" t="n">
        <v>0</v>
      </c>
      <c r="J534" t="n">
        <v>0</v>
      </c>
      <c r="K534" t="n">
        <v>0</v>
      </c>
      <c r="L534" t="n">
        <v>0</v>
      </c>
      <c r="M534" t="n">
        <v>0</v>
      </c>
      <c r="N534" t="n">
        <v>0</v>
      </c>
      <c r="O534" t="n">
        <v>0</v>
      </c>
      <c r="P534" t="n">
        <v>0</v>
      </c>
      <c r="Q534" t="n">
        <v>0</v>
      </c>
      <c r="R534" s="2" t="inlineStr"/>
    </row>
    <row r="535" ht="15" customHeight="1">
      <c r="A535" t="inlineStr">
        <is>
          <t>A 15001-2025</t>
        </is>
      </c>
      <c r="B535" s="1" t="n">
        <v>45743</v>
      </c>
      <c r="C535" s="1" t="n">
        <v>45913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30488-2025</t>
        </is>
      </c>
      <c r="B536" s="1" t="n">
        <v>45830</v>
      </c>
      <c r="C536" s="1" t="n">
        <v>45913</v>
      </c>
      <c r="D536" t="inlineStr">
        <is>
          <t>GOTLANDS LÄN</t>
        </is>
      </c>
      <c r="E536" t="inlineStr">
        <is>
          <t>GOTLAND</t>
        </is>
      </c>
      <c r="F536" t="inlineStr">
        <is>
          <t>Kyrkan</t>
        </is>
      </c>
      <c r="G536" t="n">
        <v>3.9</v>
      </c>
      <c r="H536" t="n">
        <v>0</v>
      </c>
      <c r="I536" t="n">
        <v>0</v>
      </c>
      <c r="J536" t="n">
        <v>0</v>
      </c>
      <c r="K536" t="n">
        <v>0</v>
      </c>
      <c r="L536" t="n">
        <v>0</v>
      </c>
      <c r="M536" t="n">
        <v>0</v>
      </c>
      <c r="N536" t="n">
        <v>0</v>
      </c>
      <c r="O536" t="n">
        <v>0</v>
      </c>
      <c r="P536" t="n">
        <v>0</v>
      </c>
      <c r="Q536" t="n">
        <v>0</v>
      </c>
      <c r="R536" s="2" t="inlineStr"/>
    </row>
    <row r="537" ht="15" customHeight="1">
      <c r="A537" t="inlineStr">
        <is>
          <t>A 42608-2025</t>
        </is>
      </c>
      <c r="B537" s="1" t="n">
        <v>45905</v>
      </c>
      <c r="C537" s="1" t="n">
        <v>45913</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17847-2025</t>
        </is>
      </c>
      <c r="B538" s="1" t="n">
        <v>45758</v>
      </c>
      <c r="C538" s="1" t="n">
        <v>45913</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10655-2023</t>
        </is>
      </c>
      <c r="B539" s="1" t="n">
        <v>44988.49543981482</v>
      </c>
      <c r="C539" s="1" t="n">
        <v>45913</v>
      </c>
      <c r="D539" t="inlineStr">
        <is>
          <t>GOTLANDS LÄN</t>
        </is>
      </c>
      <c r="E539" t="inlineStr">
        <is>
          <t>GOTLAND</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45913</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45913</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18742-2025</t>
        </is>
      </c>
      <c r="B542" s="1" t="n">
        <v>45763</v>
      </c>
      <c r="C542" s="1" t="n">
        <v>45913</v>
      </c>
      <c r="D542" t="inlineStr">
        <is>
          <t>GOTLANDS LÄN</t>
        </is>
      </c>
      <c r="E542" t="inlineStr">
        <is>
          <t>GOTLAND</t>
        </is>
      </c>
      <c r="G542" t="n">
        <v>3.4</v>
      </c>
      <c r="H542" t="n">
        <v>0</v>
      </c>
      <c r="I542" t="n">
        <v>0</v>
      </c>
      <c r="J542" t="n">
        <v>0</v>
      </c>
      <c r="K542" t="n">
        <v>0</v>
      </c>
      <c r="L542" t="n">
        <v>0</v>
      </c>
      <c r="M542" t="n">
        <v>0</v>
      </c>
      <c r="N542" t="n">
        <v>0</v>
      </c>
      <c r="O542" t="n">
        <v>0</v>
      </c>
      <c r="P542" t="n">
        <v>0</v>
      </c>
      <c r="Q542" t="n">
        <v>0</v>
      </c>
      <c r="R542" s="2" t="inlineStr"/>
    </row>
    <row r="543" ht="15" customHeight="1">
      <c r="A543" t="inlineStr">
        <is>
          <t>A 36319-2025</t>
        </is>
      </c>
      <c r="B543" s="1" t="n">
        <v>45868</v>
      </c>
      <c r="C543" s="1" t="n">
        <v>45913</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42007-2023</t>
        </is>
      </c>
      <c r="B544" s="1" t="n">
        <v>45177</v>
      </c>
      <c r="C544" s="1" t="n">
        <v>45913</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9887-2025</t>
        </is>
      </c>
      <c r="B545" s="1" t="n">
        <v>45716</v>
      </c>
      <c r="C545" s="1" t="n">
        <v>45913</v>
      </c>
      <c r="D545" t="inlineStr">
        <is>
          <t>GOTLANDS LÄN</t>
        </is>
      </c>
      <c r="E545" t="inlineStr">
        <is>
          <t>GOTLAND</t>
        </is>
      </c>
      <c r="G545" t="n">
        <v>7.5</v>
      </c>
      <c r="H545" t="n">
        <v>0</v>
      </c>
      <c r="I545" t="n">
        <v>0</v>
      </c>
      <c r="J545" t="n">
        <v>0</v>
      </c>
      <c r="K545" t="n">
        <v>0</v>
      </c>
      <c r="L545" t="n">
        <v>0</v>
      </c>
      <c r="M545" t="n">
        <v>0</v>
      </c>
      <c r="N545" t="n">
        <v>0</v>
      </c>
      <c r="O545" t="n">
        <v>0</v>
      </c>
      <c r="P545" t="n">
        <v>0</v>
      </c>
      <c r="Q545" t="n">
        <v>0</v>
      </c>
      <c r="R545" s="2" t="inlineStr"/>
    </row>
    <row r="546" ht="15" customHeight="1">
      <c r="A546" t="inlineStr">
        <is>
          <t>A 35129-2025</t>
        </is>
      </c>
      <c r="B546" s="1" t="n">
        <v>45852.63224537037</v>
      </c>
      <c r="C546" s="1" t="n">
        <v>45913</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55334-2024</t>
        </is>
      </c>
      <c r="B547" s="1" t="n">
        <v>45621</v>
      </c>
      <c r="C547" s="1" t="n">
        <v>45913</v>
      </c>
      <c r="D547" t="inlineStr">
        <is>
          <t>GOTLANDS LÄN</t>
        </is>
      </c>
      <c r="E547" t="inlineStr">
        <is>
          <t>GOTLAND</t>
        </is>
      </c>
      <c r="G547" t="n">
        <v>21.7</v>
      </c>
      <c r="H547" t="n">
        <v>0</v>
      </c>
      <c r="I547" t="n">
        <v>0</v>
      </c>
      <c r="J547" t="n">
        <v>0</v>
      </c>
      <c r="K547" t="n">
        <v>0</v>
      </c>
      <c r="L547" t="n">
        <v>0</v>
      </c>
      <c r="M547" t="n">
        <v>0</v>
      </c>
      <c r="N547" t="n">
        <v>0</v>
      </c>
      <c r="O547" t="n">
        <v>0</v>
      </c>
      <c r="P547" t="n">
        <v>0</v>
      </c>
      <c r="Q547" t="n">
        <v>0</v>
      </c>
      <c r="R547" s="2" t="inlineStr"/>
    </row>
    <row r="548" ht="15" customHeight="1">
      <c r="A548" t="inlineStr">
        <is>
          <t>A 38165-2023</t>
        </is>
      </c>
      <c r="B548" s="1" t="n">
        <v>45161</v>
      </c>
      <c r="C548" s="1" t="n">
        <v>45913</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42607-2025</t>
        </is>
      </c>
      <c r="B549" s="1" t="n">
        <v>45905</v>
      </c>
      <c r="C549" s="1" t="n">
        <v>45913</v>
      </c>
      <c r="D549" t="inlineStr">
        <is>
          <t>GOTLANDS LÄN</t>
        </is>
      </c>
      <c r="E549" t="inlineStr">
        <is>
          <t>GOTLAND</t>
        </is>
      </c>
      <c r="G549" t="n">
        <v>15.8</v>
      </c>
      <c r="H549" t="n">
        <v>0</v>
      </c>
      <c r="I549" t="n">
        <v>0</v>
      </c>
      <c r="J549" t="n">
        <v>0</v>
      </c>
      <c r="K549" t="n">
        <v>0</v>
      </c>
      <c r="L549" t="n">
        <v>0</v>
      </c>
      <c r="M549" t="n">
        <v>0</v>
      </c>
      <c r="N549" t="n">
        <v>0</v>
      </c>
      <c r="O549" t="n">
        <v>0</v>
      </c>
      <c r="P549" t="n">
        <v>0</v>
      </c>
      <c r="Q549" t="n">
        <v>0</v>
      </c>
      <c r="R549" s="2" t="inlineStr"/>
    </row>
    <row r="550" ht="15" customHeight="1">
      <c r="A550" t="inlineStr">
        <is>
          <t>A 27596-2023</t>
        </is>
      </c>
      <c r="B550" s="1" t="n">
        <v>45097</v>
      </c>
      <c r="C550" s="1" t="n">
        <v>45913</v>
      </c>
      <c r="D550" t="inlineStr">
        <is>
          <t>GOTLANDS LÄN</t>
        </is>
      </c>
      <c r="E550" t="inlineStr">
        <is>
          <t>GOTLAND</t>
        </is>
      </c>
      <c r="G550" t="n">
        <v>3.6</v>
      </c>
      <c r="H550" t="n">
        <v>0</v>
      </c>
      <c r="I550" t="n">
        <v>0</v>
      </c>
      <c r="J550" t="n">
        <v>0</v>
      </c>
      <c r="K550" t="n">
        <v>0</v>
      </c>
      <c r="L550" t="n">
        <v>0</v>
      </c>
      <c r="M550" t="n">
        <v>0</v>
      </c>
      <c r="N550" t="n">
        <v>0</v>
      </c>
      <c r="O550" t="n">
        <v>0</v>
      </c>
      <c r="P550" t="n">
        <v>0</v>
      </c>
      <c r="Q550" t="n">
        <v>0</v>
      </c>
      <c r="R550" s="2" t="inlineStr"/>
    </row>
    <row r="551" ht="15" customHeight="1">
      <c r="A551" t="inlineStr">
        <is>
          <t>A 24825-2024</t>
        </is>
      </c>
      <c r="B551" s="1" t="n">
        <v>45461</v>
      </c>
      <c r="C551" s="1" t="n">
        <v>45913</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6696-2023</t>
        </is>
      </c>
      <c r="B552" s="1" t="n">
        <v>44966.66425925926</v>
      </c>
      <c r="C552" s="1" t="n">
        <v>45913</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21247-2022</t>
        </is>
      </c>
      <c r="B553" s="1" t="n">
        <v>44705.38832175926</v>
      </c>
      <c r="C553" s="1" t="n">
        <v>45913</v>
      </c>
      <c r="D553" t="inlineStr">
        <is>
          <t>GOTLANDS LÄN</t>
        </is>
      </c>
      <c r="E553" t="inlineStr">
        <is>
          <t>GOTLAND</t>
        </is>
      </c>
      <c r="G553" t="n">
        <v>16.2</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44929.87122685185</v>
      </c>
      <c r="C554" s="1" t="n">
        <v>45913</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45913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4421-2024</t>
        </is>
      </c>
      <c r="B556" s="1" t="n">
        <v>45327.45173611111</v>
      </c>
      <c r="C556" s="1" t="n">
        <v>45913</v>
      </c>
      <c r="D556" t="inlineStr">
        <is>
          <t>GOTLANDS LÄN</t>
        </is>
      </c>
      <c r="E556" t="inlineStr">
        <is>
          <t>GOTLAND</t>
        </is>
      </c>
      <c r="G556" t="n">
        <v>5.1</v>
      </c>
      <c r="H556" t="n">
        <v>0</v>
      </c>
      <c r="I556" t="n">
        <v>0</v>
      </c>
      <c r="J556" t="n">
        <v>0</v>
      </c>
      <c r="K556" t="n">
        <v>0</v>
      </c>
      <c r="L556" t="n">
        <v>0</v>
      </c>
      <c r="M556" t="n">
        <v>0</v>
      </c>
      <c r="N556" t="n">
        <v>0</v>
      </c>
      <c r="O556" t="n">
        <v>0</v>
      </c>
      <c r="P556" t="n">
        <v>0</v>
      </c>
      <c r="Q556" t="n">
        <v>0</v>
      </c>
      <c r="R556" s="2" t="inlineStr"/>
    </row>
    <row r="557" ht="15" customHeight="1">
      <c r="A557" t="inlineStr">
        <is>
          <t>A 51782-2023</t>
        </is>
      </c>
      <c r="B557" s="1" t="n">
        <v>45222.80952546297</v>
      </c>
      <c r="C557" s="1" t="n">
        <v>45913</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45913</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45913</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25866-2022</t>
        </is>
      </c>
      <c r="B560" s="1" t="n">
        <v>44733</v>
      </c>
      <c r="C560" s="1" t="n">
        <v>45913</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43229-2023</t>
        </is>
      </c>
      <c r="B561" s="1" t="n">
        <v>45183.46704861111</v>
      </c>
      <c r="C561" s="1" t="n">
        <v>45913</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1175-2025</t>
        </is>
      </c>
      <c r="B562" s="1" t="n">
        <v>45667.34449074074</v>
      </c>
      <c r="C562" s="1" t="n">
        <v>45913</v>
      </c>
      <c r="D562" t="inlineStr">
        <is>
          <t>GOTLANDS LÄN</t>
        </is>
      </c>
      <c r="E562" t="inlineStr">
        <is>
          <t>GOTLAND</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45913</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45913</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23978-2023</t>
        </is>
      </c>
      <c r="B565" s="1" t="n">
        <v>45078</v>
      </c>
      <c r="C565" s="1" t="n">
        <v>45913</v>
      </c>
      <c r="D565" t="inlineStr">
        <is>
          <t>GOTLANDS LÄN</t>
        </is>
      </c>
      <c r="E565" t="inlineStr">
        <is>
          <t>GOTLAND</t>
        </is>
      </c>
      <c r="F565" t="inlineStr">
        <is>
          <t>Naturvårdsverket</t>
        </is>
      </c>
      <c r="G565" t="n">
        <v>1.7</v>
      </c>
      <c r="H565" t="n">
        <v>0</v>
      </c>
      <c r="I565" t="n">
        <v>0</v>
      </c>
      <c r="J565" t="n">
        <v>0</v>
      </c>
      <c r="K565" t="n">
        <v>0</v>
      </c>
      <c r="L565" t="n">
        <v>0</v>
      </c>
      <c r="M565" t="n">
        <v>0</v>
      </c>
      <c r="N565" t="n">
        <v>0</v>
      </c>
      <c r="O565" t="n">
        <v>0</v>
      </c>
      <c r="P565" t="n">
        <v>0</v>
      </c>
      <c r="Q565" t="n">
        <v>0</v>
      </c>
      <c r="R565" s="2" t="inlineStr"/>
    </row>
    <row r="566" ht="15" customHeight="1">
      <c r="A566" t="inlineStr">
        <is>
          <t>A 34407-2023</t>
        </is>
      </c>
      <c r="B566" s="1" t="n">
        <v>45132</v>
      </c>
      <c r="C566" s="1" t="n">
        <v>45913</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11013-2024</t>
        </is>
      </c>
      <c r="B567" s="1" t="n">
        <v>45370</v>
      </c>
      <c r="C567" s="1" t="n">
        <v>45913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27694-2024</t>
        </is>
      </c>
      <c r="B568" s="1" t="n">
        <v>45475</v>
      </c>
      <c r="C568" s="1" t="n">
        <v>45913</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45913</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13037-2025</t>
        </is>
      </c>
      <c r="B570" s="1" t="n">
        <v>45734</v>
      </c>
      <c r="C570" s="1" t="n">
        <v>45913</v>
      </c>
      <c r="D570" t="inlineStr">
        <is>
          <t>GOTLANDS LÄN</t>
        </is>
      </c>
      <c r="E570" t="inlineStr">
        <is>
          <t>GOTLAND</t>
        </is>
      </c>
      <c r="G570" t="n">
        <v>9.5</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45913</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44228-2022</t>
        </is>
      </c>
      <c r="B572" s="1" t="n">
        <v>44839.51599537037</v>
      </c>
      <c r="C572" s="1" t="n">
        <v>45913</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45913</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49884-2023</t>
        </is>
      </c>
      <c r="B574" s="1" t="n">
        <v>45213</v>
      </c>
      <c r="C574" s="1" t="n">
        <v>45913</v>
      </c>
      <c r="D574" t="inlineStr">
        <is>
          <t>GOTLANDS LÄN</t>
        </is>
      </c>
      <c r="E574" t="inlineStr">
        <is>
          <t>GOTLAND</t>
        </is>
      </c>
      <c r="G574" t="n">
        <v>8.9</v>
      </c>
      <c r="H574" t="n">
        <v>0</v>
      </c>
      <c r="I574" t="n">
        <v>0</v>
      </c>
      <c r="J574" t="n">
        <v>0</v>
      </c>
      <c r="K574" t="n">
        <v>0</v>
      </c>
      <c r="L574" t="n">
        <v>0</v>
      </c>
      <c r="M574" t="n">
        <v>0</v>
      </c>
      <c r="N574" t="n">
        <v>0</v>
      </c>
      <c r="O574" t="n">
        <v>0</v>
      </c>
      <c r="P574" t="n">
        <v>0</v>
      </c>
      <c r="Q574" t="n">
        <v>0</v>
      </c>
      <c r="R574" s="2" t="inlineStr"/>
    </row>
    <row r="575" ht="15" customHeight="1">
      <c r="A575" t="inlineStr">
        <is>
          <t>A 876-2024</t>
        </is>
      </c>
      <c r="B575" s="1" t="n">
        <v>45301</v>
      </c>
      <c r="C575" s="1" t="n">
        <v>45913</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6796-2025</t>
        </is>
      </c>
      <c r="B576" s="1" t="n">
        <v>45700.66559027778</v>
      </c>
      <c r="C576" s="1" t="n">
        <v>45913</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45913</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45913</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45913</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45913</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45913</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45913</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45913</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45913</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45913</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45913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45913</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45913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45913</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10652-2025</t>
        </is>
      </c>
      <c r="B590" s="1" t="n">
        <v>45721.68640046296</v>
      </c>
      <c r="C590" s="1" t="n">
        <v>45913</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45913</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37202-2024</t>
        </is>
      </c>
      <c r="B592" s="1" t="n">
        <v>45539.67310185185</v>
      </c>
      <c r="C592" s="1" t="n">
        <v>45913</v>
      </c>
      <c r="D592" t="inlineStr">
        <is>
          <t>GOTLANDS LÄN</t>
        </is>
      </c>
      <c r="E592" t="inlineStr">
        <is>
          <t>GOTLAND</t>
        </is>
      </c>
      <c r="G592" t="n">
        <v>0.3</v>
      </c>
      <c r="H592" t="n">
        <v>0</v>
      </c>
      <c r="I592" t="n">
        <v>0</v>
      </c>
      <c r="J592" t="n">
        <v>0</v>
      </c>
      <c r="K592" t="n">
        <v>0</v>
      </c>
      <c r="L592" t="n">
        <v>0</v>
      </c>
      <c r="M592" t="n">
        <v>0</v>
      </c>
      <c r="N592" t="n">
        <v>0</v>
      </c>
      <c r="O592" t="n">
        <v>0</v>
      </c>
      <c r="P592" t="n">
        <v>0</v>
      </c>
      <c r="Q592" t="n">
        <v>0</v>
      </c>
      <c r="R592" s="2" t="inlineStr"/>
    </row>
    <row r="593" ht="15" customHeight="1">
      <c r="A593" t="inlineStr">
        <is>
          <t>A 56115-2023</t>
        </is>
      </c>
      <c r="B593" s="1" t="n">
        <v>45236</v>
      </c>
      <c r="C593" s="1" t="n">
        <v>45913</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2774-2024</t>
        </is>
      </c>
      <c r="B594" s="1" t="n">
        <v>45314.62375</v>
      </c>
      <c r="C594" s="1" t="n">
        <v>45913</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60709-2023</t>
        </is>
      </c>
      <c r="B595" s="1" t="n">
        <v>45260</v>
      </c>
      <c r="C595" s="1" t="n">
        <v>45913</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64208-2021</t>
        </is>
      </c>
      <c r="B596" s="1" t="n">
        <v>44510</v>
      </c>
      <c r="C596" s="1" t="n">
        <v>45913</v>
      </c>
      <c r="D596" t="inlineStr">
        <is>
          <t>GOTLANDS LÄN</t>
        </is>
      </c>
      <c r="E596" t="inlineStr">
        <is>
          <t>GOTLAND</t>
        </is>
      </c>
      <c r="G596" t="n">
        <v>4.7</v>
      </c>
      <c r="H596" t="n">
        <v>0</v>
      </c>
      <c r="I596" t="n">
        <v>0</v>
      </c>
      <c r="J596" t="n">
        <v>0</v>
      </c>
      <c r="K596" t="n">
        <v>0</v>
      </c>
      <c r="L596" t="n">
        <v>0</v>
      </c>
      <c r="M596" t="n">
        <v>0</v>
      </c>
      <c r="N596" t="n">
        <v>0</v>
      </c>
      <c r="O596" t="n">
        <v>0</v>
      </c>
      <c r="P596" t="n">
        <v>0</v>
      </c>
      <c r="Q596" t="n">
        <v>0</v>
      </c>
      <c r="R596" s="2" t="inlineStr"/>
    </row>
    <row r="597" ht="15" customHeight="1">
      <c r="A597" t="inlineStr">
        <is>
          <t>A 39764-2022</t>
        </is>
      </c>
      <c r="B597" s="1" t="n">
        <v>44819</v>
      </c>
      <c r="C597" s="1" t="n">
        <v>45913</v>
      </c>
      <c r="D597" t="inlineStr">
        <is>
          <t>GOTLANDS LÄN</t>
        </is>
      </c>
      <c r="E597" t="inlineStr">
        <is>
          <t>GOTLAND</t>
        </is>
      </c>
      <c r="F597" t="inlineStr">
        <is>
          <t>Kyrkan</t>
        </is>
      </c>
      <c r="G597" t="n">
        <v>3.7</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45913</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30956-2024</t>
        </is>
      </c>
      <c r="B599" s="1" t="n">
        <v>45499.42527777778</v>
      </c>
      <c r="C599" s="1" t="n">
        <v>45913</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30892-2024</t>
        </is>
      </c>
      <c r="B600" s="1" t="n">
        <v>45491</v>
      </c>
      <c r="C600" s="1" t="n">
        <v>45913</v>
      </c>
      <c r="D600" t="inlineStr">
        <is>
          <t>GOTLANDS LÄN</t>
        </is>
      </c>
      <c r="E600" t="inlineStr">
        <is>
          <t>GOTLAND</t>
        </is>
      </c>
      <c r="G600" t="n">
        <v>6.1</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45013.69365740741</v>
      </c>
      <c r="C601" s="1" t="n">
        <v>45913</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59469-2024</t>
        </is>
      </c>
      <c r="B602" s="1" t="n">
        <v>45638</v>
      </c>
      <c r="C602" s="1" t="n">
        <v>45913</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c r="A603" t="inlineStr">
        <is>
          <t>A 7858-2025</t>
        </is>
      </c>
      <c r="B603" s="1" t="n">
        <v>45706.68633101852</v>
      </c>
      <c r="C603" s="1" t="n">
        <v>45913</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2025-09-13T08:53:46Z</dcterms:created>
  <dcterms:modified xmlns:dcterms="http://purl.org/dc/terms/" xmlns:xsi="http://www.w3.org/2001/XMLSchema-instance" xsi:type="dcterms:W3CDTF">2025-09-13T08:53:46Z</dcterms:modified>
</cp:coreProperties>
</file>