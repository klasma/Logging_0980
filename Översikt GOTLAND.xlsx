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45568</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45568</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45568</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45568</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45568</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45568</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45568</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45568</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45568</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45568</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45568</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45568</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45568</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45568</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45568</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45568</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45568</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45568</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45568</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45568</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45568</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45568</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45568</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45568</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45568</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45568</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45568</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45568</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45568</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45568</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45568</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45568</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45568</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45568</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45568</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45568</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45568</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45568</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45568</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45568</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45568</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45568</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45568</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45568</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45568</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45568</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45568</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45568</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45568</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45568</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45568</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45568</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45568</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45568</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45568</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45568</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45568</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45568</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45568</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45568</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45568</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45568</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45568</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45568</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45568</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45568</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45568</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45568</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45568</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45568</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45568</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45568</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45568</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45568</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45568</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45568</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45568</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45568</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42936-2024</t>
        </is>
      </c>
      <c r="B84" s="1" t="n">
        <v>45567</v>
      </c>
      <c r="C84" s="1" t="n">
        <v>45568</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21537-2019</t>
        </is>
      </c>
      <c r="B85" s="1" t="n">
        <v>43580</v>
      </c>
      <c r="C85" s="1" t="n">
        <v>45568</v>
      </c>
      <c r="D85" t="inlineStr">
        <is>
          <t>GOTLANDS LÄN</t>
        </is>
      </c>
      <c r="E85" t="inlineStr">
        <is>
          <t>GOTLAND</t>
        </is>
      </c>
      <c r="G85" t="n">
        <v>5.3</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21537-2019 artfynd.xlsx", "A 21537-2019")</f>
        <v/>
      </c>
      <c r="T85">
        <f>HYPERLINK("https://klasma.github.io/Logging_0980/kartor/A 21537-2019 karta.png", "A 21537-2019")</f>
        <v/>
      </c>
      <c r="V85">
        <f>HYPERLINK("https://klasma.github.io/Logging_0980/klagomål/A 21537-2019 FSC-klagomål.docx", "A 21537-2019")</f>
        <v/>
      </c>
      <c r="W85">
        <f>HYPERLINK("https://klasma.github.io/Logging_0980/klagomålsmail/A 21537-2019 FSC-klagomål mail.docx", "A 21537-2019")</f>
        <v/>
      </c>
      <c r="X85">
        <f>HYPERLINK("https://klasma.github.io/Logging_0980/tillsyn/A 21537-2019 tillsynsbegäran.docx", "A 21537-2019")</f>
        <v/>
      </c>
      <c r="Y85">
        <f>HYPERLINK("https://klasma.github.io/Logging_0980/tillsynsmail/A 21537-2019 tillsynsbegäran mail.docx", "A 21537-2019")</f>
        <v/>
      </c>
    </row>
    <row r="86" ht="15" customHeight="1">
      <c r="A86" t="inlineStr">
        <is>
          <t>A 39839-2019</t>
        </is>
      </c>
      <c r="B86" s="1" t="n">
        <v>43689</v>
      </c>
      <c r="C86" s="1" t="n">
        <v>45568</v>
      </c>
      <c r="D86" t="inlineStr">
        <is>
          <t>GOTLANDS LÄN</t>
        </is>
      </c>
      <c r="E86" t="inlineStr">
        <is>
          <t>GOTLAND</t>
        </is>
      </c>
      <c r="G86" t="n">
        <v>18.9</v>
      </c>
      <c r="H86" t="n">
        <v>1</v>
      </c>
      <c r="I86" t="n">
        <v>1</v>
      </c>
      <c r="J86" t="n">
        <v>3</v>
      </c>
      <c r="K86" t="n">
        <v>0</v>
      </c>
      <c r="L86" t="n">
        <v>0</v>
      </c>
      <c r="M86" t="n">
        <v>0</v>
      </c>
      <c r="N86" t="n">
        <v>0</v>
      </c>
      <c r="O86" t="n">
        <v>3</v>
      </c>
      <c r="P86" t="n">
        <v>0</v>
      </c>
      <c r="Q86" t="n">
        <v>4</v>
      </c>
      <c r="R86" s="2" t="inlineStr">
        <is>
          <t>Apollofjäril
Hårig blombock
Sexfläckig bastardsvärmare
Åttafläckig praktbagge</t>
        </is>
      </c>
      <c r="S86">
        <f>HYPERLINK("https://klasma.github.io/Logging_0980/artfynd/A 39839-2019 artfynd.xlsx", "A 39839-2019")</f>
        <v/>
      </c>
      <c r="T86">
        <f>HYPERLINK("https://klasma.github.io/Logging_0980/kartor/A 39839-2019 karta.png", "A 39839-2019")</f>
        <v/>
      </c>
      <c r="V86">
        <f>HYPERLINK("https://klasma.github.io/Logging_0980/klagomål/A 39839-2019 FSC-klagomål.docx", "A 39839-2019")</f>
        <v/>
      </c>
      <c r="W86">
        <f>HYPERLINK("https://klasma.github.io/Logging_0980/klagomålsmail/A 39839-2019 FSC-klagomål mail.docx", "A 39839-2019")</f>
        <v/>
      </c>
      <c r="X86">
        <f>HYPERLINK("https://klasma.github.io/Logging_0980/tillsyn/A 39839-2019 tillsynsbegäran.docx", "A 39839-2019")</f>
        <v/>
      </c>
      <c r="Y86">
        <f>HYPERLINK("https://klasma.github.io/Logging_0980/tillsynsmail/A 39839-2019 tillsynsbegäran mail.docx", "A 39839-2019")</f>
        <v/>
      </c>
    </row>
    <row r="87" ht="15" customHeight="1">
      <c r="A87" t="inlineStr">
        <is>
          <t>A 64378-2020</t>
        </is>
      </c>
      <c r="B87" s="1" t="n">
        <v>44168</v>
      </c>
      <c r="C87" s="1" t="n">
        <v>45568</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2223-2021</t>
        </is>
      </c>
      <c r="B88" s="1" t="n">
        <v>44211</v>
      </c>
      <c r="C88" s="1" t="n">
        <v>45568</v>
      </c>
      <c r="D88" t="inlineStr">
        <is>
          <t>GOTLANDS LÄN</t>
        </is>
      </c>
      <c r="E88" t="inlineStr">
        <is>
          <t>GOTLAND</t>
        </is>
      </c>
      <c r="G88" t="n">
        <v>2.2</v>
      </c>
      <c r="H88" t="n">
        <v>2</v>
      </c>
      <c r="I88" t="n">
        <v>4</v>
      </c>
      <c r="J88" t="n">
        <v>0</v>
      </c>
      <c r="K88" t="n">
        <v>0</v>
      </c>
      <c r="L88" t="n">
        <v>0</v>
      </c>
      <c r="M88" t="n">
        <v>0</v>
      </c>
      <c r="N88" t="n">
        <v>0</v>
      </c>
      <c r="O88" t="n">
        <v>0</v>
      </c>
      <c r="P88" t="n">
        <v>0</v>
      </c>
      <c r="Q88" t="n">
        <v>4</v>
      </c>
      <c r="R88" s="2" t="inlineStr">
        <is>
          <t>Blåmossa
Granbarkgnagare
Nästrot
Tvåblad</t>
        </is>
      </c>
      <c r="S88">
        <f>HYPERLINK("https://klasma.github.io/Logging_0980/artfynd/A 2223-2021 artfynd.xlsx", "A 2223-2021")</f>
        <v/>
      </c>
      <c r="T88">
        <f>HYPERLINK("https://klasma.github.io/Logging_0980/kartor/A 2223-2021 karta.png", "A 2223-2021")</f>
        <v/>
      </c>
      <c r="V88">
        <f>HYPERLINK("https://klasma.github.io/Logging_0980/klagomål/A 2223-2021 FSC-klagomål.docx", "A 2223-2021")</f>
        <v/>
      </c>
      <c r="W88">
        <f>HYPERLINK("https://klasma.github.io/Logging_0980/klagomålsmail/A 2223-2021 FSC-klagomål mail.docx", "A 2223-2021")</f>
        <v/>
      </c>
      <c r="X88">
        <f>HYPERLINK("https://klasma.github.io/Logging_0980/tillsyn/A 2223-2021 tillsynsbegäran.docx", "A 2223-2021")</f>
        <v/>
      </c>
      <c r="Y88">
        <f>HYPERLINK("https://klasma.github.io/Logging_0980/tillsynsmail/A 2223-2021 tillsynsbegäran mail.docx", "A 2223-2021")</f>
        <v/>
      </c>
    </row>
    <row r="89" ht="15" customHeight="1">
      <c r="A89" t="inlineStr">
        <is>
          <t>A 29331-2021</t>
        </is>
      </c>
      <c r="B89" s="1" t="n">
        <v>44361</v>
      </c>
      <c r="C89" s="1" t="n">
        <v>45568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44933-2022</t>
        </is>
      </c>
      <c r="B90" s="1" t="n">
        <v>44841</v>
      </c>
      <c r="C90" s="1" t="n">
        <v>45568</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47526-2022</t>
        </is>
      </c>
      <c r="B91" s="1" t="n">
        <v>44853</v>
      </c>
      <c r="C91" s="1" t="n">
        <v>45568</v>
      </c>
      <c r="D91" t="inlineStr">
        <is>
          <t>GOTLANDS LÄN</t>
        </is>
      </c>
      <c r="E91" t="inlineStr">
        <is>
          <t>GOTLAND</t>
        </is>
      </c>
      <c r="G91" t="n">
        <v>9.800000000000001</v>
      </c>
      <c r="H91" t="n">
        <v>3</v>
      </c>
      <c r="I91" t="n">
        <v>0</v>
      </c>
      <c r="J91" t="n">
        <v>2</v>
      </c>
      <c r="K91" t="n">
        <v>0</v>
      </c>
      <c r="L91" t="n">
        <v>0</v>
      </c>
      <c r="M91" t="n">
        <v>0</v>
      </c>
      <c r="N91" t="n">
        <v>0</v>
      </c>
      <c r="O91" t="n">
        <v>2</v>
      </c>
      <c r="P91" t="n">
        <v>0</v>
      </c>
      <c r="Q91" t="n">
        <v>4</v>
      </c>
      <c r="R91" s="2" t="inlineStr">
        <is>
          <t>Dårgräsfjäril
Svinrot
Sankt pers nycklar
Blåsippa</t>
        </is>
      </c>
      <c r="S91">
        <f>HYPERLINK("https://klasma.github.io/Logging_0980/artfynd/A 47526-2022 artfynd.xlsx", "A 47526-2022")</f>
        <v/>
      </c>
      <c r="T91">
        <f>HYPERLINK("https://klasma.github.io/Logging_0980/kartor/A 47526-2022 karta.png", "A 47526-2022")</f>
        <v/>
      </c>
      <c r="V91">
        <f>HYPERLINK("https://klasma.github.io/Logging_0980/klagomål/A 47526-2022 FSC-klagomål.docx", "A 47526-2022")</f>
        <v/>
      </c>
      <c r="W91">
        <f>HYPERLINK("https://klasma.github.io/Logging_0980/klagomålsmail/A 47526-2022 FSC-klagomål mail.docx", "A 47526-2022")</f>
        <v/>
      </c>
      <c r="X91">
        <f>HYPERLINK("https://klasma.github.io/Logging_0980/tillsyn/A 47526-2022 tillsynsbegäran.docx", "A 47526-2022")</f>
        <v/>
      </c>
      <c r="Y91">
        <f>HYPERLINK("https://klasma.github.io/Logging_0980/tillsynsmail/A 47526-2022 tillsynsbegäran mail.docx", "A 47526-2022")</f>
        <v/>
      </c>
    </row>
    <row r="92" ht="15" customHeight="1">
      <c r="A92" t="inlineStr">
        <is>
          <t>A 186-2023</t>
        </is>
      </c>
      <c r="B92" s="1" t="n">
        <v>44928</v>
      </c>
      <c r="C92" s="1" t="n">
        <v>45568</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445-2023</t>
        </is>
      </c>
      <c r="B93" s="1" t="n">
        <v>44929</v>
      </c>
      <c r="C93" s="1" t="n">
        <v>45568</v>
      </c>
      <c r="D93" t="inlineStr">
        <is>
          <t>GOTLANDS LÄN</t>
        </is>
      </c>
      <c r="E93" t="inlineStr">
        <is>
          <t>GOTLAND</t>
        </is>
      </c>
      <c r="G93" t="n">
        <v>4.9</v>
      </c>
      <c r="H93" t="n">
        <v>0</v>
      </c>
      <c r="I93" t="n">
        <v>1</v>
      </c>
      <c r="J93" t="n">
        <v>1</v>
      </c>
      <c r="K93" t="n">
        <v>2</v>
      </c>
      <c r="L93" t="n">
        <v>0</v>
      </c>
      <c r="M93" t="n">
        <v>0</v>
      </c>
      <c r="N93" t="n">
        <v>0</v>
      </c>
      <c r="O93" t="n">
        <v>3</v>
      </c>
      <c r="P93" t="n">
        <v>2</v>
      </c>
      <c r="Q93" t="n">
        <v>4</v>
      </c>
      <c r="R93" s="2" t="inlineStr">
        <is>
          <t>Granrotspindling
Taggfingersvamp
Jordtistel
Rödgul trumpetsvamp</t>
        </is>
      </c>
      <c r="S93">
        <f>HYPERLINK("https://klasma.github.io/Logging_0980/artfynd/A 445-2023 artfynd.xlsx", "A 445-2023")</f>
        <v/>
      </c>
      <c r="T93">
        <f>HYPERLINK("https://klasma.github.io/Logging_0980/kartor/A 445-2023 karta.png", "A 445-2023")</f>
        <v/>
      </c>
      <c r="V93">
        <f>HYPERLINK("https://klasma.github.io/Logging_0980/klagomål/A 445-2023 FSC-klagomål.docx", "A 445-2023")</f>
        <v/>
      </c>
      <c r="W93">
        <f>HYPERLINK("https://klasma.github.io/Logging_0980/klagomålsmail/A 445-2023 FSC-klagomål mail.docx", "A 445-2023")</f>
        <v/>
      </c>
      <c r="X93">
        <f>HYPERLINK("https://klasma.github.io/Logging_0980/tillsyn/A 445-2023 tillsynsbegäran.docx", "A 445-2023")</f>
        <v/>
      </c>
      <c r="Y93">
        <f>HYPERLINK("https://klasma.github.io/Logging_0980/tillsynsmail/A 445-2023 tillsynsbegäran mail.docx", "A 445-2023")</f>
        <v/>
      </c>
    </row>
    <row r="94" ht="15" customHeight="1">
      <c r="A94" t="inlineStr">
        <is>
          <t>A 584-2023</t>
        </is>
      </c>
      <c r="B94" s="1" t="n">
        <v>44930</v>
      </c>
      <c r="C94" s="1" t="n">
        <v>45568</v>
      </c>
      <c r="D94" t="inlineStr">
        <is>
          <t>GOTLANDS LÄN</t>
        </is>
      </c>
      <c r="E94" t="inlineStr">
        <is>
          <t>GOTLAND</t>
        </is>
      </c>
      <c r="G94" t="n">
        <v>27.2</v>
      </c>
      <c r="H94" t="n">
        <v>0</v>
      </c>
      <c r="I94" t="n">
        <v>2</v>
      </c>
      <c r="J94" t="n">
        <v>1</v>
      </c>
      <c r="K94" t="n">
        <v>1</v>
      </c>
      <c r="L94" t="n">
        <v>0</v>
      </c>
      <c r="M94" t="n">
        <v>0</v>
      </c>
      <c r="N94" t="n">
        <v>0</v>
      </c>
      <c r="O94" t="n">
        <v>2</v>
      </c>
      <c r="P94" t="n">
        <v>1</v>
      </c>
      <c r="Q94" t="n">
        <v>4</v>
      </c>
      <c r="R94" s="2" t="inlineStr">
        <is>
          <t>Granrotspindling
Gulfotad denisespindling
Rödgul trumpetsvamp
Vågbandad barkbock</t>
        </is>
      </c>
      <c r="S94">
        <f>HYPERLINK("https://klasma.github.io/Logging_0980/artfynd/A 584-2023 artfynd.xlsx", "A 584-2023")</f>
        <v/>
      </c>
      <c r="T94">
        <f>HYPERLINK("https://klasma.github.io/Logging_0980/kartor/A 584-2023 karta.png", "A 584-2023")</f>
        <v/>
      </c>
      <c r="V94">
        <f>HYPERLINK("https://klasma.github.io/Logging_0980/klagomål/A 584-2023 FSC-klagomål.docx", "A 584-2023")</f>
        <v/>
      </c>
      <c r="W94">
        <f>HYPERLINK("https://klasma.github.io/Logging_0980/klagomålsmail/A 584-2023 FSC-klagomål mail.docx", "A 584-2023")</f>
        <v/>
      </c>
      <c r="X94">
        <f>HYPERLINK("https://klasma.github.io/Logging_0980/tillsyn/A 584-2023 tillsynsbegäran.docx", "A 584-2023")</f>
        <v/>
      </c>
      <c r="Y94">
        <f>HYPERLINK("https://klasma.github.io/Logging_0980/tillsynsmail/A 584-2023 tillsynsbegäran mail.docx", "A 584-2023")</f>
        <v/>
      </c>
    </row>
    <row r="95" ht="15" customHeight="1">
      <c r="A95" t="inlineStr">
        <is>
          <t>A 6159-2023</t>
        </is>
      </c>
      <c r="B95" s="1" t="n">
        <v>44964</v>
      </c>
      <c r="C95" s="1" t="n">
        <v>45568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8265-2023</t>
        </is>
      </c>
      <c r="B96" s="1" t="n">
        <v>44974</v>
      </c>
      <c r="C96" s="1" t="n">
        <v>45568</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43197-2023</t>
        </is>
      </c>
      <c r="B97" s="1" t="n">
        <v>45183</v>
      </c>
      <c r="C97" s="1" t="n">
        <v>45568</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46969-2023</t>
        </is>
      </c>
      <c r="B98" s="1" t="n">
        <v>45195</v>
      </c>
      <c r="C98" s="1" t="n">
        <v>45568</v>
      </c>
      <c r="D98" t="inlineStr">
        <is>
          <t>GOTLANDS LÄN</t>
        </is>
      </c>
      <c r="E98" t="inlineStr">
        <is>
          <t>GOTLAND</t>
        </is>
      </c>
      <c r="G98" t="n">
        <v>7.3</v>
      </c>
      <c r="H98" t="n">
        <v>1</v>
      </c>
      <c r="I98" t="n">
        <v>1</v>
      </c>
      <c r="J98" t="n">
        <v>2</v>
      </c>
      <c r="K98" t="n">
        <v>0</v>
      </c>
      <c r="L98" t="n">
        <v>0</v>
      </c>
      <c r="M98" t="n">
        <v>0</v>
      </c>
      <c r="N98" t="n">
        <v>0</v>
      </c>
      <c r="O98" t="n">
        <v>2</v>
      </c>
      <c r="P98" t="n">
        <v>0</v>
      </c>
      <c r="Q98" t="n">
        <v>4</v>
      </c>
      <c r="R98" s="2" t="inlineStr">
        <is>
          <t>Backtimjan
Solvända
Svavelriska
Nattviol</t>
        </is>
      </c>
      <c r="S98">
        <f>HYPERLINK("https://klasma.github.io/Logging_0980/artfynd/A 46969-2023 artfynd.xlsx", "A 46969-2023")</f>
        <v/>
      </c>
      <c r="T98">
        <f>HYPERLINK("https://klasma.github.io/Logging_0980/kartor/A 46969-2023 karta.png", "A 46969-2023")</f>
        <v/>
      </c>
      <c r="V98">
        <f>HYPERLINK("https://klasma.github.io/Logging_0980/klagomål/A 46969-2023 FSC-klagomål.docx", "A 46969-2023")</f>
        <v/>
      </c>
      <c r="W98">
        <f>HYPERLINK("https://klasma.github.io/Logging_0980/klagomålsmail/A 46969-2023 FSC-klagomål mail.docx", "A 46969-2023")</f>
        <v/>
      </c>
      <c r="X98">
        <f>HYPERLINK("https://klasma.github.io/Logging_0980/tillsyn/A 46969-2023 tillsynsbegäran.docx", "A 46969-2023")</f>
        <v/>
      </c>
      <c r="Y98">
        <f>HYPERLINK("https://klasma.github.io/Logging_0980/tillsynsmail/A 46969-2023 tillsynsbegäran mail.docx", "A 46969-2023")</f>
        <v/>
      </c>
    </row>
    <row r="99" ht="15" customHeight="1">
      <c r="A99" t="inlineStr">
        <is>
          <t>A 45682-2023</t>
        </is>
      </c>
      <c r="B99" s="1" t="n">
        <v>45195</v>
      </c>
      <c r="C99" s="1" t="n">
        <v>45568</v>
      </c>
      <c r="D99" t="inlineStr">
        <is>
          <t>GOTLANDS LÄN</t>
        </is>
      </c>
      <c r="E99" t="inlineStr">
        <is>
          <t>GOTLAND</t>
        </is>
      </c>
      <c r="G99" t="n">
        <v>13.9</v>
      </c>
      <c r="H99" t="n">
        <v>2</v>
      </c>
      <c r="I99" t="n">
        <v>2</v>
      </c>
      <c r="J99" t="n">
        <v>1</v>
      </c>
      <c r="K99" t="n">
        <v>0</v>
      </c>
      <c r="L99" t="n">
        <v>0</v>
      </c>
      <c r="M99" t="n">
        <v>0</v>
      </c>
      <c r="N99" t="n">
        <v>0</v>
      </c>
      <c r="O99" t="n">
        <v>1</v>
      </c>
      <c r="P99" t="n">
        <v>0</v>
      </c>
      <c r="Q99" t="n">
        <v>4</v>
      </c>
      <c r="R99" s="2" t="inlineStr">
        <is>
          <t>Loppstarr
Flugblomster
Kalktallört
Dactylorhiza incarnata subsp. incarnata</t>
        </is>
      </c>
      <c r="S99">
        <f>HYPERLINK("https://klasma.github.io/Logging_0980/artfynd/A 45682-2023 artfynd.xlsx", "A 45682-2023")</f>
        <v/>
      </c>
      <c r="T99">
        <f>HYPERLINK("https://klasma.github.io/Logging_0980/kartor/A 45682-2023 karta.png", "A 45682-2023")</f>
        <v/>
      </c>
      <c r="V99">
        <f>HYPERLINK("https://klasma.github.io/Logging_0980/klagomål/A 45682-2023 FSC-klagomål.docx", "A 45682-2023")</f>
        <v/>
      </c>
      <c r="W99">
        <f>HYPERLINK("https://klasma.github.io/Logging_0980/klagomålsmail/A 45682-2023 FSC-klagomål mail.docx", "A 45682-2023")</f>
        <v/>
      </c>
      <c r="X99">
        <f>HYPERLINK("https://klasma.github.io/Logging_0980/tillsyn/A 45682-2023 tillsynsbegäran.docx", "A 45682-2023")</f>
        <v/>
      </c>
      <c r="Y99">
        <f>HYPERLINK("https://klasma.github.io/Logging_0980/tillsynsmail/A 45682-2023 tillsynsbegäran mail.docx", "A 45682-2023")</f>
        <v/>
      </c>
    </row>
    <row r="100" ht="15" customHeight="1">
      <c r="A100" t="inlineStr">
        <is>
          <t>A 5904-2024</t>
        </is>
      </c>
      <c r="B100" s="1" t="n">
        <v>45335</v>
      </c>
      <c r="C100" s="1" t="n">
        <v>45568</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14354-2024</t>
        </is>
      </c>
      <c r="B101" s="1" t="n">
        <v>45393</v>
      </c>
      <c r="C101" s="1" t="n">
        <v>45568</v>
      </c>
      <c r="D101" t="inlineStr">
        <is>
          <t>GOTLANDS LÄN</t>
        </is>
      </c>
      <c r="E101" t="inlineStr">
        <is>
          <t>GOTLAND</t>
        </is>
      </c>
      <c r="G101" t="n">
        <v>2.4</v>
      </c>
      <c r="H101" t="n">
        <v>1</v>
      </c>
      <c r="I101" t="n">
        <v>0</v>
      </c>
      <c r="J101" t="n">
        <v>4</v>
      </c>
      <c r="K101" t="n">
        <v>0</v>
      </c>
      <c r="L101" t="n">
        <v>0</v>
      </c>
      <c r="M101" t="n">
        <v>0</v>
      </c>
      <c r="N101" t="n">
        <v>0</v>
      </c>
      <c r="O101" t="n">
        <v>4</v>
      </c>
      <c r="P101" t="n">
        <v>0</v>
      </c>
      <c r="Q101" t="n">
        <v>4</v>
      </c>
      <c r="R101" s="2" t="inlineStr">
        <is>
          <t>Dårgräsfjäril
Smedbock
Svinrot
Ängsskära</t>
        </is>
      </c>
      <c r="S101">
        <f>HYPERLINK("https://klasma.github.io/Logging_0980/artfynd/A 14354-2024 artfynd.xlsx", "A 14354-2024")</f>
        <v/>
      </c>
      <c r="T101">
        <f>HYPERLINK("https://klasma.github.io/Logging_0980/kartor/A 14354-2024 karta.png", "A 14354-2024")</f>
        <v/>
      </c>
      <c r="V101">
        <f>HYPERLINK("https://klasma.github.io/Logging_0980/klagomål/A 14354-2024 FSC-klagomål.docx", "A 14354-2024")</f>
        <v/>
      </c>
      <c r="W101">
        <f>HYPERLINK("https://klasma.github.io/Logging_0980/klagomålsmail/A 14354-2024 FSC-klagomål mail.docx", "A 14354-2024")</f>
        <v/>
      </c>
      <c r="X101">
        <f>HYPERLINK("https://klasma.github.io/Logging_0980/tillsyn/A 14354-2024 tillsynsbegäran.docx", "A 14354-2024")</f>
        <v/>
      </c>
      <c r="Y101">
        <f>HYPERLINK("https://klasma.github.io/Logging_0980/tillsynsmail/A 14354-2024 tillsynsbegäran mail.docx", "A 14354-2024")</f>
        <v/>
      </c>
    </row>
    <row r="102" ht="15" customHeight="1">
      <c r="A102" t="inlineStr">
        <is>
          <t>A 25768-2024</t>
        </is>
      </c>
      <c r="B102" s="1" t="n">
        <v>45466</v>
      </c>
      <c r="C102" s="1" t="n">
        <v>45568</v>
      </c>
      <c r="D102" t="inlineStr">
        <is>
          <t>GOTLANDS LÄN</t>
        </is>
      </c>
      <c r="E102" t="inlineStr">
        <is>
          <t>GOTLAND</t>
        </is>
      </c>
      <c r="G102" t="n">
        <v>4.6</v>
      </c>
      <c r="H102" t="n">
        <v>4</v>
      </c>
      <c r="I102" t="n">
        <v>2</v>
      </c>
      <c r="J102" t="n">
        <v>0</v>
      </c>
      <c r="K102" t="n">
        <v>0</v>
      </c>
      <c r="L102" t="n">
        <v>0</v>
      </c>
      <c r="M102" t="n">
        <v>0</v>
      </c>
      <c r="N102" t="n">
        <v>0</v>
      </c>
      <c r="O102" t="n">
        <v>0</v>
      </c>
      <c r="P102" t="n">
        <v>0</v>
      </c>
      <c r="Q102" t="n">
        <v>4</v>
      </c>
      <c r="R102" s="2" t="inlineStr">
        <is>
          <t>Nästrot
Tvåblad
Fläcknycklar
Nattviol</t>
        </is>
      </c>
      <c r="S102">
        <f>HYPERLINK("https://klasma.github.io/Logging_0980/artfynd/A 25768-2024 artfynd.xlsx", "A 25768-2024")</f>
        <v/>
      </c>
      <c r="T102">
        <f>HYPERLINK("https://klasma.github.io/Logging_0980/kartor/A 25768-2024 karta.png", "A 25768-2024")</f>
        <v/>
      </c>
      <c r="V102">
        <f>HYPERLINK("https://klasma.github.io/Logging_0980/klagomål/A 25768-2024 FSC-klagomål.docx", "A 25768-2024")</f>
        <v/>
      </c>
      <c r="W102">
        <f>HYPERLINK("https://klasma.github.io/Logging_0980/klagomålsmail/A 25768-2024 FSC-klagomål mail.docx", "A 25768-2024")</f>
        <v/>
      </c>
      <c r="X102">
        <f>HYPERLINK("https://klasma.github.io/Logging_0980/tillsyn/A 25768-2024 tillsynsbegäran.docx", "A 25768-2024")</f>
        <v/>
      </c>
      <c r="Y102">
        <f>HYPERLINK("https://klasma.github.io/Logging_0980/tillsynsmail/A 25768-2024 tillsynsbegäran mail.docx", "A 25768-2024")</f>
        <v/>
      </c>
    </row>
    <row r="103" ht="15" customHeight="1">
      <c r="A103" t="inlineStr">
        <is>
          <t>A 34100-2024</t>
        </is>
      </c>
      <c r="B103" s="1" t="n">
        <v>45523</v>
      </c>
      <c r="C103" s="1" t="n">
        <v>45568</v>
      </c>
      <c r="D103" t="inlineStr">
        <is>
          <t>GOTLANDS LÄN</t>
        </is>
      </c>
      <c r="E103" t="inlineStr">
        <is>
          <t>GOTLAND</t>
        </is>
      </c>
      <c r="F103" t="inlineStr">
        <is>
          <t>Övriga statliga verk och myndigheter</t>
        </is>
      </c>
      <c r="G103" t="n">
        <v>8.5</v>
      </c>
      <c r="H103" t="n">
        <v>1</v>
      </c>
      <c r="I103" t="n">
        <v>1</v>
      </c>
      <c r="J103" t="n">
        <v>2</v>
      </c>
      <c r="K103" t="n">
        <v>0</v>
      </c>
      <c r="L103" t="n">
        <v>0</v>
      </c>
      <c r="M103" t="n">
        <v>0</v>
      </c>
      <c r="N103" t="n">
        <v>0</v>
      </c>
      <c r="O103" t="n">
        <v>2</v>
      </c>
      <c r="P103" t="n">
        <v>0</v>
      </c>
      <c r="Q103" t="n">
        <v>4</v>
      </c>
      <c r="R103" s="2" t="inlineStr">
        <is>
          <t>Majviva
Ängsstarr
Kärrlilja
Dactylorhiza incarnata subsp. incarnata</t>
        </is>
      </c>
      <c r="S103">
        <f>HYPERLINK("https://klasma.github.io/Logging_0980/artfynd/A 34100-2024 artfynd.xlsx", "A 34100-2024")</f>
        <v/>
      </c>
      <c r="T103">
        <f>HYPERLINK("https://klasma.github.io/Logging_0980/kartor/A 34100-2024 karta.png", "A 34100-2024")</f>
        <v/>
      </c>
      <c r="V103">
        <f>HYPERLINK("https://klasma.github.io/Logging_0980/klagomål/A 34100-2024 FSC-klagomål.docx", "A 34100-2024")</f>
        <v/>
      </c>
      <c r="W103">
        <f>HYPERLINK("https://klasma.github.io/Logging_0980/klagomålsmail/A 34100-2024 FSC-klagomål mail.docx", "A 34100-2024")</f>
        <v/>
      </c>
      <c r="X103">
        <f>HYPERLINK("https://klasma.github.io/Logging_0980/tillsyn/A 34100-2024 tillsynsbegäran.docx", "A 34100-2024")</f>
        <v/>
      </c>
      <c r="Y103">
        <f>HYPERLINK("https://klasma.github.io/Logging_0980/tillsynsmail/A 34100-2024 tillsynsbegäran mail.docx", "A 34100-2024")</f>
        <v/>
      </c>
    </row>
    <row r="104" ht="15" customHeight="1">
      <c r="A104" t="inlineStr">
        <is>
          <t>A 34171-2024</t>
        </is>
      </c>
      <c r="B104" s="1" t="n">
        <v>45524</v>
      </c>
      <c r="C104" s="1" t="n">
        <v>45568</v>
      </c>
      <c r="D104" t="inlineStr">
        <is>
          <t>GOTLANDS LÄN</t>
        </is>
      </c>
      <c r="E104" t="inlineStr">
        <is>
          <t>GOTLAND</t>
        </is>
      </c>
      <c r="G104" t="n">
        <v>6.6</v>
      </c>
      <c r="H104" t="n">
        <v>0</v>
      </c>
      <c r="I104" t="n">
        <v>1</v>
      </c>
      <c r="J104" t="n">
        <v>1</v>
      </c>
      <c r="K104" t="n">
        <v>1</v>
      </c>
      <c r="L104" t="n">
        <v>1</v>
      </c>
      <c r="M104" t="n">
        <v>0</v>
      </c>
      <c r="N104" t="n">
        <v>0</v>
      </c>
      <c r="O104" t="n">
        <v>3</v>
      </c>
      <c r="P104" t="n">
        <v>2</v>
      </c>
      <c r="Q104" t="n">
        <v>4</v>
      </c>
      <c r="R104" s="2" t="inlineStr">
        <is>
          <t>Ädellav
Mörk kraterlav
Orangepudrad klotterlav
Strävlosta</t>
        </is>
      </c>
      <c r="S104">
        <f>HYPERLINK("https://klasma.github.io/Logging_0980/artfynd/A 34171-2024 artfynd.xlsx", "A 34171-2024")</f>
        <v/>
      </c>
      <c r="T104">
        <f>HYPERLINK("https://klasma.github.io/Logging_0980/kartor/A 34171-2024 karta.png", "A 34171-2024")</f>
        <v/>
      </c>
      <c r="V104">
        <f>HYPERLINK("https://klasma.github.io/Logging_0980/klagomål/A 34171-2024 FSC-klagomål.docx", "A 34171-2024")</f>
        <v/>
      </c>
      <c r="W104">
        <f>HYPERLINK("https://klasma.github.io/Logging_0980/klagomålsmail/A 34171-2024 FSC-klagomål mail.docx", "A 34171-2024")</f>
        <v/>
      </c>
      <c r="X104">
        <f>HYPERLINK("https://klasma.github.io/Logging_0980/tillsyn/A 34171-2024 tillsynsbegäran.docx", "A 34171-2024")</f>
        <v/>
      </c>
      <c r="Y104">
        <f>HYPERLINK("https://klasma.github.io/Logging_0980/tillsynsmail/A 34171-2024 tillsynsbegäran mail.docx", "A 34171-2024")</f>
        <v/>
      </c>
    </row>
    <row r="105" ht="15" customHeight="1">
      <c r="A105" t="inlineStr">
        <is>
          <t>A 34584-2024</t>
        </is>
      </c>
      <c r="B105" s="1" t="n">
        <v>45526</v>
      </c>
      <c r="C105" s="1" t="n">
        <v>45568</v>
      </c>
      <c r="D105" t="inlineStr">
        <is>
          <t>GOTLANDS LÄN</t>
        </is>
      </c>
      <c r="E105" t="inlineStr">
        <is>
          <t>GOTLAND</t>
        </is>
      </c>
      <c r="G105" t="n">
        <v>3.4</v>
      </c>
      <c r="H105" t="n">
        <v>3</v>
      </c>
      <c r="I105" t="n">
        <v>0</v>
      </c>
      <c r="J105" t="n">
        <v>3</v>
      </c>
      <c r="K105" t="n">
        <v>1</v>
      </c>
      <c r="L105" t="n">
        <v>0</v>
      </c>
      <c r="M105" t="n">
        <v>0</v>
      </c>
      <c r="N105" t="n">
        <v>0</v>
      </c>
      <c r="O105" t="n">
        <v>4</v>
      </c>
      <c r="P105" t="n">
        <v>1</v>
      </c>
      <c r="Q105" t="n">
        <v>4</v>
      </c>
      <c r="R105" s="2" t="inlineStr">
        <is>
          <t>Garderönn
Dårgräsfjäril
Spillkråka
Svinrot</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21897-2019</t>
        </is>
      </c>
      <c r="B106" s="1" t="n">
        <v>43584</v>
      </c>
      <c r="C106" s="1" t="n">
        <v>45568</v>
      </c>
      <c r="D106" t="inlineStr">
        <is>
          <t>GOTLANDS LÄN</t>
        </is>
      </c>
      <c r="E106" t="inlineStr">
        <is>
          <t>GOTLAND</t>
        </is>
      </c>
      <c r="G106" t="n">
        <v>7.4</v>
      </c>
      <c r="H106" t="n">
        <v>3</v>
      </c>
      <c r="I106" t="n">
        <v>1</v>
      </c>
      <c r="J106" t="n">
        <v>0</v>
      </c>
      <c r="K106" t="n">
        <v>0</v>
      </c>
      <c r="L106" t="n">
        <v>0</v>
      </c>
      <c r="M106" t="n">
        <v>0</v>
      </c>
      <c r="N106" t="n">
        <v>0</v>
      </c>
      <c r="O106" t="n">
        <v>0</v>
      </c>
      <c r="P106" t="n">
        <v>0</v>
      </c>
      <c r="Q106" t="n">
        <v>3</v>
      </c>
      <c r="R106" s="2" t="inlineStr">
        <is>
          <t>Korallrot
Nattviol
Lopplummer</t>
        </is>
      </c>
      <c r="S106">
        <f>HYPERLINK("https://klasma.github.io/Logging_0980/artfynd/A 21897-2019 artfynd.xlsx", "A 21897-2019")</f>
        <v/>
      </c>
      <c r="T106">
        <f>HYPERLINK("https://klasma.github.io/Logging_0980/kartor/A 21897-2019 karta.png", "A 21897-2019")</f>
        <v/>
      </c>
      <c r="V106">
        <f>HYPERLINK("https://klasma.github.io/Logging_0980/klagomål/A 21897-2019 FSC-klagomål.docx", "A 21897-2019")</f>
        <v/>
      </c>
      <c r="W106">
        <f>HYPERLINK("https://klasma.github.io/Logging_0980/klagomålsmail/A 21897-2019 FSC-klagomål mail.docx", "A 21897-2019")</f>
        <v/>
      </c>
      <c r="X106">
        <f>HYPERLINK("https://klasma.github.io/Logging_0980/tillsyn/A 21897-2019 tillsynsbegäran.docx", "A 21897-2019")</f>
        <v/>
      </c>
      <c r="Y106">
        <f>HYPERLINK("https://klasma.github.io/Logging_0980/tillsynsmail/A 21897-2019 tillsynsbegäran mail.docx", "A 21897-2019")</f>
        <v/>
      </c>
    </row>
    <row r="107" ht="15" customHeight="1">
      <c r="A107" t="inlineStr">
        <is>
          <t>A 66053-2019</t>
        </is>
      </c>
      <c r="B107" s="1" t="n">
        <v>43806</v>
      </c>
      <c r="C107" s="1" t="n">
        <v>45568</v>
      </c>
      <c r="D107" t="inlineStr">
        <is>
          <t>GOTLANDS LÄN</t>
        </is>
      </c>
      <c r="E107" t="inlineStr">
        <is>
          <t>GOTLAND</t>
        </is>
      </c>
      <c r="G107" t="n">
        <v>58.6</v>
      </c>
      <c r="H107" t="n">
        <v>2</v>
      </c>
      <c r="I107" t="n">
        <v>0</v>
      </c>
      <c r="J107" t="n">
        <v>1</v>
      </c>
      <c r="K107" t="n">
        <v>2</v>
      </c>
      <c r="L107" t="n">
        <v>0</v>
      </c>
      <c r="M107" t="n">
        <v>0</v>
      </c>
      <c r="N107" t="n">
        <v>0</v>
      </c>
      <c r="O107" t="n">
        <v>3</v>
      </c>
      <c r="P107" t="n">
        <v>2</v>
      </c>
      <c r="Q107" t="n">
        <v>3</v>
      </c>
      <c r="R107" s="2" t="inlineStr">
        <is>
          <t>Falsk guldskivlav
Garderönn
Apollofjäril</t>
        </is>
      </c>
      <c r="S107">
        <f>HYPERLINK("https://klasma.github.io/Logging_0980/artfynd/A 66053-2019 artfynd.xlsx", "A 66053-2019")</f>
        <v/>
      </c>
      <c r="T107">
        <f>HYPERLINK("https://klasma.github.io/Logging_0980/kartor/A 66053-2019 karta.png", "A 66053-2019")</f>
        <v/>
      </c>
      <c r="V107">
        <f>HYPERLINK("https://klasma.github.io/Logging_0980/klagomål/A 66053-2019 FSC-klagomål.docx", "A 66053-2019")</f>
        <v/>
      </c>
      <c r="W107">
        <f>HYPERLINK("https://klasma.github.io/Logging_0980/klagomålsmail/A 66053-2019 FSC-klagomål mail.docx", "A 66053-2019")</f>
        <v/>
      </c>
      <c r="X107">
        <f>HYPERLINK("https://klasma.github.io/Logging_0980/tillsyn/A 66053-2019 tillsynsbegäran.docx", "A 66053-2019")</f>
        <v/>
      </c>
      <c r="Y107">
        <f>HYPERLINK("https://klasma.github.io/Logging_0980/tillsynsmail/A 66053-2019 tillsynsbegäran mail.docx", "A 66053-2019")</f>
        <v/>
      </c>
    </row>
    <row r="108" ht="15" customHeight="1">
      <c r="A108" t="inlineStr">
        <is>
          <t>A 2536-2020</t>
        </is>
      </c>
      <c r="B108" s="1" t="n">
        <v>43847</v>
      </c>
      <c r="C108" s="1" t="n">
        <v>45568</v>
      </c>
      <c r="D108" t="inlineStr">
        <is>
          <t>GOTLANDS LÄN</t>
        </is>
      </c>
      <c r="E108" t="inlineStr">
        <is>
          <t>GOTLAND</t>
        </is>
      </c>
      <c r="G108" t="n">
        <v>4.2</v>
      </c>
      <c r="H108" t="n">
        <v>1</v>
      </c>
      <c r="I108" t="n">
        <v>0</v>
      </c>
      <c r="J108" t="n">
        <v>2</v>
      </c>
      <c r="K108" t="n">
        <v>0</v>
      </c>
      <c r="L108" t="n">
        <v>0</v>
      </c>
      <c r="M108" t="n">
        <v>0</v>
      </c>
      <c r="N108" t="n">
        <v>0</v>
      </c>
      <c r="O108" t="n">
        <v>2</v>
      </c>
      <c r="P108" t="n">
        <v>0</v>
      </c>
      <c r="Q108" t="n">
        <v>3</v>
      </c>
      <c r="R108" s="2" t="inlineStr">
        <is>
          <t>Backklöver
Svinrot
Blåsippa</t>
        </is>
      </c>
      <c r="S108">
        <f>HYPERLINK("https://klasma.github.io/Logging_0980/artfynd/A 2536-2020 artfynd.xlsx", "A 2536-2020")</f>
        <v/>
      </c>
      <c r="T108">
        <f>HYPERLINK("https://klasma.github.io/Logging_0980/kartor/A 2536-2020 karta.png", "A 2536-2020")</f>
        <v/>
      </c>
      <c r="V108">
        <f>HYPERLINK("https://klasma.github.io/Logging_0980/klagomål/A 2536-2020 FSC-klagomål.docx", "A 2536-2020")</f>
        <v/>
      </c>
      <c r="W108">
        <f>HYPERLINK("https://klasma.github.io/Logging_0980/klagomålsmail/A 2536-2020 FSC-klagomål mail.docx", "A 2536-2020")</f>
        <v/>
      </c>
      <c r="X108">
        <f>HYPERLINK("https://klasma.github.io/Logging_0980/tillsyn/A 2536-2020 tillsynsbegäran.docx", "A 2536-2020")</f>
        <v/>
      </c>
      <c r="Y108">
        <f>HYPERLINK("https://klasma.github.io/Logging_0980/tillsynsmail/A 2536-2020 tillsynsbegäran mail.docx", "A 2536-2020")</f>
        <v/>
      </c>
    </row>
    <row r="109" ht="15" customHeight="1">
      <c r="A109" t="inlineStr">
        <is>
          <t>A 3218-2020</t>
        </is>
      </c>
      <c r="B109" s="1" t="n">
        <v>43851</v>
      </c>
      <c r="C109" s="1" t="n">
        <v>45568</v>
      </c>
      <c r="D109" t="inlineStr">
        <is>
          <t>GOTLANDS LÄN</t>
        </is>
      </c>
      <c r="E109" t="inlineStr">
        <is>
          <t>GOTLAND</t>
        </is>
      </c>
      <c r="G109" t="n">
        <v>7.8</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HYPERLINK("https://klasma.github.io/Logging_0980/artfynd/A 3218-2020 artfynd.xlsx", "A 3218-2020")</f>
        <v/>
      </c>
      <c r="T109">
        <f>HYPERLINK("https://klasma.github.io/Logging_0980/kartor/A 3218-2020 karta.png", "A 3218-2020")</f>
        <v/>
      </c>
      <c r="V109">
        <f>HYPERLINK("https://klasma.github.io/Logging_0980/klagomål/A 3218-2020 FSC-klagomål.docx", "A 3218-2020")</f>
        <v/>
      </c>
      <c r="W109">
        <f>HYPERLINK("https://klasma.github.io/Logging_0980/klagomålsmail/A 3218-2020 FSC-klagomål mail.docx", "A 3218-2020")</f>
        <v/>
      </c>
      <c r="X109">
        <f>HYPERLINK("https://klasma.github.io/Logging_0980/tillsyn/A 3218-2020 tillsynsbegäran.docx", "A 3218-2020")</f>
        <v/>
      </c>
      <c r="Y109">
        <f>HYPERLINK("https://klasma.github.io/Logging_0980/tillsynsmail/A 3218-2020 tillsynsbegäran mail.docx", "A 3218-2020")</f>
        <v/>
      </c>
    </row>
    <row r="110" ht="15" customHeight="1">
      <c r="A110" t="inlineStr">
        <is>
          <t>A 7156-2020</t>
        </is>
      </c>
      <c r="B110" s="1" t="n">
        <v>43870</v>
      </c>
      <c r="C110" s="1" t="n">
        <v>45568</v>
      </c>
      <c r="D110" t="inlineStr">
        <is>
          <t>GOTLANDS LÄN</t>
        </is>
      </c>
      <c r="E110" t="inlineStr">
        <is>
          <t>GOTLAND</t>
        </is>
      </c>
      <c r="G110" t="n">
        <v>1.5</v>
      </c>
      <c r="H110" t="n">
        <v>1</v>
      </c>
      <c r="I110" t="n">
        <v>0</v>
      </c>
      <c r="J110" t="n">
        <v>2</v>
      </c>
      <c r="K110" t="n">
        <v>0</v>
      </c>
      <c r="L110" t="n">
        <v>0</v>
      </c>
      <c r="M110" t="n">
        <v>0</v>
      </c>
      <c r="N110" t="n">
        <v>0</v>
      </c>
      <c r="O110" t="n">
        <v>2</v>
      </c>
      <c r="P110" t="n">
        <v>0</v>
      </c>
      <c r="Q110" t="n">
        <v>3</v>
      </c>
      <c r="R110" s="2" t="inlineStr">
        <is>
          <t>Bolmört
Solvända
Sankt pers nycklar</t>
        </is>
      </c>
      <c r="S110">
        <f>HYPERLINK("https://klasma.github.io/Logging_0980/artfynd/A 7156-2020 artfynd.xlsx", "A 7156-2020")</f>
        <v/>
      </c>
      <c r="T110">
        <f>HYPERLINK("https://klasma.github.io/Logging_0980/kartor/A 7156-2020 karta.png", "A 7156-2020")</f>
        <v/>
      </c>
      <c r="V110">
        <f>HYPERLINK("https://klasma.github.io/Logging_0980/klagomål/A 7156-2020 FSC-klagomål.docx", "A 7156-2020")</f>
        <v/>
      </c>
      <c r="W110">
        <f>HYPERLINK("https://klasma.github.io/Logging_0980/klagomålsmail/A 7156-2020 FSC-klagomål mail.docx", "A 7156-2020")</f>
        <v/>
      </c>
      <c r="X110">
        <f>HYPERLINK("https://klasma.github.io/Logging_0980/tillsyn/A 7156-2020 tillsynsbegäran.docx", "A 7156-2020")</f>
        <v/>
      </c>
      <c r="Y110">
        <f>HYPERLINK("https://klasma.github.io/Logging_0980/tillsynsmail/A 7156-2020 tillsynsbegäran mail.docx", "A 7156-2020")</f>
        <v/>
      </c>
    </row>
    <row r="111" ht="15" customHeight="1">
      <c r="A111" t="inlineStr">
        <is>
          <t>A 10707-2020</t>
        </is>
      </c>
      <c r="B111" s="1" t="n">
        <v>43888</v>
      </c>
      <c r="C111" s="1" t="n">
        <v>45568</v>
      </c>
      <c r="D111" t="inlineStr">
        <is>
          <t>GOTLANDS LÄN</t>
        </is>
      </c>
      <c r="E111" t="inlineStr">
        <is>
          <t>GOTLAND</t>
        </is>
      </c>
      <c r="F111" t="inlineStr">
        <is>
          <t>Övriga statliga verk och myndigheter</t>
        </is>
      </c>
      <c r="G111" t="n">
        <v>27.7</v>
      </c>
      <c r="H111" t="n">
        <v>0</v>
      </c>
      <c r="I111" t="n">
        <v>0</v>
      </c>
      <c r="J111" t="n">
        <v>3</v>
      </c>
      <c r="K111" t="n">
        <v>0</v>
      </c>
      <c r="L111" t="n">
        <v>0</v>
      </c>
      <c r="M111" t="n">
        <v>0</v>
      </c>
      <c r="N111" t="n">
        <v>0</v>
      </c>
      <c r="O111" t="n">
        <v>3</v>
      </c>
      <c r="P111" t="n">
        <v>0</v>
      </c>
      <c r="Q111" t="n">
        <v>3</v>
      </c>
      <c r="R111" s="2" t="inlineStr">
        <is>
          <t>Grådådra
Mindre blåvinge
Ängsnätfjäril</t>
        </is>
      </c>
      <c r="S111">
        <f>HYPERLINK("https://klasma.github.io/Logging_0980/artfynd/A 10707-2020 artfynd.xlsx", "A 10707-2020")</f>
        <v/>
      </c>
      <c r="T111">
        <f>HYPERLINK("https://klasma.github.io/Logging_0980/kartor/A 10707-2020 karta.png", "A 10707-2020")</f>
        <v/>
      </c>
      <c r="V111">
        <f>HYPERLINK("https://klasma.github.io/Logging_0980/klagomål/A 10707-2020 FSC-klagomål.docx", "A 10707-2020")</f>
        <v/>
      </c>
      <c r="W111">
        <f>HYPERLINK("https://klasma.github.io/Logging_0980/klagomålsmail/A 10707-2020 FSC-klagomål mail.docx", "A 10707-2020")</f>
        <v/>
      </c>
      <c r="X111">
        <f>HYPERLINK("https://klasma.github.io/Logging_0980/tillsyn/A 10707-2020 tillsynsbegäran.docx", "A 10707-2020")</f>
        <v/>
      </c>
      <c r="Y111">
        <f>HYPERLINK("https://klasma.github.io/Logging_0980/tillsynsmail/A 10707-2020 tillsynsbegäran mail.docx", "A 10707-2020")</f>
        <v/>
      </c>
    </row>
    <row r="112" ht="15" customHeight="1">
      <c r="A112" t="inlineStr">
        <is>
          <t>A 55029-2020</t>
        </is>
      </c>
      <c r="B112" s="1" t="n">
        <v>44130</v>
      </c>
      <c r="C112" s="1" t="n">
        <v>45568</v>
      </c>
      <c r="D112" t="inlineStr">
        <is>
          <t>GOTLANDS LÄN</t>
        </is>
      </c>
      <c r="E112" t="inlineStr">
        <is>
          <t>GOTLAND</t>
        </is>
      </c>
      <c r="G112" t="n">
        <v>6.9</v>
      </c>
      <c r="H112" t="n">
        <v>1</v>
      </c>
      <c r="I112" t="n">
        <v>2</v>
      </c>
      <c r="J112" t="n">
        <v>1</v>
      </c>
      <c r="K112" t="n">
        <v>0</v>
      </c>
      <c r="L112" t="n">
        <v>0</v>
      </c>
      <c r="M112" t="n">
        <v>0</v>
      </c>
      <c r="N112" t="n">
        <v>0</v>
      </c>
      <c r="O112" t="n">
        <v>1</v>
      </c>
      <c r="P112" t="n">
        <v>0</v>
      </c>
      <c r="Q112" t="n">
        <v>3</v>
      </c>
      <c r="R112" s="2" t="inlineStr">
        <is>
          <t>Dårgräsfjäril
Anisspindling
Granbarkgnagare</t>
        </is>
      </c>
      <c r="S112">
        <f>HYPERLINK("https://klasma.github.io/Logging_0980/artfynd/A 55029-2020 artfynd.xlsx", "A 55029-2020")</f>
        <v/>
      </c>
      <c r="T112">
        <f>HYPERLINK("https://klasma.github.io/Logging_0980/kartor/A 55029-2020 karta.png", "A 55029-2020")</f>
        <v/>
      </c>
      <c r="V112">
        <f>HYPERLINK("https://klasma.github.io/Logging_0980/klagomål/A 55029-2020 FSC-klagomål.docx", "A 55029-2020")</f>
        <v/>
      </c>
      <c r="W112">
        <f>HYPERLINK("https://klasma.github.io/Logging_0980/klagomålsmail/A 55029-2020 FSC-klagomål mail.docx", "A 55029-2020")</f>
        <v/>
      </c>
      <c r="X112">
        <f>HYPERLINK("https://klasma.github.io/Logging_0980/tillsyn/A 55029-2020 tillsynsbegäran.docx", "A 55029-2020")</f>
        <v/>
      </c>
      <c r="Y112">
        <f>HYPERLINK("https://klasma.github.io/Logging_0980/tillsynsmail/A 55029-2020 tillsynsbegäran mail.docx", "A 55029-2020")</f>
        <v/>
      </c>
    </row>
    <row r="113" ht="15" customHeight="1">
      <c r="A113" t="inlineStr">
        <is>
          <t>A 62326-2020</t>
        </is>
      </c>
      <c r="B113" s="1" t="n">
        <v>44160</v>
      </c>
      <c r="C113" s="1" t="n">
        <v>45568</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2332-2021</t>
        </is>
      </c>
      <c r="B114" s="1" t="n">
        <v>44214</v>
      </c>
      <c r="C114" s="1" t="n">
        <v>45568</v>
      </c>
      <c r="D114" t="inlineStr">
        <is>
          <t>GOTLANDS LÄN</t>
        </is>
      </c>
      <c r="E114" t="inlineStr">
        <is>
          <t>GOTLAND</t>
        </is>
      </c>
      <c r="G114" t="n">
        <v>2.3</v>
      </c>
      <c r="H114" t="n">
        <v>2</v>
      </c>
      <c r="I114" t="n">
        <v>0</v>
      </c>
      <c r="J114" t="n">
        <v>1</v>
      </c>
      <c r="K114" t="n">
        <v>0</v>
      </c>
      <c r="L114" t="n">
        <v>0</v>
      </c>
      <c r="M114" t="n">
        <v>0</v>
      </c>
      <c r="N114" t="n">
        <v>0</v>
      </c>
      <c r="O114" t="n">
        <v>1</v>
      </c>
      <c r="P114" t="n">
        <v>0</v>
      </c>
      <c r="Q114" t="n">
        <v>3</v>
      </c>
      <c r="R114" s="2" t="inlineStr">
        <is>
          <t>Korpnopping
Sankt pers nycklar
Blåsippa</t>
        </is>
      </c>
      <c r="S114">
        <f>HYPERLINK("https://klasma.github.io/Logging_0980/artfynd/A 2332-2021 artfynd.xlsx", "A 2332-2021")</f>
        <v/>
      </c>
      <c r="T114">
        <f>HYPERLINK("https://klasma.github.io/Logging_0980/kartor/A 2332-2021 karta.png", "A 2332-2021")</f>
        <v/>
      </c>
      <c r="V114">
        <f>HYPERLINK("https://klasma.github.io/Logging_0980/klagomål/A 2332-2021 FSC-klagomål.docx", "A 2332-2021")</f>
        <v/>
      </c>
      <c r="W114">
        <f>HYPERLINK("https://klasma.github.io/Logging_0980/klagomålsmail/A 2332-2021 FSC-klagomål mail.docx", "A 2332-2021")</f>
        <v/>
      </c>
      <c r="X114">
        <f>HYPERLINK("https://klasma.github.io/Logging_0980/tillsyn/A 2332-2021 tillsynsbegäran.docx", "A 2332-2021")</f>
        <v/>
      </c>
      <c r="Y114">
        <f>HYPERLINK("https://klasma.github.io/Logging_0980/tillsynsmail/A 2332-2021 tillsynsbegäran mail.docx", "A 2332-2021")</f>
        <v/>
      </c>
    </row>
    <row r="115" ht="15" customHeight="1">
      <c r="A115" t="inlineStr">
        <is>
          <t>A 12519-2021</t>
        </is>
      </c>
      <c r="B115" s="1" t="n">
        <v>44269</v>
      </c>
      <c r="C115" s="1" t="n">
        <v>45568</v>
      </c>
      <c r="D115" t="inlineStr">
        <is>
          <t>GOTLANDS LÄN</t>
        </is>
      </c>
      <c r="E115" t="inlineStr">
        <is>
          <t>GOTLAND</t>
        </is>
      </c>
      <c r="F115" t="inlineStr">
        <is>
          <t>Kyrkan</t>
        </is>
      </c>
      <c r="G115" t="n">
        <v>3.4</v>
      </c>
      <c r="H115" t="n">
        <v>0</v>
      </c>
      <c r="I115" t="n">
        <v>2</v>
      </c>
      <c r="J115" t="n">
        <v>1</v>
      </c>
      <c r="K115" t="n">
        <v>0</v>
      </c>
      <c r="L115" t="n">
        <v>0</v>
      </c>
      <c r="M115" t="n">
        <v>0</v>
      </c>
      <c r="N115" t="n">
        <v>0</v>
      </c>
      <c r="O115" t="n">
        <v>1</v>
      </c>
      <c r="P115" t="n">
        <v>0</v>
      </c>
      <c r="Q115" t="n">
        <v>3</v>
      </c>
      <c r="R115" s="2" t="inlineStr">
        <is>
          <t>Loppstarr
Rödgul trumpetsvamp
Vågbandad barkbock</t>
        </is>
      </c>
      <c r="S115">
        <f>HYPERLINK("https://klasma.github.io/Logging_0980/artfynd/A 12519-2021 artfynd.xlsx", "A 12519-2021")</f>
        <v/>
      </c>
      <c r="T115">
        <f>HYPERLINK("https://klasma.github.io/Logging_0980/kartor/A 12519-2021 karta.png", "A 12519-2021")</f>
        <v/>
      </c>
      <c r="V115">
        <f>HYPERLINK("https://klasma.github.io/Logging_0980/klagomål/A 12519-2021 FSC-klagomål.docx", "A 12519-2021")</f>
        <v/>
      </c>
      <c r="W115">
        <f>HYPERLINK("https://klasma.github.io/Logging_0980/klagomålsmail/A 12519-2021 FSC-klagomål mail.docx", "A 12519-2021")</f>
        <v/>
      </c>
      <c r="X115">
        <f>HYPERLINK("https://klasma.github.io/Logging_0980/tillsyn/A 12519-2021 tillsynsbegäran.docx", "A 12519-2021")</f>
        <v/>
      </c>
      <c r="Y115">
        <f>HYPERLINK("https://klasma.github.io/Logging_0980/tillsynsmail/A 12519-2021 tillsynsbegäran mail.docx", "A 12519-2021")</f>
        <v/>
      </c>
    </row>
    <row r="116" ht="15" customHeight="1">
      <c r="A116" t="inlineStr">
        <is>
          <t>A 32666-2021</t>
        </is>
      </c>
      <c r="B116" s="1" t="n">
        <v>44375</v>
      </c>
      <c r="C116" s="1" t="n">
        <v>45568</v>
      </c>
      <c r="D116" t="inlineStr">
        <is>
          <t>GOTLANDS LÄN</t>
        </is>
      </c>
      <c r="E116" t="inlineStr">
        <is>
          <t>GOTLAND</t>
        </is>
      </c>
      <c r="G116" t="n">
        <v>0.9</v>
      </c>
      <c r="H116" t="n">
        <v>1</v>
      </c>
      <c r="I116" t="n">
        <v>2</v>
      </c>
      <c r="J116" t="n">
        <v>0</v>
      </c>
      <c r="K116" t="n">
        <v>1</v>
      </c>
      <c r="L116" t="n">
        <v>0</v>
      </c>
      <c r="M116" t="n">
        <v>0</v>
      </c>
      <c r="N116" t="n">
        <v>0</v>
      </c>
      <c r="O116" t="n">
        <v>1</v>
      </c>
      <c r="P116" t="n">
        <v>1</v>
      </c>
      <c r="Q116" t="n">
        <v>3</v>
      </c>
      <c r="R116" s="2" t="inlineStr">
        <is>
          <t>Skogskorn
Myskmadra
Vit skogslilja</t>
        </is>
      </c>
      <c r="S116">
        <f>HYPERLINK("https://klasma.github.io/Logging_0980/artfynd/A 32666-2021 artfynd.xlsx", "A 32666-2021")</f>
        <v/>
      </c>
      <c r="T116">
        <f>HYPERLINK("https://klasma.github.io/Logging_0980/kartor/A 32666-2021 karta.png", "A 32666-2021")</f>
        <v/>
      </c>
      <c r="V116">
        <f>HYPERLINK("https://klasma.github.io/Logging_0980/klagomål/A 32666-2021 FSC-klagomål.docx", "A 32666-2021")</f>
        <v/>
      </c>
      <c r="W116">
        <f>HYPERLINK("https://klasma.github.io/Logging_0980/klagomålsmail/A 32666-2021 FSC-klagomål mail.docx", "A 32666-2021")</f>
        <v/>
      </c>
      <c r="X116">
        <f>HYPERLINK("https://klasma.github.io/Logging_0980/tillsyn/A 32666-2021 tillsynsbegäran.docx", "A 32666-2021")</f>
        <v/>
      </c>
      <c r="Y116">
        <f>HYPERLINK("https://klasma.github.io/Logging_0980/tillsynsmail/A 32666-2021 tillsynsbegäran mail.docx", "A 32666-2021")</f>
        <v/>
      </c>
    </row>
    <row r="117" ht="15" customHeight="1">
      <c r="A117" t="inlineStr">
        <is>
          <t>A 32718-2021</t>
        </is>
      </c>
      <c r="B117" s="1" t="n">
        <v>44375</v>
      </c>
      <c r="C117" s="1" t="n">
        <v>45568</v>
      </c>
      <c r="D117" t="inlineStr">
        <is>
          <t>GOTLANDS LÄN</t>
        </is>
      </c>
      <c r="E117" t="inlineStr">
        <is>
          <t>GOTLAND</t>
        </is>
      </c>
      <c r="G117" t="n">
        <v>2.1</v>
      </c>
      <c r="H117" t="n">
        <v>0</v>
      </c>
      <c r="I117" t="n">
        <v>1</v>
      </c>
      <c r="J117" t="n">
        <v>1</v>
      </c>
      <c r="K117" t="n">
        <v>1</v>
      </c>
      <c r="L117" t="n">
        <v>0</v>
      </c>
      <c r="M117" t="n">
        <v>0</v>
      </c>
      <c r="N117" t="n">
        <v>0</v>
      </c>
      <c r="O117" t="n">
        <v>2</v>
      </c>
      <c r="P117" t="n">
        <v>1</v>
      </c>
      <c r="Q117" t="n">
        <v>3</v>
      </c>
      <c r="R117" s="2" t="inlineStr">
        <is>
          <t>Skogskorn
Skugglosta
Strävlosta</t>
        </is>
      </c>
      <c r="S117">
        <f>HYPERLINK("https://klasma.github.io/Logging_0980/artfynd/A 32718-2021 artfynd.xlsx", "A 32718-2021")</f>
        <v/>
      </c>
      <c r="T117">
        <f>HYPERLINK("https://klasma.github.io/Logging_0980/kartor/A 32718-2021 karta.png", "A 32718-2021")</f>
        <v/>
      </c>
      <c r="V117">
        <f>HYPERLINK("https://klasma.github.io/Logging_0980/klagomål/A 32718-2021 FSC-klagomål.docx", "A 32718-2021")</f>
        <v/>
      </c>
      <c r="W117">
        <f>HYPERLINK("https://klasma.github.io/Logging_0980/klagomålsmail/A 32718-2021 FSC-klagomål mail.docx", "A 32718-2021")</f>
        <v/>
      </c>
      <c r="X117">
        <f>HYPERLINK("https://klasma.github.io/Logging_0980/tillsyn/A 32718-2021 tillsynsbegäran.docx", "A 32718-2021")</f>
        <v/>
      </c>
      <c r="Y117">
        <f>HYPERLINK("https://klasma.github.io/Logging_0980/tillsynsmail/A 32718-2021 tillsynsbegäran mail.docx", "A 32718-2021")</f>
        <v/>
      </c>
    </row>
    <row r="118" ht="15" customHeight="1">
      <c r="A118" t="inlineStr">
        <is>
          <t>A 44323-2021</t>
        </is>
      </c>
      <c r="B118" s="1" t="n">
        <v>44434</v>
      </c>
      <c r="C118" s="1" t="n">
        <v>45568</v>
      </c>
      <c r="D118" t="inlineStr">
        <is>
          <t>GOTLANDS LÄN</t>
        </is>
      </c>
      <c r="E118" t="inlineStr">
        <is>
          <t>GOTLAND</t>
        </is>
      </c>
      <c r="G118" t="n">
        <v>7.5</v>
      </c>
      <c r="H118" t="n">
        <v>1</v>
      </c>
      <c r="I118" t="n">
        <v>3</v>
      </c>
      <c r="J118" t="n">
        <v>0</v>
      </c>
      <c r="K118" t="n">
        <v>0</v>
      </c>
      <c r="L118" t="n">
        <v>0</v>
      </c>
      <c r="M118" t="n">
        <v>0</v>
      </c>
      <c r="N118" t="n">
        <v>0</v>
      </c>
      <c r="O118" t="n">
        <v>0</v>
      </c>
      <c r="P118" t="n">
        <v>0</v>
      </c>
      <c r="Q118" t="n">
        <v>3</v>
      </c>
      <c r="R118" s="2" t="inlineStr">
        <is>
          <t>Anisspindling
Barrfagerspindling
Skogsknipprot</t>
        </is>
      </c>
      <c r="S118">
        <f>HYPERLINK("https://klasma.github.io/Logging_0980/artfynd/A 44323-2021 artfynd.xlsx", "A 44323-2021")</f>
        <v/>
      </c>
      <c r="T118">
        <f>HYPERLINK("https://klasma.github.io/Logging_0980/kartor/A 44323-2021 karta.png", "A 44323-2021")</f>
        <v/>
      </c>
      <c r="V118">
        <f>HYPERLINK("https://klasma.github.io/Logging_0980/klagomål/A 44323-2021 FSC-klagomål.docx", "A 44323-2021")</f>
        <v/>
      </c>
      <c r="W118">
        <f>HYPERLINK("https://klasma.github.io/Logging_0980/klagomålsmail/A 44323-2021 FSC-klagomål mail.docx", "A 44323-2021")</f>
        <v/>
      </c>
      <c r="X118">
        <f>HYPERLINK("https://klasma.github.io/Logging_0980/tillsyn/A 44323-2021 tillsynsbegäran.docx", "A 44323-2021")</f>
        <v/>
      </c>
      <c r="Y118">
        <f>HYPERLINK("https://klasma.github.io/Logging_0980/tillsynsmail/A 44323-2021 tillsynsbegäran mail.docx", "A 44323-2021")</f>
        <v/>
      </c>
    </row>
    <row r="119" ht="15" customHeight="1">
      <c r="A119" t="inlineStr">
        <is>
          <t>A 53552-2021</t>
        </is>
      </c>
      <c r="B119" s="1" t="n">
        <v>44468</v>
      </c>
      <c r="C119" s="1" t="n">
        <v>45568</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58821-2021</t>
        </is>
      </c>
      <c r="B120" s="1" t="n">
        <v>44489</v>
      </c>
      <c r="C120" s="1" t="n">
        <v>45568</v>
      </c>
      <c r="D120" t="inlineStr">
        <is>
          <t>GOTLANDS LÄN</t>
        </is>
      </c>
      <c r="E120" t="inlineStr">
        <is>
          <t>GOTLAND</t>
        </is>
      </c>
      <c r="G120" t="n">
        <v>2.5</v>
      </c>
      <c r="H120" t="n">
        <v>3</v>
      </c>
      <c r="I120" t="n">
        <v>1</v>
      </c>
      <c r="J120" t="n">
        <v>2</v>
      </c>
      <c r="K120" t="n">
        <v>0</v>
      </c>
      <c r="L120" t="n">
        <v>0</v>
      </c>
      <c r="M120" t="n">
        <v>0</v>
      </c>
      <c r="N120" t="n">
        <v>0</v>
      </c>
      <c r="O120" t="n">
        <v>2</v>
      </c>
      <c r="P120" t="n">
        <v>0</v>
      </c>
      <c r="Q120" t="n">
        <v>3</v>
      </c>
      <c r="R120" s="2" t="inlineStr">
        <is>
          <t>Apollofjäril
Svartfläckig blåvinge
Nästrot</t>
        </is>
      </c>
      <c r="S120">
        <f>HYPERLINK("https://klasma.github.io/Logging_0980/artfynd/A 58821-2021 artfynd.xlsx", "A 58821-2021")</f>
        <v/>
      </c>
      <c r="T120">
        <f>HYPERLINK("https://klasma.github.io/Logging_0980/kartor/A 58821-2021 karta.png", "A 58821-2021")</f>
        <v/>
      </c>
      <c r="V120">
        <f>HYPERLINK("https://klasma.github.io/Logging_0980/klagomål/A 58821-2021 FSC-klagomål.docx", "A 58821-2021")</f>
        <v/>
      </c>
      <c r="W120">
        <f>HYPERLINK("https://klasma.github.io/Logging_0980/klagomålsmail/A 58821-2021 FSC-klagomål mail.docx", "A 58821-2021")</f>
        <v/>
      </c>
      <c r="X120">
        <f>HYPERLINK("https://klasma.github.io/Logging_0980/tillsyn/A 58821-2021 tillsynsbegäran.docx", "A 58821-2021")</f>
        <v/>
      </c>
      <c r="Y120">
        <f>HYPERLINK("https://klasma.github.io/Logging_0980/tillsynsmail/A 58821-2021 tillsynsbegäran mail.docx", "A 58821-2021")</f>
        <v/>
      </c>
    </row>
    <row r="121" ht="15" customHeight="1">
      <c r="A121" t="inlineStr">
        <is>
          <t>A 13499-2022</t>
        </is>
      </c>
      <c r="B121" s="1" t="n">
        <v>44647</v>
      </c>
      <c r="C121" s="1" t="n">
        <v>45568</v>
      </c>
      <c r="D121" t="inlineStr">
        <is>
          <t>GOTLANDS LÄN</t>
        </is>
      </c>
      <c r="E121" t="inlineStr">
        <is>
          <t>GOTLAND</t>
        </is>
      </c>
      <c r="G121" t="n">
        <v>6.8</v>
      </c>
      <c r="H121" t="n">
        <v>3</v>
      </c>
      <c r="I121" t="n">
        <v>0</v>
      </c>
      <c r="J121" t="n">
        <v>1</v>
      </c>
      <c r="K121" t="n">
        <v>0</v>
      </c>
      <c r="L121" t="n">
        <v>0</v>
      </c>
      <c r="M121" t="n">
        <v>0</v>
      </c>
      <c r="N121" t="n">
        <v>0</v>
      </c>
      <c r="O121" t="n">
        <v>1</v>
      </c>
      <c r="P121" t="n">
        <v>0</v>
      </c>
      <c r="Q121" t="n">
        <v>3</v>
      </c>
      <c r="R121" s="2" t="inlineStr">
        <is>
          <t>Spillkråka
Sankt pers nycklar
Blåsippa</t>
        </is>
      </c>
      <c r="S121">
        <f>HYPERLINK("https://klasma.github.io/Logging_0980/artfynd/A 13499-2022 artfynd.xlsx", "A 13499-2022")</f>
        <v/>
      </c>
      <c r="T121">
        <f>HYPERLINK("https://klasma.github.io/Logging_0980/kartor/A 13499-2022 karta.png", "A 13499-2022")</f>
        <v/>
      </c>
      <c r="V121">
        <f>HYPERLINK("https://klasma.github.io/Logging_0980/klagomål/A 13499-2022 FSC-klagomål.docx", "A 13499-2022")</f>
        <v/>
      </c>
      <c r="W121">
        <f>HYPERLINK("https://klasma.github.io/Logging_0980/klagomålsmail/A 13499-2022 FSC-klagomål mail.docx", "A 13499-2022")</f>
        <v/>
      </c>
      <c r="X121">
        <f>HYPERLINK("https://klasma.github.io/Logging_0980/tillsyn/A 13499-2022 tillsynsbegäran.docx", "A 13499-2022")</f>
        <v/>
      </c>
      <c r="Y121">
        <f>HYPERLINK("https://klasma.github.io/Logging_0980/tillsynsmail/A 13499-2022 tillsynsbegäran mail.docx", "A 13499-2022")</f>
        <v/>
      </c>
      <c r="Z121">
        <f>HYPERLINK("https://klasma.github.io/Logging_0980/fåglar/A 13499-2022 prioriterade fågelarter.docx", "A 13499-2022")</f>
        <v/>
      </c>
    </row>
    <row r="122" ht="15" customHeight="1">
      <c r="A122" t="inlineStr">
        <is>
          <t>A 43013-2022</t>
        </is>
      </c>
      <c r="B122" s="1" t="n">
        <v>44833</v>
      </c>
      <c r="C122" s="1" t="n">
        <v>45568</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44913-2022</t>
        </is>
      </c>
      <c r="B123" s="1" t="n">
        <v>44841</v>
      </c>
      <c r="C123" s="1" t="n">
        <v>45568</v>
      </c>
      <c r="D123" t="inlineStr">
        <is>
          <t>GOTLANDS LÄN</t>
        </is>
      </c>
      <c r="E123" t="inlineStr">
        <is>
          <t>GOTLAND</t>
        </is>
      </c>
      <c r="G123" t="n">
        <v>8.800000000000001</v>
      </c>
      <c r="H123" t="n">
        <v>1</v>
      </c>
      <c r="I123" t="n">
        <v>1</v>
      </c>
      <c r="J123" t="n">
        <v>1</v>
      </c>
      <c r="K123" t="n">
        <v>0</v>
      </c>
      <c r="L123" t="n">
        <v>0</v>
      </c>
      <c r="M123" t="n">
        <v>0</v>
      </c>
      <c r="N123" t="n">
        <v>0</v>
      </c>
      <c r="O123" t="n">
        <v>1</v>
      </c>
      <c r="P123" t="n">
        <v>0</v>
      </c>
      <c r="Q123" t="n">
        <v>3</v>
      </c>
      <c r="R123" s="2" t="inlineStr">
        <is>
          <t>Odörspindling
Granbarkgnagare
Kärrknipprot</t>
        </is>
      </c>
      <c r="S123">
        <f>HYPERLINK("https://klasma.github.io/Logging_0980/artfynd/A 44913-2022 artfynd.xlsx", "A 44913-2022")</f>
        <v/>
      </c>
      <c r="T123">
        <f>HYPERLINK("https://klasma.github.io/Logging_0980/kartor/A 44913-2022 karta.png", "A 44913-2022")</f>
        <v/>
      </c>
      <c r="V123">
        <f>HYPERLINK("https://klasma.github.io/Logging_0980/klagomål/A 44913-2022 FSC-klagomål.docx", "A 44913-2022")</f>
        <v/>
      </c>
      <c r="W123">
        <f>HYPERLINK("https://klasma.github.io/Logging_0980/klagomålsmail/A 44913-2022 FSC-klagomål mail.docx", "A 44913-2022")</f>
        <v/>
      </c>
      <c r="X123">
        <f>HYPERLINK("https://klasma.github.io/Logging_0980/tillsyn/A 44913-2022 tillsynsbegäran.docx", "A 44913-2022")</f>
        <v/>
      </c>
      <c r="Y123">
        <f>HYPERLINK("https://klasma.github.io/Logging_0980/tillsynsmail/A 44913-2022 tillsynsbegäran mail.docx", "A 44913-2022")</f>
        <v/>
      </c>
    </row>
    <row r="124" ht="15" customHeight="1">
      <c r="A124" t="inlineStr">
        <is>
          <t>A 1971-2023</t>
        </is>
      </c>
      <c r="B124" s="1" t="n">
        <v>44939</v>
      </c>
      <c r="C124" s="1" t="n">
        <v>45568</v>
      </c>
      <c r="D124" t="inlineStr">
        <is>
          <t>GOTLANDS LÄN</t>
        </is>
      </c>
      <c r="E124" t="inlineStr">
        <is>
          <t>GOTLAND</t>
        </is>
      </c>
      <c r="G124" t="n">
        <v>5.5</v>
      </c>
      <c r="H124" t="n">
        <v>0</v>
      </c>
      <c r="I124" t="n">
        <v>2</v>
      </c>
      <c r="J124" t="n">
        <v>0</v>
      </c>
      <c r="K124" t="n">
        <v>1</v>
      </c>
      <c r="L124" t="n">
        <v>0</v>
      </c>
      <c r="M124" t="n">
        <v>0</v>
      </c>
      <c r="N124" t="n">
        <v>0</v>
      </c>
      <c r="O124" t="n">
        <v>1</v>
      </c>
      <c r="P124" t="n">
        <v>1</v>
      </c>
      <c r="Q124" t="n">
        <v>3</v>
      </c>
      <c r="R124" s="2" t="inlineStr">
        <is>
          <t>Gulsträngad fagerspindling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17982-2023</t>
        </is>
      </c>
      <c r="B125" s="1" t="n">
        <v>45040</v>
      </c>
      <c r="C125" s="1" t="n">
        <v>45568</v>
      </c>
      <c r="D125" t="inlineStr">
        <is>
          <t>GOTLANDS LÄN</t>
        </is>
      </c>
      <c r="E125" t="inlineStr">
        <is>
          <t>GOTLAND</t>
        </is>
      </c>
      <c r="G125" t="n">
        <v>2.2</v>
      </c>
      <c r="H125" t="n">
        <v>0</v>
      </c>
      <c r="I125" t="n">
        <v>0</v>
      </c>
      <c r="J125" t="n">
        <v>2</v>
      </c>
      <c r="K125" t="n">
        <v>0</v>
      </c>
      <c r="L125" t="n">
        <v>0</v>
      </c>
      <c r="M125" t="n">
        <v>1</v>
      </c>
      <c r="N125" t="n">
        <v>0</v>
      </c>
      <c r="O125" t="n">
        <v>3</v>
      </c>
      <c r="P125" t="n">
        <v>1</v>
      </c>
      <c r="Q125" t="n">
        <v>3</v>
      </c>
      <c r="R125" s="2" t="inlineStr">
        <is>
          <t>Lundalm
Krusfrö
Ängsskära</t>
        </is>
      </c>
      <c r="S125">
        <f>HYPERLINK("https://klasma.github.io/Logging_0980/artfynd/A 17982-2023 artfynd.xlsx", "A 17982-2023")</f>
        <v/>
      </c>
      <c r="T125">
        <f>HYPERLINK("https://klasma.github.io/Logging_0980/kartor/A 17982-2023 karta.png", "A 17982-2023")</f>
        <v/>
      </c>
      <c r="V125">
        <f>HYPERLINK("https://klasma.github.io/Logging_0980/klagomål/A 17982-2023 FSC-klagomål.docx", "A 17982-2023")</f>
        <v/>
      </c>
      <c r="W125">
        <f>HYPERLINK("https://klasma.github.io/Logging_0980/klagomålsmail/A 17982-2023 FSC-klagomål mail.docx", "A 17982-2023")</f>
        <v/>
      </c>
      <c r="X125">
        <f>HYPERLINK("https://klasma.github.io/Logging_0980/tillsyn/A 17982-2023 tillsynsbegäran.docx", "A 17982-2023")</f>
        <v/>
      </c>
      <c r="Y125">
        <f>HYPERLINK("https://klasma.github.io/Logging_0980/tillsynsmail/A 17982-2023 tillsynsbegäran mail.docx", "A 17982-2023")</f>
        <v/>
      </c>
    </row>
    <row r="126" ht="15" customHeight="1">
      <c r="A126" t="inlineStr">
        <is>
          <t>A 27041-2023</t>
        </is>
      </c>
      <c r="B126" s="1" t="n">
        <v>45095</v>
      </c>
      <c r="C126" s="1" t="n">
        <v>45568</v>
      </c>
      <c r="D126" t="inlineStr">
        <is>
          <t>GOTLANDS LÄN</t>
        </is>
      </c>
      <c r="E126" t="inlineStr">
        <is>
          <t>GOTLAND</t>
        </is>
      </c>
      <c r="G126" t="n">
        <v>5.3</v>
      </c>
      <c r="H126" t="n">
        <v>0</v>
      </c>
      <c r="I126" t="n">
        <v>2</v>
      </c>
      <c r="J126" t="n">
        <v>1</v>
      </c>
      <c r="K126" t="n">
        <v>0</v>
      </c>
      <c r="L126" t="n">
        <v>0</v>
      </c>
      <c r="M126" t="n">
        <v>0</v>
      </c>
      <c r="N126" t="n">
        <v>0</v>
      </c>
      <c r="O126" t="n">
        <v>1</v>
      </c>
      <c r="P126" t="n">
        <v>0</v>
      </c>
      <c r="Q126" t="n">
        <v>3</v>
      </c>
      <c r="R126" s="2" t="inlineStr">
        <is>
          <t>Odörspindling
Anisspindling
Besk kastanjemusseron</t>
        </is>
      </c>
      <c r="S126">
        <f>HYPERLINK("https://klasma.github.io/Logging_0980/artfynd/A 27041-2023 artfynd.xlsx", "A 27041-2023")</f>
        <v/>
      </c>
      <c r="T126">
        <f>HYPERLINK("https://klasma.github.io/Logging_0980/kartor/A 27041-2023 karta.png", "A 27041-2023")</f>
        <v/>
      </c>
      <c r="V126">
        <f>HYPERLINK("https://klasma.github.io/Logging_0980/klagomål/A 27041-2023 FSC-klagomål.docx", "A 27041-2023")</f>
        <v/>
      </c>
      <c r="W126">
        <f>HYPERLINK("https://klasma.github.io/Logging_0980/klagomålsmail/A 27041-2023 FSC-klagomål mail.docx", "A 27041-2023")</f>
        <v/>
      </c>
      <c r="X126">
        <f>HYPERLINK("https://klasma.github.io/Logging_0980/tillsyn/A 27041-2023 tillsynsbegäran.docx", "A 27041-2023")</f>
        <v/>
      </c>
      <c r="Y126">
        <f>HYPERLINK("https://klasma.github.io/Logging_0980/tillsynsmail/A 27041-2023 tillsynsbegäran mail.docx", "A 27041-2023")</f>
        <v/>
      </c>
    </row>
    <row r="127" ht="15" customHeight="1">
      <c r="A127" t="inlineStr">
        <is>
          <t>A 16542-2024</t>
        </is>
      </c>
      <c r="B127" s="1" t="n">
        <v>45408</v>
      </c>
      <c r="C127" s="1" t="n">
        <v>45568</v>
      </c>
      <c r="D127" t="inlineStr">
        <is>
          <t>GOTLANDS LÄN</t>
        </is>
      </c>
      <c r="E127" t="inlineStr">
        <is>
          <t>GOTLAND</t>
        </is>
      </c>
      <c r="G127" t="n">
        <v>1.6</v>
      </c>
      <c r="H127" t="n">
        <v>2</v>
      </c>
      <c r="I127" t="n">
        <v>2</v>
      </c>
      <c r="J127" t="n">
        <v>1</v>
      </c>
      <c r="K127" t="n">
        <v>0</v>
      </c>
      <c r="L127" t="n">
        <v>0</v>
      </c>
      <c r="M127" t="n">
        <v>0</v>
      </c>
      <c r="N127" t="n">
        <v>0</v>
      </c>
      <c r="O127" t="n">
        <v>1</v>
      </c>
      <c r="P127" t="n">
        <v>0</v>
      </c>
      <c r="Q127" t="n">
        <v>3</v>
      </c>
      <c r="R127" s="2" t="inlineStr">
        <is>
          <t>Tallticka
Nästrot
Tvåblad</t>
        </is>
      </c>
      <c r="S127">
        <f>HYPERLINK("https://klasma.github.io/Logging_0980/artfynd/A 16542-2024 artfynd.xlsx", "A 16542-2024")</f>
        <v/>
      </c>
      <c r="T127">
        <f>HYPERLINK("https://klasma.github.io/Logging_0980/kartor/A 16542-2024 karta.png", "A 16542-2024")</f>
        <v/>
      </c>
      <c r="V127">
        <f>HYPERLINK("https://klasma.github.io/Logging_0980/klagomål/A 16542-2024 FSC-klagomål.docx", "A 16542-2024")</f>
        <v/>
      </c>
      <c r="W127">
        <f>HYPERLINK("https://klasma.github.io/Logging_0980/klagomålsmail/A 16542-2024 FSC-klagomål mail.docx", "A 16542-2024")</f>
        <v/>
      </c>
      <c r="X127">
        <f>HYPERLINK("https://klasma.github.io/Logging_0980/tillsyn/A 16542-2024 tillsynsbegäran.docx", "A 16542-2024")</f>
        <v/>
      </c>
      <c r="Y127">
        <f>HYPERLINK("https://klasma.github.io/Logging_0980/tillsynsmail/A 16542-2024 tillsynsbegäran mail.docx", "A 16542-2024")</f>
        <v/>
      </c>
    </row>
    <row r="128" ht="15" customHeight="1">
      <c r="A128" t="inlineStr">
        <is>
          <t>A 17975-2024</t>
        </is>
      </c>
      <c r="B128" s="1" t="n">
        <v>45419</v>
      </c>
      <c r="C128" s="1" t="n">
        <v>45568</v>
      </c>
      <c r="D128" t="inlineStr">
        <is>
          <t>GOTLANDS LÄN</t>
        </is>
      </c>
      <c r="E128" t="inlineStr">
        <is>
          <t>GOTLAND</t>
        </is>
      </c>
      <c r="G128" t="n">
        <v>7.9</v>
      </c>
      <c r="H128" t="n">
        <v>0</v>
      </c>
      <c r="I128" t="n">
        <v>1</v>
      </c>
      <c r="J128" t="n">
        <v>1</v>
      </c>
      <c r="K128" t="n">
        <v>0</v>
      </c>
      <c r="L128" t="n">
        <v>1</v>
      </c>
      <c r="M128" t="n">
        <v>0</v>
      </c>
      <c r="N128" t="n">
        <v>0</v>
      </c>
      <c r="O128" t="n">
        <v>2</v>
      </c>
      <c r="P128" t="n">
        <v>1</v>
      </c>
      <c r="Q128" t="n">
        <v>3</v>
      </c>
      <c r="R128" s="2" t="inlineStr">
        <is>
          <t>Ask
Skugglosta
Strävlosta</t>
        </is>
      </c>
      <c r="S128">
        <f>HYPERLINK("https://klasma.github.io/Logging_0980/artfynd/A 17975-2024 artfynd.xlsx", "A 17975-2024")</f>
        <v/>
      </c>
      <c r="T128">
        <f>HYPERLINK("https://klasma.github.io/Logging_0980/kartor/A 17975-2024 karta.png", "A 17975-2024")</f>
        <v/>
      </c>
      <c r="V128">
        <f>HYPERLINK("https://klasma.github.io/Logging_0980/klagomål/A 17975-2024 FSC-klagomål.docx", "A 17975-2024")</f>
        <v/>
      </c>
      <c r="W128">
        <f>HYPERLINK("https://klasma.github.io/Logging_0980/klagomålsmail/A 17975-2024 FSC-klagomål mail.docx", "A 17975-2024")</f>
        <v/>
      </c>
      <c r="X128">
        <f>HYPERLINK("https://klasma.github.io/Logging_0980/tillsyn/A 17975-2024 tillsynsbegäran.docx", "A 17975-2024")</f>
        <v/>
      </c>
      <c r="Y128">
        <f>HYPERLINK("https://klasma.github.io/Logging_0980/tillsynsmail/A 17975-2024 tillsynsbegäran mail.docx", "A 17975-2024")</f>
        <v/>
      </c>
    </row>
    <row r="129" ht="15" customHeight="1">
      <c r="A129" t="inlineStr">
        <is>
          <t>A 24345-2024</t>
        </is>
      </c>
      <c r="B129" s="1" t="n">
        <v>45457</v>
      </c>
      <c r="C129" s="1" t="n">
        <v>45568</v>
      </c>
      <c r="D129" t="inlineStr">
        <is>
          <t>GOTLANDS LÄN</t>
        </is>
      </c>
      <c r="E129" t="inlineStr">
        <is>
          <t>GOTLAND</t>
        </is>
      </c>
      <c r="G129" t="n">
        <v>5.2</v>
      </c>
      <c r="H129" t="n">
        <v>1</v>
      </c>
      <c r="I129" t="n">
        <v>1</v>
      </c>
      <c r="J129" t="n">
        <v>2</v>
      </c>
      <c r="K129" t="n">
        <v>0</v>
      </c>
      <c r="L129" t="n">
        <v>0</v>
      </c>
      <c r="M129" t="n">
        <v>0</v>
      </c>
      <c r="N129" t="n">
        <v>0</v>
      </c>
      <c r="O129" t="n">
        <v>2</v>
      </c>
      <c r="P129" t="n">
        <v>0</v>
      </c>
      <c r="Q129" t="n">
        <v>3</v>
      </c>
      <c r="R129" s="2" t="inlineStr">
        <is>
          <t>Backtimjan
Dårgräsfjäril
Rödgul trumpetsvamp</t>
        </is>
      </c>
      <c r="S129">
        <f>HYPERLINK("https://klasma.github.io/Logging_0980/artfynd/A 24345-2024 artfynd.xlsx", "A 24345-2024")</f>
        <v/>
      </c>
      <c r="T129">
        <f>HYPERLINK("https://klasma.github.io/Logging_0980/kartor/A 24345-2024 karta.png", "A 24345-2024")</f>
        <v/>
      </c>
      <c r="V129">
        <f>HYPERLINK("https://klasma.github.io/Logging_0980/klagomål/A 24345-2024 FSC-klagomål.docx", "A 24345-2024")</f>
        <v/>
      </c>
      <c r="W129">
        <f>HYPERLINK("https://klasma.github.io/Logging_0980/klagomålsmail/A 24345-2024 FSC-klagomål mail.docx", "A 24345-2024")</f>
        <v/>
      </c>
      <c r="X129">
        <f>HYPERLINK("https://klasma.github.io/Logging_0980/tillsyn/A 24345-2024 tillsynsbegäran.docx", "A 24345-2024")</f>
        <v/>
      </c>
      <c r="Y129">
        <f>HYPERLINK("https://klasma.github.io/Logging_0980/tillsynsmail/A 24345-2024 tillsynsbegäran mail.docx", "A 24345-2024")</f>
        <v/>
      </c>
    </row>
    <row r="130" ht="15" customHeight="1">
      <c r="A130" t="inlineStr">
        <is>
          <t>A 25981-2024</t>
        </is>
      </c>
      <c r="B130" s="1" t="n">
        <v>45467</v>
      </c>
      <c r="C130" s="1" t="n">
        <v>45568</v>
      </c>
      <c r="D130" t="inlineStr">
        <is>
          <t>GOTLANDS LÄN</t>
        </is>
      </c>
      <c r="E130" t="inlineStr">
        <is>
          <t>GOTLAND</t>
        </is>
      </c>
      <c r="G130" t="n">
        <v>5.9</v>
      </c>
      <c r="H130" t="n">
        <v>3</v>
      </c>
      <c r="I130" t="n">
        <v>2</v>
      </c>
      <c r="J130" t="n">
        <v>0</v>
      </c>
      <c r="K130" t="n">
        <v>0</v>
      </c>
      <c r="L130" t="n">
        <v>0</v>
      </c>
      <c r="M130" t="n">
        <v>0</v>
      </c>
      <c r="N130" t="n">
        <v>0</v>
      </c>
      <c r="O130" t="n">
        <v>0</v>
      </c>
      <c r="P130" t="n">
        <v>0</v>
      </c>
      <c r="Q130" t="n">
        <v>3</v>
      </c>
      <c r="R130" s="2" t="inlineStr">
        <is>
          <t>Purpurknipprot
Skogsknipprot
Fläcknycklar</t>
        </is>
      </c>
      <c r="S130">
        <f>HYPERLINK("https://klasma.github.io/Logging_0980/artfynd/A 25981-2024 artfynd.xlsx", "A 25981-2024")</f>
        <v/>
      </c>
      <c r="T130">
        <f>HYPERLINK("https://klasma.github.io/Logging_0980/kartor/A 25981-2024 karta.png", "A 25981-2024")</f>
        <v/>
      </c>
      <c r="V130">
        <f>HYPERLINK("https://klasma.github.io/Logging_0980/klagomål/A 25981-2024 FSC-klagomål.docx", "A 25981-2024")</f>
        <v/>
      </c>
      <c r="W130">
        <f>HYPERLINK("https://klasma.github.io/Logging_0980/klagomålsmail/A 25981-2024 FSC-klagomål mail.docx", "A 25981-2024")</f>
        <v/>
      </c>
      <c r="X130">
        <f>HYPERLINK("https://klasma.github.io/Logging_0980/tillsyn/A 25981-2024 tillsynsbegäran.docx", "A 25981-2024")</f>
        <v/>
      </c>
      <c r="Y130">
        <f>HYPERLINK("https://klasma.github.io/Logging_0980/tillsynsmail/A 25981-2024 tillsynsbegäran mail.docx", "A 25981-2024")</f>
        <v/>
      </c>
    </row>
    <row r="131" ht="15" customHeight="1">
      <c r="A131" t="inlineStr">
        <is>
          <t>A 32969-2019</t>
        </is>
      </c>
      <c r="B131" s="1" t="n">
        <v>43648</v>
      </c>
      <c r="C131" s="1" t="n">
        <v>45568</v>
      </c>
      <c r="D131" t="inlineStr">
        <is>
          <t>GOTLANDS LÄN</t>
        </is>
      </c>
      <c r="E131" t="inlineStr">
        <is>
          <t>GOTLAND</t>
        </is>
      </c>
      <c r="G131" t="n">
        <v>5.1</v>
      </c>
      <c r="H131" t="n">
        <v>0</v>
      </c>
      <c r="I131" t="n">
        <v>1</v>
      </c>
      <c r="J131" t="n">
        <v>1</v>
      </c>
      <c r="K131" t="n">
        <v>0</v>
      </c>
      <c r="L131" t="n">
        <v>0</v>
      </c>
      <c r="M131" t="n">
        <v>0</v>
      </c>
      <c r="N131" t="n">
        <v>0</v>
      </c>
      <c r="O131" t="n">
        <v>1</v>
      </c>
      <c r="P131" t="n">
        <v>0</v>
      </c>
      <c r="Q131" t="n">
        <v>2</v>
      </c>
      <c r="R131" s="2" t="inlineStr">
        <is>
          <t>Odörspindling
Anisspindling</t>
        </is>
      </c>
      <c r="S131">
        <f>HYPERLINK("https://klasma.github.io/Logging_0980/artfynd/A 32969-2019 artfynd.xlsx", "A 32969-2019")</f>
        <v/>
      </c>
      <c r="T131">
        <f>HYPERLINK("https://klasma.github.io/Logging_0980/kartor/A 32969-2019 karta.png", "A 32969-2019")</f>
        <v/>
      </c>
      <c r="V131">
        <f>HYPERLINK("https://klasma.github.io/Logging_0980/klagomål/A 32969-2019 FSC-klagomål.docx", "A 32969-2019")</f>
        <v/>
      </c>
      <c r="W131">
        <f>HYPERLINK("https://klasma.github.io/Logging_0980/klagomålsmail/A 32969-2019 FSC-klagomål mail.docx", "A 32969-2019")</f>
        <v/>
      </c>
      <c r="X131">
        <f>HYPERLINK("https://klasma.github.io/Logging_0980/tillsyn/A 32969-2019 tillsynsbegäran.docx", "A 32969-2019")</f>
        <v/>
      </c>
      <c r="Y131">
        <f>HYPERLINK("https://klasma.github.io/Logging_0980/tillsynsmail/A 32969-2019 tillsynsbegäran mail.docx", "A 32969-2019")</f>
        <v/>
      </c>
    </row>
    <row r="132" ht="15" customHeight="1">
      <c r="A132" t="inlineStr">
        <is>
          <t>A 32966-2019</t>
        </is>
      </c>
      <c r="B132" s="1" t="n">
        <v>43648</v>
      </c>
      <c r="C132" s="1" t="n">
        <v>45568</v>
      </c>
      <c r="D132" t="inlineStr">
        <is>
          <t>GOTLANDS LÄN</t>
        </is>
      </c>
      <c r="E132" t="inlineStr">
        <is>
          <t>GOTLAND</t>
        </is>
      </c>
      <c r="G132" t="n">
        <v>4</v>
      </c>
      <c r="H132" t="n">
        <v>1</v>
      </c>
      <c r="I132" t="n">
        <v>1</v>
      </c>
      <c r="J132" t="n">
        <v>0</v>
      </c>
      <c r="K132" t="n">
        <v>0</v>
      </c>
      <c r="L132" t="n">
        <v>0</v>
      </c>
      <c r="M132" t="n">
        <v>0</v>
      </c>
      <c r="N132" t="n">
        <v>0</v>
      </c>
      <c r="O132" t="n">
        <v>0</v>
      </c>
      <c r="P132" t="n">
        <v>0</v>
      </c>
      <c r="Q132" t="n">
        <v>2</v>
      </c>
      <c r="R132" s="2" t="inlineStr">
        <is>
          <t>Kattfotslav
Blåsippa</t>
        </is>
      </c>
      <c r="S132">
        <f>HYPERLINK("https://klasma.github.io/Logging_0980/artfynd/A 32966-2019 artfynd.xlsx", "A 32966-2019")</f>
        <v/>
      </c>
      <c r="T132">
        <f>HYPERLINK("https://klasma.github.io/Logging_0980/kartor/A 32966-2019 karta.png", "A 32966-2019")</f>
        <v/>
      </c>
      <c r="V132">
        <f>HYPERLINK("https://klasma.github.io/Logging_0980/klagomål/A 32966-2019 FSC-klagomål.docx", "A 32966-2019")</f>
        <v/>
      </c>
      <c r="W132">
        <f>HYPERLINK("https://klasma.github.io/Logging_0980/klagomålsmail/A 32966-2019 FSC-klagomål mail.docx", "A 32966-2019")</f>
        <v/>
      </c>
      <c r="X132">
        <f>HYPERLINK("https://klasma.github.io/Logging_0980/tillsyn/A 32966-2019 tillsynsbegäran.docx", "A 32966-2019")</f>
        <v/>
      </c>
      <c r="Y132">
        <f>HYPERLINK("https://klasma.github.io/Logging_0980/tillsynsmail/A 32966-2019 tillsynsbegäran mail.docx", "A 32966-2019")</f>
        <v/>
      </c>
    </row>
    <row r="133" ht="15" customHeight="1">
      <c r="A133" t="inlineStr">
        <is>
          <t>A 43304-2019</t>
        </is>
      </c>
      <c r="B133" s="1" t="n">
        <v>43706</v>
      </c>
      <c r="C133" s="1" t="n">
        <v>45568</v>
      </c>
      <c r="D133" t="inlineStr">
        <is>
          <t>GOTLANDS LÄN</t>
        </is>
      </c>
      <c r="E133" t="inlineStr">
        <is>
          <t>GOTLAND</t>
        </is>
      </c>
      <c r="G133" t="n">
        <v>3.2</v>
      </c>
      <c r="H133" t="n">
        <v>2</v>
      </c>
      <c r="I133" t="n">
        <v>1</v>
      </c>
      <c r="J133" t="n">
        <v>0</v>
      </c>
      <c r="K133" t="n">
        <v>0</v>
      </c>
      <c r="L133" t="n">
        <v>0</v>
      </c>
      <c r="M133" t="n">
        <v>0</v>
      </c>
      <c r="N133" t="n">
        <v>0</v>
      </c>
      <c r="O133" t="n">
        <v>0</v>
      </c>
      <c r="P133" t="n">
        <v>0</v>
      </c>
      <c r="Q133" t="n">
        <v>2</v>
      </c>
      <c r="R133" s="2" t="inlineStr">
        <is>
          <t>Skogsknipprot
Blåsippa</t>
        </is>
      </c>
      <c r="S133">
        <f>HYPERLINK("https://klasma.github.io/Logging_0980/artfynd/A 43304-2019 artfynd.xlsx", "A 43304-2019")</f>
        <v/>
      </c>
      <c r="T133">
        <f>HYPERLINK("https://klasma.github.io/Logging_0980/kartor/A 43304-2019 karta.png", "A 43304-2019")</f>
        <v/>
      </c>
      <c r="V133">
        <f>HYPERLINK("https://klasma.github.io/Logging_0980/klagomål/A 43304-2019 FSC-klagomål.docx", "A 43304-2019")</f>
        <v/>
      </c>
      <c r="W133">
        <f>HYPERLINK("https://klasma.github.io/Logging_0980/klagomålsmail/A 43304-2019 FSC-klagomål mail.docx", "A 43304-2019")</f>
        <v/>
      </c>
      <c r="X133">
        <f>HYPERLINK("https://klasma.github.io/Logging_0980/tillsyn/A 43304-2019 tillsynsbegäran.docx", "A 43304-2019")</f>
        <v/>
      </c>
      <c r="Y133">
        <f>HYPERLINK("https://klasma.github.io/Logging_0980/tillsynsmail/A 43304-2019 tillsynsbegäran mail.docx", "A 43304-2019")</f>
        <v/>
      </c>
    </row>
    <row r="134" ht="15" customHeight="1">
      <c r="A134" t="inlineStr">
        <is>
          <t>A 334-2020</t>
        </is>
      </c>
      <c r="B134" s="1" t="n">
        <v>43837</v>
      </c>
      <c r="C134" s="1" t="n">
        <v>45568</v>
      </c>
      <c r="D134" t="inlineStr">
        <is>
          <t>GOTLANDS LÄN</t>
        </is>
      </c>
      <c r="E134" t="inlineStr">
        <is>
          <t>GOTLAND</t>
        </is>
      </c>
      <c r="G134" t="n">
        <v>5.3</v>
      </c>
      <c r="H134" t="n">
        <v>2</v>
      </c>
      <c r="I134" t="n">
        <v>0</v>
      </c>
      <c r="J134" t="n">
        <v>1</v>
      </c>
      <c r="K134" t="n">
        <v>0</v>
      </c>
      <c r="L134" t="n">
        <v>0</v>
      </c>
      <c r="M134" t="n">
        <v>0</v>
      </c>
      <c r="N134" t="n">
        <v>0</v>
      </c>
      <c r="O134" t="n">
        <v>1</v>
      </c>
      <c r="P134" t="n">
        <v>0</v>
      </c>
      <c r="Q134" t="n">
        <v>2</v>
      </c>
      <c r="R134" s="2" t="inlineStr">
        <is>
          <t>Smådopping
Mindre vattensalamander</t>
        </is>
      </c>
      <c r="S134">
        <f>HYPERLINK("https://klasma.github.io/Logging_0980/artfynd/A 334-2020 artfynd.xlsx", "A 334-2020")</f>
        <v/>
      </c>
      <c r="T134">
        <f>HYPERLINK("https://klasma.github.io/Logging_0980/kartor/A 334-2020 karta.png", "A 334-2020")</f>
        <v/>
      </c>
      <c r="V134">
        <f>HYPERLINK("https://klasma.github.io/Logging_0980/klagomål/A 334-2020 FSC-klagomål.docx", "A 334-2020")</f>
        <v/>
      </c>
      <c r="W134">
        <f>HYPERLINK("https://klasma.github.io/Logging_0980/klagomålsmail/A 334-2020 FSC-klagomål mail.docx", "A 334-2020")</f>
        <v/>
      </c>
      <c r="X134">
        <f>HYPERLINK("https://klasma.github.io/Logging_0980/tillsyn/A 334-2020 tillsynsbegäran.docx", "A 334-2020")</f>
        <v/>
      </c>
      <c r="Y134">
        <f>HYPERLINK("https://klasma.github.io/Logging_0980/tillsynsmail/A 334-2020 tillsynsbegäran mail.docx", "A 334-2020")</f>
        <v/>
      </c>
    </row>
    <row r="135" ht="15" customHeight="1">
      <c r="A135" t="inlineStr">
        <is>
          <t>A 4812-2020</t>
        </is>
      </c>
      <c r="B135" s="1" t="n">
        <v>43852</v>
      </c>
      <c r="C135" s="1" t="n">
        <v>45568</v>
      </c>
      <c r="D135" t="inlineStr">
        <is>
          <t>GOTLANDS LÄN</t>
        </is>
      </c>
      <c r="E135" t="inlineStr">
        <is>
          <t>GOTLAND</t>
        </is>
      </c>
      <c r="G135" t="n">
        <v>3.9</v>
      </c>
      <c r="H135" t="n">
        <v>1</v>
      </c>
      <c r="I135" t="n">
        <v>1</v>
      </c>
      <c r="J135" t="n">
        <v>0</v>
      </c>
      <c r="K135" t="n">
        <v>1</v>
      </c>
      <c r="L135" t="n">
        <v>0</v>
      </c>
      <c r="M135" t="n">
        <v>0</v>
      </c>
      <c r="N135" t="n">
        <v>0</v>
      </c>
      <c r="O135" t="n">
        <v>1</v>
      </c>
      <c r="P135" t="n">
        <v>1</v>
      </c>
      <c r="Q135" t="n">
        <v>2</v>
      </c>
      <c r="R135" s="2" t="inlineStr">
        <is>
          <t>Gotlandsmåra
Nästrot</t>
        </is>
      </c>
      <c r="S135">
        <f>HYPERLINK("https://klasma.github.io/Logging_0980/artfynd/A 4812-2020 artfynd.xlsx", "A 4812-2020")</f>
        <v/>
      </c>
      <c r="T135">
        <f>HYPERLINK("https://klasma.github.io/Logging_0980/kartor/A 4812-2020 karta.png", "A 4812-2020")</f>
        <v/>
      </c>
      <c r="V135">
        <f>HYPERLINK("https://klasma.github.io/Logging_0980/klagomål/A 4812-2020 FSC-klagomål.docx", "A 4812-2020")</f>
        <v/>
      </c>
      <c r="W135">
        <f>HYPERLINK("https://klasma.github.io/Logging_0980/klagomålsmail/A 4812-2020 FSC-klagomål mail.docx", "A 4812-2020")</f>
        <v/>
      </c>
      <c r="X135">
        <f>HYPERLINK("https://klasma.github.io/Logging_0980/tillsyn/A 4812-2020 tillsynsbegäran.docx", "A 4812-2020")</f>
        <v/>
      </c>
      <c r="Y135">
        <f>HYPERLINK("https://klasma.github.io/Logging_0980/tillsynsmail/A 4812-2020 tillsynsbegäran mail.docx", "A 4812-2020")</f>
        <v/>
      </c>
    </row>
    <row r="136" ht="15" customHeight="1">
      <c r="A136" t="inlineStr">
        <is>
          <t>A 40879-2020</t>
        </is>
      </c>
      <c r="B136" s="1" t="n">
        <v>44070</v>
      </c>
      <c r="C136" s="1" t="n">
        <v>45568</v>
      </c>
      <c r="D136" t="inlineStr">
        <is>
          <t>GOTLANDS LÄN</t>
        </is>
      </c>
      <c r="E136" t="inlineStr">
        <is>
          <t>GOTLAND</t>
        </is>
      </c>
      <c r="G136" t="n">
        <v>6.4</v>
      </c>
      <c r="H136" t="n">
        <v>0</v>
      </c>
      <c r="I136" t="n">
        <v>1</v>
      </c>
      <c r="J136" t="n">
        <v>1</v>
      </c>
      <c r="K136" t="n">
        <v>0</v>
      </c>
      <c r="L136" t="n">
        <v>0</v>
      </c>
      <c r="M136" t="n">
        <v>0</v>
      </c>
      <c r="N136" t="n">
        <v>0</v>
      </c>
      <c r="O136" t="n">
        <v>1</v>
      </c>
      <c r="P136" t="n">
        <v>0</v>
      </c>
      <c r="Q136" t="n">
        <v>2</v>
      </c>
      <c r="R136" s="2" t="inlineStr">
        <is>
          <t>Odörspindling
Olivspindling</t>
        </is>
      </c>
      <c r="S136">
        <f>HYPERLINK("https://klasma.github.io/Logging_0980/artfynd/A 40879-2020 artfynd.xlsx", "A 40879-2020")</f>
        <v/>
      </c>
      <c r="T136">
        <f>HYPERLINK("https://klasma.github.io/Logging_0980/kartor/A 40879-2020 karta.png", "A 40879-2020")</f>
        <v/>
      </c>
      <c r="V136">
        <f>HYPERLINK("https://klasma.github.io/Logging_0980/klagomål/A 40879-2020 FSC-klagomål.docx", "A 40879-2020")</f>
        <v/>
      </c>
      <c r="W136">
        <f>HYPERLINK("https://klasma.github.io/Logging_0980/klagomålsmail/A 40879-2020 FSC-klagomål mail.docx", "A 40879-2020")</f>
        <v/>
      </c>
      <c r="X136">
        <f>HYPERLINK("https://klasma.github.io/Logging_0980/tillsyn/A 40879-2020 tillsynsbegäran.docx", "A 40879-2020")</f>
        <v/>
      </c>
      <c r="Y136">
        <f>HYPERLINK("https://klasma.github.io/Logging_0980/tillsynsmail/A 40879-2020 tillsynsbegäran mail.docx", "A 40879-2020")</f>
        <v/>
      </c>
    </row>
    <row r="137" ht="15" customHeight="1">
      <c r="A137" t="inlineStr">
        <is>
          <t>A 43321-2020</t>
        </is>
      </c>
      <c r="B137" s="1" t="n">
        <v>44081</v>
      </c>
      <c r="C137" s="1" t="n">
        <v>45568</v>
      </c>
      <c r="D137" t="inlineStr">
        <is>
          <t>GOTLANDS LÄN</t>
        </is>
      </c>
      <c r="E137" t="inlineStr">
        <is>
          <t>GOTLAND</t>
        </is>
      </c>
      <c r="G137" t="n">
        <v>10</v>
      </c>
      <c r="H137" t="n">
        <v>1</v>
      </c>
      <c r="I137" t="n">
        <v>0</v>
      </c>
      <c r="J137" t="n">
        <v>2</v>
      </c>
      <c r="K137" t="n">
        <v>0</v>
      </c>
      <c r="L137" t="n">
        <v>0</v>
      </c>
      <c r="M137" t="n">
        <v>0</v>
      </c>
      <c r="N137" t="n">
        <v>0</v>
      </c>
      <c r="O137" t="n">
        <v>2</v>
      </c>
      <c r="P137" t="n">
        <v>0</v>
      </c>
      <c r="Q137" t="n">
        <v>2</v>
      </c>
      <c r="R137" s="2" t="inlineStr">
        <is>
          <t>Buskskvätta
Ängsnätfjäril</t>
        </is>
      </c>
      <c r="S137">
        <f>HYPERLINK("https://klasma.github.io/Logging_0980/artfynd/A 43321-2020 artfynd.xlsx", "A 43321-2020")</f>
        <v/>
      </c>
      <c r="T137">
        <f>HYPERLINK("https://klasma.github.io/Logging_0980/kartor/A 43321-2020 karta.png", "A 43321-2020")</f>
        <v/>
      </c>
      <c r="V137">
        <f>HYPERLINK("https://klasma.github.io/Logging_0980/klagomål/A 43321-2020 FSC-klagomål.docx", "A 43321-2020")</f>
        <v/>
      </c>
      <c r="W137">
        <f>HYPERLINK("https://klasma.github.io/Logging_0980/klagomålsmail/A 43321-2020 FSC-klagomål mail.docx", "A 43321-2020")</f>
        <v/>
      </c>
      <c r="X137">
        <f>HYPERLINK("https://klasma.github.io/Logging_0980/tillsyn/A 43321-2020 tillsynsbegäran.docx", "A 43321-2020")</f>
        <v/>
      </c>
      <c r="Y137">
        <f>HYPERLINK("https://klasma.github.io/Logging_0980/tillsynsmail/A 43321-2020 tillsynsbegäran mail.docx", "A 43321-2020")</f>
        <v/>
      </c>
      <c r="Z137">
        <f>HYPERLINK("https://klasma.github.io/Logging_0980/fåglar/A 43321-2020 prioriterade fågelarter.docx", "A 43321-2020")</f>
        <v/>
      </c>
    </row>
    <row r="138" ht="15" customHeight="1">
      <c r="A138" t="inlineStr">
        <is>
          <t>A 58701-2020</t>
        </is>
      </c>
      <c r="B138" s="1" t="n">
        <v>44146</v>
      </c>
      <c r="C138" s="1" t="n">
        <v>45568</v>
      </c>
      <c r="D138" t="inlineStr">
        <is>
          <t>GOTLANDS LÄN</t>
        </is>
      </c>
      <c r="E138" t="inlineStr">
        <is>
          <t>GOTLAND</t>
        </is>
      </c>
      <c r="G138" t="n">
        <v>5.5</v>
      </c>
      <c r="H138" t="n">
        <v>0</v>
      </c>
      <c r="I138" t="n">
        <v>0</v>
      </c>
      <c r="J138" t="n">
        <v>1</v>
      </c>
      <c r="K138" t="n">
        <v>1</v>
      </c>
      <c r="L138" t="n">
        <v>0</v>
      </c>
      <c r="M138" t="n">
        <v>0</v>
      </c>
      <c r="N138" t="n">
        <v>0</v>
      </c>
      <c r="O138" t="n">
        <v>2</v>
      </c>
      <c r="P138" t="n">
        <v>1</v>
      </c>
      <c r="Q138" t="n">
        <v>2</v>
      </c>
      <c r="R138" s="2" t="inlineStr">
        <is>
          <t>Vit taggsvamp
Odörspindling</t>
        </is>
      </c>
      <c r="S138">
        <f>HYPERLINK("https://klasma.github.io/Logging_0980/artfynd/A 58701-2020 artfynd.xlsx", "A 58701-2020")</f>
        <v/>
      </c>
      <c r="T138">
        <f>HYPERLINK("https://klasma.github.io/Logging_0980/kartor/A 58701-2020 karta.png", "A 58701-2020")</f>
        <v/>
      </c>
      <c r="V138">
        <f>HYPERLINK("https://klasma.github.io/Logging_0980/klagomål/A 58701-2020 FSC-klagomål.docx", "A 58701-2020")</f>
        <v/>
      </c>
      <c r="W138">
        <f>HYPERLINK("https://klasma.github.io/Logging_0980/klagomålsmail/A 58701-2020 FSC-klagomål mail.docx", "A 58701-2020")</f>
        <v/>
      </c>
      <c r="X138">
        <f>HYPERLINK("https://klasma.github.io/Logging_0980/tillsyn/A 58701-2020 tillsynsbegäran.docx", "A 58701-2020")</f>
        <v/>
      </c>
      <c r="Y138">
        <f>HYPERLINK("https://klasma.github.io/Logging_0980/tillsynsmail/A 58701-2020 tillsynsbegäran mail.docx", "A 58701-2020")</f>
        <v/>
      </c>
    </row>
    <row r="139" ht="15" customHeight="1">
      <c r="A139" t="inlineStr">
        <is>
          <t>A 64263-2020</t>
        </is>
      </c>
      <c r="B139" s="1" t="n">
        <v>44168</v>
      </c>
      <c r="C139" s="1" t="n">
        <v>45568</v>
      </c>
      <c r="D139" t="inlineStr">
        <is>
          <t>GOTLANDS LÄN</t>
        </is>
      </c>
      <c r="E139" t="inlineStr">
        <is>
          <t>GOTLAND</t>
        </is>
      </c>
      <c r="G139" t="n">
        <v>10.9</v>
      </c>
      <c r="H139" t="n">
        <v>1</v>
      </c>
      <c r="I139" t="n">
        <v>0</v>
      </c>
      <c r="J139" t="n">
        <v>2</v>
      </c>
      <c r="K139" t="n">
        <v>0</v>
      </c>
      <c r="L139" t="n">
        <v>0</v>
      </c>
      <c r="M139" t="n">
        <v>0</v>
      </c>
      <c r="N139" t="n">
        <v>0</v>
      </c>
      <c r="O139" t="n">
        <v>2</v>
      </c>
      <c r="P139" t="n">
        <v>0</v>
      </c>
      <c r="Q139" t="n">
        <v>2</v>
      </c>
      <c r="R139" s="2" t="inlineStr">
        <is>
          <t>Mindre hackspett
Ullticka</t>
        </is>
      </c>
      <c r="S139">
        <f>HYPERLINK("https://klasma.github.io/Logging_0980/artfynd/A 64263-2020 artfynd.xlsx", "A 64263-2020")</f>
        <v/>
      </c>
      <c r="T139">
        <f>HYPERLINK("https://klasma.github.io/Logging_0980/kartor/A 64263-2020 karta.png", "A 64263-2020")</f>
        <v/>
      </c>
      <c r="V139">
        <f>HYPERLINK("https://klasma.github.io/Logging_0980/klagomål/A 64263-2020 FSC-klagomål.docx", "A 64263-2020")</f>
        <v/>
      </c>
      <c r="W139">
        <f>HYPERLINK("https://klasma.github.io/Logging_0980/klagomålsmail/A 64263-2020 FSC-klagomål mail.docx", "A 64263-2020")</f>
        <v/>
      </c>
      <c r="X139">
        <f>HYPERLINK("https://klasma.github.io/Logging_0980/tillsyn/A 64263-2020 tillsynsbegäran.docx", "A 64263-2020")</f>
        <v/>
      </c>
      <c r="Y139">
        <f>HYPERLINK("https://klasma.github.io/Logging_0980/tillsynsmail/A 64263-2020 tillsynsbegäran mail.docx", "A 64263-2020")</f>
        <v/>
      </c>
      <c r="Z139">
        <f>HYPERLINK("https://klasma.github.io/Logging_0980/fåglar/A 64263-2020 prioriterade fågelarter.docx", "A 64263-2020")</f>
        <v/>
      </c>
    </row>
    <row r="140" ht="15" customHeight="1">
      <c r="A140" t="inlineStr">
        <is>
          <t>A 9930-2021</t>
        </is>
      </c>
      <c r="B140" s="1" t="n">
        <v>44252</v>
      </c>
      <c r="C140" s="1" t="n">
        <v>45568</v>
      </c>
      <c r="D140" t="inlineStr">
        <is>
          <t>GOTLANDS LÄN</t>
        </is>
      </c>
      <c r="E140" t="inlineStr">
        <is>
          <t>GOTLAND</t>
        </is>
      </c>
      <c r="G140" t="n">
        <v>1.9</v>
      </c>
      <c r="H140" t="n">
        <v>0</v>
      </c>
      <c r="I140" t="n">
        <v>0</v>
      </c>
      <c r="J140" t="n">
        <v>0</v>
      </c>
      <c r="K140" t="n">
        <v>0</v>
      </c>
      <c r="L140" t="n">
        <v>1</v>
      </c>
      <c r="M140" t="n">
        <v>1</v>
      </c>
      <c r="N140" t="n">
        <v>0</v>
      </c>
      <c r="O140" t="n">
        <v>2</v>
      </c>
      <c r="P140" t="n">
        <v>2</v>
      </c>
      <c r="Q140" t="n">
        <v>2</v>
      </c>
      <c r="R140" s="2" t="inlineStr">
        <is>
          <t>Lundalm
Ask</t>
        </is>
      </c>
      <c r="S140">
        <f>HYPERLINK("https://klasma.github.io/Logging_0980/artfynd/A 9930-2021 artfynd.xlsx", "A 9930-2021")</f>
        <v/>
      </c>
      <c r="T140">
        <f>HYPERLINK("https://klasma.github.io/Logging_0980/kartor/A 9930-2021 karta.png", "A 9930-2021")</f>
        <v/>
      </c>
      <c r="V140">
        <f>HYPERLINK("https://klasma.github.io/Logging_0980/klagomål/A 9930-2021 FSC-klagomål.docx", "A 9930-2021")</f>
        <v/>
      </c>
      <c r="W140">
        <f>HYPERLINK("https://klasma.github.io/Logging_0980/klagomålsmail/A 9930-2021 FSC-klagomål mail.docx", "A 9930-2021")</f>
        <v/>
      </c>
      <c r="X140">
        <f>HYPERLINK("https://klasma.github.io/Logging_0980/tillsyn/A 9930-2021 tillsynsbegäran.docx", "A 9930-2021")</f>
        <v/>
      </c>
      <c r="Y140">
        <f>HYPERLINK("https://klasma.github.io/Logging_0980/tillsynsmail/A 9930-2021 tillsynsbegäran mail.docx", "A 9930-2021")</f>
        <v/>
      </c>
    </row>
    <row r="141" ht="15" customHeight="1">
      <c r="A141" t="inlineStr">
        <is>
          <t>A 16429-2021</t>
        </is>
      </c>
      <c r="B141" s="1" t="n">
        <v>44293</v>
      </c>
      <c r="C141" s="1" t="n">
        <v>45568</v>
      </c>
      <c r="D141" t="inlineStr">
        <is>
          <t>GOTLANDS LÄN</t>
        </is>
      </c>
      <c r="E141" t="inlineStr">
        <is>
          <t>GOTLAND</t>
        </is>
      </c>
      <c r="G141" t="n">
        <v>3.4</v>
      </c>
      <c r="H141" t="n">
        <v>0</v>
      </c>
      <c r="I141" t="n">
        <v>0</v>
      </c>
      <c r="J141" t="n">
        <v>1</v>
      </c>
      <c r="K141" t="n">
        <v>1</v>
      </c>
      <c r="L141" t="n">
        <v>0</v>
      </c>
      <c r="M141" t="n">
        <v>0</v>
      </c>
      <c r="N141" t="n">
        <v>0</v>
      </c>
      <c r="O141" t="n">
        <v>2</v>
      </c>
      <c r="P141" t="n">
        <v>1</v>
      </c>
      <c r="Q141" t="n">
        <v>2</v>
      </c>
      <c r="R141" s="2" t="inlineStr">
        <is>
          <t>Gotlandsmåra
Barrviolspindling</t>
        </is>
      </c>
      <c r="S141">
        <f>HYPERLINK("https://klasma.github.io/Logging_0980/artfynd/A 16429-2021 artfynd.xlsx", "A 16429-2021")</f>
        <v/>
      </c>
      <c r="T141">
        <f>HYPERLINK("https://klasma.github.io/Logging_0980/kartor/A 16429-2021 karta.png", "A 16429-2021")</f>
        <v/>
      </c>
      <c r="V141">
        <f>HYPERLINK("https://klasma.github.io/Logging_0980/klagomål/A 16429-2021 FSC-klagomål.docx", "A 16429-2021")</f>
        <v/>
      </c>
      <c r="W141">
        <f>HYPERLINK("https://klasma.github.io/Logging_0980/klagomålsmail/A 16429-2021 FSC-klagomål mail.docx", "A 16429-2021")</f>
        <v/>
      </c>
      <c r="X141">
        <f>HYPERLINK("https://klasma.github.io/Logging_0980/tillsyn/A 16429-2021 tillsynsbegäran.docx", "A 16429-2021")</f>
        <v/>
      </c>
      <c r="Y141">
        <f>HYPERLINK("https://klasma.github.io/Logging_0980/tillsynsmail/A 16429-2021 tillsynsbegäran mail.docx", "A 16429-2021")</f>
        <v/>
      </c>
    </row>
    <row r="142" ht="15" customHeight="1">
      <c r="A142" t="inlineStr">
        <is>
          <t>A 29870-2021</t>
        </is>
      </c>
      <c r="B142" s="1" t="n">
        <v>44362</v>
      </c>
      <c r="C142" s="1" t="n">
        <v>45568</v>
      </c>
      <c r="D142" t="inlineStr">
        <is>
          <t>GOTLANDS LÄN</t>
        </is>
      </c>
      <c r="E142" t="inlineStr">
        <is>
          <t>GOTLAND</t>
        </is>
      </c>
      <c r="G142" t="n">
        <v>2.4</v>
      </c>
      <c r="H142" t="n">
        <v>0</v>
      </c>
      <c r="I142" t="n">
        <v>1</v>
      </c>
      <c r="J142" t="n">
        <v>0</v>
      </c>
      <c r="K142" t="n">
        <v>1</v>
      </c>
      <c r="L142" t="n">
        <v>0</v>
      </c>
      <c r="M142" t="n">
        <v>0</v>
      </c>
      <c r="N142" t="n">
        <v>0</v>
      </c>
      <c r="O142" t="n">
        <v>1</v>
      </c>
      <c r="P142" t="n">
        <v>1</v>
      </c>
      <c r="Q142" t="n">
        <v>2</v>
      </c>
      <c r="R142" s="2" t="inlineStr">
        <is>
          <t>Blåfotad fagerspindling
Olivspindling</t>
        </is>
      </c>
      <c r="S142">
        <f>HYPERLINK("https://klasma.github.io/Logging_0980/artfynd/A 29870-2021 artfynd.xlsx", "A 29870-2021")</f>
        <v/>
      </c>
      <c r="T142">
        <f>HYPERLINK("https://klasma.github.io/Logging_0980/kartor/A 29870-2021 karta.png", "A 29870-2021")</f>
        <v/>
      </c>
      <c r="V142">
        <f>HYPERLINK("https://klasma.github.io/Logging_0980/klagomål/A 29870-2021 FSC-klagomål.docx", "A 29870-2021")</f>
        <v/>
      </c>
      <c r="W142">
        <f>HYPERLINK("https://klasma.github.io/Logging_0980/klagomålsmail/A 29870-2021 FSC-klagomål mail.docx", "A 29870-2021")</f>
        <v/>
      </c>
      <c r="X142">
        <f>HYPERLINK("https://klasma.github.io/Logging_0980/tillsyn/A 29870-2021 tillsynsbegäran.docx", "A 29870-2021")</f>
        <v/>
      </c>
      <c r="Y142">
        <f>HYPERLINK("https://klasma.github.io/Logging_0980/tillsynsmail/A 29870-2021 tillsynsbegäran mail.docx", "A 29870-2021")</f>
        <v/>
      </c>
    </row>
    <row r="143" ht="15" customHeight="1">
      <c r="A143" t="inlineStr">
        <is>
          <t>A 51737-2021</t>
        </is>
      </c>
      <c r="B143" s="1" t="n">
        <v>44462</v>
      </c>
      <c r="C143" s="1" t="n">
        <v>45568</v>
      </c>
      <c r="D143" t="inlineStr">
        <is>
          <t>GOTLANDS LÄN</t>
        </is>
      </c>
      <c r="E143" t="inlineStr">
        <is>
          <t>GOTLAND</t>
        </is>
      </c>
      <c r="G143" t="n">
        <v>8.6</v>
      </c>
      <c r="H143" t="n">
        <v>0</v>
      </c>
      <c r="I143" t="n">
        <v>1</v>
      </c>
      <c r="J143" t="n">
        <v>1</v>
      </c>
      <c r="K143" t="n">
        <v>0</v>
      </c>
      <c r="L143" t="n">
        <v>0</v>
      </c>
      <c r="M143" t="n">
        <v>0</v>
      </c>
      <c r="N143" t="n">
        <v>0</v>
      </c>
      <c r="O143" t="n">
        <v>1</v>
      </c>
      <c r="P143" t="n">
        <v>0</v>
      </c>
      <c r="Q143" t="n">
        <v>2</v>
      </c>
      <c r="R143" s="2" t="inlineStr">
        <is>
          <t>Igelkott
Kambräken</t>
        </is>
      </c>
      <c r="S143">
        <f>HYPERLINK("https://klasma.github.io/Logging_0980/artfynd/A 51737-2021 artfynd.xlsx", "A 51737-2021")</f>
        <v/>
      </c>
      <c r="T143">
        <f>HYPERLINK("https://klasma.github.io/Logging_0980/kartor/A 51737-2021 karta.png", "A 51737-2021")</f>
        <v/>
      </c>
      <c r="V143">
        <f>HYPERLINK("https://klasma.github.io/Logging_0980/klagomål/A 51737-2021 FSC-klagomål.docx", "A 51737-2021")</f>
        <v/>
      </c>
      <c r="W143">
        <f>HYPERLINK("https://klasma.github.io/Logging_0980/klagomålsmail/A 51737-2021 FSC-klagomål mail.docx", "A 51737-2021")</f>
        <v/>
      </c>
      <c r="X143">
        <f>HYPERLINK("https://klasma.github.io/Logging_0980/tillsyn/A 51737-2021 tillsynsbegäran.docx", "A 51737-2021")</f>
        <v/>
      </c>
      <c r="Y143">
        <f>HYPERLINK("https://klasma.github.io/Logging_0980/tillsynsmail/A 51737-2021 tillsynsbegäran mail.docx", "A 51737-2021")</f>
        <v/>
      </c>
    </row>
    <row r="144" ht="15" customHeight="1">
      <c r="A144" t="inlineStr">
        <is>
          <t>A 60665-2021</t>
        </is>
      </c>
      <c r="B144" s="1" t="n">
        <v>44496</v>
      </c>
      <c r="C144" s="1" t="n">
        <v>45568</v>
      </c>
      <c r="D144" t="inlineStr">
        <is>
          <t>GOTLANDS LÄN</t>
        </is>
      </c>
      <c r="E144" t="inlineStr">
        <is>
          <t>GOTLAND</t>
        </is>
      </c>
      <c r="G144" t="n">
        <v>1.6</v>
      </c>
      <c r="H144" t="n">
        <v>0</v>
      </c>
      <c r="I144" t="n">
        <v>0</v>
      </c>
      <c r="J144" t="n">
        <v>0</v>
      </c>
      <c r="K144" t="n">
        <v>1</v>
      </c>
      <c r="L144" t="n">
        <v>1</v>
      </c>
      <c r="M144" t="n">
        <v>0</v>
      </c>
      <c r="N144" t="n">
        <v>0</v>
      </c>
      <c r="O144" t="n">
        <v>2</v>
      </c>
      <c r="P144" t="n">
        <v>2</v>
      </c>
      <c r="Q144" t="n">
        <v>2</v>
      </c>
      <c r="R144" s="2" t="inlineStr">
        <is>
          <t>Ädellav
Skogskorn</t>
        </is>
      </c>
      <c r="S144">
        <f>HYPERLINK("https://klasma.github.io/Logging_0980/artfynd/A 60665-2021 artfynd.xlsx", "A 60665-2021")</f>
        <v/>
      </c>
      <c r="T144">
        <f>HYPERLINK("https://klasma.github.io/Logging_0980/kartor/A 60665-2021 karta.png", "A 60665-2021")</f>
        <v/>
      </c>
      <c r="V144">
        <f>HYPERLINK("https://klasma.github.io/Logging_0980/klagomål/A 60665-2021 FSC-klagomål.docx", "A 60665-2021")</f>
        <v/>
      </c>
      <c r="W144">
        <f>HYPERLINK("https://klasma.github.io/Logging_0980/klagomålsmail/A 60665-2021 FSC-klagomål mail.docx", "A 60665-2021")</f>
        <v/>
      </c>
      <c r="X144">
        <f>HYPERLINK("https://klasma.github.io/Logging_0980/tillsyn/A 60665-2021 tillsynsbegäran.docx", "A 60665-2021")</f>
        <v/>
      </c>
      <c r="Y144">
        <f>HYPERLINK("https://klasma.github.io/Logging_0980/tillsynsmail/A 60665-2021 tillsynsbegäran mail.docx", "A 60665-2021")</f>
        <v/>
      </c>
    </row>
    <row r="145" ht="15" customHeight="1">
      <c r="A145" t="inlineStr">
        <is>
          <t>A 73144-2021</t>
        </is>
      </c>
      <c r="B145" s="1" t="n">
        <v>44550</v>
      </c>
      <c r="C145" s="1" t="n">
        <v>45568</v>
      </c>
      <c r="D145" t="inlineStr">
        <is>
          <t>GOTLANDS LÄN</t>
        </is>
      </c>
      <c r="E145" t="inlineStr">
        <is>
          <t>GOTLAND</t>
        </is>
      </c>
      <c r="G145" t="n">
        <v>1.9</v>
      </c>
      <c r="H145" t="n">
        <v>0</v>
      </c>
      <c r="I145" t="n">
        <v>1</v>
      </c>
      <c r="J145" t="n">
        <v>0</v>
      </c>
      <c r="K145" t="n">
        <v>1</v>
      </c>
      <c r="L145" t="n">
        <v>0</v>
      </c>
      <c r="M145" t="n">
        <v>0</v>
      </c>
      <c r="N145" t="n">
        <v>0</v>
      </c>
      <c r="O145" t="n">
        <v>1</v>
      </c>
      <c r="P145" t="n">
        <v>1</v>
      </c>
      <c r="Q145" t="n">
        <v>2</v>
      </c>
      <c r="R145" s="2" t="inlineStr">
        <is>
          <t>Skogskorn
Kambräken</t>
        </is>
      </c>
      <c r="S145">
        <f>HYPERLINK("https://klasma.github.io/Logging_0980/artfynd/A 73144-2021 artfynd.xlsx", "A 73144-2021")</f>
        <v/>
      </c>
      <c r="T145">
        <f>HYPERLINK("https://klasma.github.io/Logging_0980/kartor/A 73144-2021 karta.png", "A 73144-2021")</f>
        <v/>
      </c>
      <c r="V145">
        <f>HYPERLINK("https://klasma.github.io/Logging_0980/klagomål/A 73144-2021 FSC-klagomål.docx", "A 73144-2021")</f>
        <v/>
      </c>
      <c r="W145">
        <f>HYPERLINK("https://klasma.github.io/Logging_0980/klagomålsmail/A 73144-2021 FSC-klagomål mail.docx", "A 73144-2021")</f>
        <v/>
      </c>
      <c r="X145">
        <f>HYPERLINK("https://klasma.github.io/Logging_0980/tillsyn/A 73144-2021 tillsynsbegäran.docx", "A 73144-2021")</f>
        <v/>
      </c>
      <c r="Y145">
        <f>HYPERLINK("https://klasma.github.io/Logging_0980/tillsynsmail/A 73144-2021 tillsynsbegäran mail.docx", "A 73144-2021")</f>
        <v/>
      </c>
    </row>
    <row r="146" ht="15" customHeight="1">
      <c r="A146" t="inlineStr">
        <is>
          <t>A 7070-2022</t>
        </is>
      </c>
      <c r="B146" s="1" t="n">
        <v>44603</v>
      </c>
      <c r="C146" s="1" t="n">
        <v>45568</v>
      </c>
      <c r="D146" t="inlineStr">
        <is>
          <t>GOTLANDS LÄN</t>
        </is>
      </c>
      <c r="E146" t="inlineStr">
        <is>
          <t>GOTLAND</t>
        </is>
      </c>
      <c r="G146" t="n">
        <v>2.6</v>
      </c>
      <c r="H146" t="n">
        <v>0</v>
      </c>
      <c r="I146" t="n">
        <v>2</v>
      </c>
      <c r="J146" t="n">
        <v>0</v>
      </c>
      <c r="K146" t="n">
        <v>0</v>
      </c>
      <c r="L146" t="n">
        <v>0</v>
      </c>
      <c r="M146" t="n">
        <v>0</v>
      </c>
      <c r="N146" t="n">
        <v>0</v>
      </c>
      <c r="O146" t="n">
        <v>0</v>
      </c>
      <c r="P146" t="n">
        <v>0</v>
      </c>
      <c r="Q146" t="n">
        <v>2</v>
      </c>
      <c r="R146" s="2" t="inlineStr">
        <is>
          <t>Blåmossa
Kattfotslav</t>
        </is>
      </c>
      <c r="S146">
        <f>HYPERLINK("https://klasma.github.io/Logging_0980/artfynd/A 7070-2022 artfynd.xlsx", "A 7070-2022")</f>
        <v/>
      </c>
      <c r="T146">
        <f>HYPERLINK("https://klasma.github.io/Logging_0980/kartor/A 7070-2022 karta.png", "A 7070-2022")</f>
        <v/>
      </c>
      <c r="V146">
        <f>HYPERLINK("https://klasma.github.io/Logging_0980/klagomål/A 7070-2022 FSC-klagomål.docx", "A 7070-2022")</f>
        <v/>
      </c>
      <c r="W146">
        <f>HYPERLINK("https://klasma.github.io/Logging_0980/klagomålsmail/A 7070-2022 FSC-klagomål mail.docx", "A 7070-2022")</f>
        <v/>
      </c>
      <c r="X146">
        <f>HYPERLINK("https://klasma.github.io/Logging_0980/tillsyn/A 7070-2022 tillsynsbegäran.docx", "A 7070-2022")</f>
        <v/>
      </c>
      <c r="Y146">
        <f>HYPERLINK("https://klasma.github.io/Logging_0980/tillsynsmail/A 7070-2022 tillsynsbegäran mail.docx", "A 7070-2022")</f>
        <v/>
      </c>
    </row>
    <row r="147" ht="15" customHeight="1">
      <c r="A147" t="inlineStr">
        <is>
          <t>A 19175-2022</t>
        </is>
      </c>
      <c r="B147" s="1" t="n">
        <v>44691</v>
      </c>
      <c r="C147" s="1" t="n">
        <v>45568</v>
      </c>
      <c r="D147" t="inlineStr">
        <is>
          <t>GOTLANDS LÄN</t>
        </is>
      </c>
      <c r="E147" t="inlineStr">
        <is>
          <t>GOTLAND</t>
        </is>
      </c>
      <c r="G147" t="n">
        <v>8.5</v>
      </c>
      <c r="H147" t="n">
        <v>1</v>
      </c>
      <c r="I147" t="n">
        <v>0</v>
      </c>
      <c r="J147" t="n">
        <v>2</v>
      </c>
      <c r="K147" t="n">
        <v>0</v>
      </c>
      <c r="L147" t="n">
        <v>0</v>
      </c>
      <c r="M147" t="n">
        <v>0</v>
      </c>
      <c r="N147" t="n">
        <v>0</v>
      </c>
      <c r="O147" t="n">
        <v>2</v>
      </c>
      <c r="P147" t="n">
        <v>0</v>
      </c>
      <c r="Q147" t="n">
        <v>2</v>
      </c>
      <c r="R147" s="2" t="inlineStr">
        <is>
          <t>Jordtistel
Spillkråka</t>
        </is>
      </c>
      <c r="S147">
        <f>HYPERLINK("https://klasma.github.io/Logging_0980/artfynd/A 19175-2022 artfynd.xlsx", "A 19175-2022")</f>
        <v/>
      </c>
      <c r="T147">
        <f>HYPERLINK("https://klasma.github.io/Logging_0980/kartor/A 19175-2022 karta.png", "A 19175-2022")</f>
        <v/>
      </c>
      <c r="V147">
        <f>HYPERLINK("https://klasma.github.io/Logging_0980/klagomål/A 19175-2022 FSC-klagomål.docx", "A 19175-2022")</f>
        <v/>
      </c>
      <c r="W147">
        <f>HYPERLINK("https://klasma.github.io/Logging_0980/klagomålsmail/A 19175-2022 FSC-klagomål mail.docx", "A 19175-2022")</f>
        <v/>
      </c>
      <c r="X147">
        <f>HYPERLINK("https://klasma.github.io/Logging_0980/tillsyn/A 19175-2022 tillsynsbegäran.docx", "A 19175-2022")</f>
        <v/>
      </c>
      <c r="Y147">
        <f>HYPERLINK("https://klasma.github.io/Logging_0980/tillsynsmail/A 19175-2022 tillsynsbegäran mail.docx", "A 19175-2022")</f>
        <v/>
      </c>
      <c r="Z147">
        <f>HYPERLINK("https://klasma.github.io/Logging_0980/fåglar/A 19175-2022 prioriterade fågelarter.docx", "A 19175-2022")</f>
        <v/>
      </c>
    </row>
    <row r="148" ht="15" customHeight="1">
      <c r="A148" t="inlineStr">
        <is>
          <t>A 20218-2022</t>
        </is>
      </c>
      <c r="B148" s="1" t="n">
        <v>44698</v>
      </c>
      <c r="C148" s="1" t="n">
        <v>45568</v>
      </c>
      <c r="D148" t="inlineStr">
        <is>
          <t>GOTLANDS LÄN</t>
        </is>
      </c>
      <c r="E148" t="inlineStr">
        <is>
          <t>GOTLAND</t>
        </is>
      </c>
      <c r="G148" t="n">
        <v>4.3</v>
      </c>
      <c r="H148" t="n">
        <v>0</v>
      </c>
      <c r="I148" t="n">
        <v>1</v>
      </c>
      <c r="J148" t="n">
        <v>1</v>
      </c>
      <c r="K148" t="n">
        <v>0</v>
      </c>
      <c r="L148" t="n">
        <v>0</v>
      </c>
      <c r="M148" t="n">
        <v>0</v>
      </c>
      <c r="N148" t="n">
        <v>0</v>
      </c>
      <c r="O148" t="n">
        <v>1</v>
      </c>
      <c r="P148" t="n">
        <v>0</v>
      </c>
      <c r="Q148" t="n">
        <v>2</v>
      </c>
      <c r="R148" s="2" t="inlineStr">
        <is>
          <t>Flattoppad klubbsvamp
Rödgul trumpetsvamp</t>
        </is>
      </c>
      <c r="S148">
        <f>HYPERLINK("https://klasma.github.io/Logging_0980/artfynd/A 20218-2022 artfynd.xlsx", "A 20218-2022")</f>
        <v/>
      </c>
      <c r="T148">
        <f>HYPERLINK("https://klasma.github.io/Logging_0980/kartor/A 20218-2022 karta.png", "A 20218-2022")</f>
        <v/>
      </c>
      <c r="V148">
        <f>HYPERLINK("https://klasma.github.io/Logging_0980/klagomål/A 20218-2022 FSC-klagomål.docx", "A 20218-2022")</f>
        <v/>
      </c>
      <c r="W148">
        <f>HYPERLINK("https://klasma.github.io/Logging_0980/klagomålsmail/A 20218-2022 FSC-klagomål mail.docx", "A 20218-2022")</f>
        <v/>
      </c>
      <c r="X148">
        <f>HYPERLINK("https://klasma.github.io/Logging_0980/tillsyn/A 20218-2022 tillsynsbegäran.docx", "A 20218-2022")</f>
        <v/>
      </c>
      <c r="Y148">
        <f>HYPERLINK("https://klasma.github.io/Logging_0980/tillsynsmail/A 20218-2022 tillsynsbegäran mail.docx", "A 20218-2022")</f>
        <v/>
      </c>
    </row>
    <row r="149" ht="15" customHeight="1">
      <c r="A149" t="inlineStr">
        <is>
          <t>A 48126-2022</t>
        </is>
      </c>
      <c r="B149" s="1" t="n">
        <v>44857</v>
      </c>
      <c r="C149" s="1" t="n">
        <v>45568</v>
      </c>
      <c r="D149" t="inlineStr">
        <is>
          <t>GOTLANDS LÄN</t>
        </is>
      </c>
      <c r="E149" t="inlineStr">
        <is>
          <t>GOTLAND</t>
        </is>
      </c>
      <c r="G149" t="n">
        <v>9.800000000000001</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48126-2022 artfynd.xlsx", "A 48126-2022")</f>
        <v/>
      </c>
      <c r="T149">
        <f>HYPERLINK("https://klasma.github.io/Logging_0980/kartor/A 48126-2022 karta.png", "A 48126-2022")</f>
        <v/>
      </c>
      <c r="V149">
        <f>HYPERLINK("https://klasma.github.io/Logging_0980/klagomål/A 48126-2022 FSC-klagomål.docx", "A 48126-2022")</f>
        <v/>
      </c>
      <c r="W149">
        <f>HYPERLINK("https://klasma.github.io/Logging_0980/klagomålsmail/A 48126-2022 FSC-klagomål mail.docx", "A 48126-2022")</f>
        <v/>
      </c>
      <c r="X149">
        <f>HYPERLINK("https://klasma.github.io/Logging_0980/tillsyn/A 48126-2022 tillsynsbegäran.docx", "A 48126-2022")</f>
        <v/>
      </c>
      <c r="Y149">
        <f>HYPERLINK("https://klasma.github.io/Logging_0980/tillsynsmail/A 48126-2022 tillsynsbegäran mail.docx", "A 48126-2022")</f>
        <v/>
      </c>
      <c r="Z149">
        <f>HYPERLINK("https://klasma.github.io/Logging_0980/fåglar/A 48126-2022 prioriterade fågelarter.docx", "A 48126-2022")</f>
        <v/>
      </c>
    </row>
    <row r="150" ht="15" customHeight="1">
      <c r="A150" t="inlineStr">
        <is>
          <t>A 3779-2023</t>
        </is>
      </c>
      <c r="B150" s="1" t="n">
        <v>44951</v>
      </c>
      <c r="C150" s="1" t="n">
        <v>45568</v>
      </c>
      <c r="D150" t="inlineStr">
        <is>
          <t>GOTLANDS LÄN</t>
        </is>
      </c>
      <c r="E150" t="inlineStr">
        <is>
          <t>GOTLAND</t>
        </is>
      </c>
      <c r="G150" t="n">
        <v>5.2</v>
      </c>
      <c r="H150" t="n">
        <v>0</v>
      </c>
      <c r="I150" t="n">
        <v>2</v>
      </c>
      <c r="J150" t="n">
        <v>0</v>
      </c>
      <c r="K150" t="n">
        <v>0</v>
      </c>
      <c r="L150" t="n">
        <v>0</v>
      </c>
      <c r="M150" t="n">
        <v>0</v>
      </c>
      <c r="N150" t="n">
        <v>0</v>
      </c>
      <c r="O150" t="n">
        <v>0</v>
      </c>
      <c r="P150" t="n">
        <v>0</v>
      </c>
      <c r="Q150" t="n">
        <v>2</v>
      </c>
      <c r="R150" s="2" t="inlineStr">
        <is>
          <t>Blå slemspindling
Olivspindling</t>
        </is>
      </c>
      <c r="S150">
        <f>HYPERLINK("https://klasma.github.io/Logging_0980/artfynd/A 3779-2023 artfynd.xlsx", "A 3779-2023")</f>
        <v/>
      </c>
      <c r="T150">
        <f>HYPERLINK("https://klasma.github.io/Logging_0980/kartor/A 3779-2023 karta.png", "A 3779-2023")</f>
        <v/>
      </c>
      <c r="V150">
        <f>HYPERLINK("https://klasma.github.io/Logging_0980/klagomål/A 3779-2023 FSC-klagomål.docx", "A 3779-2023")</f>
        <v/>
      </c>
      <c r="W150">
        <f>HYPERLINK("https://klasma.github.io/Logging_0980/klagomålsmail/A 3779-2023 FSC-klagomål mail.docx", "A 3779-2023")</f>
        <v/>
      </c>
      <c r="X150">
        <f>HYPERLINK("https://klasma.github.io/Logging_0980/tillsyn/A 3779-2023 tillsynsbegäran.docx", "A 3779-2023")</f>
        <v/>
      </c>
      <c r="Y150">
        <f>HYPERLINK("https://klasma.github.io/Logging_0980/tillsynsmail/A 3779-2023 tillsynsbegäran mail.docx", "A 3779-2023")</f>
        <v/>
      </c>
    </row>
    <row r="151" ht="15" customHeight="1">
      <c r="A151" t="inlineStr">
        <is>
          <t>A 27280-2023</t>
        </is>
      </c>
      <c r="B151" s="1" t="n">
        <v>45096</v>
      </c>
      <c r="C151" s="1" t="n">
        <v>45568</v>
      </c>
      <c r="D151" t="inlineStr">
        <is>
          <t>GOTLANDS LÄN</t>
        </is>
      </c>
      <c r="E151" t="inlineStr">
        <is>
          <t>GOTLAND</t>
        </is>
      </c>
      <c r="G151" t="n">
        <v>2.7</v>
      </c>
      <c r="H151" t="n">
        <v>2</v>
      </c>
      <c r="I151" t="n">
        <v>0</v>
      </c>
      <c r="J151" t="n">
        <v>0</v>
      </c>
      <c r="K151" t="n">
        <v>0</v>
      </c>
      <c r="L151" t="n">
        <v>0</v>
      </c>
      <c r="M151" t="n">
        <v>0</v>
      </c>
      <c r="N151" t="n">
        <v>0</v>
      </c>
      <c r="O151" t="n">
        <v>0</v>
      </c>
      <c r="P151" t="n">
        <v>0</v>
      </c>
      <c r="Q151" t="n">
        <v>2</v>
      </c>
      <c r="R151" s="2" t="inlineStr">
        <is>
          <t>Fläcknycklar
Grönvit nattviol</t>
        </is>
      </c>
      <c r="S151">
        <f>HYPERLINK("https://klasma.github.io/Logging_0980/artfynd/A 27280-2023 artfynd.xlsx", "A 27280-2023")</f>
        <v/>
      </c>
      <c r="T151">
        <f>HYPERLINK("https://klasma.github.io/Logging_0980/kartor/A 27280-2023 karta.png", "A 27280-2023")</f>
        <v/>
      </c>
      <c r="V151">
        <f>HYPERLINK("https://klasma.github.io/Logging_0980/klagomål/A 27280-2023 FSC-klagomål.docx", "A 27280-2023")</f>
        <v/>
      </c>
      <c r="W151">
        <f>HYPERLINK("https://klasma.github.io/Logging_0980/klagomålsmail/A 27280-2023 FSC-klagomål mail.docx", "A 27280-2023")</f>
        <v/>
      </c>
      <c r="X151">
        <f>HYPERLINK("https://klasma.github.io/Logging_0980/tillsyn/A 27280-2023 tillsynsbegäran.docx", "A 27280-2023")</f>
        <v/>
      </c>
      <c r="Y151">
        <f>HYPERLINK("https://klasma.github.io/Logging_0980/tillsynsmail/A 27280-2023 tillsynsbegäran mail.docx", "A 27280-2023")</f>
        <v/>
      </c>
    </row>
    <row r="152" ht="15" customHeight="1">
      <c r="A152" t="inlineStr">
        <is>
          <t>A 35028-2023</t>
        </is>
      </c>
      <c r="B152" s="1" t="n">
        <v>45145</v>
      </c>
      <c r="C152" s="1" t="n">
        <v>45568</v>
      </c>
      <c r="D152" t="inlineStr">
        <is>
          <t>GOTLANDS LÄN</t>
        </is>
      </c>
      <c r="E152" t="inlineStr">
        <is>
          <t>GOTLAND</t>
        </is>
      </c>
      <c r="G152" t="n">
        <v>1.1</v>
      </c>
      <c r="H152" t="n">
        <v>0</v>
      </c>
      <c r="I152" t="n">
        <v>1</v>
      </c>
      <c r="J152" t="n">
        <v>0</v>
      </c>
      <c r="K152" t="n">
        <v>1</v>
      </c>
      <c r="L152" t="n">
        <v>0</v>
      </c>
      <c r="M152" t="n">
        <v>0</v>
      </c>
      <c r="N152" t="n">
        <v>0</v>
      </c>
      <c r="O152" t="n">
        <v>1</v>
      </c>
      <c r="P152" t="n">
        <v>1</v>
      </c>
      <c r="Q152" t="n">
        <v>2</v>
      </c>
      <c r="R152" s="2" t="inlineStr">
        <is>
          <t>Tät korallorangelav
Guldlockmossa</t>
        </is>
      </c>
      <c r="S152">
        <f>HYPERLINK("https://klasma.github.io/Logging_0980/artfynd/A 35028-2023 artfynd.xlsx", "A 35028-2023")</f>
        <v/>
      </c>
      <c r="T152">
        <f>HYPERLINK("https://klasma.github.io/Logging_0980/kartor/A 35028-2023 karta.png", "A 35028-2023")</f>
        <v/>
      </c>
      <c r="V152">
        <f>HYPERLINK("https://klasma.github.io/Logging_0980/klagomål/A 35028-2023 FSC-klagomål.docx", "A 35028-2023")</f>
        <v/>
      </c>
      <c r="W152">
        <f>HYPERLINK("https://klasma.github.io/Logging_0980/klagomålsmail/A 35028-2023 FSC-klagomål mail.docx", "A 35028-2023")</f>
        <v/>
      </c>
      <c r="X152">
        <f>HYPERLINK("https://klasma.github.io/Logging_0980/tillsyn/A 35028-2023 tillsynsbegäran.docx", "A 35028-2023")</f>
        <v/>
      </c>
      <c r="Y152">
        <f>HYPERLINK("https://klasma.github.io/Logging_0980/tillsynsmail/A 35028-2023 tillsynsbegäran mail.docx", "A 35028-2023")</f>
        <v/>
      </c>
    </row>
    <row r="153" ht="15" customHeight="1">
      <c r="A153" t="inlineStr">
        <is>
          <t>A 35029-2023</t>
        </is>
      </c>
      <c r="B153" s="1" t="n">
        <v>45145</v>
      </c>
      <c r="C153" s="1" t="n">
        <v>45568</v>
      </c>
      <c r="D153" t="inlineStr">
        <is>
          <t>GOTLANDS LÄN</t>
        </is>
      </c>
      <c r="E153" t="inlineStr">
        <is>
          <t>GOTLAND</t>
        </is>
      </c>
      <c r="G153" t="n">
        <v>1.7</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35029-2023 artfynd.xlsx", "A 35029-2023")</f>
        <v/>
      </c>
      <c r="T153">
        <f>HYPERLINK("https://klasma.github.io/Logging_0980/kartor/A 35029-2023 karta.png", "A 35029-2023")</f>
        <v/>
      </c>
      <c r="V153">
        <f>HYPERLINK("https://klasma.github.io/Logging_0980/klagomål/A 35029-2023 FSC-klagomål.docx", "A 35029-2023")</f>
        <v/>
      </c>
      <c r="W153">
        <f>HYPERLINK("https://klasma.github.io/Logging_0980/klagomålsmail/A 35029-2023 FSC-klagomål mail.docx", "A 35029-2023")</f>
        <v/>
      </c>
      <c r="X153">
        <f>HYPERLINK("https://klasma.github.io/Logging_0980/tillsyn/A 35029-2023 tillsynsbegäran.docx", "A 35029-2023")</f>
        <v/>
      </c>
      <c r="Y153">
        <f>HYPERLINK("https://klasma.github.io/Logging_0980/tillsynsmail/A 35029-2023 tillsynsbegäran mail.docx", "A 35029-2023")</f>
        <v/>
      </c>
    </row>
    <row r="154" ht="15" customHeight="1">
      <c r="A154" t="inlineStr">
        <is>
          <t>A 39430-2023</t>
        </is>
      </c>
      <c r="B154" s="1" t="n">
        <v>45166</v>
      </c>
      <c r="C154" s="1" t="n">
        <v>45568</v>
      </c>
      <c r="D154" t="inlineStr">
        <is>
          <t>GOTLANDS LÄN</t>
        </is>
      </c>
      <c r="E154" t="inlineStr">
        <is>
          <t>GOTLAND</t>
        </is>
      </c>
      <c r="G154" t="n">
        <v>2.3</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39430-2023 artfynd.xlsx", "A 39430-2023")</f>
        <v/>
      </c>
      <c r="T154">
        <f>HYPERLINK("https://klasma.github.io/Logging_0980/kartor/A 39430-2023 karta.png", "A 39430-2023")</f>
        <v/>
      </c>
      <c r="V154">
        <f>HYPERLINK("https://klasma.github.io/Logging_0980/klagomål/A 39430-2023 FSC-klagomål.docx", "A 39430-2023")</f>
        <v/>
      </c>
      <c r="W154">
        <f>HYPERLINK("https://klasma.github.io/Logging_0980/klagomålsmail/A 39430-2023 FSC-klagomål mail.docx", "A 39430-2023")</f>
        <v/>
      </c>
      <c r="X154">
        <f>HYPERLINK("https://klasma.github.io/Logging_0980/tillsyn/A 39430-2023 tillsynsbegäran.docx", "A 39430-2023")</f>
        <v/>
      </c>
      <c r="Y154">
        <f>HYPERLINK("https://klasma.github.io/Logging_0980/tillsynsmail/A 39430-2023 tillsynsbegäran mail.docx", "A 39430-2023")</f>
        <v/>
      </c>
    </row>
    <row r="155" ht="15" customHeight="1">
      <c r="A155" t="inlineStr">
        <is>
          <t>A 39749-2023</t>
        </is>
      </c>
      <c r="B155" s="1" t="n">
        <v>45167</v>
      </c>
      <c r="C155" s="1" t="n">
        <v>45568</v>
      </c>
      <c r="D155" t="inlineStr">
        <is>
          <t>GOTLANDS LÄN</t>
        </is>
      </c>
      <c r="E155" t="inlineStr">
        <is>
          <t>GOTLAND</t>
        </is>
      </c>
      <c r="G155" t="n">
        <v>8.300000000000001</v>
      </c>
      <c r="H155" t="n">
        <v>0</v>
      </c>
      <c r="I155" t="n">
        <v>1</v>
      </c>
      <c r="J155" t="n">
        <v>1</v>
      </c>
      <c r="K155" t="n">
        <v>0</v>
      </c>
      <c r="L155" t="n">
        <v>0</v>
      </c>
      <c r="M155" t="n">
        <v>0</v>
      </c>
      <c r="N155" t="n">
        <v>0</v>
      </c>
      <c r="O155" t="n">
        <v>1</v>
      </c>
      <c r="P155" t="n">
        <v>0</v>
      </c>
      <c r="Q155" t="n">
        <v>2</v>
      </c>
      <c r="R155" s="2" t="inlineStr">
        <is>
          <t>Majviva
Axag</t>
        </is>
      </c>
      <c r="S155">
        <f>HYPERLINK("https://klasma.github.io/Logging_0980/artfynd/A 39749-2023 artfynd.xlsx", "A 39749-2023")</f>
        <v/>
      </c>
      <c r="T155">
        <f>HYPERLINK("https://klasma.github.io/Logging_0980/kartor/A 39749-2023 karta.png", "A 39749-2023")</f>
        <v/>
      </c>
      <c r="V155">
        <f>HYPERLINK("https://klasma.github.io/Logging_0980/klagomål/A 39749-2023 FSC-klagomål.docx", "A 39749-2023")</f>
        <v/>
      </c>
      <c r="W155">
        <f>HYPERLINK("https://klasma.github.io/Logging_0980/klagomålsmail/A 39749-2023 FSC-klagomål mail.docx", "A 39749-2023")</f>
        <v/>
      </c>
      <c r="X155">
        <f>HYPERLINK("https://klasma.github.io/Logging_0980/tillsyn/A 39749-2023 tillsynsbegäran.docx", "A 39749-2023")</f>
        <v/>
      </c>
      <c r="Y155">
        <f>HYPERLINK("https://klasma.github.io/Logging_0980/tillsynsmail/A 39749-2023 tillsynsbegäran mail.docx", "A 39749-2023")</f>
        <v/>
      </c>
    </row>
    <row r="156" ht="15" customHeight="1">
      <c r="A156" t="inlineStr">
        <is>
          <t>A 54523-2023</t>
        </is>
      </c>
      <c r="B156" s="1" t="n">
        <v>45233</v>
      </c>
      <c r="C156" s="1" t="n">
        <v>45568</v>
      </c>
      <c r="D156" t="inlineStr">
        <is>
          <t>GOTLANDS LÄN</t>
        </is>
      </c>
      <c r="E156" t="inlineStr">
        <is>
          <t>GOTLAND</t>
        </is>
      </c>
      <c r="G156" t="n">
        <v>3.7</v>
      </c>
      <c r="H156" t="n">
        <v>0</v>
      </c>
      <c r="I156" t="n">
        <v>0</v>
      </c>
      <c r="J156" t="n">
        <v>1</v>
      </c>
      <c r="K156" t="n">
        <v>1</v>
      </c>
      <c r="L156" t="n">
        <v>0</v>
      </c>
      <c r="M156" t="n">
        <v>0</v>
      </c>
      <c r="N156" t="n">
        <v>0</v>
      </c>
      <c r="O156" t="n">
        <v>2</v>
      </c>
      <c r="P156" t="n">
        <v>1</v>
      </c>
      <c r="Q156" t="n">
        <v>2</v>
      </c>
      <c r="R156" s="2" t="inlineStr">
        <is>
          <t>Sommarklynne
Åkerkulla</t>
        </is>
      </c>
      <c r="S156">
        <f>HYPERLINK("https://klasma.github.io/Logging_0980/artfynd/A 54523-2023 artfynd.xlsx", "A 54523-2023")</f>
        <v/>
      </c>
      <c r="T156">
        <f>HYPERLINK("https://klasma.github.io/Logging_0980/kartor/A 54523-2023 karta.png", "A 54523-2023")</f>
        <v/>
      </c>
      <c r="V156">
        <f>HYPERLINK("https://klasma.github.io/Logging_0980/klagomål/A 54523-2023 FSC-klagomål.docx", "A 54523-2023")</f>
        <v/>
      </c>
      <c r="W156">
        <f>HYPERLINK("https://klasma.github.io/Logging_0980/klagomålsmail/A 54523-2023 FSC-klagomål mail.docx", "A 54523-2023")</f>
        <v/>
      </c>
      <c r="X156">
        <f>HYPERLINK("https://klasma.github.io/Logging_0980/tillsyn/A 54523-2023 tillsynsbegäran.docx", "A 54523-2023")</f>
        <v/>
      </c>
      <c r="Y156">
        <f>HYPERLINK("https://klasma.github.io/Logging_0980/tillsynsmail/A 54523-2023 tillsynsbegäran mail.docx", "A 54523-2023")</f>
        <v/>
      </c>
    </row>
    <row r="157" ht="15" customHeight="1">
      <c r="A157" t="inlineStr">
        <is>
          <t>A 2818-2024</t>
        </is>
      </c>
      <c r="B157" s="1" t="n">
        <v>45314</v>
      </c>
      <c r="C157" s="1" t="n">
        <v>45568</v>
      </c>
      <c r="D157" t="inlineStr">
        <is>
          <t>GOTLANDS LÄN</t>
        </is>
      </c>
      <c r="E157" t="inlineStr">
        <is>
          <t>GOTLAND</t>
        </is>
      </c>
      <c r="G157" t="n">
        <v>2.4</v>
      </c>
      <c r="H157" t="n">
        <v>1</v>
      </c>
      <c r="I157" t="n">
        <v>0</v>
      </c>
      <c r="J157" t="n">
        <v>1</v>
      </c>
      <c r="K157" t="n">
        <v>0</v>
      </c>
      <c r="L157" t="n">
        <v>0</v>
      </c>
      <c r="M157" t="n">
        <v>0</v>
      </c>
      <c r="N157" t="n">
        <v>0</v>
      </c>
      <c r="O157" t="n">
        <v>1</v>
      </c>
      <c r="P157" t="n">
        <v>0</v>
      </c>
      <c r="Q157" t="n">
        <v>2</v>
      </c>
      <c r="R157" s="2" t="inlineStr">
        <is>
          <t>Solvända
Gullviva</t>
        </is>
      </c>
      <c r="S157">
        <f>HYPERLINK("https://klasma.github.io/Logging_0980/artfynd/A 2818-2024 artfynd.xlsx", "A 2818-2024")</f>
        <v/>
      </c>
      <c r="T157">
        <f>HYPERLINK("https://klasma.github.io/Logging_0980/kartor/A 2818-2024 karta.png", "A 2818-2024")</f>
        <v/>
      </c>
      <c r="V157">
        <f>HYPERLINK("https://klasma.github.io/Logging_0980/klagomål/A 2818-2024 FSC-klagomål.docx", "A 2818-2024")</f>
        <v/>
      </c>
      <c r="W157">
        <f>HYPERLINK("https://klasma.github.io/Logging_0980/klagomålsmail/A 2818-2024 FSC-klagomål mail.docx", "A 2818-2024")</f>
        <v/>
      </c>
      <c r="X157">
        <f>HYPERLINK("https://klasma.github.io/Logging_0980/tillsyn/A 2818-2024 tillsynsbegäran.docx", "A 2818-2024")</f>
        <v/>
      </c>
      <c r="Y157">
        <f>HYPERLINK("https://klasma.github.io/Logging_0980/tillsynsmail/A 2818-2024 tillsynsbegäran mail.docx", "A 2818-2024")</f>
        <v/>
      </c>
    </row>
    <row r="158" ht="15" customHeight="1">
      <c r="A158" t="inlineStr">
        <is>
          <t>A 12315-2024</t>
        </is>
      </c>
      <c r="B158" s="1" t="n">
        <v>45378</v>
      </c>
      <c r="C158" s="1" t="n">
        <v>45568</v>
      </c>
      <c r="D158" t="inlineStr">
        <is>
          <t>GOTLANDS LÄN</t>
        </is>
      </c>
      <c r="E158" t="inlineStr">
        <is>
          <t>GOTLAND</t>
        </is>
      </c>
      <c r="G158" t="n">
        <v>6</v>
      </c>
      <c r="H158" t="n">
        <v>2</v>
      </c>
      <c r="I158" t="n">
        <v>1</v>
      </c>
      <c r="J158" t="n">
        <v>0</v>
      </c>
      <c r="K158" t="n">
        <v>0</v>
      </c>
      <c r="L158" t="n">
        <v>0</v>
      </c>
      <c r="M158" t="n">
        <v>0</v>
      </c>
      <c r="N158" t="n">
        <v>0</v>
      </c>
      <c r="O158" t="n">
        <v>0</v>
      </c>
      <c r="P158" t="n">
        <v>0</v>
      </c>
      <c r="Q158" t="n">
        <v>2</v>
      </c>
      <c r="R158" s="2" t="inlineStr">
        <is>
          <t>Tvåblad
Fläcknycklar</t>
        </is>
      </c>
      <c r="S158">
        <f>HYPERLINK("https://klasma.github.io/Logging_0980/artfynd/A 12315-2024 artfynd.xlsx", "A 12315-2024")</f>
        <v/>
      </c>
      <c r="T158">
        <f>HYPERLINK("https://klasma.github.io/Logging_0980/kartor/A 12315-2024 karta.png", "A 12315-2024")</f>
        <v/>
      </c>
      <c r="V158">
        <f>HYPERLINK("https://klasma.github.io/Logging_0980/klagomål/A 12315-2024 FSC-klagomål.docx", "A 12315-2024")</f>
        <v/>
      </c>
      <c r="W158">
        <f>HYPERLINK("https://klasma.github.io/Logging_0980/klagomålsmail/A 12315-2024 FSC-klagomål mail.docx", "A 12315-2024")</f>
        <v/>
      </c>
      <c r="X158">
        <f>HYPERLINK("https://klasma.github.io/Logging_0980/tillsyn/A 12315-2024 tillsynsbegäran.docx", "A 12315-2024")</f>
        <v/>
      </c>
      <c r="Y158">
        <f>HYPERLINK("https://klasma.github.io/Logging_0980/tillsynsmail/A 12315-2024 tillsynsbegäran mail.docx", "A 12315-2024")</f>
        <v/>
      </c>
    </row>
    <row r="159" ht="15" customHeight="1">
      <c r="A159" t="inlineStr">
        <is>
          <t>A 16331-2024</t>
        </is>
      </c>
      <c r="B159" s="1" t="n">
        <v>45407</v>
      </c>
      <c r="C159" s="1" t="n">
        <v>45568</v>
      </c>
      <c r="D159" t="inlineStr">
        <is>
          <t>GOTLANDS LÄN</t>
        </is>
      </c>
      <c r="E159" t="inlineStr">
        <is>
          <t>GOTLAND</t>
        </is>
      </c>
      <c r="G159" t="n">
        <v>4.2</v>
      </c>
      <c r="H159" t="n">
        <v>0</v>
      </c>
      <c r="I159" t="n">
        <v>2</v>
      </c>
      <c r="J159" t="n">
        <v>0</v>
      </c>
      <c r="K159" t="n">
        <v>0</v>
      </c>
      <c r="L159" t="n">
        <v>0</v>
      </c>
      <c r="M159" t="n">
        <v>0</v>
      </c>
      <c r="N159" t="n">
        <v>0</v>
      </c>
      <c r="O159" t="n">
        <v>0</v>
      </c>
      <c r="P159" t="n">
        <v>0</v>
      </c>
      <c r="Q159" t="n">
        <v>2</v>
      </c>
      <c r="R159" s="2" t="inlineStr">
        <is>
          <t>Blå slemspindling
Västlig hakmossa</t>
        </is>
      </c>
      <c r="S159">
        <f>HYPERLINK("https://klasma.github.io/Logging_0980/artfynd/A 16331-2024 artfynd.xlsx", "A 16331-2024")</f>
        <v/>
      </c>
      <c r="T159">
        <f>HYPERLINK("https://klasma.github.io/Logging_0980/kartor/A 16331-2024 karta.png", "A 16331-2024")</f>
        <v/>
      </c>
      <c r="V159">
        <f>HYPERLINK("https://klasma.github.io/Logging_0980/klagomål/A 16331-2024 FSC-klagomål.docx", "A 16331-2024")</f>
        <v/>
      </c>
      <c r="W159">
        <f>HYPERLINK("https://klasma.github.io/Logging_0980/klagomålsmail/A 16331-2024 FSC-klagomål mail.docx", "A 16331-2024")</f>
        <v/>
      </c>
      <c r="X159">
        <f>HYPERLINK("https://klasma.github.io/Logging_0980/tillsyn/A 16331-2024 tillsynsbegäran.docx", "A 16331-2024")</f>
        <v/>
      </c>
      <c r="Y159">
        <f>HYPERLINK("https://klasma.github.io/Logging_0980/tillsynsmail/A 16331-2024 tillsynsbegäran mail.docx", "A 16331-2024")</f>
        <v/>
      </c>
    </row>
    <row r="160" ht="15" customHeight="1">
      <c r="A160" t="inlineStr">
        <is>
          <t>A 17533-2024</t>
        </is>
      </c>
      <c r="B160" s="1" t="n">
        <v>45415</v>
      </c>
      <c r="C160" s="1" t="n">
        <v>45568</v>
      </c>
      <c r="D160" t="inlineStr">
        <is>
          <t>GOTLANDS LÄN</t>
        </is>
      </c>
      <c r="E160" t="inlineStr">
        <is>
          <t>GOTLAND</t>
        </is>
      </c>
      <c r="G160" t="n">
        <v>2.3</v>
      </c>
      <c r="H160" t="n">
        <v>0</v>
      </c>
      <c r="I160" t="n">
        <v>1</v>
      </c>
      <c r="J160" t="n">
        <v>0</v>
      </c>
      <c r="K160" t="n">
        <v>1</v>
      </c>
      <c r="L160" t="n">
        <v>0</v>
      </c>
      <c r="M160" t="n">
        <v>0</v>
      </c>
      <c r="N160" t="n">
        <v>0</v>
      </c>
      <c r="O160" t="n">
        <v>1</v>
      </c>
      <c r="P160" t="n">
        <v>1</v>
      </c>
      <c r="Q160" t="n">
        <v>2</v>
      </c>
      <c r="R160" s="2" t="inlineStr">
        <is>
          <t>Skogskorn
Strävlosta</t>
        </is>
      </c>
      <c r="S160">
        <f>HYPERLINK("https://klasma.github.io/Logging_0980/artfynd/A 17533-2024 artfynd.xlsx", "A 17533-2024")</f>
        <v/>
      </c>
      <c r="T160">
        <f>HYPERLINK("https://klasma.github.io/Logging_0980/kartor/A 17533-2024 karta.png", "A 17533-2024")</f>
        <v/>
      </c>
      <c r="V160">
        <f>HYPERLINK("https://klasma.github.io/Logging_0980/klagomål/A 17533-2024 FSC-klagomål.docx", "A 17533-2024")</f>
        <v/>
      </c>
      <c r="W160">
        <f>HYPERLINK("https://klasma.github.io/Logging_0980/klagomålsmail/A 17533-2024 FSC-klagomål mail.docx", "A 17533-2024")</f>
        <v/>
      </c>
      <c r="X160">
        <f>HYPERLINK("https://klasma.github.io/Logging_0980/tillsyn/A 17533-2024 tillsynsbegäran.docx", "A 17533-2024")</f>
        <v/>
      </c>
      <c r="Y160">
        <f>HYPERLINK("https://klasma.github.io/Logging_0980/tillsynsmail/A 17533-2024 tillsynsbegäran mail.docx", "A 17533-2024")</f>
        <v/>
      </c>
    </row>
    <row r="161" ht="15" customHeight="1">
      <c r="A161" t="inlineStr">
        <is>
          <t>A 25973-2024</t>
        </is>
      </c>
      <c r="B161" s="1" t="n">
        <v>45467</v>
      </c>
      <c r="C161" s="1" t="n">
        <v>45568</v>
      </c>
      <c r="D161" t="inlineStr">
        <is>
          <t>GOTLANDS LÄN</t>
        </is>
      </c>
      <c r="E161" t="inlineStr">
        <is>
          <t>GOTLAND</t>
        </is>
      </c>
      <c r="G161" t="n">
        <v>2.3</v>
      </c>
      <c r="H161" t="n">
        <v>1</v>
      </c>
      <c r="I161" t="n">
        <v>0</v>
      </c>
      <c r="J161" t="n">
        <v>2</v>
      </c>
      <c r="K161" t="n">
        <v>0</v>
      </c>
      <c r="L161" t="n">
        <v>0</v>
      </c>
      <c r="M161" t="n">
        <v>0</v>
      </c>
      <c r="N161" t="n">
        <v>0</v>
      </c>
      <c r="O161" t="n">
        <v>2</v>
      </c>
      <c r="P161" t="n">
        <v>0</v>
      </c>
      <c r="Q161" t="n">
        <v>2</v>
      </c>
      <c r="R161" s="2" t="inlineStr">
        <is>
          <t>Dårgräsfjäril
Svinrot</t>
        </is>
      </c>
      <c r="S161">
        <f>HYPERLINK("https://klasma.github.io/Logging_0980/artfynd/A 25973-2024 artfynd.xlsx", "A 25973-2024")</f>
        <v/>
      </c>
      <c r="T161">
        <f>HYPERLINK("https://klasma.github.io/Logging_0980/kartor/A 25973-2024 karta.png", "A 25973-2024")</f>
        <v/>
      </c>
      <c r="V161">
        <f>HYPERLINK("https://klasma.github.io/Logging_0980/klagomål/A 25973-2024 FSC-klagomål.docx", "A 25973-2024")</f>
        <v/>
      </c>
      <c r="W161">
        <f>HYPERLINK("https://klasma.github.io/Logging_0980/klagomålsmail/A 25973-2024 FSC-klagomål mail.docx", "A 25973-2024")</f>
        <v/>
      </c>
      <c r="X161">
        <f>HYPERLINK("https://klasma.github.io/Logging_0980/tillsyn/A 25973-2024 tillsynsbegäran.docx", "A 25973-2024")</f>
        <v/>
      </c>
      <c r="Y161">
        <f>HYPERLINK("https://klasma.github.io/Logging_0980/tillsynsmail/A 25973-2024 tillsynsbegäran mail.docx", "A 25973-2024")</f>
        <v/>
      </c>
    </row>
    <row r="162" ht="15" customHeight="1">
      <c r="A162" t="inlineStr">
        <is>
          <t>A 26077-2024</t>
        </is>
      </c>
      <c r="B162" s="1" t="n">
        <v>45467</v>
      </c>
      <c r="C162" s="1" t="n">
        <v>45568</v>
      </c>
      <c r="D162" t="inlineStr">
        <is>
          <t>GOTLANDS LÄN</t>
        </is>
      </c>
      <c r="E162" t="inlineStr">
        <is>
          <t>GOTLAND</t>
        </is>
      </c>
      <c r="G162" t="n">
        <v>4.6</v>
      </c>
      <c r="H162" t="n">
        <v>0</v>
      </c>
      <c r="I162" t="n">
        <v>0</v>
      </c>
      <c r="J162" t="n">
        <v>1</v>
      </c>
      <c r="K162" t="n">
        <v>0</v>
      </c>
      <c r="L162" t="n">
        <v>1</v>
      </c>
      <c r="M162" t="n">
        <v>0</v>
      </c>
      <c r="N162" t="n">
        <v>0</v>
      </c>
      <c r="O162" t="n">
        <v>2</v>
      </c>
      <c r="P162" t="n">
        <v>1</v>
      </c>
      <c r="Q162" t="n">
        <v>2</v>
      </c>
      <c r="R162" s="2" t="inlineStr">
        <is>
          <t>Ask
Tallticka</t>
        </is>
      </c>
      <c r="S162">
        <f>HYPERLINK("https://klasma.github.io/Logging_0980/artfynd/A 26077-2024 artfynd.xlsx", "A 26077-2024")</f>
        <v/>
      </c>
      <c r="T162">
        <f>HYPERLINK("https://klasma.github.io/Logging_0980/kartor/A 26077-2024 karta.png", "A 26077-2024")</f>
        <v/>
      </c>
      <c r="V162">
        <f>HYPERLINK("https://klasma.github.io/Logging_0980/klagomål/A 26077-2024 FSC-klagomål.docx", "A 26077-2024")</f>
        <v/>
      </c>
      <c r="W162">
        <f>HYPERLINK("https://klasma.github.io/Logging_0980/klagomålsmail/A 26077-2024 FSC-klagomål mail.docx", "A 26077-2024")</f>
        <v/>
      </c>
      <c r="X162">
        <f>HYPERLINK("https://klasma.github.io/Logging_0980/tillsyn/A 26077-2024 tillsynsbegäran.docx", "A 26077-2024")</f>
        <v/>
      </c>
      <c r="Y162">
        <f>HYPERLINK("https://klasma.github.io/Logging_0980/tillsynsmail/A 26077-2024 tillsynsbegäran mail.docx", "A 26077-2024")</f>
        <v/>
      </c>
    </row>
    <row r="163" ht="15" customHeight="1">
      <c r="A163" t="inlineStr">
        <is>
          <t>A 28261-2024</t>
        </is>
      </c>
      <c r="B163" s="1" t="n">
        <v>45477</v>
      </c>
      <c r="C163" s="1" t="n">
        <v>45568</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28261-2024 artfynd.xlsx", "A 28261-2024")</f>
        <v/>
      </c>
      <c r="T163">
        <f>HYPERLINK("https://klasma.github.io/Logging_0980/kartor/A 28261-2024 karta.png", "A 28261-2024")</f>
        <v/>
      </c>
      <c r="V163">
        <f>HYPERLINK("https://klasma.github.io/Logging_0980/klagomål/A 28261-2024 FSC-klagomål.docx", "A 28261-2024")</f>
        <v/>
      </c>
      <c r="W163">
        <f>HYPERLINK("https://klasma.github.io/Logging_0980/klagomålsmail/A 28261-2024 FSC-klagomål mail.docx", "A 28261-2024")</f>
        <v/>
      </c>
      <c r="X163">
        <f>HYPERLINK("https://klasma.github.io/Logging_0980/tillsyn/A 28261-2024 tillsynsbegäran.docx", "A 28261-2024")</f>
        <v/>
      </c>
      <c r="Y163">
        <f>HYPERLINK("https://klasma.github.io/Logging_0980/tillsynsmail/A 28261-2024 tillsynsbegäran mail.docx", "A 28261-2024")</f>
        <v/>
      </c>
    </row>
    <row r="164" ht="15" customHeight="1">
      <c r="A164" t="inlineStr">
        <is>
          <t>A 28276-2024</t>
        </is>
      </c>
      <c r="B164" s="1" t="n">
        <v>45477</v>
      </c>
      <c r="C164" s="1" t="n">
        <v>45568</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28276-2024 artfynd.xlsx", "A 28276-2024")</f>
        <v/>
      </c>
      <c r="T164">
        <f>HYPERLINK("https://klasma.github.io/Logging_0980/kartor/A 28276-2024 karta.png", "A 28276-2024")</f>
        <v/>
      </c>
      <c r="V164">
        <f>HYPERLINK("https://klasma.github.io/Logging_0980/klagomål/A 28276-2024 FSC-klagomål.docx", "A 28276-2024")</f>
        <v/>
      </c>
      <c r="W164">
        <f>HYPERLINK("https://klasma.github.io/Logging_0980/klagomålsmail/A 28276-2024 FSC-klagomål mail.docx", "A 28276-2024")</f>
        <v/>
      </c>
      <c r="X164">
        <f>HYPERLINK("https://klasma.github.io/Logging_0980/tillsyn/A 28276-2024 tillsynsbegäran.docx", "A 28276-2024")</f>
        <v/>
      </c>
      <c r="Y164">
        <f>HYPERLINK("https://klasma.github.io/Logging_0980/tillsynsmail/A 28276-2024 tillsynsbegäran mail.docx", "A 28276-2024")</f>
        <v/>
      </c>
    </row>
    <row r="165" ht="15" customHeight="1">
      <c r="A165" t="inlineStr">
        <is>
          <t>A 18223-2019</t>
        </is>
      </c>
      <c r="B165" s="1" t="n">
        <v>43558</v>
      </c>
      <c r="C165" s="1" t="n">
        <v>45568</v>
      </c>
      <c r="D165" t="inlineStr">
        <is>
          <t>GOTLANDS LÄN</t>
        </is>
      </c>
      <c r="E165" t="inlineStr">
        <is>
          <t>GOTLAND</t>
        </is>
      </c>
      <c r="G165" t="n">
        <v>1.1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18223-2019 artfynd.xlsx", "A 18223-2019")</f>
        <v/>
      </c>
      <c r="T165">
        <f>HYPERLINK("https://klasma.github.io/Logging_0980/kartor/A 18223-2019 karta.png", "A 18223-2019")</f>
        <v/>
      </c>
      <c r="V165">
        <f>HYPERLINK("https://klasma.github.io/Logging_0980/klagomål/A 18223-2019 FSC-klagomål.docx", "A 18223-2019")</f>
        <v/>
      </c>
      <c r="W165">
        <f>HYPERLINK("https://klasma.github.io/Logging_0980/klagomålsmail/A 18223-2019 FSC-klagomål mail.docx", "A 18223-2019")</f>
        <v/>
      </c>
      <c r="X165">
        <f>HYPERLINK("https://klasma.github.io/Logging_0980/tillsyn/A 18223-2019 tillsynsbegäran.docx", "A 18223-2019")</f>
        <v/>
      </c>
      <c r="Y165">
        <f>HYPERLINK("https://klasma.github.io/Logging_0980/tillsynsmail/A 18223-2019 tillsynsbegäran mail.docx", "A 18223-2019")</f>
        <v/>
      </c>
    </row>
    <row r="166" ht="15" customHeight="1">
      <c r="A166" t="inlineStr">
        <is>
          <t>A 23016-2019</t>
        </is>
      </c>
      <c r="B166" s="1" t="n">
        <v>43591</v>
      </c>
      <c r="C166" s="1" t="n">
        <v>45568</v>
      </c>
      <c r="D166" t="inlineStr">
        <is>
          <t>GOTLANDS LÄN</t>
        </is>
      </c>
      <c r="E166" t="inlineStr">
        <is>
          <t>GOTLAND</t>
        </is>
      </c>
      <c r="G166" t="n">
        <v>7.9</v>
      </c>
      <c r="H166" t="n">
        <v>1</v>
      </c>
      <c r="I166" t="n">
        <v>0</v>
      </c>
      <c r="J166" t="n">
        <v>0</v>
      </c>
      <c r="K166" t="n">
        <v>0</v>
      </c>
      <c r="L166" t="n">
        <v>0</v>
      </c>
      <c r="M166" t="n">
        <v>0</v>
      </c>
      <c r="N166" t="n">
        <v>0</v>
      </c>
      <c r="O166" t="n">
        <v>0</v>
      </c>
      <c r="P166" t="n">
        <v>0</v>
      </c>
      <c r="Q166" t="n">
        <v>1</v>
      </c>
      <c r="R166" s="2" t="inlineStr">
        <is>
          <t>Lopplummer</t>
        </is>
      </c>
      <c r="S166">
        <f>HYPERLINK("https://klasma.github.io/Logging_0980/artfynd/A 23016-2019 artfynd.xlsx", "A 23016-2019")</f>
        <v/>
      </c>
      <c r="T166">
        <f>HYPERLINK("https://klasma.github.io/Logging_0980/kartor/A 23016-2019 karta.png", "A 23016-2019")</f>
        <v/>
      </c>
      <c r="V166">
        <f>HYPERLINK("https://klasma.github.io/Logging_0980/klagomål/A 23016-2019 FSC-klagomål.docx", "A 23016-2019")</f>
        <v/>
      </c>
      <c r="W166">
        <f>HYPERLINK("https://klasma.github.io/Logging_0980/klagomålsmail/A 23016-2019 FSC-klagomål mail.docx", "A 23016-2019")</f>
        <v/>
      </c>
      <c r="X166">
        <f>HYPERLINK("https://klasma.github.io/Logging_0980/tillsyn/A 23016-2019 tillsynsbegäran.docx", "A 23016-2019")</f>
        <v/>
      </c>
      <c r="Y166">
        <f>HYPERLINK("https://klasma.github.io/Logging_0980/tillsynsmail/A 23016-2019 tillsynsbegäran mail.docx", "A 23016-2019")</f>
        <v/>
      </c>
    </row>
    <row r="167" ht="15" customHeight="1">
      <c r="A167" t="inlineStr">
        <is>
          <t>A 32963-2019</t>
        </is>
      </c>
      <c r="B167" s="1" t="n">
        <v>43648</v>
      </c>
      <c r="C167" s="1" t="n">
        <v>45568</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Mindre blåvinge</t>
        </is>
      </c>
      <c r="S167">
        <f>HYPERLINK("https://klasma.github.io/Logging_0980/artfynd/A 32963-2019 artfynd.xlsx", "A 32963-2019")</f>
        <v/>
      </c>
      <c r="T167">
        <f>HYPERLINK("https://klasma.github.io/Logging_0980/kartor/A 32963-2019 karta.png", "A 32963-2019")</f>
        <v/>
      </c>
      <c r="V167">
        <f>HYPERLINK("https://klasma.github.io/Logging_0980/klagomål/A 32963-2019 FSC-klagomål.docx", "A 32963-2019")</f>
        <v/>
      </c>
      <c r="W167">
        <f>HYPERLINK("https://klasma.github.io/Logging_0980/klagomålsmail/A 32963-2019 FSC-klagomål mail.docx", "A 32963-2019")</f>
        <v/>
      </c>
      <c r="X167">
        <f>HYPERLINK("https://klasma.github.io/Logging_0980/tillsyn/A 32963-2019 tillsynsbegäran.docx", "A 32963-2019")</f>
        <v/>
      </c>
      <c r="Y167">
        <f>HYPERLINK("https://klasma.github.io/Logging_0980/tillsynsmail/A 32963-2019 tillsynsbegäran mail.docx", "A 32963-2019")</f>
        <v/>
      </c>
    </row>
    <row r="168" ht="15" customHeight="1">
      <c r="A168" t="inlineStr">
        <is>
          <t>A 48584-2019</t>
        </is>
      </c>
      <c r="B168" s="1" t="n">
        <v>43727</v>
      </c>
      <c r="C168" s="1" t="n">
        <v>45568</v>
      </c>
      <c r="D168" t="inlineStr">
        <is>
          <t>GOTLANDS LÄN</t>
        </is>
      </c>
      <c r="E168" t="inlineStr">
        <is>
          <t>GOTLAND</t>
        </is>
      </c>
      <c r="G168" t="n">
        <v>4.4</v>
      </c>
      <c r="H168" t="n">
        <v>0</v>
      </c>
      <c r="I168" t="n">
        <v>1</v>
      </c>
      <c r="J168" t="n">
        <v>0</v>
      </c>
      <c r="K168" t="n">
        <v>0</v>
      </c>
      <c r="L168" t="n">
        <v>0</v>
      </c>
      <c r="M168" t="n">
        <v>0</v>
      </c>
      <c r="N168" t="n">
        <v>0</v>
      </c>
      <c r="O168" t="n">
        <v>0</v>
      </c>
      <c r="P168" t="n">
        <v>0</v>
      </c>
      <c r="Q168" t="n">
        <v>1</v>
      </c>
      <c r="R168" s="2" t="inlineStr">
        <is>
          <t>Scharlakansskål</t>
        </is>
      </c>
      <c r="S168">
        <f>HYPERLINK("https://klasma.github.io/Logging_0980/artfynd/A 48584-2019 artfynd.xlsx", "A 48584-2019")</f>
        <v/>
      </c>
      <c r="T168">
        <f>HYPERLINK("https://klasma.github.io/Logging_0980/kartor/A 48584-2019 karta.png", "A 48584-2019")</f>
        <v/>
      </c>
      <c r="V168">
        <f>HYPERLINK("https://klasma.github.io/Logging_0980/klagomål/A 48584-2019 FSC-klagomål.docx", "A 48584-2019")</f>
        <v/>
      </c>
      <c r="W168">
        <f>HYPERLINK("https://klasma.github.io/Logging_0980/klagomålsmail/A 48584-2019 FSC-klagomål mail.docx", "A 48584-2019")</f>
        <v/>
      </c>
      <c r="X168">
        <f>HYPERLINK("https://klasma.github.io/Logging_0980/tillsyn/A 48584-2019 tillsynsbegäran.docx", "A 48584-2019")</f>
        <v/>
      </c>
      <c r="Y168">
        <f>HYPERLINK("https://klasma.github.io/Logging_0980/tillsynsmail/A 48584-2019 tillsynsbegäran mail.docx", "A 48584-2019")</f>
        <v/>
      </c>
    </row>
    <row r="169" ht="15" customHeight="1">
      <c r="A169" t="inlineStr">
        <is>
          <t>A 68988-2019</t>
        </is>
      </c>
      <c r="B169" s="1" t="n">
        <v>43826</v>
      </c>
      <c r="C169" s="1" t="n">
        <v>45568</v>
      </c>
      <c r="D169" t="inlineStr">
        <is>
          <t>GOTLANDS LÄN</t>
        </is>
      </c>
      <c r="E169" t="inlineStr">
        <is>
          <t>GOTLAND</t>
        </is>
      </c>
      <c r="F169" t="inlineStr">
        <is>
          <t>Kyrkan</t>
        </is>
      </c>
      <c r="G169" t="n">
        <v>4.6</v>
      </c>
      <c r="H169" t="n">
        <v>0</v>
      </c>
      <c r="I169" t="n">
        <v>1</v>
      </c>
      <c r="J169" t="n">
        <v>0</v>
      </c>
      <c r="K169" t="n">
        <v>0</v>
      </c>
      <c r="L169" t="n">
        <v>0</v>
      </c>
      <c r="M169" t="n">
        <v>0</v>
      </c>
      <c r="N169" t="n">
        <v>0</v>
      </c>
      <c r="O169" t="n">
        <v>0</v>
      </c>
      <c r="P169" t="n">
        <v>0</v>
      </c>
      <c r="Q169" t="n">
        <v>1</v>
      </c>
      <c r="R169" s="2" t="inlineStr">
        <is>
          <t>Kattfotslav</t>
        </is>
      </c>
      <c r="S169">
        <f>HYPERLINK("https://klasma.github.io/Logging_0980/artfynd/A 68988-2019 artfynd.xlsx", "A 68988-2019")</f>
        <v/>
      </c>
      <c r="T169">
        <f>HYPERLINK("https://klasma.github.io/Logging_0980/kartor/A 68988-2019 karta.png", "A 68988-2019")</f>
        <v/>
      </c>
      <c r="V169">
        <f>HYPERLINK("https://klasma.github.io/Logging_0980/klagomål/A 68988-2019 FSC-klagomål.docx", "A 68988-2019")</f>
        <v/>
      </c>
      <c r="W169">
        <f>HYPERLINK("https://klasma.github.io/Logging_0980/klagomålsmail/A 68988-2019 FSC-klagomål mail.docx", "A 68988-2019")</f>
        <v/>
      </c>
      <c r="X169">
        <f>HYPERLINK("https://klasma.github.io/Logging_0980/tillsyn/A 68988-2019 tillsynsbegäran.docx", "A 68988-2019")</f>
        <v/>
      </c>
      <c r="Y169">
        <f>HYPERLINK("https://klasma.github.io/Logging_0980/tillsynsmail/A 68988-2019 tillsynsbegäran mail.docx", "A 68988-2019")</f>
        <v/>
      </c>
    </row>
    <row r="170" ht="15" customHeight="1">
      <c r="A170" t="inlineStr">
        <is>
          <t>A 14010-2020</t>
        </is>
      </c>
      <c r="B170" s="1" t="n">
        <v>43899</v>
      </c>
      <c r="C170" s="1" t="n">
        <v>45568</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Gulsparv</t>
        </is>
      </c>
      <c r="S170">
        <f>HYPERLINK("https://klasma.github.io/Logging_0980/artfynd/A 14010-2020 artfynd.xlsx", "A 14010-2020")</f>
        <v/>
      </c>
      <c r="T170">
        <f>HYPERLINK("https://klasma.github.io/Logging_0980/kartor/A 14010-2020 karta.png", "A 14010-2020")</f>
        <v/>
      </c>
      <c r="V170">
        <f>HYPERLINK("https://klasma.github.io/Logging_0980/klagomål/A 14010-2020 FSC-klagomål.docx", "A 14010-2020")</f>
        <v/>
      </c>
      <c r="W170">
        <f>HYPERLINK("https://klasma.github.io/Logging_0980/klagomålsmail/A 14010-2020 FSC-klagomål mail.docx", "A 14010-2020")</f>
        <v/>
      </c>
      <c r="X170">
        <f>HYPERLINK("https://klasma.github.io/Logging_0980/tillsyn/A 14010-2020 tillsynsbegäran.docx", "A 14010-2020")</f>
        <v/>
      </c>
      <c r="Y170">
        <f>HYPERLINK("https://klasma.github.io/Logging_0980/tillsynsmail/A 14010-2020 tillsynsbegäran mail.docx", "A 14010-2020")</f>
        <v/>
      </c>
      <c r="Z170">
        <f>HYPERLINK("https://klasma.github.io/Logging_0980/fåglar/A 14010-2020 prioriterade fågelarter.docx", "A 14010-2020")</f>
        <v/>
      </c>
    </row>
    <row r="171" ht="15" customHeight="1">
      <c r="A171" t="inlineStr">
        <is>
          <t>A 16786-2020</t>
        </is>
      </c>
      <c r="B171" s="1" t="n">
        <v>43913</v>
      </c>
      <c r="C171" s="1" t="n">
        <v>45568</v>
      </c>
      <c r="D171" t="inlineStr">
        <is>
          <t>GOTLANDS LÄN</t>
        </is>
      </c>
      <c r="E171" t="inlineStr">
        <is>
          <t>GOTLAND</t>
        </is>
      </c>
      <c r="G171" t="n">
        <v>5.9</v>
      </c>
      <c r="H171" t="n">
        <v>0</v>
      </c>
      <c r="I171" t="n">
        <v>1</v>
      </c>
      <c r="J171" t="n">
        <v>0</v>
      </c>
      <c r="K171" t="n">
        <v>0</v>
      </c>
      <c r="L171" t="n">
        <v>0</v>
      </c>
      <c r="M171" t="n">
        <v>0</v>
      </c>
      <c r="N171" t="n">
        <v>0</v>
      </c>
      <c r="O171" t="n">
        <v>0</v>
      </c>
      <c r="P171" t="n">
        <v>0</v>
      </c>
      <c r="Q171" t="n">
        <v>1</v>
      </c>
      <c r="R171" s="2" t="inlineStr">
        <is>
          <t>Skarp dropptaggsvamp</t>
        </is>
      </c>
      <c r="S171">
        <f>HYPERLINK("https://klasma.github.io/Logging_0980/artfynd/A 16786-2020 artfynd.xlsx", "A 16786-2020")</f>
        <v/>
      </c>
      <c r="T171">
        <f>HYPERLINK("https://klasma.github.io/Logging_0980/kartor/A 16786-2020 karta.png", "A 16786-2020")</f>
        <v/>
      </c>
      <c r="V171">
        <f>HYPERLINK("https://klasma.github.io/Logging_0980/klagomål/A 16786-2020 FSC-klagomål.docx", "A 16786-2020")</f>
        <v/>
      </c>
      <c r="W171">
        <f>HYPERLINK("https://klasma.github.io/Logging_0980/klagomålsmail/A 16786-2020 FSC-klagomål mail.docx", "A 16786-2020")</f>
        <v/>
      </c>
      <c r="X171">
        <f>HYPERLINK("https://klasma.github.io/Logging_0980/tillsyn/A 16786-2020 tillsynsbegäran.docx", "A 16786-2020")</f>
        <v/>
      </c>
      <c r="Y171">
        <f>HYPERLINK("https://klasma.github.io/Logging_0980/tillsynsmail/A 16786-2020 tillsynsbegäran mail.docx", "A 16786-2020")</f>
        <v/>
      </c>
    </row>
    <row r="172" ht="15" customHeight="1">
      <c r="A172" t="inlineStr">
        <is>
          <t>A 21753-2020</t>
        </is>
      </c>
      <c r="B172" s="1" t="n">
        <v>43957</v>
      </c>
      <c r="C172" s="1" t="n">
        <v>45568</v>
      </c>
      <c r="D172" t="inlineStr">
        <is>
          <t>GOTLANDS LÄN</t>
        </is>
      </c>
      <c r="E172" t="inlineStr">
        <is>
          <t>GOTLAND</t>
        </is>
      </c>
      <c r="G172" t="n">
        <v>3.5</v>
      </c>
      <c r="H172" t="n">
        <v>0</v>
      </c>
      <c r="I172" t="n">
        <v>0</v>
      </c>
      <c r="J172" t="n">
        <v>0</v>
      </c>
      <c r="K172" t="n">
        <v>0</v>
      </c>
      <c r="L172" t="n">
        <v>0</v>
      </c>
      <c r="M172" t="n">
        <v>1</v>
      </c>
      <c r="N172" t="n">
        <v>0</v>
      </c>
      <c r="O172" t="n">
        <v>1</v>
      </c>
      <c r="P172" t="n">
        <v>1</v>
      </c>
      <c r="Q172" t="n">
        <v>1</v>
      </c>
      <c r="R172" s="2" t="inlineStr">
        <is>
          <t>Skogsalm</t>
        </is>
      </c>
      <c r="S172">
        <f>HYPERLINK("https://klasma.github.io/Logging_0980/artfynd/A 21753-2020 artfynd.xlsx", "A 21753-2020")</f>
        <v/>
      </c>
      <c r="T172">
        <f>HYPERLINK("https://klasma.github.io/Logging_0980/kartor/A 21753-2020 karta.png", "A 21753-2020")</f>
        <v/>
      </c>
      <c r="V172">
        <f>HYPERLINK("https://klasma.github.io/Logging_0980/klagomål/A 21753-2020 FSC-klagomål.docx", "A 21753-2020")</f>
        <v/>
      </c>
      <c r="W172">
        <f>HYPERLINK("https://klasma.github.io/Logging_0980/klagomålsmail/A 21753-2020 FSC-klagomål mail.docx", "A 21753-2020")</f>
        <v/>
      </c>
      <c r="X172">
        <f>HYPERLINK("https://klasma.github.io/Logging_0980/tillsyn/A 21753-2020 tillsynsbegäran.docx", "A 21753-2020")</f>
        <v/>
      </c>
      <c r="Y172">
        <f>HYPERLINK("https://klasma.github.io/Logging_0980/tillsynsmail/A 21753-2020 tillsynsbegäran mail.docx", "A 21753-2020")</f>
        <v/>
      </c>
    </row>
    <row r="173" ht="15" customHeight="1">
      <c r="A173" t="inlineStr">
        <is>
          <t>A 22203-2020</t>
        </is>
      </c>
      <c r="B173" s="1" t="n">
        <v>43962</v>
      </c>
      <c r="C173" s="1" t="n">
        <v>45568</v>
      </c>
      <c r="D173" t="inlineStr">
        <is>
          <t>GOTLANDS LÄN</t>
        </is>
      </c>
      <c r="E173" t="inlineStr">
        <is>
          <t>GOTLAND</t>
        </is>
      </c>
      <c r="G173" t="n">
        <v>3.2</v>
      </c>
      <c r="H173" t="n">
        <v>0</v>
      </c>
      <c r="I173" t="n">
        <v>0</v>
      </c>
      <c r="J173" t="n">
        <v>1</v>
      </c>
      <c r="K173" t="n">
        <v>0</v>
      </c>
      <c r="L173" t="n">
        <v>0</v>
      </c>
      <c r="M173" t="n">
        <v>0</v>
      </c>
      <c r="N173" t="n">
        <v>0</v>
      </c>
      <c r="O173" t="n">
        <v>1</v>
      </c>
      <c r="P173" t="n">
        <v>0</v>
      </c>
      <c r="Q173" t="n">
        <v>1</v>
      </c>
      <c r="R173" s="2" t="inlineStr">
        <is>
          <t>Svinrot</t>
        </is>
      </c>
      <c r="S173">
        <f>HYPERLINK("https://klasma.github.io/Logging_0980/artfynd/A 22203-2020 artfynd.xlsx", "A 22203-2020")</f>
        <v/>
      </c>
      <c r="T173">
        <f>HYPERLINK("https://klasma.github.io/Logging_0980/kartor/A 22203-2020 karta.png", "A 22203-2020")</f>
        <v/>
      </c>
      <c r="V173">
        <f>HYPERLINK("https://klasma.github.io/Logging_0980/klagomål/A 22203-2020 FSC-klagomål.docx", "A 22203-2020")</f>
        <v/>
      </c>
      <c r="W173">
        <f>HYPERLINK("https://klasma.github.io/Logging_0980/klagomålsmail/A 22203-2020 FSC-klagomål mail.docx", "A 22203-2020")</f>
        <v/>
      </c>
      <c r="X173">
        <f>HYPERLINK("https://klasma.github.io/Logging_0980/tillsyn/A 22203-2020 tillsynsbegäran.docx", "A 22203-2020")</f>
        <v/>
      </c>
      <c r="Y173">
        <f>HYPERLINK("https://klasma.github.io/Logging_0980/tillsynsmail/A 22203-2020 tillsynsbegäran mail.docx", "A 22203-2020")</f>
        <v/>
      </c>
    </row>
    <row r="174" ht="15" customHeight="1">
      <c r="A174" t="inlineStr">
        <is>
          <t>A 22628-2020</t>
        </is>
      </c>
      <c r="B174" s="1" t="n">
        <v>43963</v>
      </c>
      <c r="C174" s="1" t="n">
        <v>45568</v>
      </c>
      <c r="D174" t="inlineStr">
        <is>
          <t>GOTLANDS LÄN</t>
        </is>
      </c>
      <c r="E174" t="inlineStr">
        <is>
          <t>GOTLAND</t>
        </is>
      </c>
      <c r="G174" t="n">
        <v>4.3</v>
      </c>
      <c r="H174" t="n">
        <v>0</v>
      </c>
      <c r="I174" t="n">
        <v>0</v>
      </c>
      <c r="J174" t="n">
        <v>0</v>
      </c>
      <c r="K174" t="n">
        <v>1</v>
      </c>
      <c r="L174" t="n">
        <v>0</v>
      </c>
      <c r="M174" t="n">
        <v>0</v>
      </c>
      <c r="N174" t="n">
        <v>0</v>
      </c>
      <c r="O174" t="n">
        <v>1</v>
      </c>
      <c r="P174" t="n">
        <v>1</v>
      </c>
      <c r="Q174" t="n">
        <v>1</v>
      </c>
      <c r="R174" s="2" t="inlineStr">
        <is>
          <t>Gotlandsmåra</t>
        </is>
      </c>
      <c r="S174">
        <f>HYPERLINK("https://klasma.github.io/Logging_0980/artfynd/A 22628-2020 artfynd.xlsx", "A 22628-2020")</f>
        <v/>
      </c>
      <c r="T174">
        <f>HYPERLINK("https://klasma.github.io/Logging_0980/kartor/A 22628-2020 karta.png", "A 22628-2020")</f>
        <v/>
      </c>
      <c r="V174">
        <f>HYPERLINK("https://klasma.github.io/Logging_0980/klagomål/A 22628-2020 FSC-klagomål.docx", "A 22628-2020")</f>
        <v/>
      </c>
      <c r="W174">
        <f>HYPERLINK("https://klasma.github.io/Logging_0980/klagomålsmail/A 22628-2020 FSC-klagomål mail.docx", "A 22628-2020")</f>
        <v/>
      </c>
      <c r="X174">
        <f>HYPERLINK("https://klasma.github.io/Logging_0980/tillsyn/A 22628-2020 tillsynsbegäran.docx", "A 22628-2020")</f>
        <v/>
      </c>
      <c r="Y174">
        <f>HYPERLINK("https://klasma.github.io/Logging_0980/tillsynsmail/A 22628-2020 tillsynsbegäran mail.docx", "A 22628-2020")</f>
        <v/>
      </c>
    </row>
    <row r="175" ht="15" customHeight="1">
      <c r="A175" t="inlineStr">
        <is>
          <t>A 39999-2020</t>
        </is>
      </c>
      <c r="B175" s="1" t="n">
        <v>44067</v>
      </c>
      <c r="C175" s="1" t="n">
        <v>45568</v>
      </c>
      <c r="D175" t="inlineStr">
        <is>
          <t>GOTLANDS LÄN</t>
        </is>
      </c>
      <c r="E175" t="inlineStr">
        <is>
          <t>GOTLAND</t>
        </is>
      </c>
      <c r="G175" t="n">
        <v>1.8</v>
      </c>
      <c r="H175" t="n">
        <v>0</v>
      </c>
      <c r="I175" t="n">
        <v>1</v>
      </c>
      <c r="J175" t="n">
        <v>0</v>
      </c>
      <c r="K175" t="n">
        <v>0</v>
      </c>
      <c r="L175" t="n">
        <v>0</v>
      </c>
      <c r="M175" t="n">
        <v>0</v>
      </c>
      <c r="N175" t="n">
        <v>0</v>
      </c>
      <c r="O175" t="n">
        <v>0</v>
      </c>
      <c r="P175" t="n">
        <v>0</v>
      </c>
      <c r="Q175" t="n">
        <v>1</v>
      </c>
      <c r="R175" s="2" t="inlineStr">
        <is>
          <t>Strävlosta</t>
        </is>
      </c>
      <c r="S175">
        <f>HYPERLINK("https://klasma.github.io/Logging_0980/artfynd/A 39999-2020 artfynd.xlsx", "A 39999-2020")</f>
        <v/>
      </c>
      <c r="T175">
        <f>HYPERLINK("https://klasma.github.io/Logging_0980/kartor/A 39999-2020 karta.png", "A 39999-2020")</f>
        <v/>
      </c>
      <c r="V175">
        <f>HYPERLINK("https://klasma.github.io/Logging_0980/klagomål/A 39999-2020 FSC-klagomål.docx", "A 39999-2020")</f>
        <v/>
      </c>
      <c r="W175">
        <f>HYPERLINK("https://klasma.github.io/Logging_0980/klagomålsmail/A 39999-2020 FSC-klagomål mail.docx", "A 39999-2020")</f>
        <v/>
      </c>
      <c r="X175">
        <f>HYPERLINK("https://klasma.github.io/Logging_0980/tillsyn/A 39999-2020 tillsynsbegäran.docx", "A 39999-2020")</f>
        <v/>
      </c>
      <c r="Y175">
        <f>HYPERLINK("https://klasma.github.io/Logging_0980/tillsynsmail/A 39999-2020 tillsynsbegäran mail.docx", "A 39999-2020")</f>
        <v/>
      </c>
    </row>
    <row r="176" ht="15" customHeight="1">
      <c r="A176" t="inlineStr">
        <is>
          <t>A 40266-2020</t>
        </is>
      </c>
      <c r="B176" s="1" t="n">
        <v>44068</v>
      </c>
      <c r="C176" s="1" t="n">
        <v>45568</v>
      </c>
      <c r="D176" t="inlineStr">
        <is>
          <t>GOTLANDS LÄN</t>
        </is>
      </c>
      <c r="E176" t="inlineStr">
        <is>
          <t>GOTLAND</t>
        </is>
      </c>
      <c r="F176" t="inlineStr">
        <is>
          <t>Kyrkan</t>
        </is>
      </c>
      <c r="G176" t="n">
        <v>1.3</v>
      </c>
      <c r="H176" t="n">
        <v>1</v>
      </c>
      <c r="I176" t="n">
        <v>0</v>
      </c>
      <c r="J176" t="n">
        <v>1</v>
      </c>
      <c r="K176" t="n">
        <v>0</v>
      </c>
      <c r="L176" t="n">
        <v>0</v>
      </c>
      <c r="M176" t="n">
        <v>0</v>
      </c>
      <c r="N176" t="n">
        <v>0</v>
      </c>
      <c r="O176" t="n">
        <v>1</v>
      </c>
      <c r="P176" t="n">
        <v>0</v>
      </c>
      <c r="Q176" t="n">
        <v>1</v>
      </c>
      <c r="R176" s="2" t="inlineStr">
        <is>
          <t>Dårgräsfjäril</t>
        </is>
      </c>
      <c r="S176">
        <f>HYPERLINK("https://klasma.github.io/Logging_0980/artfynd/A 40266-2020 artfynd.xlsx", "A 40266-2020")</f>
        <v/>
      </c>
      <c r="T176">
        <f>HYPERLINK("https://klasma.github.io/Logging_0980/kartor/A 40266-2020 karta.png", "A 40266-2020")</f>
        <v/>
      </c>
      <c r="V176">
        <f>HYPERLINK("https://klasma.github.io/Logging_0980/klagomål/A 40266-2020 FSC-klagomål.docx", "A 40266-2020")</f>
        <v/>
      </c>
      <c r="W176">
        <f>HYPERLINK("https://klasma.github.io/Logging_0980/klagomålsmail/A 40266-2020 FSC-klagomål mail.docx", "A 40266-2020")</f>
        <v/>
      </c>
      <c r="X176">
        <f>HYPERLINK("https://klasma.github.io/Logging_0980/tillsyn/A 40266-2020 tillsynsbegäran.docx", "A 40266-2020")</f>
        <v/>
      </c>
      <c r="Y176">
        <f>HYPERLINK("https://klasma.github.io/Logging_0980/tillsynsmail/A 40266-2020 tillsynsbegäran mail.docx", "A 40266-2020")</f>
        <v/>
      </c>
    </row>
    <row r="177" ht="15" customHeight="1">
      <c r="A177" t="inlineStr">
        <is>
          <t>A 41065-2020</t>
        </is>
      </c>
      <c r="B177" s="1" t="n">
        <v>44069</v>
      </c>
      <c r="C177" s="1" t="n">
        <v>45568</v>
      </c>
      <c r="D177" t="inlineStr">
        <is>
          <t>GOTLANDS LÄN</t>
        </is>
      </c>
      <c r="E177" t="inlineStr">
        <is>
          <t>GOTLAND</t>
        </is>
      </c>
      <c r="G177" t="n">
        <v>12</v>
      </c>
      <c r="H177" t="n">
        <v>0</v>
      </c>
      <c r="I177" t="n">
        <v>1</v>
      </c>
      <c r="J177" t="n">
        <v>0</v>
      </c>
      <c r="K177" t="n">
        <v>0</v>
      </c>
      <c r="L177" t="n">
        <v>0</v>
      </c>
      <c r="M177" t="n">
        <v>0</v>
      </c>
      <c r="N177" t="n">
        <v>0</v>
      </c>
      <c r="O177" t="n">
        <v>0</v>
      </c>
      <c r="P177" t="n">
        <v>0</v>
      </c>
      <c r="Q177" t="n">
        <v>1</v>
      </c>
      <c r="R177" s="2" t="inlineStr">
        <is>
          <t>Myskmadra</t>
        </is>
      </c>
      <c r="S177">
        <f>HYPERLINK("https://klasma.github.io/Logging_0980/artfynd/A 41065-2020 artfynd.xlsx", "A 41065-2020")</f>
        <v/>
      </c>
      <c r="T177">
        <f>HYPERLINK("https://klasma.github.io/Logging_0980/kartor/A 41065-2020 karta.png", "A 41065-2020")</f>
        <v/>
      </c>
      <c r="V177">
        <f>HYPERLINK("https://klasma.github.io/Logging_0980/klagomål/A 41065-2020 FSC-klagomål.docx", "A 41065-2020")</f>
        <v/>
      </c>
      <c r="W177">
        <f>HYPERLINK("https://klasma.github.io/Logging_0980/klagomålsmail/A 41065-2020 FSC-klagomål mail.docx", "A 41065-2020")</f>
        <v/>
      </c>
      <c r="X177">
        <f>HYPERLINK("https://klasma.github.io/Logging_0980/tillsyn/A 41065-2020 tillsynsbegäran.docx", "A 41065-2020")</f>
        <v/>
      </c>
      <c r="Y177">
        <f>HYPERLINK("https://klasma.github.io/Logging_0980/tillsynsmail/A 41065-2020 tillsynsbegäran mail.docx", "A 41065-2020")</f>
        <v/>
      </c>
    </row>
    <row r="178" ht="15" customHeight="1">
      <c r="A178" t="inlineStr">
        <is>
          <t>A 44958-2020</t>
        </is>
      </c>
      <c r="B178" s="1" t="n">
        <v>44088</v>
      </c>
      <c r="C178" s="1" t="n">
        <v>45568</v>
      </c>
      <c r="D178" t="inlineStr">
        <is>
          <t>GOTLANDS LÄN</t>
        </is>
      </c>
      <c r="E178" t="inlineStr">
        <is>
          <t>GOTLAND</t>
        </is>
      </c>
      <c r="G178" t="n">
        <v>0.6</v>
      </c>
      <c r="H178" t="n">
        <v>1</v>
      </c>
      <c r="I178" t="n">
        <v>0</v>
      </c>
      <c r="J178" t="n">
        <v>1</v>
      </c>
      <c r="K178" t="n">
        <v>0</v>
      </c>
      <c r="L178" t="n">
        <v>0</v>
      </c>
      <c r="M178" t="n">
        <v>0</v>
      </c>
      <c r="N178" t="n">
        <v>0</v>
      </c>
      <c r="O178" t="n">
        <v>1</v>
      </c>
      <c r="P178" t="n">
        <v>0</v>
      </c>
      <c r="Q178" t="n">
        <v>1</v>
      </c>
      <c r="R178" s="2" t="inlineStr">
        <is>
          <t>Hornuggla</t>
        </is>
      </c>
      <c r="S178">
        <f>HYPERLINK("https://klasma.github.io/Logging_0980/artfynd/A 44958-2020 artfynd.xlsx", "A 44958-2020")</f>
        <v/>
      </c>
      <c r="T178">
        <f>HYPERLINK("https://klasma.github.io/Logging_0980/kartor/A 44958-2020 karta.png", "A 44958-2020")</f>
        <v/>
      </c>
      <c r="V178">
        <f>HYPERLINK("https://klasma.github.io/Logging_0980/klagomål/A 44958-2020 FSC-klagomål.docx", "A 44958-2020")</f>
        <v/>
      </c>
      <c r="W178">
        <f>HYPERLINK("https://klasma.github.io/Logging_0980/klagomålsmail/A 44958-2020 FSC-klagomål mail.docx", "A 44958-2020")</f>
        <v/>
      </c>
      <c r="X178">
        <f>HYPERLINK("https://klasma.github.io/Logging_0980/tillsyn/A 44958-2020 tillsynsbegäran.docx", "A 44958-2020")</f>
        <v/>
      </c>
      <c r="Y178">
        <f>HYPERLINK("https://klasma.github.io/Logging_0980/tillsynsmail/A 44958-2020 tillsynsbegäran mail.docx", "A 44958-2020")</f>
        <v/>
      </c>
      <c r="Z178">
        <f>HYPERLINK("https://klasma.github.io/Logging_0980/fåglar/A 44958-2020 prioriterade fågelarter.docx", "A 44958-2020")</f>
        <v/>
      </c>
    </row>
    <row r="179" ht="15" customHeight="1">
      <c r="A179" t="inlineStr">
        <is>
          <t>A 45924-2020</t>
        </is>
      </c>
      <c r="B179" s="1" t="n">
        <v>44088</v>
      </c>
      <c r="C179" s="1" t="n">
        <v>45568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Myskmadra</t>
        </is>
      </c>
      <c r="S179">
        <f>HYPERLINK("https://klasma.github.io/Logging_0980/artfynd/A 45924-2020 artfynd.xlsx", "A 45924-2020")</f>
        <v/>
      </c>
      <c r="T179">
        <f>HYPERLINK("https://klasma.github.io/Logging_0980/kartor/A 45924-2020 karta.png", "A 45924-2020")</f>
        <v/>
      </c>
      <c r="V179">
        <f>HYPERLINK("https://klasma.github.io/Logging_0980/klagomål/A 45924-2020 FSC-klagomål.docx", "A 45924-2020")</f>
        <v/>
      </c>
      <c r="W179">
        <f>HYPERLINK("https://klasma.github.io/Logging_0980/klagomålsmail/A 45924-2020 FSC-klagomål mail.docx", "A 45924-2020")</f>
        <v/>
      </c>
      <c r="X179">
        <f>HYPERLINK("https://klasma.github.io/Logging_0980/tillsyn/A 45924-2020 tillsynsbegäran.docx", "A 45924-2020")</f>
        <v/>
      </c>
      <c r="Y179">
        <f>HYPERLINK("https://klasma.github.io/Logging_0980/tillsynsmail/A 45924-2020 tillsynsbegäran mail.docx", "A 45924-2020")</f>
        <v/>
      </c>
    </row>
    <row r="180" ht="15" customHeight="1">
      <c r="A180" t="inlineStr">
        <is>
          <t>A 63299-2020</t>
        </is>
      </c>
      <c r="B180" s="1" t="n">
        <v>44165</v>
      </c>
      <c r="C180" s="1" t="n">
        <v>45568</v>
      </c>
      <c r="D180" t="inlineStr">
        <is>
          <t>GOTLANDS LÄN</t>
        </is>
      </c>
      <c r="E180" t="inlineStr">
        <is>
          <t>GOTLAND</t>
        </is>
      </c>
      <c r="G180" t="n">
        <v>12.9</v>
      </c>
      <c r="H180" t="n">
        <v>1</v>
      </c>
      <c r="I180" t="n">
        <v>0</v>
      </c>
      <c r="J180" t="n">
        <v>1</v>
      </c>
      <c r="K180" t="n">
        <v>0</v>
      </c>
      <c r="L180" t="n">
        <v>0</v>
      </c>
      <c r="M180" t="n">
        <v>0</v>
      </c>
      <c r="N180" t="n">
        <v>0</v>
      </c>
      <c r="O180" t="n">
        <v>1</v>
      </c>
      <c r="P180" t="n">
        <v>0</v>
      </c>
      <c r="Q180" t="n">
        <v>1</v>
      </c>
      <c r="R180" s="2" t="inlineStr">
        <is>
          <t>Svartfläckig blåvinge</t>
        </is>
      </c>
      <c r="S180">
        <f>HYPERLINK("https://klasma.github.io/Logging_0980/artfynd/A 63299-2020 artfynd.xlsx", "A 63299-2020")</f>
        <v/>
      </c>
      <c r="T180">
        <f>HYPERLINK("https://klasma.github.io/Logging_0980/kartor/A 63299-2020 karta.png", "A 63299-2020")</f>
        <v/>
      </c>
      <c r="V180">
        <f>HYPERLINK("https://klasma.github.io/Logging_0980/klagomål/A 63299-2020 FSC-klagomål.docx", "A 63299-2020")</f>
        <v/>
      </c>
      <c r="W180">
        <f>HYPERLINK("https://klasma.github.io/Logging_0980/klagomålsmail/A 63299-2020 FSC-klagomål mail.docx", "A 63299-2020")</f>
        <v/>
      </c>
      <c r="X180">
        <f>HYPERLINK("https://klasma.github.io/Logging_0980/tillsyn/A 63299-2020 tillsynsbegäran.docx", "A 63299-2020")</f>
        <v/>
      </c>
      <c r="Y180">
        <f>HYPERLINK("https://klasma.github.io/Logging_0980/tillsynsmail/A 63299-2020 tillsynsbegäran mail.docx", "A 63299-2020")</f>
        <v/>
      </c>
    </row>
    <row r="181" ht="15" customHeight="1">
      <c r="A181" t="inlineStr">
        <is>
          <t>A 24-2021</t>
        </is>
      </c>
      <c r="B181" s="1" t="n">
        <v>44197</v>
      </c>
      <c r="C181" s="1" t="n">
        <v>45568</v>
      </c>
      <c r="D181" t="inlineStr">
        <is>
          <t>GOTLANDS LÄN</t>
        </is>
      </c>
      <c r="E181" t="inlineStr">
        <is>
          <t>GOTLAND</t>
        </is>
      </c>
      <c r="F181" t="inlineStr">
        <is>
          <t>Kyrkan</t>
        </is>
      </c>
      <c r="G181" t="n">
        <v>1.7</v>
      </c>
      <c r="H181" t="n">
        <v>0</v>
      </c>
      <c r="I181" t="n">
        <v>1</v>
      </c>
      <c r="J181" t="n">
        <v>0</v>
      </c>
      <c r="K181" t="n">
        <v>0</v>
      </c>
      <c r="L181" t="n">
        <v>0</v>
      </c>
      <c r="M181" t="n">
        <v>0</v>
      </c>
      <c r="N181" t="n">
        <v>0</v>
      </c>
      <c r="O181" t="n">
        <v>0</v>
      </c>
      <c r="P181" t="n">
        <v>0</v>
      </c>
      <c r="Q181" t="n">
        <v>1</v>
      </c>
      <c r="R181" s="2" t="inlineStr">
        <is>
          <t>Svavelriska</t>
        </is>
      </c>
      <c r="S181">
        <f>HYPERLINK("https://klasma.github.io/Logging_0980/artfynd/A 24-2021 artfynd.xlsx", "A 24-2021")</f>
        <v/>
      </c>
      <c r="T181">
        <f>HYPERLINK("https://klasma.github.io/Logging_0980/kartor/A 24-2021 karta.png", "A 24-2021")</f>
        <v/>
      </c>
      <c r="V181">
        <f>HYPERLINK("https://klasma.github.io/Logging_0980/klagomål/A 24-2021 FSC-klagomål.docx", "A 24-2021")</f>
        <v/>
      </c>
      <c r="W181">
        <f>HYPERLINK("https://klasma.github.io/Logging_0980/klagomålsmail/A 24-2021 FSC-klagomål mail.docx", "A 24-2021")</f>
        <v/>
      </c>
      <c r="X181">
        <f>HYPERLINK("https://klasma.github.io/Logging_0980/tillsyn/A 24-2021 tillsynsbegäran.docx", "A 24-2021")</f>
        <v/>
      </c>
      <c r="Y181">
        <f>HYPERLINK("https://klasma.github.io/Logging_0980/tillsynsmail/A 24-2021 tillsynsbegäran mail.docx", "A 24-2021")</f>
        <v/>
      </c>
    </row>
    <row r="182" ht="15" customHeight="1">
      <c r="A182" t="inlineStr">
        <is>
          <t>A 7485-2021</t>
        </is>
      </c>
      <c r="B182" s="1" t="n">
        <v>44238</v>
      </c>
      <c r="C182" s="1" t="n">
        <v>45568</v>
      </c>
      <c r="D182" t="inlineStr">
        <is>
          <t>GOTLANDS LÄN</t>
        </is>
      </c>
      <c r="E182" t="inlineStr">
        <is>
          <t>GOTLAND</t>
        </is>
      </c>
      <c r="G182" t="n">
        <v>2.9</v>
      </c>
      <c r="H182" t="n">
        <v>1</v>
      </c>
      <c r="I182" t="n">
        <v>0</v>
      </c>
      <c r="J182" t="n">
        <v>1</v>
      </c>
      <c r="K182" t="n">
        <v>0</v>
      </c>
      <c r="L182" t="n">
        <v>0</v>
      </c>
      <c r="M182" t="n">
        <v>0</v>
      </c>
      <c r="N182" t="n">
        <v>0</v>
      </c>
      <c r="O182" t="n">
        <v>1</v>
      </c>
      <c r="P182" t="n">
        <v>0</v>
      </c>
      <c r="Q182" t="n">
        <v>1</v>
      </c>
      <c r="R182" s="2" t="inlineStr">
        <is>
          <t>Spillkråka</t>
        </is>
      </c>
      <c r="S182">
        <f>HYPERLINK("https://klasma.github.io/Logging_0980/artfynd/A 7485-2021 artfynd.xlsx", "A 7485-2021")</f>
        <v/>
      </c>
      <c r="T182">
        <f>HYPERLINK("https://klasma.github.io/Logging_0980/kartor/A 7485-2021 karta.png", "A 7485-2021")</f>
        <v/>
      </c>
      <c r="V182">
        <f>HYPERLINK("https://klasma.github.io/Logging_0980/klagomål/A 7485-2021 FSC-klagomål.docx", "A 7485-2021")</f>
        <v/>
      </c>
      <c r="W182">
        <f>HYPERLINK("https://klasma.github.io/Logging_0980/klagomålsmail/A 7485-2021 FSC-klagomål mail.docx", "A 7485-2021")</f>
        <v/>
      </c>
      <c r="X182">
        <f>HYPERLINK("https://klasma.github.io/Logging_0980/tillsyn/A 7485-2021 tillsynsbegäran.docx", "A 7485-2021")</f>
        <v/>
      </c>
      <c r="Y182">
        <f>HYPERLINK("https://klasma.github.io/Logging_0980/tillsynsmail/A 7485-2021 tillsynsbegäran mail.docx", "A 7485-2021")</f>
        <v/>
      </c>
      <c r="Z182">
        <f>HYPERLINK("https://klasma.github.io/Logging_0980/fåglar/A 7485-2021 prioriterade fågelarter.docx", "A 7485-2021")</f>
        <v/>
      </c>
    </row>
    <row r="183" ht="15" customHeight="1">
      <c r="A183" t="inlineStr">
        <is>
          <t>A 13939-2021</t>
        </is>
      </c>
      <c r="B183" s="1" t="n">
        <v>44277</v>
      </c>
      <c r="C183" s="1" t="n">
        <v>45568</v>
      </c>
      <c r="D183" t="inlineStr">
        <is>
          <t>GOTLANDS LÄN</t>
        </is>
      </c>
      <c r="E183" t="inlineStr">
        <is>
          <t>GOTLAND</t>
        </is>
      </c>
      <c r="G183" t="n">
        <v>1</v>
      </c>
      <c r="H183" t="n">
        <v>0</v>
      </c>
      <c r="I183" t="n">
        <v>0</v>
      </c>
      <c r="J183" t="n">
        <v>1</v>
      </c>
      <c r="K183" t="n">
        <v>0</v>
      </c>
      <c r="L183" t="n">
        <v>0</v>
      </c>
      <c r="M183" t="n">
        <v>0</v>
      </c>
      <c r="N183" t="n">
        <v>0</v>
      </c>
      <c r="O183" t="n">
        <v>1</v>
      </c>
      <c r="P183" t="n">
        <v>0</v>
      </c>
      <c r="Q183" t="n">
        <v>1</v>
      </c>
      <c r="R183" s="2" t="inlineStr">
        <is>
          <t>Axveronika</t>
        </is>
      </c>
      <c r="S183">
        <f>HYPERLINK("https://klasma.github.io/Logging_0980/artfynd/A 13939-2021 artfynd.xlsx", "A 13939-2021")</f>
        <v/>
      </c>
      <c r="T183">
        <f>HYPERLINK("https://klasma.github.io/Logging_0980/kartor/A 13939-2021 karta.png", "A 13939-2021")</f>
        <v/>
      </c>
      <c r="V183">
        <f>HYPERLINK("https://klasma.github.io/Logging_0980/klagomål/A 13939-2021 FSC-klagomål.docx", "A 13939-2021")</f>
        <v/>
      </c>
      <c r="W183">
        <f>HYPERLINK("https://klasma.github.io/Logging_0980/klagomålsmail/A 13939-2021 FSC-klagomål mail.docx", "A 13939-2021")</f>
        <v/>
      </c>
      <c r="X183">
        <f>HYPERLINK("https://klasma.github.io/Logging_0980/tillsyn/A 13939-2021 tillsynsbegäran.docx", "A 13939-2021")</f>
        <v/>
      </c>
      <c r="Y183">
        <f>HYPERLINK("https://klasma.github.io/Logging_0980/tillsynsmail/A 13939-2021 tillsynsbegäran mail.docx", "A 13939-2021")</f>
        <v/>
      </c>
    </row>
    <row r="184" ht="15" customHeight="1">
      <c r="A184" t="inlineStr">
        <is>
          <t>A 17723-2021</t>
        </is>
      </c>
      <c r="B184" s="1" t="n">
        <v>44300</v>
      </c>
      <c r="C184" s="1" t="n">
        <v>45568</v>
      </c>
      <c r="D184" t="inlineStr">
        <is>
          <t>GOTLANDS LÄN</t>
        </is>
      </c>
      <c r="E184" t="inlineStr">
        <is>
          <t>GOTLAND</t>
        </is>
      </c>
      <c r="G184" t="n">
        <v>1.5</v>
      </c>
      <c r="H184" t="n">
        <v>1</v>
      </c>
      <c r="I184" t="n">
        <v>1</v>
      </c>
      <c r="J184" t="n">
        <v>0</v>
      </c>
      <c r="K184" t="n">
        <v>0</v>
      </c>
      <c r="L184" t="n">
        <v>0</v>
      </c>
      <c r="M184" t="n">
        <v>0</v>
      </c>
      <c r="N184" t="n">
        <v>0</v>
      </c>
      <c r="O184" t="n">
        <v>0</v>
      </c>
      <c r="P184" t="n">
        <v>0</v>
      </c>
      <c r="Q184" t="n">
        <v>1</v>
      </c>
      <c r="R184" s="2" t="inlineStr">
        <is>
          <t>Vit skogslilja</t>
        </is>
      </c>
      <c r="S184">
        <f>HYPERLINK("https://klasma.github.io/Logging_0980/artfynd/A 17723-2021 artfynd.xlsx", "A 17723-2021")</f>
        <v/>
      </c>
      <c r="T184">
        <f>HYPERLINK("https://klasma.github.io/Logging_0980/kartor/A 17723-2021 karta.png", "A 17723-2021")</f>
        <v/>
      </c>
      <c r="V184">
        <f>HYPERLINK("https://klasma.github.io/Logging_0980/klagomål/A 17723-2021 FSC-klagomål.docx", "A 17723-2021")</f>
        <v/>
      </c>
      <c r="W184">
        <f>HYPERLINK("https://klasma.github.io/Logging_0980/klagomålsmail/A 17723-2021 FSC-klagomål mail.docx", "A 17723-2021")</f>
        <v/>
      </c>
      <c r="X184">
        <f>HYPERLINK("https://klasma.github.io/Logging_0980/tillsyn/A 17723-2021 tillsynsbegäran.docx", "A 17723-2021")</f>
        <v/>
      </c>
      <c r="Y184">
        <f>HYPERLINK("https://klasma.github.io/Logging_0980/tillsynsmail/A 17723-2021 tillsynsbegäran mail.docx", "A 17723-2021")</f>
        <v/>
      </c>
    </row>
    <row r="185" ht="15" customHeight="1">
      <c r="A185" t="inlineStr">
        <is>
          <t>A 29951-2021</t>
        </is>
      </c>
      <c r="B185" s="1" t="n">
        <v>44362</v>
      </c>
      <c r="C185" s="1" t="n">
        <v>45568</v>
      </c>
      <c r="D185" t="inlineStr">
        <is>
          <t>GOTLANDS LÄN</t>
        </is>
      </c>
      <c r="E185" t="inlineStr">
        <is>
          <t>GOTLAND</t>
        </is>
      </c>
      <c r="G185" t="n">
        <v>3.4</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29951-2021 artfynd.xlsx", "A 29951-2021")</f>
        <v/>
      </c>
      <c r="T185">
        <f>HYPERLINK("https://klasma.github.io/Logging_0980/kartor/A 29951-2021 karta.png", "A 29951-2021")</f>
        <v/>
      </c>
      <c r="V185">
        <f>HYPERLINK("https://klasma.github.io/Logging_0980/klagomål/A 29951-2021 FSC-klagomål.docx", "A 29951-2021")</f>
        <v/>
      </c>
      <c r="W185">
        <f>HYPERLINK("https://klasma.github.io/Logging_0980/klagomålsmail/A 29951-2021 FSC-klagomål mail.docx", "A 29951-2021")</f>
        <v/>
      </c>
      <c r="X185">
        <f>HYPERLINK("https://klasma.github.io/Logging_0980/tillsyn/A 29951-2021 tillsynsbegäran.docx", "A 29951-2021")</f>
        <v/>
      </c>
      <c r="Y185">
        <f>HYPERLINK("https://klasma.github.io/Logging_0980/tillsynsmail/A 29951-2021 tillsynsbegäran mail.docx", "A 29951-2021")</f>
        <v/>
      </c>
    </row>
    <row r="186" ht="15" customHeight="1">
      <c r="A186" t="inlineStr">
        <is>
          <t>A 35467-2021</t>
        </is>
      </c>
      <c r="B186" s="1" t="n">
        <v>44385</v>
      </c>
      <c r="C186" s="1" t="n">
        <v>45568</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44308-2021</t>
        </is>
      </c>
      <c r="B187" s="1" t="n">
        <v>44434</v>
      </c>
      <c r="C187" s="1" t="n">
        <v>45568</v>
      </c>
      <c r="D187" t="inlineStr">
        <is>
          <t>GOTLANDS LÄN</t>
        </is>
      </c>
      <c r="E187" t="inlineStr">
        <is>
          <t>GOTLAND</t>
        </is>
      </c>
      <c r="G187" t="n">
        <v>5.9</v>
      </c>
      <c r="H187" t="n">
        <v>0</v>
      </c>
      <c r="I187" t="n">
        <v>1</v>
      </c>
      <c r="J187" t="n">
        <v>0</v>
      </c>
      <c r="K187" t="n">
        <v>0</v>
      </c>
      <c r="L187" t="n">
        <v>0</v>
      </c>
      <c r="M187" t="n">
        <v>0</v>
      </c>
      <c r="N187" t="n">
        <v>0</v>
      </c>
      <c r="O187" t="n">
        <v>0</v>
      </c>
      <c r="P187" t="n">
        <v>0</v>
      </c>
      <c r="Q187" t="n">
        <v>1</v>
      </c>
      <c r="R187" s="2" t="inlineStr">
        <is>
          <t>Svavelriska</t>
        </is>
      </c>
      <c r="S187">
        <f>HYPERLINK("https://klasma.github.io/Logging_0980/artfynd/A 44308-2021 artfynd.xlsx", "A 44308-2021")</f>
        <v/>
      </c>
      <c r="T187">
        <f>HYPERLINK("https://klasma.github.io/Logging_0980/kartor/A 44308-2021 karta.png", "A 44308-2021")</f>
        <v/>
      </c>
      <c r="V187">
        <f>HYPERLINK("https://klasma.github.io/Logging_0980/klagomål/A 44308-2021 FSC-klagomål.docx", "A 44308-2021")</f>
        <v/>
      </c>
      <c r="W187">
        <f>HYPERLINK("https://klasma.github.io/Logging_0980/klagomålsmail/A 44308-2021 FSC-klagomål mail.docx", "A 44308-2021")</f>
        <v/>
      </c>
      <c r="X187">
        <f>HYPERLINK("https://klasma.github.io/Logging_0980/tillsyn/A 44308-2021 tillsynsbegäran.docx", "A 44308-2021")</f>
        <v/>
      </c>
      <c r="Y187">
        <f>HYPERLINK("https://klasma.github.io/Logging_0980/tillsynsmail/A 44308-2021 tillsynsbegäran mail.docx", "A 44308-2021")</f>
        <v/>
      </c>
    </row>
    <row r="188" ht="15" customHeight="1">
      <c r="A188" t="inlineStr">
        <is>
          <t>A 47411-2021</t>
        </is>
      </c>
      <c r="B188" s="1" t="n">
        <v>44447</v>
      </c>
      <c r="C188" s="1" t="n">
        <v>45568</v>
      </c>
      <c r="D188" t="inlineStr">
        <is>
          <t>GOTLANDS LÄN</t>
        </is>
      </c>
      <c r="E188" t="inlineStr">
        <is>
          <t>GOTLAND</t>
        </is>
      </c>
      <c r="G188" t="n">
        <v>2.7</v>
      </c>
      <c r="H188" t="n">
        <v>1</v>
      </c>
      <c r="I188" t="n">
        <v>0</v>
      </c>
      <c r="J188" t="n">
        <v>0</v>
      </c>
      <c r="K188" t="n">
        <v>0</v>
      </c>
      <c r="L188" t="n">
        <v>0</v>
      </c>
      <c r="M188" t="n">
        <v>0</v>
      </c>
      <c r="N188" t="n">
        <v>0</v>
      </c>
      <c r="O188" t="n">
        <v>0</v>
      </c>
      <c r="P188" t="n">
        <v>0</v>
      </c>
      <c r="Q188" t="n">
        <v>1</v>
      </c>
      <c r="R188" s="2" t="inlineStr">
        <is>
          <t>Revlummer</t>
        </is>
      </c>
      <c r="S188">
        <f>HYPERLINK("https://klasma.github.io/Logging_0980/artfynd/A 47411-2021 artfynd.xlsx", "A 47411-2021")</f>
        <v/>
      </c>
      <c r="T188">
        <f>HYPERLINK("https://klasma.github.io/Logging_0980/kartor/A 47411-2021 karta.png", "A 47411-2021")</f>
        <v/>
      </c>
      <c r="V188">
        <f>HYPERLINK("https://klasma.github.io/Logging_0980/klagomål/A 47411-2021 FSC-klagomål.docx", "A 47411-2021")</f>
        <v/>
      </c>
      <c r="W188">
        <f>HYPERLINK("https://klasma.github.io/Logging_0980/klagomålsmail/A 47411-2021 FSC-klagomål mail.docx", "A 47411-2021")</f>
        <v/>
      </c>
      <c r="X188">
        <f>HYPERLINK("https://klasma.github.io/Logging_0980/tillsyn/A 47411-2021 tillsynsbegäran.docx", "A 47411-2021")</f>
        <v/>
      </c>
      <c r="Y188">
        <f>HYPERLINK("https://klasma.github.io/Logging_0980/tillsynsmail/A 47411-2021 tillsynsbegäran mail.docx", "A 47411-2021")</f>
        <v/>
      </c>
    </row>
    <row r="189" ht="15" customHeight="1">
      <c r="A189" t="inlineStr">
        <is>
          <t>A 63576-2021</t>
        </is>
      </c>
      <c r="B189" s="1" t="n">
        <v>44508</v>
      </c>
      <c r="C189" s="1" t="n">
        <v>45568</v>
      </c>
      <c r="D189" t="inlineStr">
        <is>
          <t>GOTLANDS LÄN</t>
        </is>
      </c>
      <c r="E189" t="inlineStr">
        <is>
          <t>GOTLAND</t>
        </is>
      </c>
      <c r="F189" t="inlineStr">
        <is>
          <t>Kyrkan</t>
        </is>
      </c>
      <c r="G189" t="n">
        <v>4.1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63576-2021 artfynd.xlsx", "A 63576-2021")</f>
        <v/>
      </c>
      <c r="T189">
        <f>HYPERLINK("https://klasma.github.io/Logging_0980/kartor/A 63576-2021 karta.png", "A 63576-2021")</f>
        <v/>
      </c>
      <c r="V189">
        <f>HYPERLINK("https://klasma.github.io/Logging_0980/klagomål/A 63576-2021 FSC-klagomål.docx", "A 63576-2021")</f>
        <v/>
      </c>
      <c r="W189">
        <f>HYPERLINK("https://klasma.github.io/Logging_0980/klagomålsmail/A 63576-2021 FSC-klagomål mail.docx", "A 63576-2021")</f>
        <v/>
      </c>
      <c r="X189">
        <f>HYPERLINK("https://klasma.github.io/Logging_0980/tillsyn/A 63576-2021 tillsynsbegäran.docx", "A 63576-2021")</f>
        <v/>
      </c>
      <c r="Y189">
        <f>HYPERLINK("https://klasma.github.io/Logging_0980/tillsynsmail/A 63576-2021 tillsynsbegäran mail.docx", "A 63576-2021")</f>
        <v/>
      </c>
    </row>
    <row r="190" ht="15" customHeight="1">
      <c r="A190" t="inlineStr">
        <is>
          <t>A 64700-2021</t>
        </is>
      </c>
      <c r="B190" s="1" t="n">
        <v>44511</v>
      </c>
      <c r="C190" s="1" t="n">
        <v>45568</v>
      </c>
      <c r="D190" t="inlineStr">
        <is>
          <t>GOTLANDS LÄN</t>
        </is>
      </c>
      <c r="E190" t="inlineStr">
        <is>
          <t>GOTLAND</t>
        </is>
      </c>
      <c r="F190" t="inlineStr">
        <is>
          <t>Naturvårdsverket</t>
        </is>
      </c>
      <c r="G190" t="n">
        <v>2.4</v>
      </c>
      <c r="H190" t="n">
        <v>1</v>
      </c>
      <c r="I190" t="n">
        <v>0</v>
      </c>
      <c r="J190" t="n">
        <v>0</v>
      </c>
      <c r="K190" t="n">
        <v>1</v>
      </c>
      <c r="L190" t="n">
        <v>0</v>
      </c>
      <c r="M190" t="n">
        <v>0</v>
      </c>
      <c r="N190" t="n">
        <v>0</v>
      </c>
      <c r="O190" t="n">
        <v>1</v>
      </c>
      <c r="P190" t="n">
        <v>1</v>
      </c>
      <c r="Q190" t="n">
        <v>1</v>
      </c>
      <c r="R190" s="2" t="inlineStr">
        <is>
          <t>Kalkdån</t>
        </is>
      </c>
      <c r="S190">
        <f>HYPERLINK("https://klasma.github.io/Logging_0980/artfynd/A 64700-2021 artfynd.xlsx", "A 64700-2021")</f>
        <v/>
      </c>
      <c r="T190">
        <f>HYPERLINK("https://klasma.github.io/Logging_0980/kartor/A 64700-2021 karta.png", "A 64700-2021")</f>
        <v/>
      </c>
      <c r="V190">
        <f>HYPERLINK("https://klasma.github.io/Logging_0980/klagomål/A 64700-2021 FSC-klagomål.docx", "A 64700-2021")</f>
        <v/>
      </c>
      <c r="W190">
        <f>HYPERLINK("https://klasma.github.io/Logging_0980/klagomålsmail/A 64700-2021 FSC-klagomål mail.docx", "A 64700-2021")</f>
        <v/>
      </c>
      <c r="X190">
        <f>HYPERLINK("https://klasma.github.io/Logging_0980/tillsyn/A 64700-2021 tillsynsbegäran.docx", "A 64700-2021")</f>
        <v/>
      </c>
      <c r="Y190">
        <f>HYPERLINK("https://klasma.github.io/Logging_0980/tillsynsmail/A 64700-2021 tillsynsbegäran mail.docx", "A 64700-2021")</f>
        <v/>
      </c>
    </row>
    <row r="191" ht="15" customHeight="1">
      <c r="A191" t="inlineStr">
        <is>
          <t>A 65927-2021</t>
        </is>
      </c>
      <c r="B191" s="1" t="n">
        <v>44516</v>
      </c>
      <c r="C191" s="1" t="n">
        <v>45568</v>
      </c>
      <c r="D191" t="inlineStr">
        <is>
          <t>GOTLANDS LÄN</t>
        </is>
      </c>
      <c r="E191" t="inlineStr">
        <is>
          <t>GOTLAND</t>
        </is>
      </c>
      <c r="G191" t="n">
        <v>3.1</v>
      </c>
      <c r="H191" t="n">
        <v>1</v>
      </c>
      <c r="I191" t="n">
        <v>0</v>
      </c>
      <c r="J191" t="n">
        <v>0</v>
      </c>
      <c r="K191" t="n">
        <v>1</v>
      </c>
      <c r="L191" t="n">
        <v>0</v>
      </c>
      <c r="M191" t="n">
        <v>0</v>
      </c>
      <c r="N191" t="n">
        <v>0</v>
      </c>
      <c r="O191" t="n">
        <v>1</v>
      </c>
      <c r="P191" t="n">
        <v>1</v>
      </c>
      <c r="Q191" t="n">
        <v>1</v>
      </c>
      <c r="R191" s="2" t="inlineStr">
        <is>
          <t>Grenigt kungsljus</t>
        </is>
      </c>
      <c r="S191">
        <f>HYPERLINK("https://klasma.github.io/Logging_0980/artfynd/A 65927-2021 artfynd.xlsx", "A 65927-2021")</f>
        <v/>
      </c>
      <c r="T191">
        <f>HYPERLINK("https://klasma.github.io/Logging_0980/kartor/A 65927-2021 karta.png", "A 65927-2021")</f>
        <v/>
      </c>
      <c r="V191">
        <f>HYPERLINK("https://klasma.github.io/Logging_0980/klagomål/A 65927-2021 FSC-klagomål.docx", "A 65927-2021")</f>
        <v/>
      </c>
      <c r="W191">
        <f>HYPERLINK("https://klasma.github.io/Logging_0980/klagomålsmail/A 65927-2021 FSC-klagomål mail.docx", "A 65927-2021")</f>
        <v/>
      </c>
      <c r="X191">
        <f>HYPERLINK("https://klasma.github.io/Logging_0980/tillsyn/A 65927-2021 tillsynsbegäran.docx", "A 65927-2021")</f>
        <v/>
      </c>
      <c r="Y191">
        <f>HYPERLINK("https://klasma.github.io/Logging_0980/tillsynsmail/A 65927-2021 tillsynsbegäran mail.docx", "A 65927-2021")</f>
        <v/>
      </c>
    </row>
    <row r="192" ht="15" customHeight="1">
      <c r="A192" t="inlineStr">
        <is>
          <t>A 66091-2021</t>
        </is>
      </c>
      <c r="B192" s="1" t="n">
        <v>44517</v>
      </c>
      <c r="C192" s="1" t="n">
        <v>45568</v>
      </c>
      <c r="D192" t="inlineStr">
        <is>
          <t>GOTLANDS LÄN</t>
        </is>
      </c>
      <c r="E192" t="inlineStr">
        <is>
          <t>GOTLAND</t>
        </is>
      </c>
      <c r="G192" t="n">
        <v>11.7</v>
      </c>
      <c r="H192" t="n">
        <v>1</v>
      </c>
      <c r="I192" t="n">
        <v>0</v>
      </c>
      <c r="J192" t="n">
        <v>0</v>
      </c>
      <c r="K192" t="n">
        <v>0</v>
      </c>
      <c r="L192" t="n">
        <v>0</v>
      </c>
      <c r="M192" t="n">
        <v>0</v>
      </c>
      <c r="N192" t="n">
        <v>0</v>
      </c>
      <c r="O192" t="n">
        <v>0</v>
      </c>
      <c r="P192" t="n">
        <v>0</v>
      </c>
      <c r="Q192" t="n">
        <v>1</v>
      </c>
      <c r="R192" s="2" t="inlineStr">
        <is>
          <t>Pärluggla</t>
        </is>
      </c>
      <c r="S192">
        <f>HYPERLINK("https://klasma.github.io/Logging_0980/artfynd/A 66091-2021 artfynd.xlsx", "A 66091-2021")</f>
        <v/>
      </c>
      <c r="T192">
        <f>HYPERLINK("https://klasma.github.io/Logging_0980/kartor/A 66091-2021 karta.png", "A 66091-2021")</f>
        <v/>
      </c>
      <c r="V192">
        <f>HYPERLINK("https://klasma.github.io/Logging_0980/klagomål/A 66091-2021 FSC-klagomål.docx", "A 66091-2021")</f>
        <v/>
      </c>
      <c r="W192">
        <f>HYPERLINK("https://klasma.github.io/Logging_0980/klagomålsmail/A 66091-2021 FSC-klagomål mail.docx", "A 66091-2021")</f>
        <v/>
      </c>
      <c r="X192">
        <f>HYPERLINK("https://klasma.github.io/Logging_0980/tillsyn/A 66091-2021 tillsynsbegäran.docx", "A 66091-2021")</f>
        <v/>
      </c>
      <c r="Y192">
        <f>HYPERLINK("https://klasma.github.io/Logging_0980/tillsynsmail/A 66091-2021 tillsynsbegäran mail.docx", "A 66091-2021")</f>
        <v/>
      </c>
      <c r="Z192">
        <f>HYPERLINK("https://klasma.github.io/Logging_0980/fåglar/A 66091-2021 prioriterade fågelarter.docx", "A 66091-2021")</f>
        <v/>
      </c>
    </row>
    <row r="193" ht="15" customHeight="1">
      <c r="A193" t="inlineStr">
        <is>
          <t>A 24245-2022</t>
        </is>
      </c>
      <c r="B193" s="1" t="n">
        <v>44725</v>
      </c>
      <c r="C193" s="1" t="n">
        <v>45568</v>
      </c>
      <c r="D193" t="inlineStr">
        <is>
          <t>GOTLANDS LÄN</t>
        </is>
      </c>
      <c r="E193" t="inlineStr">
        <is>
          <t>GOTLAND</t>
        </is>
      </c>
      <c r="G193" t="n">
        <v>4.9</v>
      </c>
      <c r="H193" t="n">
        <v>0</v>
      </c>
      <c r="I193" t="n">
        <v>0</v>
      </c>
      <c r="J193" t="n">
        <v>0</v>
      </c>
      <c r="K193" t="n">
        <v>0</v>
      </c>
      <c r="L193" t="n">
        <v>1</v>
      </c>
      <c r="M193" t="n">
        <v>0</v>
      </c>
      <c r="N193" t="n">
        <v>0</v>
      </c>
      <c r="O193" t="n">
        <v>1</v>
      </c>
      <c r="P193" t="n">
        <v>1</v>
      </c>
      <c r="Q193" t="n">
        <v>1</v>
      </c>
      <c r="R193" s="2" t="inlineStr">
        <is>
          <t>Slät taggsvamp</t>
        </is>
      </c>
      <c r="S193">
        <f>HYPERLINK("https://klasma.github.io/Logging_0980/artfynd/A 24245-2022 artfynd.xlsx", "A 24245-2022")</f>
        <v/>
      </c>
      <c r="T193">
        <f>HYPERLINK("https://klasma.github.io/Logging_0980/kartor/A 24245-2022 karta.png", "A 24245-2022")</f>
        <v/>
      </c>
      <c r="V193">
        <f>HYPERLINK("https://klasma.github.io/Logging_0980/klagomål/A 24245-2022 FSC-klagomål.docx", "A 24245-2022")</f>
        <v/>
      </c>
      <c r="W193">
        <f>HYPERLINK("https://klasma.github.io/Logging_0980/klagomålsmail/A 24245-2022 FSC-klagomål mail.docx", "A 24245-2022")</f>
        <v/>
      </c>
      <c r="X193">
        <f>HYPERLINK("https://klasma.github.io/Logging_0980/tillsyn/A 24245-2022 tillsynsbegäran.docx", "A 24245-2022")</f>
        <v/>
      </c>
      <c r="Y193">
        <f>HYPERLINK("https://klasma.github.io/Logging_0980/tillsynsmail/A 24245-2022 tillsynsbegäran mail.docx", "A 24245-2022")</f>
        <v/>
      </c>
    </row>
    <row r="194" ht="15" customHeight="1">
      <c r="A194" t="inlineStr">
        <is>
          <t>A 25783-2022</t>
        </is>
      </c>
      <c r="B194" s="1" t="n">
        <v>44733</v>
      </c>
      <c r="C194" s="1" t="n">
        <v>45568</v>
      </c>
      <c r="D194" t="inlineStr">
        <is>
          <t>GOTLANDS LÄN</t>
        </is>
      </c>
      <c r="E194" t="inlineStr">
        <is>
          <t>GOTLAND</t>
        </is>
      </c>
      <c r="G194" t="n">
        <v>1</v>
      </c>
      <c r="H194" t="n">
        <v>1</v>
      </c>
      <c r="I194" t="n">
        <v>1</v>
      </c>
      <c r="J194" t="n">
        <v>0</v>
      </c>
      <c r="K194" t="n">
        <v>0</v>
      </c>
      <c r="L194" t="n">
        <v>0</v>
      </c>
      <c r="M194" t="n">
        <v>0</v>
      </c>
      <c r="N194" t="n">
        <v>0</v>
      </c>
      <c r="O194" t="n">
        <v>0</v>
      </c>
      <c r="P194" t="n">
        <v>0</v>
      </c>
      <c r="Q194" t="n">
        <v>1</v>
      </c>
      <c r="R194" s="2" t="inlineStr">
        <is>
          <t>Vit skogslilja</t>
        </is>
      </c>
      <c r="S194">
        <f>HYPERLINK("https://klasma.github.io/Logging_0980/artfynd/A 25783-2022 artfynd.xlsx", "A 25783-2022")</f>
        <v/>
      </c>
      <c r="T194">
        <f>HYPERLINK("https://klasma.github.io/Logging_0980/kartor/A 25783-2022 karta.png", "A 25783-2022")</f>
        <v/>
      </c>
      <c r="V194">
        <f>HYPERLINK("https://klasma.github.io/Logging_0980/klagomål/A 25783-2022 FSC-klagomål.docx", "A 25783-2022")</f>
        <v/>
      </c>
      <c r="W194">
        <f>HYPERLINK("https://klasma.github.io/Logging_0980/klagomålsmail/A 25783-2022 FSC-klagomål mail.docx", "A 25783-2022")</f>
        <v/>
      </c>
      <c r="X194">
        <f>HYPERLINK("https://klasma.github.io/Logging_0980/tillsyn/A 25783-2022 tillsynsbegäran.docx", "A 25783-2022")</f>
        <v/>
      </c>
      <c r="Y194">
        <f>HYPERLINK("https://klasma.github.io/Logging_0980/tillsynsmail/A 25783-2022 tillsynsbegäran mail.docx", "A 25783-2022")</f>
        <v/>
      </c>
    </row>
    <row r="195" ht="15" customHeight="1">
      <c r="A195" t="inlineStr">
        <is>
          <t>A 27168-2022</t>
        </is>
      </c>
      <c r="B195" s="1" t="n">
        <v>44741</v>
      </c>
      <c r="C195" s="1" t="n">
        <v>45568</v>
      </c>
      <c r="D195" t="inlineStr">
        <is>
          <t>GOTLANDS LÄN</t>
        </is>
      </c>
      <c r="E195" t="inlineStr">
        <is>
          <t>GOTLAND</t>
        </is>
      </c>
      <c r="G195" t="n">
        <v>2.2</v>
      </c>
      <c r="H195" t="n">
        <v>1</v>
      </c>
      <c r="I195" t="n">
        <v>1</v>
      </c>
      <c r="J195" t="n">
        <v>0</v>
      </c>
      <c r="K195" t="n">
        <v>0</v>
      </c>
      <c r="L195" t="n">
        <v>0</v>
      </c>
      <c r="M195" t="n">
        <v>0</v>
      </c>
      <c r="N195" t="n">
        <v>0</v>
      </c>
      <c r="O195" t="n">
        <v>0</v>
      </c>
      <c r="P195" t="n">
        <v>0</v>
      </c>
      <c r="Q195" t="n">
        <v>1</v>
      </c>
      <c r="R195" s="2" t="inlineStr">
        <is>
          <t>Purpurknipprot</t>
        </is>
      </c>
      <c r="S195">
        <f>HYPERLINK("https://klasma.github.io/Logging_0980/artfynd/A 27168-2022 artfynd.xlsx", "A 27168-2022")</f>
        <v/>
      </c>
      <c r="T195">
        <f>HYPERLINK("https://klasma.github.io/Logging_0980/kartor/A 27168-2022 karta.png", "A 27168-2022")</f>
        <v/>
      </c>
      <c r="V195">
        <f>HYPERLINK("https://klasma.github.io/Logging_0980/klagomål/A 27168-2022 FSC-klagomål.docx", "A 27168-2022")</f>
        <v/>
      </c>
      <c r="W195">
        <f>HYPERLINK("https://klasma.github.io/Logging_0980/klagomålsmail/A 27168-2022 FSC-klagomål mail.docx", "A 27168-2022")</f>
        <v/>
      </c>
      <c r="X195">
        <f>HYPERLINK("https://klasma.github.io/Logging_0980/tillsyn/A 27168-2022 tillsynsbegäran.docx", "A 27168-2022")</f>
        <v/>
      </c>
      <c r="Y195">
        <f>HYPERLINK("https://klasma.github.io/Logging_0980/tillsynsmail/A 27168-2022 tillsynsbegäran mail.docx", "A 27168-2022")</f>
        <v/>
      </c>
    </row>
    <row r="196" ht="15" customHeight="1">
      <c r="A196" t="inlineStr">
        <is>
          <t>A 27814-2022</t>
        </is>
      </c>
      <c r="B196" s="1" t="n">
        <v>44743</v>
      </c>
      <c r="C196" s="1" t="n">
        <v>45568</v>
      </c>
      <c r="D196" t="inlineStr">
        <is>
          <t>GOTLANDS LÄN</t>
        </is>
      </c>
      <c r="E196" t="inlineStr">
        <is>
          <t>GOTLAND</t>
        </is>
      </c>
      <c r="G196" t="n">
        <v>25</v>
      </c>
      <c r="H196" t="n">
        <v>1</v>
      </c>
      <c r="I196" t="n">
        <v>0</v>
      </c>
      <c r="J196" t="n">
        <v>0</v>
      </c>
      <c r="K196" t="n">
        <v>0</v>
      </c>
      <c r="L196" t="n">
        <v>0</v>
      </c>
      <c r="M196" t="n">
        <v>0</v>
      </c>
      <c r="N196" t="n">
        <v>0</v>
      </c>
      <c r="O196" t="n">
        <v>0</v>
      </c>
      <c r="P196" t="n">
        <v>0</v>
      </c>
      <c r="Q196" t="n">
        <v>1</v>
      </c>
      <c r="R196" s="2" t="inlineStr">
        <is>
          <t>Mindre vattensalamander</t>
        </is>
      </c>
      <c r="S196">
        <f>HYPERLINK("https://klasma.github.io/Logging_0980/artfynd/A 27814-2022 artfynd.xlsx", "A 27814-2022")</f>
        <v/>
      </c>
      <c r="T196">
        <f>HYPERLINK("https://klasma.github.io/Logging_0980/kartor/A 27814-2022 karta.png", "A 27814-2022")</f>
        <v/>
      </c>
      <c r="V196">
        <f>HYPERLINK("https://klasma.github.io/Logging_0980/klagomål/A 27814-2022 FSC-klagomål.docx", "A 27814-2022")</f>
        <v/>
      </c>
      <c r="W196">
        <f>HYPERLINK("https://klasma.github.io/Logging_0980/klagomålsmail/A 27814-2022 FSC-klagomål mail.docx", "A 27814-2022")</f>
        <v/>
      </c>
      <c r="X196">
        <f>HYPERLINK("https://klasma.github.io/Logging_0980/tillsyn/A 27814-2022 tillsynsbegäran.docx", "A 27814-2022")</f>
        <v/>
      </c>
      <c r="Y196">
        <f>HYPERLINK("https://klasma.github.io/Logging_0980/tillsynsmail/A 27814-2022 tillsynsbegäran mail.docx", "A 27814-2022")</f>
        <v/>
      </c>
    </row>
    <row r="197" ht="15" customHeight="1">
      <c r="A197" t="inlineStr">
        <is>
          <t>A 44095-2022</t>
        </is>
      </c>
      <c r="B197" s="1" t="n">
        <v>44839</v>
      </c>
      <c r="C197" s="1" t="n">
        <v>45568</v>
      </c>
      <c r="D197" t="inlineStr">
        <is>
          <t>GOTLANDS LÄN</t>
        </is>
      </c>
      <c r="E197" t="inlineStr">
        <is>
          <t>GOTLAND</t>
        </is>
      </c>
      <c r="G197" t="n">
        <v>9</v>
      </c>
      <c r="H197" t="n">
        <v>0</v>
      </c>
      <c r="I197" t="n">
        <v>1</v>
      </c>
      <c r="J197" t="n">
        <v>0</v>
      </c>
      <c r="K197" t="n">
        <v>0</v>
      </c>
      <c r="L197" t="n">
        <v>0</v>
      </c>
      <c r="M197" t="n">
        <v>0</v>
      </c>
      <c r="N197" t="n">
        <v>0</v>
      </c>
      <c r="O197" t="n">
        <v>0</v>
      </c>
      <c r="P197" t="n">
        <v>0</v>
      </c>
      <c r="Q197" t="n">
        <v>1</v>
      </c>
      <c r="R197" s="2" t="inlineStr">
        <is>
          <t>Strävlosta</t>
        </is>
      </c>
      <c r="S197">
        <f>HYPERLINK("https://klasma.github.io/Logging_0980/artfynd/A 44095-2022 artfynd.xlsx", "A 44095-2022")</f>
        <v/>
      </c>
      <c r="T197">
        <f>HYPERLINK("https://klasma.github.io/Logging_0980/kartor/A 44095-2022 karta.png", "A 44095-2022")</f>
        <v/>
      </c>
      <c r="V197">
        <f>HYPERLINK("https://klasma.github.io/Logging_0980/klagomål/A 44095-2022 FSC-klagomål.docx", "A 44095-2022")</f>
        <v/>
      </c>
      <c r="W197">
        <f>HYPERLINK("https://klasma.github.io/Logging_0980/klagomålsmail/A 44095-2022 FSC-klagomål mail.docx", "A 44095-2022")</f>
        <v/>
      </c>
      <c r="X197">
        <f>HYPERLINK("https://klasma.github.io/Logging_0980/tillsyn/A 44095-2022 tillsynsbegäran.docx", "A 44095-2022")</f>
        <v/>
      </c>
      <c r="Y197">
        <f>HYPERLINK("https://klasma.github.io/Logging_0980/tillsynsmail/A 44095-2022 tillsynsbegäran mail.docx", "A 44095-2022")</f>
        <v/>
      </c>
    </row>
    <row r="198" ht="15" customHeight="1">
      <c r="A198" t="inlineStr">
        <is>
          <t>A 44088-2022</t>
        </is>
      </c>
      <c r="B198" s="1" t="n">
        <v>44839</v>
      </c>
      <c r="C198" s="1" t="n">
        <v>45568</v>
      </c>
      <c r="D198" t="inlineStr">
        <is>
          <t>GOTLANDS LÄN</t>
        </is>
      </c>
      <c r="E198" t="inlineStr">
        <is>
          <t>GOTLAND</t>
        </is>
      </c>
      <c r="G198" t="n">
        <v>1.5</v>
      </c>
      <c r="H198" t="n">
        <v>0</v>
      </c>
      <c r="I198" t="n">
        <v>1</v>
      </c>
      <c r="J198" t="n">
        <v>0</v>
      </c>
      <c r="K198" t="n">
        <v>0</v>
      </c>
      <c r="L198" t="n">
        <v>0</v>
      </c>
      <c r="M198" t="n">
        <v>0</v>
      </c>
      <c r="N198" t="n">
        <v>0</v>
      </c>
      <c r="O198" t="n">
        <v>0</v>
      </c>
      <c r="P198" t="n">
        <v>0</v>
      </c>
      <c r="Q198" t="n">
        <v>1</v>
      </c>
      <c r="R198" s="2" t="inlineStr">
        <is>
          <t>Strävlosta</t>
        </is>
      </c>
      <c r="S198">
        <f>HYPERLINK("https://klasma.github.io/Logging_0980/artfynd/A 44088-2022 artfynd.xlsx", "A 44088-2022")</f>
        <v/>
      </c>
      <c r="T198">
        <f>HYPERLINK("https://klasma.github.io/Logging_0980/kartor/A 44088-2022 karta.png", "A 44088-2022")</f>
        <v/>
      </c>
      <c r="V198">
        <f>HYPERLINK("https://klasma.github.io/Logging_0980/klagomål/A 44088-2022 FSC-klagomål.docx", "A 44088-2022")</f>
        <v/>
      </c>
      <c r="W198">
        <f>HYPERLINK("https://klasma.github.io/Logging_0980/klagomålsmail/A 44088-2022 FSC-klagomål mail.docx", "A 44088-2022")</f>
        <v/>
      </c>
      <c r="X198">
        <f>HYPERLINK("https://klasma.github.io/Logging_0980/tillsyn/A 44088-2022 tillsynsbegäran.docx", "A 44088-2022")</f>
        <v/>
      </c>
      <c r="Y198">
        <f>HYPERLINK("https://klasma.github.io/Logging_0980/tillsynsmail/A 44088-2022 tillsynsbegäran mail.docx", "A 44088-2022")</f>
        <v/>
      </c>
    </row>
    <row r="199" ht="15" customHeight="1">
      <c r="A199" t="inlineStr">
        <is>
          <t>A 61796-2022</t>
        </is>
      </c>
      <c r="B199" s="1" t="n">
        <v>44917</v>
      </c>
      <c r="C199" s="1" t="n">
        <v>45568</v>
      </c>
      <c r="D199" t="inlineStr">
        <is>
          <t>GOTLANDS LÄN</t>
        </is>
      </c>
      <c r="E199" t="inlineStr">
        <is>
          <t>GOTLAND</t>
        </is>
      </c>
      <c r="G199" t="n">
        <v>1.5</v>
      </c>
      <c r="H199" t="n">
        <v>1</v>
      </c>
      <c r="I199" t="n">
        <v>0</v>
      </c>
      <c r="J199" t="n">
        <v>0</v>
      </c>
      <c r="K199" t="n">
        <v>0</v>
      </c>
      <c r="L199" t="n">
        <v>0</v>
      </c>
      <c r="M199" t="n">
        <v>0</v>
      </c>
      <c r="N199" t="n">
        <v>0</v>
      </c>
      <c r="O199" t="n">
        <v>0</v>
      </c>
      <c r="P199" t="n">
        <v>0</v>
      </c>
      <c r="Q199" t="n">
        <v>1</v>
      </c>
      <c r="R199" s="2" t="inlineStr">
        <is>
          <t>Skogsduva</t>
        </is>
      </c>
      <c r="S199">
        <f>HYPERLINK("https://klasma.github.io/Logging_0980/artfynd/A 61796-2022 artfynd.xlsx", "A 61796-2022")</f>
        <v/>
      </c>
      <c r="T199">
        <f>HYPERLINK("https://klasma.github.io/Logging_0980/kartor/A 61796-2022 karta.png", "A 61796-2022")</f>
        <v/>
      </c>
      <c r="V199">
        <f>HYPERLINK("https://klasma.github.io/Logging_0980/klagomål/A 61796-2022 FSC-klagomål.docx", "A 61796-2022")</f>
        <v/>
      </c>
      <c r="W199">
        <f>HYPERLINK("https://klasma.github.io/Logging_0980/klagomålsmail/A 61796-2022 FSC-klagomål mail.docx", "A 61796-2022")</f>
        <v/>
      </c>
      <c r="X199">
        <f>HYPERLINK("https://klasma.github.io/Logging_0980/tillsyn/A 61796-2022 tillsynsbegäran.docx", "A 61796-2022")</f>
        <v/>
      </c>
      <c r="Y199">
        <f>HYPERLINK("https://klasma.github.io/Logging_0980/tillsynsmail/A 61796-2022 tillsynsbegäran mail.docx", "A 61796-2022")</f>
        <v/>
      </c>
      <c r="Z199">
        <f>HYPERLINK("https://klasma.github.io/Logging_0980/fåglar/A 61796-2022 prioriterade fågelarter.docx", "A 61796-2022")</f>
        <v/>
      </c>
    </row>
    <row r="200" ht="15" customHeight="1">
      <c r="A200" t="inlineStr">
        <is>
          <t>A 62552-2022</t>
        </is>
      </c>
      <c r="B200" s="1" t="n">
        <v>44924</v>
      </c>
      <c r="C200" s="1" t="n">
        <v>45568</v>
      </c>
      <c r="D200" t="inlineStr">
        <is>
          <t>GOTLANDS LÄN</t>
        </is>
      </c>
      <c r="E200" t="inlineStr">
        <is>
          <t>GOTLAND</t>
        </is>
      </c>
      <c r="G200" t="n">
        <v>1.6</v>
      </c>
      <c r="H200" t="n">
        <v>0</v>
      </c>
      <c r="I200" t="n">
        <v>0</v>
      </c>
      <c r="J200" t="n">
        <v>1</v>
      </c>
      <c r="K200" t="n">
        <v>0</v>
      </c>
      <c r="L200" t="n">
        <v>0</v>
      </c>
      <c r="M200" t="n">
        <v>0</v>
      </c>
      <c r="N200" t="n">
        <v>0</v>
      </c>
      <c r="O200" t="n">
        <v>1</v>
      </c>
      <c r="P200" t="n">
        <v>0</v>
      </c>
      <c r="Q200" t="n">
        <v>1</v>
      </c>
      <c r="R200" s="2" t="inlineStr">
        <is>
          <t>Äggspindling</t>
        </is>
      </c>
      <c r="S200">
        <f>HYPERLINK("https://klasma.github.io/Logging_0980/artfynd/A 62552-2022 artfynd.xlsx", "A 62552-2022")</f>
        <v/>
      </c>
      <c r="T200">
        <f>HYPERLINK("https://klasma.github.io/Logging_0980/kartor/A 62552-2022 karta.png", "A 62552-2022")</f>
        <v/>
      </c>
      <c r="V200">
        <f>HYPERLINK("https://klasma.github.io/Logging_0980/klagomål/A 62552-2022 FSC-klagomål.docx", "A 62552-2022")</f>
        <v/>
      </c>
      <c r="W200">
        <f>HYPERLINK("https://klasma.github.io/Logging_0980/klagomålsmail/A 62552-2022 FSC-klagomål mail.docx", "A 62552-2022")</f>
        <v/>
      </c>
      <c r="X200">
        <f>HYPERLINK("https://klasma.github.io/Logging_0980/tillsyn/A 62552-2022 tillsynsbegäran.docx", "A 62552-2022")</f>
        <v/>
      </c>
      <c r="Y200">
        <f>HYPERLINK("https://klasma.github.io/Logging_0980/tillsynsmail/A 62552-2022 tillsynsbegäran mail.docx", "A 62552-2022")</f>
        <v/>
      </c>
    </row>
    <row r="201" ht="15" customHeight="1">
      <c r="A201" t="inlineStr">
        <is>
          <t>A 447-2023</t>
        </is>
      </c>
      <c r="B201" s="1" t="n">
        <v>44929</v>
      </c>
      <c r="C201" s="1" t="n">
        <v>45568</v>
      </c>
      <c r="D201" t="inlineStr">
        <is>
          <t>GOTLANDS LÄN</t>
        </is>
      </c>
      <c r="E201" t="inlineStr">
        <is>
          <t>GOTLAND</t>
        </is>
      </c>
      <c r="G201" t="n">
        <v>5.1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447-2023 artfynd.xlsx", "A 447-2023")</f>
        <v/>
      </c>
      <c r="T201">
        <f>HYPERLINK("https://klasma.github.io/Logging_0980/kartor/A 447-2023 karta.png", "A 447-2023")</f>
        <v/>
      </c>
      <c r="V201">
        <f>HYPERLINK("https://klasma.github.io/Logging_0980/klagomål/A 447-2023 FSC-klagomål.docx", "A 447-2023")</f>
        <v/>
      </c>
      <c r="W201">
        <f>HYPERLINK("https://klasma.github.io/Logging_0980/klagomålsmail/A 447-2023 FSC-klagomål mail.docx", "A 447-2023")</f>
        <v/>
      </c>
      <c r="X201">
        <f>HYPERLINK("https://klasma.github.io/Logging_0980/tillsyn/A 447-2023 tillsynsbegäran.docx", "A 447-2023")</f>
        <v/>
      </c>
      <c r="Y201">
        <f>HYPERLINK("https://klasma.github.io/Logging_0980/tillsynsmail/A 447-2023 tillsynsbegäran mail.docx", "A 447-2023")</f>
        <v/>
      </c>
    </row>
    <row r="202" ht="15" customHeight="1">
      <c r="A202" t="inlineStr">
        <is>
          <t>A 446-2023</t>
        </is>
      </c>
      <c r="B202" s="1" t="n">
        <v>44929</v>
      </c>
      <c r="C202" s="1" t="n">
        <v>45568</v>
      </c>
      <c r="D202" t="inlineStr">
        <is>
          <t>GOTLANDS LÄN</t>
        </is>
      </c>
      <c r="E202" t="inlineStr">
        <is>
          <t>GOTLAND</t>
        </is>
      </c>
      <c r="G202" t="n">
        <v>7.1</v>
      </c>
      <c r="H202" t="n">
        <v>0</v>
      </c>
      <c r="I202" t="n">
        <v>0</v>
      </c>
      <c r="J202" t="n">
        <v>1</v>
      </c>
      <c r="K202" t="n">
        <v>0</v>
      </c>
      <c r="L202" t="n">
        <v>0</v>
      </c>
      <c r="M202" t="n">
        <v>0</v>
      </c>
      <c r="N202" t="n">
        <v>0</v>
      </c>
      <c r="O202" t="n">
        <v>1</v>
      </c>
      <c r="P202" t="n">
        <v>0</v>
      </c>
      <c r="Q202" t="n">
        <v>1</v>
      </c>
      <c r="R202" s="2" t="inlineStr">
        <is>
          <t>Äggspindling</t>
        </is>
      </c>
      <c r="S202">
        <f>HYPERLINK("https://klasma.github.io/Logging_0980/artfynd/A 446-2023 artfynd.xlsx", "A 446-2023")</f>
        <v/>
      </c>
      <c r="T202">
        <f>HYPERLINK("https://klasma.github.io/Logging_0980/kartor/A 446-2023 karta.png", "A 446-2023")</f>
        <v/>
      </c>
      <c r="V202">
        <f>HYPERLINK("https://klasma.github.io/Logging_0980/klagomål/A 446-2023 FSC-klagomål.docx", "A 446-2023")</f>
        <v/>
      </c>
      <c r="W202">
        <f>HYPERLINK("https://klasma.github.io/Logging_0980/klagomålsmail/A 446-2023 FSC-klagomål mail.docx", "A 446-2023")</f>
        <v/>
      </c>
      <c r="X202">
        <f>HYPERLINK("https://klasma.github.io/Logging_0980/tillsyn/A 446-2023 tillsynsbegäran.docx", "A 446-2023")</f>
        <v/>
      </c>
      <c r="Y202">
        <f>HYPERLINK("https://klasma.github.io/Logging_0980/tillsynsmail/A 446-2023 tillsynsbegäran mail.docx", "A 446-2023")</f>
        <v/>
      </c>
    </row>
    <row r="203" ht="15" customHeight="1">
      <c r="A203" t="inlineStr">
        <is>
          <t>A 947-2023</t>
        </is>
      </c>
      <c r="B203" s="1" t="n">
        <v>44934</v>
      </c>
      <c r="C203" s="1" t="n">
        <v>45568</v>
      </c>
      <c r="D203" t="inlineStr">
        <is>
          <t>GOTLANDS LÄN</t>
        </is>
      </c>
      <c r="E203" t="inlineStr">
        <is>
          <t>GOTLAND</t>
        </is>
      </c>
      <c r="G203" t="n">
        <v>0.7</v>
      </c>
      <c r="H203" t="n">
        <v>1</v>
      </c>
      <c r="I203" t="n">
        <v>0</v>
      </c>
      <c r="J203" t="n">
        <v>0</v>
      </c>
      <c r="K203" t="n">
        <v>1</v>
      </c>
      <c r="L203" t="n">
        <v>0</v>
      </c>
      <c r="M203" t="n">
        <v>0</v>
      </c>
      <c r="N203" t="n">
        <v>0</v>
      </c>
      <c r="O203" t="n">
        <v>1</v>
      </c>
      <c r="P203" t="n">
        <v>1</v>
      </c>
      <c r="Q203" t="n">
        <v>1</v>
      </c>
      <c r="R203" s="2" t="inlineStr">
        <is>
          <t>Garderönn</t>
        </is>
      </c>
      <c r="S203">
        <f>HYPERLINK("https://klasma.github.io/Logging_0980/artfynd/A 947-2023 artfynd.xlsx", "A 947-2023")</f>
        <v/>
      </c>
      <c r="T203">
        <f>HYPERLINK("https://klasma.github.io/Logging_0980/kartor/A 947-2023 karta.png", "A 947-2023")</f>
        <v/>
      </c>
      <c r="V203">
        <f>HYPERLINK("https://klasma.github.io/Logging_0980/klagomål/A 947-2023 FSC-klagomål.docx", "A 947-2023")</f>
        <v/>
      </c>
      <c r="W203">
        <f>HYPERLINK("https://klasma.github.io/Logging_0980/klagomålsmail/A 947-2023 FSC-klagomål mail.docx", "A 947-2023")</f>
        <v/>
      </c>
      <c r="X203">
        <f>HYPERLINK("https://klasma.github.io/Logging_0980/tillsyn/A 947-2023 tillsynsbegäran.docx", "A 947-2023")</f>
        <v/>
      </c>
      <c r="Y203">
        <f>HYPERLINK("https://klasma.github.io/Logging_0980/tillsynsmail/A 947-2023 tillsynsbegäran mail.docx", "A 947-2023")</f>
        <v/>
      </c>
    </row>
    <row r="204" ht="15" customHeight="1">
      <c r="A204" t="inlineStr">
        <is>
          <t>A 2213-2023</t>
        </is>
      </c>
      <c r="B204" s="1" t="n">
        <v>44942</v>
      </c>
      <c r="C204" s="1" t="n">
        <v>45568</v>
      </c>
      <c r="D204" t="inlineStr">
        <is>
          <t>GOTLANDS LÄN</t>
        </is>
      </c>
      <c r="E204" t="inlineStr">
        <is>
          <t>GOTLAND</t>
        </is>
      </c>
      <c r="G204" t="n">
        <v>2.7</v>
      </c>
      <c r="H204" t="n">
        <v>0</v>
      </c>
      <c r="I204" t="n">
        <v>0</v>
      </c>
      <c r="J204" t="n">
        <v>1</v>
      </c>
      <c r="K204" t="n">
        <v>0</v>
      </c>
      <c r="L204" t="n">
        <v>0</v>
      </c>
      <c r="M204" t="n">
        <v>0</v>
      </c>
      <c r="N204" t="n">
        <v>0</v>
      </c>
      <c r="O204" t="n">
        <v>1</v>
      </c>
      <c r="P204" t="n">
        <v>0</v>
      </c>
      <c r="Q204" t="n">
        <v>1</v>
      </c>
      <c r="R204" s="2" t="inlineStr">
        <is>
          <t>Odörspindling</t>
        </is>
      </c>
      <c r="S204">
        <f>HYPERLINK("https://klasma.github.io/Logging_0980/artfynd/A 2213-2023 artfynd.xlsx", "A 2213-2023")</f>
        <v/>
      </c>
      <c r="T204">
        <f>HYPERLINK("https://klasma.github.io/Logging_0980/kartor/A 2213-2023 karta.png", "A 2213-2023")</f>
        <v/>
      </c>
      <c r="V204">
        <f>HYPERLINK("https://klasma.github.io/Logging_0980/klagomål/A 2213-2023 FSC-klagomål.docx", "A 2213-2023")</f>
        <v/>
      </c>
      <c r="W204">
        <f>HYPERLINK("https://klasma.github.io/Logging_0980/klagomålsmail/A 2213-2023 FSC-klagomål mail.docx", "A 2213-2023")</f>
        <v/>
      </c>
      <c r="X204">
        <f>HYPERLINK("https://klasma.github.io/Logging_0980/tillsyn/A 2213-2023 tillsynsbegäran.docx", "A 2213-2023")</f>
        <v/>
      </c>
      <c r="Y204">
        <f>HYPERLINK("https://klasma.github.io/Logging_0980/tillsynsmail/A 2213-2023 tillsynsbegäran mail.docx", "A 2213-2023")</f>
        <v/>
      </c>
    </row>
    <row r="205" ht="15" customHeight="1">
      <c r="A205" t="inlineStr">
        <is>
          <t>A 10995-2023</t>
        </is>
      </c>
      <c r="B205" s="1" t="n">
        <v>44986</v>
      </c>
      <c r="C205" s="1" t="n">
        <v>45568</v>
      </c>
      <c r="D205" t="inlineStr">
        <is>
          <t>GOTLANDS LÄN</t>
        </is>
      </c>
      <c r="E205" t="inlineStr">
        <is>
          <t>GOTLAND</t>
        </is>
      </c>
      <c r="G205" t="n">
        <v>2.8</v>
      </c>
      <c r="H205" t="n">
        <v>0</v>
      </c>
      <c r="I205" t="n">
        <v>0</v>
      </c>
      <c r="J205" t="n">
        <v>0</v>
      </c>
      <c r="K205" t="n">
        <v>1</v>
      </c>
      <c r="L205" t="n">
        <v>0</v>
      </c>
      <c r="M205" t="n">
        <v>0</v>
      </c>
      <c r="N205" t="n">
        <v>0</v>
      </c>
      <c r="O205" t="n">
        <v>1</v>
      </c>
      <c r="P205" t="n">
        <v>1</v>
      </c>
      <c r="Q205" t="n">
        <v>1</v>
      </c>
      <c r="R205" s="2" t="inlineStr">
        <is>
          <t>Violettfläckig spindling</t>
        </is>
      </c>
      <c r="S205">
        <f>HYPERLINK("https://klasma.github.io/Logging_0980/artfynd/A 10995-2023 artfynd.xlsx", "A 10995-2023")</f>
        <v/>
      </c>
      <c r="T205">
        <f>HYPERLINK("https://klasma.github.io/Logging_0980/kartor/A 10995-2023 karta.png", "A 10995-2023")</f>
        <v/>
      </c>
      <c r="V205">
        <f>HYPERLINK("https://klasma.github.io/Logging_0980/klagomål/A 10995-2023 FSC-klagomål.docx", "A 10995-2023")</f>
        <v/>
      </c>
      <c r="W205">
        <f>HYPERLINK("https://klasma.github.io/Logging_0980/klagomålsmail/A 10995-2023 FSC-klagomål mail.docx", "A 10995-2023")</f>
        <v/>
      </c>
      <c r="X205">
        <f>HYPERLINK("https://klasma.github.io/Logging_0980/tillsyn/A 10995-2023 tillsynsbegäran.docx", "A 10995-2023")</f>
        <v/>
      </c>
      <c r="Y205">
        <f>HYPERLINK("https://klasma.github.io/Logging_0980/tillsynsmail/A 10995-2023 tillsynsbegäran mail.docx", "A 10995-2023")</f>
        <v/>
      </c>
    </row>
    <row r="206" ht="15" customHeight="1">
      <c r="A206" t="inlineStr">
        <is>
          <t>A 15212-2023</t>
        </is>
      </c>
      <c r="B206" s="1" t="n">
        <v>45019</v>
      </c>
      <c r="C206" s="1" t="n">
        <v>45568</v>
      </c>
      <c r="D206" t="inlineStr">
        <is>
          <t>GOTLANDS LÄN</t>
        </is>
      </c>
      <c r="E206" t="inlineStr">
        <is>
          <t>GOTLAND</t>
        </is>
      </c>
      <c r="G206" t="n">
        <v>3.1</v>
      </c>
      <c r="H206" t="n">
        <v>0</v>
      </c>
      <c r="I206" t="n">
        <v>0</v>
      </c>
      <c r="J206" t="n">
        <v>1</v>
      </c>
      <c r="K206" t="n">
        <v>0</v>
      </c>
      <c r="L206" t="n">
        <v>0</v>
      </c>
      <c r="M206" t="n">
        <v>0</v>
      </c>
      <c r="N206" t="n">
        <v>0</v>
      </c>
      <c r="O206" t="n">
        <v>1</v>
      </c>
      <c r="P206" t="n">
        <v>0</v>
      </c>
      <c r="Q206" t="n">
        <v>1</v>
      </c>
      <c r="R206" s="2" t="inlineStr">
        <is>
          <t>Grådådra</t>
        </is>
      </c>
      <c r="S206">
        <f>HYPERLINK("https://klasma.github.io/Logging_0980/artfynd/A 15212-2023 artfynd.xlsx", "A 15212-2023")</f>
        <v/>
      </c>
      <c r="T206">
        <f>HYPERLINK("https://klasma.github.io/Logging_0980/kartor/A 15212-2023 karta.png", "A 15212-2023")</f>
        <v/>
      </c>
      <c r="V206">
        <f>HYPERLINK("https://klasma.github.io/Logging_0980/klagomål/A 15212-2023 FSC-klagomål.docx", "A 15212-2023")</f>
        <v/>
      </c>
      <c r="W206">
        <f>HYPERLINK("https://klasma.github.io/Logging_0980/klagomålsmail/A 15212-2023 FSC-klagomål mail.docx", "A 15212-2023")</f>
        <v/>
      </c>
      <c r="X206">
        <f>HYPERLINK("https://klasma.github.io/Logging_0980/tillsyn/A 15212-2023 tillsynsbegäran.docx", "A 15212-2023")</f>
        <v/>
      </c>
      <c r="Y206">
        <f>HYPERLINK("https://klasma.github.io/Logging_0980/tillsynsmail/A 15212-2023 tillsynsbegäran mail.docx", "A 15212-2023")</f>
        <v/>
      </c>
    </row>
    <row r="207" ht="15" customHeight="1">
      <c r="A207" t="inlineStr">
        <is>
          <t>A 22782-2023</t>
        </is>
      </c>
      <c r="B207" s="1" t="n">
        <v>45072</v>
      </c>
      <c r="C207" s="1" t="n">
        <v>45568</v>
      </c>
      <c r="D207" t="inlineStr">
        <is>
          <t>GOTLANDS LÄN</t>
        </is>
      </c>
      <c r="E207" t="inlineStr">
        <is>
          <t>GOTLAND</t>
        </is>
      </c>
      <c r="F207" t="inlineStr">
        <is>
          <t>Kyrkan</t>
        </is>
      </c>
      <c r="G207" t="n">
        <v>3.1</v>
      </c>
      <c r="H207" t="n">
        <v>1</v>
      </c>
      <c r="I207" t="n">
        <v>0</v>
      </c>
      <c r="J207" t="n">
        <v>0</v>
      </c>
      <c r="K207" t="n">
        <v>0</v>
      </c>
      <c r="L207" t="n">
        <v>0</v>
      </c>
      <c r="M207" t="n">
        <v>0</v>
      </c>
      <c r="N207" t="n">
        <v>0</v>
      </c>
      <c r="O207" t="n">
        <v>0</v>
      </c>
      <c r="P207" t="n">
        <v>0</v>
      </c>
      <c r="Q207" t="n">
        <v>1</v>
      </c>
      <c r="R207" s="2" t="inlineStr">
        <is>
          <t>Ängsnycklar × skogsnycklar</t>
        </is>
      </c>
      <c r="S207">
        <f>HYPERLINK("https://klasma.github.io/Logging_0980/artfynd/A 22782-2023 artfynd.xlsx", "A 22782-2023")</f>
        <v/>
      </c>
      <c r="T207">
        <f>HYPERLINK("https://klasma.github.io/Logging_0980/kartor/A 22782-2023 karta.png", "A 22782-2023")</f>
        <v/>
      </c>
      <c r="V207">
        <f>HYPERLINK("https://klasma.github.io/Logging_0980/klagomål/A 22782-2023 FSC-klagomål.docx", "A 22782-2023")</f>
        <v/>
      </c>
      <c r="W207">
        <f>HYPERLINK("https://klasma.github.io/Logging_0980/klagomålsmail/A 22782-2023 FSC-klagomål mail.docx", "A 22782-2023")</f>
        <v/>
      </c>
      <c r="X207">
        <f>HYPERLINK("https://klasma.github.io/Logging_0980/tillsyn/A 22782-2023 tillsynsbegäran.docx", "A 22782-2023")</f>
        <v/>
      </c>
      <c r="Y207">
        <f>HYPERLINK("https://klasma.github.io/Logging_0980/tillsynsmail/A 22782-2023 tillsynsbegäran mail.docx", "A 22782-2023")</f>
        <v/>
      </c>
    </row>
    <row r="208" ht="15" customHeight="1">
      <c r="A208" t="inlineStr">
        <is>
          <t>A 24007-2023</t>
        </is>
      </c>
      <c r="B208" s="1" t="n">
        <v>45078</v>
      </c>
      <c r="C208" s="1" t="n">
        <v>45568</v>
      </c>
      <c r="D208" t="inlineStr">
        <is>
          <t>GOTLANDS LÄN</t>
        </is>
      </c>
      <c r="E208" t="inlineStr">
        <is>
          <t>GOTLAND</t>
        </is>
      </c>
      <c r="F208" t="inlineStr">
        <is>
          <t>Naturvårdsverket</t>
        </is>
      </c>
      <c r="G208" t="n">
        <v>2.5</v>
      </c>
      <c r="H208" t="n">
        <v>1</v>
      </c>
      <c r="I208" t="n">
        <v>1</v>
      </c>
      <c r="J208" t="n">
        <v>0</v>
      </c>
      <c r="K208" t="n">
        <v>0</v>
      </c>
      <c r="L208" t="n">
        <v>0</v>
      </c>
      <c r="M208" t="n">
        <v>0</v>
      </c>
      <c r="N208" t="n">
        <v>0</v>
      </c>
      <c r="O208" t="n">
        <v>0</v>
      </c>
      <c r="P208" t="n">
        <v>0</v>
      </c>
      <c r="Q208" t="n">
        <v>1</v>
      </c>
      <c r="R208" s="2" t="inlineStr">
        <is>
          <t>Nästrot</t>
        </is>
      </c>
      <c r="S208">
        <f>HYPERLINK("https://klasma.github.io/Logging_0980/artfynd/A 24007-2023 artfynd.xlsx", "A 24007-2023")</f>
        <v/>
      </c>
      <c r="T208">
        <f>HYPERLINK("https://klasma.github.io/Logging_0980/kartor/A 24007-2023 karta.png", "A 24007-2023")</f>
        <v/>
      </c>
      <c r="V208">
        <f>HYPERLINK("https://klasma.github.io/Logging_0980/klagomål/A 24007-2023 FSC-klagomål.docx", "A 24007-2023")</f>
        <v/>
      </c>
      <c r="W208">
        <f>HYPERLINK("https://klasma.github.io/Logging_0980/klagomålsmail/A 24007-2023 FSC-klagomål mail.docx", "A 24007-2023")</f>
        <v/>
      </c>
      <c r="X208">
        <f>HYPERLINK("https://klasma.github.io/Logging_0980/tillsyn/A 24007-2023 tillsynsbegäran.docx", "A 24007-2023")</f>
        <v/>
      </c>
      <c r="Y208">
        <f>HYPERLINK("https://klasma.github.io/Logging_0980/tillsynsmail/A 24007-2023 tillsynsbegäran mail.docx", "A 24007-2023")</f>
        <v/>
      </c>
    </row>
    <row r="209" ht="15" customHeight="1">
      <c r="A209" t="inlineStr">
        <is>
          <t>A 27589-2023</t>
        </is>
      </c>
      <c r="B209" s="1" t="n">
        <v>45097</v>
      </c>
      <c r="C209" s="1" t="n">
        <v>45568</v>
      </c>
      <c r="D209" t="inlineStr">
        <is>
          <t>GOTLANDS LÄN</t>
        </is>
      </c>
      <c r="E209" t="inlineStr">
        <is>
          <t>GOTLAND</t>
        </is>
      </c>
      <c r="G209" t="n">
        <v>5.4</v>
      </c>
      <c r="H209" t="n">
        <v>0</v>
      </c>
      <c r="I209" t="n">
        <v>0</v>
      </c>
      <c r="J209" t="n">
        <v>0</v>
      </c>
      <c r="K209" t="n">
        <v>0</v>
      </c>
      <c r="L209" t="n">
        <v>0</v>
      </c>
      <c r="M209" t="n">
        <v>1</v>
      </c>
      <c r="N209" t="n">
        <v>0</v>
      </c>
      <c r="O209" t="n">
        <v>1</v>
      </c>
      <c r="P209" t="n">
        <v>1</v>
      </c>
      <c r="Q209" t="n">
        <v>1</v>
      </c>
      <c r="R209" s="2" t="inlineStr">
        <is>
          <t>Skogsalm</t>
        </is>
      </c>
      <c r="S209">
        <f>HYPERLINK("https://klasma.github.io/Logging_0980/artfynd/A 27589-2023 artfynd.xlsx", "A 27589-2023")</f>
        <v/>
      </c>
      <c r="T209">
        <f>HYPERLINK("https://klasma.github.io/Logging_0980/kartor/A 27589-2023 karta.png", "A 27589-2023")</f>
        <v/>
      </c>
      <c r="V209">
        <f>HYPERLINK("https://klasma.github.io/Logging_0980/klagomål/A 27589-2023 FSC-klagomål.docx", "A 27589-2023")</f>
        <v/>
      </c>
      <c r="W209">
        <f>HYPERLINK("https://klasma.github.io/Logging_0980/klagomålsmail/A 27589-2023 FSC-klagomål mail.docx", "A 27589-2023")</f>
        <v/>
      </c>
      <c r="X209">
        <f>HYPERLINK("https://klasma.github.io/Logging_0980/tillsyn/A 27589-2023 tillsynsbegäran.docx", "A 27589-2023")</f>
        <v/>
      </c>
      <c r="Y209">
        <f>HYPERLINK("https://klasma.github.io/Logging_0980/tillsynsmail/A 27589-2023 tillsynsbegäran mail.docx", "A 27589-2023")</f>
        <v/>
      </c>
    </row>
    <row r="210" ht="15" customHeight="1">
      <c r="A210" t="inlineStr">
        <is>
          <t>A 28546-2023</t>
        </is>
      </c>
      <c r="B210" s="1" t="n">
        <v>45103</v>
      </c>
      <c r="C210" s="1" t="n">
        <v>45568</v>
      </c>
      <c r="D210" t="inlineStr">
        <is>
          <t>GOTLANDS LÄN</t>
        </is>
      </c>
      <c r="E210" t="inlineStr">
        <is>
          <t>GOTLAND</t>
        </is>
      </c>
      <c r="G210" t="n">
        <v>7.9</v>
      </c>
      <c r="H210" t="n">
        <v>1</v>
      </c>
      <c r="I210" t="n">
        <v>0</v>
      </c>
      <c r="J210" t="n">
        <v>0</v>
      </c>
      <c r="K210" t="n">
        <v>0</v>
      </c>
      <c r="L210" t="n">
        <v>0</v>
      </c>
      <c r="M210" t="n">
        <v>0</v>
      </c>
      <c r="N210" t="n">
        <v>0</v>
      </c>
      <c r="O210" t="n">
        <v>0</v>
      </c>
      <c r="P210" t="n">
        <v>0</v>
      </c>
      <c r="Q210" t="n">
        <v>1</v>
      </c>
      <c r="R210" s="2" t="inlineStr">
        <is>
          <t>Lopplummer</t>
        </is>
      </c>
      <c r="S210">
        <f>HYPERLINK("https://klasma.github.io/Logging_0980/artfynd/A 28546-2023 artfynd.xlsx", "A 28546-2023")</f>
        <v/>
      </c>
      <c r="T210">
        <f>HYPERLINK("https://klasma.github.io/Logging_0980/kartor/A 28546-2023 karta.png", "A 28546-2023")</f>
        <v/>
      </c>
      <c r="V210">
        <f>HYPERLINK("https://klasma.github.io/Logging_0980/klagomål/A 28546-2023 FSC-klagomål.docx", "A 28546-2023")</f>
        <v/>
      </c>
      <c r="W210">
        <f>HYPERLINK("https://klasma.github.io/Logging_0980/klagomålsmail/A 28546-2023 FSC-klagomål mail.docx", "A 28546-2023")</f>
        <v/>
      </c>
      <c r="X210">
        <f>HYPERLINK("https://klasma.github.io/Logging_0980/tillsyn/A 28546-2023 tillsynsbegäran.docx", "A 28546-2023")</f>
        <v/>
      </c>
      <c r="Y210">
        <f>HYPERLINK("https://klasma.github.io/Logging_0980/tillsynsmail/A 28546-2023 tillsynsbegäran mail.docx", "A 28546-2023")</f>
        <v/>
      </c>
    </row>
    <row r="211" ht="15" customHeight="1">
      <c r="A211" t="inlineStr">
        <is>
          <t>A 35615-2023</t>
        </is>
      </c>
      <c r="B211" s="1" t="n">
        <v>45147</v>
      </c>
      <c r="C211" s="1" t="n">
        <v>45568</v>
      </c>
      <c r="D211" t="inlineStr">
        <is>
          <t>GOTLANDS LÄN</t>
        </is>
      </c>
      <c r="E211" t="inlineStr">
        <is>
          <t>GOTLAND</t>
        </is>
      </c>
      <c r="G211" t="n">
        <v>6.1</v>
      </c>
      <c r="H211" t="n">
        <v>0</v>
      </c>
      <c r="I211" t="n">
        <v>0</v>
      </c>
      <c r="J211" t="n">
        <v>1</v>
      </c>
      <c r="K211" t="n">
        <v>0</v>
      </c>
      <c r="L211" t="n">
        <v>0</v>
      </c>
      <c r="M211" t="n">
        <v>0</v>
      </c>
      <c r="N211" t="n">
        <v>0</v>
      </c>
      <c r="O211" t="n">
        <v>1</v>
      </c>
      <c r="P211" t="n">
        <v>0</v>
      </c>
      <c r="Q211" t="n">
        <v>1</v>
      </c>
      <c r="R211" s="2" t="inlineStr">
        <is>
          <t>Åkerranunkel</t>
        </is>
      </c>
      <c r="S211">
        <f>HYPERLINK("https://klasma.github.io/Logging_0980/artfynd/A 35615-2023 artfynd.xlsx", "A 35615-2023")</f>
        <v/>
      </c>
      <c r="T211">
        <f>HYPERLINK("https://klasma.github.io/Logging_0980/kartor/A 35615-2023 karta.png", "A 35615-2023")</f>
        <v/>
      </c>
      <c r="V211">
        <f>HYPERLINK("https://klasma.github.io/Logging_0980/klagomål/A 35615-2023 FSC-klagomål.docx", "A 35615-2023")</f>
        <v/>
      </c>
      <c r="W211">
        <f>HYPERLINK("https://klasma.github.io/Logging_0980/klagomålsmail/A 35615-2023 FSC-klagomål mail.docx", "A 35615-2023")</f>
        <v/>
      </c>
      <c r="X211">
        <f>HYPERLINK("https://klasma.github.io/Logging_0980/tillsyn/A 35615-2023 tillsynsbegäran.docx", "A 35615-2023")</f>
        <v/>
      </c>
      <c r="Y211">
        <f>HYPERLINK("https://klasma.github.io/Logging_0980/tillsynsmail/A 35615-2023 tillsynsbegäran mail.docx", "A 35615-2023")</f>
        <v/>
      </c>
    </row>
    <row r="212" ht="15" customHeight="1">
      <c r="A212" t="inlineStr">
        <is>
          <t>A 37584-2023</t>
        </is>
      </c>
      <c r="B212" s="1" t="n">
        <v>45159</v>
      </c>
      <c r="C212" s="1" t="n">
        <v>45568</v>
      </c>
      <c r="D212" t="inlineStr">
        <is>
          <t>GOTLANDS LÄN</t>
        </is>
      </c>
      <c r="E212" t="inlineStr">
        <is>
          <t>GOTLAND</t>
        </is>
      </c>
      <c r="G212" t="n">
        <v>5.4</v>
      </c>
      <c r="H212" t="n">
        <v>0</v>
      </c>
      <c r="I212" t="n">
        <v>1</v>
      </c>
      <c r="J212" t="n">
        <v>0</v>
      </c>
      <c r="K212" t="n">
        <v>0</v>
      </c>
      <c r="L212" t="n">
        <v>0</v>
      </c>
      <c r="M212" t="n">
        <v>0</v>
      </c>
      <c r="N212" t="n">
        <v>0</v>
      </c>
      <c r="O212" t="n">
        <v>0</v>
      </c>
      <c r="P212" t="n">
        <v>0</v>
      </c>
      <c r="Q212" t="n">
        <v>1</v>
      </c>
      <c r="R212" s="2" t="inlineStr">
        <is>
          <t>Myskmadra</t>
        </is>
      </c>
      <c r="S212">
        <f>HYPERLINK("https://klasma.github.io/Logging_0980/artfynd/A 37584-2023 artfynd.xlsx", "A 37584-2023")</f>
        <v/>
      </c>
      <c r="T212">
        <f>HYPERLINK("https://klasma.github.io/Logging_0980/kartor/A 37584-2023 karta.png", "A 37584-2023")</f>
        <v/>
      </c>
      <c r="V212">
        <f>HYPERLINK("https://klasma.github.io/Logging_0980/klagomål/A 37584-2023 FSC-klagomål.docx", "A 37584-2023")</f>
        <v/>
      </c>
      <c r="W212">
        <f>HYPERLINK("https://klasma.github.io/Logging_0980/klagomålsmail/A 37584-2023 FSC-klagomål mail.docx", "A 37584-2023")</f>
        <v/>
      </c>
      <c r="X212">
        <f>HYPERLINK("https://klasma.github.io/Logging_0980/tillsyn/A 37584-2023 tillsynsbegäran.docx", "A 37584-2023")</f>
        <v/>
      </c>
      <c r="Y212">
        <f>HYPERLINK("https://klasma.github.io/Logging_0980/tillsynsmail/A 37584-2023 tillsynsbegäran mail.docx", "A 37584-2023")</f>
        <v/>
      </c>
    </row>
    <row r="213" ht="15" customHeight="1">
      <c r="A213" t="inlineStr">
        <is>
          <t>A 42939-2023</t>
        </is>
      </c>
      <c r="B213" s="1" t="n">
        <v>45182</v>
      </c>
      <c r="C213" s="1" t="n">
        <v>45568</v>
      </c>
      <c r="D213" t="inlineStr">
        <is>
          <t>GOTLANDS LÄN</t>
        </is>
      </c>
      <c r="E213" t="inlineStr">
        <is>
          <t>GOTLAND</t>
        </is>
      </c>
      <c r="G213" t="n">
        <v>7.5</v>
      </c>
      <c r="H213" t="n">
        <v>0</v>
      </c>
      <c r="I213" t="n">
        <v>0</v>
      </c>
      <c r="J213" t="n">
        <v>0</v>
      </c>
      <c r="K213" t="n">
        <v>1</v>
      </c>
      <c r="L213" t="n">
        <v>0</v>
      </c>
      <c r="M213" t="n">
        <v>0</v>
      </c>
      <c r="N213" t="n">
        <v>0</v>
      </c>
      <c r="O213" t="n">
        <v>1</v>
      </c>
      <c r="P213" t="n">
        <v>1</v>
      </c>
      <c r="Q213" t="n">
        <v>1</v>
      </c>
      <c r="R213" s="2" t="inlineStr">
        <is>
          <t>Skogskorn</t>
        </is>
      </c>
      <c r="S213">
        <f>HYPERLINK("https://klasma.github.io/Logging_0980/artfynd/A 42939-2023 artfynd.xlsx", "A 42939-2023")</f>
        <v/>
      </c>
      <c r="T213">
        <f>HYPERLINK("https://klasma.github.io/Logging_0980/kartor/A 42939-2023 karta.png", "A 42939-2023")</f>
        <v/>
      </c>
      <c r="V213">
        <f>HYPERLINK("https://klasma.github.io/Logging_0980/klagomål/A 42939-2023 FSC-klagomål.docx", "A 42939-2023")</f>
        <v/>
      </c>
      <c r="W213">
        <f>HYPERLINK("https://klasma.github.io/Logging_0980/klagomålsmail/A 42939-2023 FSC-klagomål mail.docx", "A 42939-2023")</f>
        <v/>
      </c>
      <c r="X213">
        <f>HYPERLINK("https://klasma.github.io/Logging_0980/tillsyn/A 42939-2023 tillsynsbegäran.docx", "A 42939-2023")</f>
        <v/>
      </c>
      <c r="Y213">
        <f>HYPERLINK("https://klasma.github.io/Logging_0980/tillsynsmail/A 42939-2023 tillsynsbegäran mail.docx", "A 42939-2023")</f>
        <v/>
      </c>
    </row>
    <row r="214" ht="15" customHeight="1">
      <c r="A214" t="inlineStr">
        <is>
          <t>A 43219-2023</t>
        </is>
      </c>
      <c r="B214" s="1" t="n">
        <v>45183</v>
      </c>
      <c r="C214" s="1" t="n">
        <v>45568</v>
      </c>
      <c r="D214" t="inlineStr">
        <is>
          <t>GOTLANDS LÄN</t>
        </is>
      </c>
      <c r="E214" t="inlineStr">
        <is>
          <t>GOTLAND</t>
        </is>
      </c>
      <c r="G214" t="n">
        <v>3.6</v>
      </c>
      <c r="H214" t="n">
        <v>1</v>
      </c>
      <c r="I214" t="n">
        <v>0</v>
      </c>
      <c r="J214" t="n">
        <v>0</v>
      </c>
      <c r="K214" t="n">
        <v>0</v>
      </c>
      <c r="L214" t="n">
        <v>0</v>
      </c>
      <c r="M214" t="n">
        <v>0</v>
      </c>
      <c r="N214" t="n">
        <v>0</v>
      </c>
      <c r="O214" t="n">
        <v>0</v>
      </c>
      <c r="P214" t="n">
        <v>0</v>
      </c>
      <c r="Q214" t="n">
        <v>1</v>
      </c>
      <c r="R214" s="2" t="inlineStr">
        <is>
          <t>Skogsduva</t>
        </is>
      </c>
      <c r="S214">
        <f>HYPERLINK("https://klasma.github.io/Logging_0980/artfynd/A 43219-2023 artfynd.xlsx", "A 43219-2023")</f>
        <v/>
      </c>
      <c r="T214">
        <f>HYPERLINK("https://klasma.github.io/Logging_0980/kartor/A 43219-2023 karta.png", "A 43219-2023")</f>
        <v/>
      </c>
      <c r="V214">
        <f>HYPERLINK("https://klasma.github.io/Logging_0980/klagomål/A 43219-2023 FSC-klagomål.docx", "A 43219-2023")</f>
        <v/>
      </c>
      <c r="W214">
        <f>HYPERLINK("https://klasma.github.io/Logging_0980/klagomålsmail/A 43219-2023 FSC-klagomål mail.docx", "A 43219-2023")</f>
        <v/>
      </c>
      <c r="X214">
        <f>HYPERLINK("https://klasma.github.io/Logging_0980/tillsyn/A 43219-2023 tillsynsbegäran.docx", "A 43219-2023")</f>
        <v/>
      </c>
      <c r="Y214">
        <f>HYPERLINK("https://klasma.github.io/Logging_0980/tillsynsmail/A 43219-2023 tillsynsbegäran mail.docx", "A 43219-2023")</f>
        <v/>
      </c>
      <c r="Z214">
        <f>HYPERLINK("https://klasma.github.io/Logging_0980/fåglar/A 43219-2023 prioriterade fågelarter.docx", "A 43219-2023")</f>
        <v/>
      </c>
    </row>
    <row r="215" ht="15" customHeight="1">
      <c r="A215" t="inlineStr">
        <is>
          <t>A 46527-2023</t>
        </is>
      </c>
      <c r="B215" s="1" t="n">
        <v>45197</v>
      </c>
      <c r="C215" s="1" t="n">
        <v>45568</v>
      </c>
      <c r="D215" t="inlineStr">
        <is>
          <t>GOTLANDS LÄN</t>
        </is>
      </c>
      <c r="E215" t="inlineStr">
        <is>
          <t>GOTLAND</t>
        </is>
      </c>
      <c r="G215" t="n">
        <v>0.9</v>
      </c>
      <c r="H215" t="n">
        <v>0</v>
      </c>
      <c r="I215" t="n">
        <v>0</v>
      </c>
      <c r="J215" t="n">
        <v>1</v>
      </c>
      <c r="K215" t="n">
        <v>0</v>
      </c>
      <c r="L215" t="n">
        <v>0</v>
      </c>
      <c r="M215" t="n">
        <v>0</v>
      </c>
      <c r="N215" t="n">
        <v>0</v>
      </c>
      <c r="O215" t="n">
        <v>1</v>
      </c>
      <c r="P215" t="n">
        <v>0</v>
      </c>
      <c r="Q215" t="n">
        <v>1</v>
      </c>
      <c r="R215" s="2" t="inlineStr">
        <is>
          <t>Guldgräshoppa</t>
        </is>
      </c>
      <c r="S215">
        <f>HYPERLINK("https://klasma.github.io/Logging_0980/artfynd/A 46527-2023 artfynd.xlsx", "A 46527-2023")</f>
        <v/>
      </c>
      <c r="T215">
        <f>HYPERLINK("https://klasma.github.io/Logging_0980/kartor/A 46527-2023 karta.png", "A 46527-2023")</f>
        <v/>
      </c>
      <c r="V215">
        <f>HYPERLINK("https://klasma.github.io/Logging_0980/klagomål/A 46527-2023 FSC-klagomål.docx", "A 46527-2023")</f>
        <v/>
      </c>
      <c r="W215">
        <f>HYPERLINK("https://klasma.github.io/Logging_0980/klagomålsmail/A 46527-2023 FSC-klagomål mail.docx", "A 46527-2023")</f>
        <v/>
      </c>
      <c r="X215">
        <f>HYPERLINK("https://klasma.github.io/Logging_0980/tillsyn/A 46527-2023 tillsynsbegäran.docx", "A 46527-2023")</f>
        <v/>
      </c>
      <c r="Y215">
        <f>HYPERLINK("https://klasma.github.io/Logging_0980/tillsynsmail/A 46527-2023 tillsynsbegäran mail.docx", "A 46527-2023")</f>
        <v/>
      </c>
    </row>
    <row r="216" ht="15" customHeight="1">
      <c r="A216" t="inlineStr">
        <is>
          <t>A 49847-2023</t>
        </is>
      </c>
      <c r="B216" s="1" t="n">
        <v>45212</v>
      </c>
      <c r="C216" s="1" t="n">
        <v>45568</v>
      </c>
      <c r="D216" t="inlineStr">
        <is>
          <t>GOTLANDS LÄN</t>
        </is>
      </c>
      <c r="E216" t="inlineStr">
        <is>
          <t>GOTLAND</t>
        </is>
      </c>
      <c r="G216" t="n">
        <v>35.2</v>
      </c>
      <c r="H216" t="n">
        <v>0</v>
      </c>
      <c r="I216" t="n">
        <v>0</v>
      </c>
      <c r="J216" t="n">
        <v>0</v>
      </c>
      <c r="K216" t="n">
        <v>1</v>
      </c>
      <c r="L216" t="n">
        <v>0</v>
      </c>
      <c r="M216" t="n">
        <v>0</v>
      </c>
      <c r="N216" t="n">
        <v>0</v>
      </c>
      <c r="O216" t="n">
        <v>1</v>
      </c>
      <c r="P216" t="n">
        <v>1</v>
      </c>
      <c r="Q216" t="n">
        <v>1</v>
      </c>
      <c r="R216" s="2" t="inlineStr">
        <is>
          <t>Strandviol</t>
        </is>
      </c>
      <c r="S216">
        <f>HYPERLINK("https://klasma.github.io/Logging_0980/artfynd/A 49847-2023 artfynd.xlsx", "A 49847-2023")</f>
        <v/>
      </c>
      <c r="T216">
        <f>HYPERLINK("https://klasma.github.io/Logging_0980/kartor/A 49847-2023 karta.png", "A 49847-2023")</f>
        <v/>
      </c>
      <c r="V216">
        <f>HYPERLINK("https://klasma.github.io/Logging_0980/klagomål/A 49847-2023 FSC-klagomål.docx", "A 49847-2023")</f>
        <v/>
      </c>
      <c r="W216">
        <f>HYPERLINK("https://klasma.github.io/Logging_0980/klagomålsmail/A 49847-2023 FSC-klagomål mail.docx", "A 49847-2023")</f>
        <v/>
      </c>
      <c r="X216">
        <f>HYPERLINK("https://klasma.github.io/Logging_0980/tillsyn/A 49847-2023 tillsynsbegäran.docx", "A 49847-2023")</f>
        <v/>
      </c>
      <c r="Y216">
        <f>HYPERLINK("https://klasma.github.io/Logging_0980/tillsynsmail/A 49847-2023 tillsynsbegäran mail.docx", "A 49847-2023")</f>
        <v/>
      </c>
    </row>
    <row r="217" ht="15" customHeight="1">
      <c r="A217" t="inlineStr">
        <is>
          <t>A 53907-2023</t>
        </is>
      </c>
      <c r="B217" s="1" t="n">
        <v>45231</v>
      </c>
      <c r="C217" s="1" t="n">
        <v>45568</v>
      </c>
      <c r="D217" t="inlineStr">
        <is>
          <t>GOTLANDS LÄN</t>
        </is>
      </c>
      <c r="E217" t="inlineStr">
        <is>
          <t>GOTLAND</t>
        </is>
      </c>
      <c r="G217" t="n">
        <v>13.7</v>
      </c>
      <c r="H217" t="n">
        <v>0</v>
      </c>
      <c r="I217" t="n">
        <v>0</v>
      </c>
      <c r="J217" t="n">
        <v>0</v>
      </c>
      <c r="K217" t="n">
        <v>1</v>
      </c>
      <c r="L217" t="n">
        <v>0</v>
      </c>
      <c r="M217" t="n">
        <v>0</v>
      </c>
      <c r="N217" t="n">
        <v>0</v>
      </c>
      <c r="O217" t="n">
        <v>1</v>
      </c>
      <c r="P217" t="n">
        <v>1</v>
      </c>
      <c r="Q217" t="n">
        <v>1</v>
      </c>
      <c r="R217" s="2" t="inlineStr">
        <is>
          <t>Granrotspindling</t>
        </is>
      </c>
      <c r="S217">
        <f>HYPERLINK("https://klasma.github.io/Logging_0980/artfynd/A 53907-2023 artfynd.xlsx", "A 53907-2023")</f>
        <v/>
      </c>
      <c r="T217">
        <f>HYPERLINK("https://klasma.github.io/Logging_0980/kartor/A 53907-2023 karta.png", "A 53907-2023")</f>
        <v/>
      </c>
      <c r="V217">
        <f>HYPERLINK("https://klasma.github.io/Logging_0980/klagomål/A 53907-2023 FSC-klagomål.docx", "A 53907-2023")</f>
        <v/>
      </c>
      <c r="W217">
        <f>HYPERLINK("https://klasma.github.io/Logging_0980/klagomålsmail/A 53907-2023 FSC-klagomål mail.docx", "A 53907-2023")</f>
        <v/>
      </c>
      <c r="X217">
        <f>HYPERLINK("https://klasma.github.io/Logging_0980/tillsyn/A 53907-2023 tillsynsbegäran.docx", "A 53907-2023")</f>
        <v/>
      </c>
      <c r="Y217">
        <f>HYPERLINK("https://klasma.github.io/Logging_0980/tillsynsmail/A 53907-2023 tillsynsbegäran mail.docx", "A 53907-2023")</f>
        <v/>
      </c>
    </row>
    <row r="218" ht="15" customHeight="1">
      <c r="A218" t="inlineStr">
        <is>
          <t>A 56304-2023</t>
        </is>
      </c>
      <c r="B218" s="1" t="n">
        <v>45242</v>
      </c>
      <c r="C218" s="1" t="n">
        <v>45568</v>
      </c>
      <c r="D218" t="inlineStr">
        <is>
          <t>GOTLANDS LÄN</t>
        </is>
      </c>
      <c r="E218" t="inlineStr">
        <is>
          <t>GOTLAND</t>
        </is>
      </c>
      <c r="G218" t="n">
        <v>0.9</v>
      </c>
      <c r="H218" t="n">
        <v>1</v>
      </c>
      <c r="I218" t="n">
        <v>0</v>
      </c>
      <c r="J218" t="n">
        <v>0</v>
      </c>
      <c r="K218" t="n">
        <v>1</v>
      </c>
      <c r="L218" t="n">
        <v>0</v>
      </c>
      <c r="M218" t="n">
        <v>0</v>
      </c>
      <c r="N218" t="n">
        <v>0</v>
      </c>
      <c r="O218" t="n">
        <v>1</v>
      </c>
      <c r="P218" t="n">
        <v>1</v>
      </c>
      <c r="Q218" t="n">
        <v>1</v>
      </c>
      <c r="R218" s="2" t="inlineStr">
        <is>
          <t>Garderönn</t>
        </is>
      </c>
      <c r="S218">
        <f>HYPERLINK("https://klasma.github.io/Logging_0980/artfynd/A 56304-2023 artfynd.xlsx", "A 56304-2023")</f>
        <v/>
      </c>
      <c r="T218">
        <f>HYPERLINK("https://klasma.github.io/Logging_0980/kartor/A 56304-2023 karta.png", "A 56304-2023")</f>
        <v/>
      </c>
      <c r="V218">
        <f>HYPERLINK("https://klasma.github.io/Logging_0980/klagomål/A 56304-2023 FSC-klagomål.docx", "A 56304-2023")</f>
        <v/>
      </c>
      <c r="W218">
        <f>HYPERLINK("https://klasma.github.io/Logging_0980/klagomålsmail/A 56304-2023 FSC-klagomål mail.docx", "A 56304-2023")</f>
        <v/>
      </c>
      <c r="X218">
        <f>HYPERLINK("https://klasma.github.io/Logging_0980/tillsyn/A 56304-2023 tillsynsbegäran.docx", "A 56304-2023")</f>
        <v/>
      </c>
      <c r="Y218">
        <f>HYPERLINK("https://klasma.github.io/Logging_0980/tillsynsmail/A 56304-2023 tillsynsbegäran mail.docx", "A 56304-2023")</f>
        <v/>
      </c>
    </row>
    <row r="219" ht="15" customHeight="1">
      <c r="A219" t="inlineStr">
        <is>
          <t>A 61561-2023</t>
        </is>
      </c>
      <c r="B219" s="1" t="n">
        <v>45265</v>
      </c>
      <c r="C219" s="1" t="n">
        <v>45568</v>
      </c>
      <c r="D219" t="inlineStr">
        <is>
          <t>GOTLANDS LÄN</t>
        </is>
      </c>
      <c r="E219" t="inlineStr">
        <is>
          <t>GOTLAND</t>
        </is>
      </c>
      <c r="G219" t="n">
        <v>7.4</v>
      </c>
      <c r="H219" t="n">
        <v>0</v>
      </c>
      <c r="I219" t="n">
        <v>0</v>
      </c>
      <c r="J219" t="n">
        <v>1</v>
      </c>
      <c r="K219" t="n">
        <v>0</v>
      </c>
      <c r="L219" t="n">
        <v>0</v>
      </c>
      <c r="M219" t="n">
        <v>0</v>
      </c>
      <c r="N219" t="n">
        <v>0</v>
      </c>
      <c r="O219" t="n">
        <v>1</v>
      </c>
      <c r="P219" t="n">
        <v>0</v>
      </c>
      <c r="Q219" t="n">
        <v>1</v>
      </c>
      <c r="R219" s="2" t="inlineStr">
        <is>
          <t>Loppstarr</t>
        </is>
      </c>
      <c r="S219">
        <f>HYPERLINK("https://klasma.github.io/Logging_0980/artfynd/A 61561-2023 artfynd.xlsx", "A 61561-2023")</f>
        <v/>
      </c>
      <c r="T219">
        <f>HYPERLINK("https://klasma.github.io/Logging_0980/kartor/A 61561-2023 karta.png", "A 61561-2023")</f>
        <v/>
      </c>
      <c r="V219">
        <f>HYPERLINK("https://klasma.github.io/Logging_0980/klagomål/A 61561-2023 FSC-klagomål.docx", "A 61561-2023")</f>
        <v/>
      </c>
      <c r="W219">
        <f>HYPERLINK("https://klasma.github.io/Logging_0980/klagomålsmail/A 61561-2023 FSC-klagomål mail.docx", "A 61561-2023")</f>
        <v/>
      </c>
      <c r="X219">
        <f>HYPERLINK("https://klasma.github.io/Logging_0980/tillsyn/A 61561-2023 tillsynsbegäran.docx", "A 61561-2023")</f>
        <v/>
      </c>
      <c r="Y219">
        <f>HYPERLINK("https://klasma.github.io/Logging_0980/tillsynsmail/A 61561-2023 tillsynsbegäran mail.docx", "A 61561-2023")</f>
        <v/>
      </c>
    </row>
    <row r="220" ht="15" customHeight="1">
      <c r="A220" t="inlineStr">
        <is>
          <t>A 61846-2023</t>
        </is>
      </c>
      <c r="B220" s="1" t="n">
        <v>45266</v>
      </c>
      <c r="C220" s="1" t="n">
        <v>45568</v>
      </c>
      <c r="D220" t="inlineStr">
        <is>
          <t>GOTLANDS LÄN</t>
        </is>
      </c>
      <c r="E220" t="inlineStr">
        <is>
          <t>GOTLAND</t>
        </is>
      </c>
      <c r="G220" t="n">
        <v>2.2</v>
      </c>
      <c r="H220" t="n">
        <v>1</v>
      </c>
      <c r="I220" t="n">
        <v>0</v>
      </c>
      <c r="J220" t="n">
        <v>1</v>
      </c>
      <c r="K220" t="n">
        <v>0</v>
      </c>
      <c r="L220" t="n">
        <v>0</v>
      </c>
      <c r="M220" t="n">
        <v>0</v>
      </c>
      <c r="N220" t="n">
        <v>0</v>
      </c>
      <c r="O220" t="n">
        <v>1</v>
      </c>
      <c r="P220" t="n">
        <v>0</v>
      </c>
      <c r="Q220" t="n">
        <v>1</v>
      </c>
      <c r="R220" s="2" t="inlineStr">
        <is>
          <t>Rosenfink</t>
        </is>
      </c>
      <c r="S220">
        <f>HYPERLINK("https://klasma.github.io/Logging_0980/artfynd/A 61846-2023 artfynd.xlsx", "A 61846-2023")</f>
        <v/>
      </c>
      <c r="T220">
        <f>HYPERLINK("https://klasma.github.io/Logging_0980/kartor/A 61846-2023 karta.png", "A 61846-2023")</f>
        <v/>
      </c>
      <c r="V220">
        <f>HYPERLINK("https://klasma.github.io/Logging_0980/klagomål/A 61846-2023 FSC-klagomål.docx", "A 61846-2023")</f>
        <v/>
      </c>
      <c r="W220">
        <f>HYPERLINK("https://klasma.github.io/Logging_0980/klagomålsmail/A 61846-2023 FSC-klagomål mail.docx", "A 61846-2023")</f>
        <v/>
      </c>
      <c r="X220">
        <f>HYPERLINK("https://klasma.github.io/Logging_0980/tillsyn/A 61846-2023 tillsynsbegäran.docx", "A 61846-2023")</f>
        <v/>
      </c>
      <c r="Y220">
        <f>HYPERLINK("https://klasma.github.io/Logging_0980/tillsynsmail/A 61846-2023 tillsynsbegäran mail.docx", "A 61846-2023")</f>
        <v/>
      </c>
      <c r="Z220">
        <f>HYPERLINK("https://klasma.github.io/Logging_0980/fåglar/A 61846-2023 prioriterade fågelarter.docx", "A 61846-2023")</f>
        <v/>
      </c>
    </row>
    <row r="221" ht="15" customHeight="1">
      <c r="A221" t="inlineStr">
        <is>
          <t>A 61994-2023</t>
        </is>
      </c>
      <c r="B221" s="1" t="n">
        <v>45266</v>
      </c>
      <c r="C221" s="1" t="n">
        <v>45568</v>
      </c>
      <c r="D221" t="inlineStr">
        <is>
          <t>GOTLANDS LÄN</t>
        </is>
      </c>
      <c r="E221" t="inlineStr">
        <is>
          <t>GOTLAND</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HYPERLINK("https://klasma.github.io/Logging_0980/artfynd/A 61994-2023 artfynd.xlsx", "A 61994-2023")</f>
        <v/>
      </c>
      <c r="T221">
        <f>HYPERLINK("https://klasma.github.io/Logging_0980/kartor/A 61994-2023 karta.png", "A 61994-2023")</f>
        <v/>
      </c>
      <c r="V221">
        <f>HYPERLINK("https://klasma.github.io/Logging_0980/klagomål/A 61994-2023 FSC-klagomål.docx", "A 61994-2023")</f>
        <v/>
      </c>
      <c r="W221">
        <f>HYPERLINK("https://klasma.github.io/Logging_0980/klagomålsmail/A 61994-2023 FSC-klagomål mail.docx", "A 61994-2023")</f>
        <v/>
      </c>
      <c r="X221">
        <f>HYPERLINK("https://klasma.github.io/Logging_0980/tillsyn/A 61994-2023 tillsynsbegäran.docx", "A 61994-2023")</f>
        <v/>
      </c>
      <c r="Y221">
        <f>HYPERLINK("https://klasma.github.io/Logging_0980/tillsynsmail/A 61994-2023 tillsynsbegäran mail.docx", "A 61994-2023")</f>
        <v/>
      </c>
    </row>
    <row r="222" ht="15" customHeight="1">
      <c r="A222" t="inlineStr">
        <is>
          <t>A 62376-2023</t>
        </is>
      </c>
      <c r="B222" s="1" t="n">
        <v>45268</v>
      </c>
      <c r="C222" s="1" t="n">
        <v>45568</v>
      </c>
      <c r="D222" t="inlineStr">
        <is>
          <t>GOTLANDS LÄN</t>
        </is>
      </c>
      <c r="E222" t="inlineStr">
        <is>
          <t>GOTLAND</t>
        </is>
      </c>
      <c r="G222" t="n">
        <v>4.2</v>
      </c>
      <c r="H222" t="n">
        <v>1</v>
      </c>
      <c r="I222" t="n">
        <v>0</v>
      </c>
      <c r="J222" t="n">
        <v>0</v>
      </c>
      <c r="K222" t="n">
        <v>0</v>
      </c>
      <c r="L222" t="n">
        <v>0</v>
      </c>
      <c r="M222" t="n">
        <v>0</v>
      </c>
      <c r="N222" t="n">
        <v>0</v>
      </c>
      <c r="O222" t="n">
        <v>0</v>
      </c>
      <c r="P222" t="n">
        <v>0</v>
      </c>
      <c r="Q222" t="n">
        <v>1</v>
      </c>
      <c r="R222" s="2" t="inlineStr">
        <is>
          <t>Fläcknycklar</t>
        </is>
      </c>
      <c r="S222">
        <f>HYPERLINK("https://klasma.github.io/Logging_0980/artfynd/A 62376-2023 artfynd.xlsx", "A 62376-2023")</f>
        <v/>
      </c>
      <c r="T222">
        <f>HYPERLINK("https://klasma.github.io/Logging_0980/kartor/A 62376-2023 karta.png", "A 62376-2023")</f>
        <v/>
      </c>
      <c r="V222">
        <f>HYPERLINK("https://klasma.github.io/Logging_0980/klagomål/A 62376-2023 FSC-klagomål.docx", "A 62376-2023")</f>
        <v/>
      </c>
      <c r="W222">
        <f>HYPERLINK("https://klasma.github.io/Logging_0980/klagomålsmail/A 62376-2023 FSC-klagomål mail.docx", "A 62376-2023")</f>
        <v/>
      </c>
      <c r="X222">
        <f>HYPERLINK("https://klasma.github.io/Logging_0980/tillsyn/A 62376-2023 tillsynsbegäran.docx", "A 62376-2023")</f>
        <v/>
      </c>
      <c r="Y222">
        <f>HYPERLINK("https://klasma.github.io/Logging_0980/tillsynsmail/A 62376-2023 tillsynsbegäran mail.docx", "A 62376-2023")</f>
        <v/>
      </c>
    </row>
    <row r="223" ht="15" customHeight="1">
      <c r="A223" t="inlineStr">
        <is>
          <t>A 63515-2023</t>
        </is>
      </c>
      <c r="B223" s="1" t="n">
        <v>45274</v>
      </c>
      <c r="C223" s="1" t="n">
        <v>45568</v>
      </c>
      <c r="D223" t="inlineStr">
        <is>
          <t>GOTLANDS LÄN</t>
        </is>
      </c>
      <c r="E223" t="inlineStr">
        <is>
          <t>GOTLAND</t>
        </is>
      </c>
      <c r="G223" t="n">
        <v>2.1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63515-2023 artfynd.xlsx", "A 63515-2023")</f>
        <v/>
      </c>
      <c r="T223">
        <f>HYPERLINK("https://klasma.github.io/Logging_0980/kartor/A 63515-2023 karta.png", "A 63515-2023")</f>
        <v/>
      </c>
      <c r="V223">
        <f>HYPERLINK("https://klasma.github.io/Logging_0980/klagomål/A 63515-2023 FSC-klagomål.docx", "A 63515-2023")</f>
        <v/>
      </c>
      <c r="W223">
        <f>HYPERLINK("https://klasma.github.io/Logging_0980/klagomålsmail/A 63515-2023 FSC-klagomål mail.docx", "A 63515-2023")</f>
        <v/>
      </c>
      <c r="X223">
        <f>HYPERLINK("https://klasma.github.io/Logging_0980/tillsyn/A 63515-2023 tillsynsbegäran.docx", "A 63515-2023")</f>
        <v/>
      </c>
      <c r="Y223">
        <f>HYPERLINK("https://klasma.github.io/Logging_0980/tillsynsmail/A 63515-2023 tillsynsbegäran mail.docx", "A 63515-2023")</f>
        <v/>
      </c>
    </row>
    <row r="224" ht="15" customHeight="1">
      <c r="A224" t="inlineStr">
        <is>
          <t>A 63302-2023</t>
        </is>
      </c>
      <c r="B224" s="1" t="n">
        <v>45274</v>
      </c>
      <c r="C224" s="1" t="n">
        <v>45568</v>
      </c>
      <c r="D224" t="inlineStr">
        <is>
          <t>GOTLANDS LÄN</t>
        </is>
      </c>
      <c r="E224" t="inlineStr">
        <is>
          <t>GOTLAND</t>
        </is>
      </c>
      <c r="G224" t="n">
        <v>1.3</v>
      </c>
      <c r="H224" t="n">
        <v>1</v>
      </c>
      <c r="I224" t="n">
        <v>0</v>
      </c>
      <c r="J224" t="n">
        <v>0</v>
      </c>
      <c r="K224" t="n">
        <v>0</v>
      </c>
      <c r="L224" t="n">
        <v>0</v>
      </c>
      <c r="M224" t="n">
        <v>0</v>
      </c>
      <c r="N224" t="n">
        <v>0</v>
      </c>
      <c r="O224" t="n">
        <v>0</v>
      </c>
      <c r="P224" t="n">
        <v>0</v>
      </c>
      <c r="Q224" t="n">
        <v>1</v>
      </c>
      <c r="R224" s="2" t="inlineStr">
        <is>
          <t>Nattskärra</t>
        </is>
      </c>
      <c r="S224">
        <f>HYPERLINK("https://klasma.github.io/Logging_0980/artfynd/A 63302-2023 artfynd.xlsx", "A 63302-2023")</f>
        <v/>
      </c>
      <c r="T224">
        <f>HYPERLINK("https://klasma.github.io/Logging_0980/kartor/A 63302-2023 karta.png", "A 63302-2023")</f>
        <v/>
      </c>
      <c r="V224">
        <f>HYPERLINK("https://klasma.github.io/Logging_0980/klagomål/A 63302-2023 FSC-klagomål.docx", "A 63302-2023")</f>
        <v/>
      </c>
      <c r="W224">
        <f>HYPERLINK("https://klasma.github.io/Logging_0980/klagomålsmail/A 63302-2023 FSC-klagomål mail.docx", "A 63302-2023")</f>
        <v/>
      </c>
      <c r="X224">
        <f>HYPERLINK("https://klasma.github.io/Logging_0980/tillsyn/A 63302-2023 tillsynsbegäran.docx", "A 63302-2023")</f>
        <v/>
      </c>
      <c r="Y224">
        <f>HYPERLINK("https://klasma.github.io/Logging_0980/tillsynsmail/A 63302-2023 tillsynsbegäran mail.docx", "A 63302-2023")</f>
        <v/>
      </c>
      <c r="Z224">
        <f>HYPERLINK("https://klasma.github.io/Logging_0980/fåglar/A 63302-2023 prioriterade fågelarter.docx", "A 63302-2023")</f>
        <v/>
      </c>
    </row>
    <row r="225" ht="15" customHeight="1">
      <c r="A225" t="inlineStr">
        <is>
          <t>A 6303-2024</t>
        </is>
      </c>
      <c r="B225" s="1" t="n">
        <v>45338</v>
      </c>
      <c r="C225" s="1" t="n">
        <v>45568</v>
      </c>
      <c r="D225" t="inlineStr">
        <is>
          <t>GOTLANDS LÄN</t>
        </is>
      </c>
      <c r="E225" t="inlineStr">
        <is>
          <t>GOTLAND</t>
        </is>
      </c>
      <c r="G225" t="n">
        <v>0.6</v>
      </c>
      <c r="H225" t="n">
        <v>0</v>
      </c>
      <c r="I225" t="n">
        <v>1</v>
      </c>
      <c r="J225" t="n">
        <v>0</v>
      </c>
      <c r="K225" t="n">
        <v>0</v>
      </c>
      <c r="L225" t="n">
        <v>0</v>
      </c>
      <c r="M225" t="n">
        <v>0</v>
      </c>
      <c r="N225" t="n">
        <v>0</v>
      </c>
      <c r="O225" t="n">
        <v>0</v>
      </c>
      <c r="P225" t="n">
        <v>0</v>
      </c>
      <c r="Q225" t="n">
        <v>1</v>
      </c>
      <c r="R225" s="2" t="inlineStr">
        <is>
          <t>Strävlosta</t>
        </is>
      </c>
      <c r="S225">
        <f>HYPERLINK("https://klasma.github.io/Logging_0980/artfynd/A 6303-2024 artfynd.xlsx", "A 6303-2024")</f>
        <v/>
      </c>
      <c r="T225">
        <f>HYPERLINK("https://klasma.github.io/Logging_0980/kartor/A 6303-2024 karta.png", "A 6303-2024")</f>
        <v/>
      </c>
      <c r="V225">
        <f>HYPERLINK("https://klasma.github.io/Logging_0980/klagomål/A 6303-2024 FSC-klagomål.docx", "A 6303-2024")</f>
        <v/>
      </c>
      <c r="W225">
        <f>HYPERLINK("https://klasma.github.io/Logging_0980/klagomålsmail/A 6303-2024 FSC-klagomål mail.docx", "A 6303-2024")</f>
        <v/>
      </c>
      <c r="X225">
        <f>HYPERLINK("https://klasma.github.io/Logging_0980/tillsyn/A 6303-2024 tillsynsbegäran.docx", "A 6303-2024")</f>
        <v/>
      </c>
      <c r="Y225">
        <f>HYPERLINK("https://klasma.github.io/Logging_0980/tillsynsmail/A 6303-2024 tillsynsbegäran mail.docx", "A 6303-2024")</f>
        <v/>
      </c>
    </row>
    <row r="226" ht="15" customHeight="1">
      <c r="A226" t="inlineStr">
        <is>
          <t>A 8291-2024</t>
        </is>
      </c>
      <c r="B226" s="1" t="n">
        <v>45352</v>
      </c>
      <c r="C226" s="1" t="n">
        <v>45568</v>
      </c>
      <c r="D226" t="inlineStr">
        <is>
          <t>GOTLANDS LÄN</t>
        </is>
      </c>
      <c r="E226" t="inlineStr">
        <is>
          <t>GOTLAND</t>
        </is>
      </c>
      <c r="G226" t="n">
        <v>5.4</v>
      </c>
      <c r="H226" t="n">
        <v>1</v>
      </c>
      <c r="I226" t="n">
        <v>0</v>
      </c>
      <c r="J226" t="n">
        <v>1</v>
      </c>
      <c r="K226" t="n">
        <v>0</v>
      </c>
      <c r="L226" t="n">
        <v>0</v>
      </c>
      <c r="M226" t="n">
        <v>0</v>
      </c>
      <c r="N226" t="n">
        <v>0</v>
      </c>
      <c r="O226" t="n">
        <v>1</v>
      </c>
      <c r="P226" t="n">
        <v>0</v>
      </c>
      <c r="Q226" t="n">
        <v>1</v>
      </c>
      <c r="R226" s="2" t="inlineStr">
        <is>
          <t>Ärtsångare</t>
        </is>
      </c>
      <c r="S226">
        <f>HYPERLINK("https://klasma.github.io/Logging_0980/artfynd/A 8291-2024 artfynd.xlsx", "A 8291-2024")</f>
        <v/>
      </c>
      <c r="T226">
        <f>HYPERLINK("https://klasma.github.io/Logging_0980/kartor/A 8291-2024 karta.png", "A 8291-2024")</f>
        <v/>
      </c>
      <c r="V226">
        <f>HYPERLINK("https://klasma.github.io/Logging_0980/klagomål/A 8291-2024 FSC-klagomål.docx", "A 8291-2024")</f>
        <v/>
      </c>
      <c r="W226">
        <f>HYPERLINK("https://klasma.github.io/Logging_0980/klagomålsmail/A 8291-2024 FSC-klagomål mail.docx", "A 8291-2024")</f>
        <v/>
      </c>
      <c r="X226">
        <f>HYPERLINK("https://klasma.github.io/Logging_0980/tillsyn/A 8291-2024 tillsynsbegäran.docx", "A 8291-2024")</f>
        <v/>
      </c>
      <c r="Y226">
        <f>HYPERLINK("https://klasma.github.io/Logging_0980/tillsynsmail/A 8291-2024 tillsynsbegäran mail.docx", "A 8291-2024")</f>
        <v/>
      </c>
      <c r="Z226">
        <f>HYPERLINK("https://klasma.github.io/Logging_0980/fåglar/A 8291-2024 prioriterade fågelarter.docx", "A 8291-2024")</f>
        <v/>
      </c>
    </row>
    <row r="227" ht="15" customHeight="1">
      <c r="A227" t="inlineStr">
        <is>
          <t>A 9862-2024</t>
        </is>
      </c>
      <c r="B227" s="1" t="n">
        <v>45363</v>
      </c>
      <c r="C227" s="1" t="n">
        <v>45568</v>
      </c>
      <c r="D227" t="inlineStr">
        <is>
          <t>GOTLANDS LÄN</t>
        </is>
      </c>
      <c r="E227" t="inlineStr">
        <is>
          <t>GOTLAND</t>
        </is>
      </c>
      <c r="G227" t="n">
        <v>3.5</v>
      </c>
      <c r="H227" t="n">
        <v>1</v>
      </c>
      <c r="I227" t="n">
        <v>0</v>
      </c>
      <c r="J227" t="n">
        <v>0</v>
      </c>
      <c r="K227" t="n">
        <v>0</v>
      </c>
      <c r="L227" t="n">
        <v>0</v>
      </c>
      <c r="M227" t="n">
        <v>0</v>
      </c>
      <c r="N227" t="n">
        <v>0</v>
      </c>
      <c r="O227" t="n">
        <v>0</v>
      </c>
      <c r="P227" t="n">
        <v>0</v>
      </c>
      <c r="Q227" t="n">
        <v>1</v>
      </c>
      <c r="R227" s="2" t="inlineStr">
        <is>
          <t>Nattviol</t>
        </is>
      </c>
      <c r="S227">
        <f>HYPERLINK("https://klasma.github.io/Logging_0980/artfynd/A 9862-2024 artfynd.xlsx", "A 9862-2024")</f>
        <v/>
      </c>
      <c r="T227">
        <f>HYPERLINK("https://klasma.github.io/Logging_0980/kartor/A 9862-2024 karta.png", "A 9862-2024")</f>
        <v/>
      </c>
      <c r="V227">
        <f>HYPERLINK("https://klasma.github.io/Logging_0980/klagomål/A 9862-2024 FSC-klagomål.docx", "A 9862-2024")</f>
        <v/>
      </c>
      <c r="W227">
        <f>HYPERLINK("https://klasma.github.io/Logging_0980/klagomålsmail/A 9862-2024 FSC-klagomål mail.docx", "A 9862-2024")</f>
        <v/>
      </c>
      <c r="X227">
        <f>HYPERLINK("https://klasma.github.io/Logging_0980/tillsyn/A 9862-2024 tillsynsbegäran.docx", "A 9862-2024")</f>
        <v/>
      </c>
      <c r="Y227">
        <f>HYPERLINK("https://klasma.github.io/Logging_0980/tillsynsmail/A 9862-2024 tillsynsbegäran mail.docx", "A 9862-2024")</f>
        <v/>
      </c>
    </row>
    <row r="228" ht="15" customHeight="1">
      <c r="A228" t="inlineStr">
        <is>
          <t>A 10440-2024</t>
        </is>
      </c>
      <c r="B228" s="1" t="n">
        <v>45366</v>
      </c>
      <c r="C228" s="1" t="n">
        <v>45568</v>
      </c>
      <c r="D228" t="inlineStr">
        <is>
          <t>GOTLANDS LÄN</t>
        </is>
      </c>
      <c r="E228" t="inlineStr">
        <is>
          <t>GOTLAND</t>
        </is>
      </c>
      <c r="G228" t="n">
        <v>2.5</v>
      </c>
      <c r="H228" t="n">
        <v>1</v>
      </c>
      <c r="I228" t="n">
        <v>0</v>
      </c>
      <c r="J228" t="n">
        <v>1</v>
      </c>
      <c r="K228" t="n">
        <v>0</v>
      </c>
      <c r="L228" t="n">
        <v>0</v>
      </c>
      <c r="M228" t="n">
        <v>0</v>
      </c>
      <c r="N228" t="n">
        <v>0</v>
      </c>
      <c r="O228" t="n">
        <v>1</v>
      </c>
      <c r="P228" t="n">
        <v>0</v>
      </c>
      <c r="Q228" t="n">
        <v>1</v>
      </c>
      <c r="R228" s="2" t="inlineStr">
        <is>
          <t>Mindre hackspett</t>
        </is>
      </c>
      <c r="S228">
        <f>HYPERLINK("https://klasma.github.io/Logging_0980/artfynd/A 10440-2024 artfynd.xlsx", "A 10440-2024")</f>
        <v/>
      </c>
      <c r="T228">
        <f>HYPERLINK("https://klasma.github.io/Logging_0980/kartor/A 10440-2024 karta.png", "A 10440-2024")</f>
        <v/>
      </c>
      <c r="V228">
        <f>HYPERLINK("https://klasma.github.io/Logging_0980/klagomål/A 10440-2024 FSC-klagomål.docx", "A 10440-2024")</f>
        <v/>
      </c>
      <c r="W228">
        <f>HYPERLINK("https://klasma.github.io/Logging_0980/klagomålsmail/A 10440-2024 FSC-klagomål mail.docx", "A 10440-2024")</f>
        <v/>
      </c>
      <c r="X228">
        <f>HYPERLINK("https://klasma.github.io/Logging_0980/tillsyn/A 10440-2024 tillsynsbegäran.docx", "A 10440-2024")</f>
        <v/>
      </c>
      <c r="Y228">
        <f>HYPERLINK("https://klasma.github.io/Logging_0980/tillsynsmail/A 10440-2024 tillsynsbegäran mail.docx", "A 10440-2024")</f>
        <v/>
      </c>
      <c r="Z228">
        <f>HYPERLINK("https://klasma.github.io/Logging_0980/fåglar/A 10440-2024 prioriterade fågelarter.docx", "A 10440-2024")</f>
        <v/>
      </c>
    </row>
    <row r="229" ht="15" customHeight="1">
      <c r="A229" t="inlineStr">
        <is>
          <t>A 12379-2024</t>
        </is>
      </c>
      <c r="B229" s="1" t="n">
        <v>45379</v>
      </c>
      <c r="C229" s="1" t="n">
        <v>45568</v>
      </c>
      <c r="D229" t="inlineStr">
        <is>
          <t>GOTLANDS LÄN</t>
        </is>
      </c>
      <c r="E229" t="inlineStr">
        <is>
          <t>GOTLAND</t>
        </is>
      </c>
      <c r="G229" t="n">
        <v>4.4</v>
      </c>
      <c r="H229" t="n">
        <v>0</v>
      </c>
      <c r="I229" t="n">
        <v>0</v>
      </c>
      <c r="J229" t="n">
        <v>1</v>
      </c>
      <c r="K229" t="n">
        <v>0</v>
      </c>
      <c r="L229" t="n">
        <v>0</v>
      </c>
      <c r="M229" t="n">
        <v>0</v>
      </c>
      <c r="N229" t="n">
        <v>0</v>
      </c>
      <c r="O229" t="n">
        <v>1</v>
      </c>
      <c r="P229" t="n">
        <v>0</v>
      </c>
      <c r="Q229" t="n">
        <v>1</v>
      </c>
      <c r="R229" s="2" t="inlineStr">
        <is>
          <t>Svinrot</t>
        </is>
      </c>
      <c r="S229">
        <f>HYPERLINK("https://klasma.github.io/Logging_0980/artfynd/A 12379-2024 artfynd.xlsx", "A 12379-2024")</f>
        <v/>
      </c>
      <c r="T229">
        <f>HYPERLINK("https://klasma.github.io/Logging_0980/kartor/A 12379-2024 karta.png", "A 12379-2024")</f>
        <v/>
      </c>
      <c r="V229">
        <f>HYPERLINK("https://klasma.github.io/Logging_0980/klagomål/A 12379-2024 FSC-klagomål.docx", "A 12379-2024")</f>
        <v/>
      </c>
      <c r="W229">
        <f>HYPERLINK("https://klasma.github.io/Logging_0980/klagomålsmail/A 12379-2024 FSC-klagomål mail.docx", "A 12379-2024")</f>
        <v/>
      </c>
      <c r="X229">
        <f>HYPERLINK("https://klasma.github.io/Logging_0980/tillsyn/A 12379-2024 tillsynsbegäran.docx", "A 12379-2024")</f>
        <v/>
      </c>
      <c r="Y229">
        <f>HYPERLINK("https://klasma.github.io/Logging_0980/tillsynsmail/A 12379-2024 tillsynsbegäran mail.docx", "A 12379-2024")</f>
        <v/>
      </c>
    </row>
    <row r="230" ht="15" customHeight="1">
      <c r="A230" t="inlineStr">
        <is>
          <t>A 15629-2024</t>
        </is>
      </c>
      <c r="B230" s="1" t="n">
        <v>45402</v>
      </c>
      <c r="C230" s="1" t="n">
        <v>45568</v>
      </c>
      <c r="D230" t="inlineStr">
        <is>
          <t>GOTLANDS LÄN</t>
        </is>
      </c>
      <c r="E230" t="inlineStr">
        <is>
          <t>GOTLAND</t>
        </is>
      </c>
      <c r="G230" t="n">
        <v>6.3</v>
      </c>
      <c r="H230" t="n">
        <v>1</v>
      </c>
      <c r="I230" t="n">
        <v>0</v>
      </c>
      <c r="J230" t="n">
        <v>1</v>
      </c>
      <c r="K230" t="n">
        <v>0</v>
      </c>
      <c r="L230" t="n">
        <v>0</v>
      </c>
      <c r="M230" t="n">
        <v>0</v>
      </c>
      <c r="N230" t="n">
        <v>0</v>
      </c>
      <c r="O230" t="n">
        <v>1</v>
      </c>
      <c r="P230" t="n">
        <v>0</v>
      </c>
      <c r="Q230" t="n">
        <v>1</v>
      </c>
      <c r="R230" s="2" t="inlineStr">
        <is>
          <t>Apollofjäril</t>
        </is>
      </c>
      <c r="S230">
        <f>HYPERLINK("https://klasma.github.io/Logging_0980/artfynd/A 15629-2024 artfynd.xlsx", "A 15629-2024")</f>
        <v/>
      </c>
      <c r="T230">
        <f>HYPERLINK("https://klasma.github.io/Logging_0980/kartor/A 15629-2024 karta.png", "A 15629-2024")</f>
        <v/>
      </c>
      <c r="V230">
        <f>HYPERLINK("https://klasma.github.io/Logging_0980/klagomål/A 15629-2024 FSC-klagomål.docx", "A 15629-2024")</f>
        <v/>
      </c>
      <c r="W230">
        <f>HYPERLINK("https://klasma.github.io/Logging_0980/klagomålsmail/A 15629-2024 FSC-klagomål mail.docx", "A 15629-2024")</f>
        <v/>
      </c>
      <c r="X230">
        <f>HYPERLINK("https://klasma.github.io/Logging_0980/tillsyn/A 15629-2024 tillsynsbegäran.docx", "A 15629-2024")</f>
        <v/>
      </c>
      <c r="Y230">
        <f>HYPERLINK("https://klasma.github.io/Logging_0980/tillsynsmail/A 15629-2024 tillsynsbegäran mail.docx", "A 15629-2024")</f>
        <v/>
      </c>
    </row>
    <row r="231" ht="15" customHeight="1">
      <c r="A231" t="inlineStr">
        <is>
          <t>A 15637-2024</t>
        </is>
      </c>
      <c r="B231" s="1" t="n">
        <v>45403</v>
      </c>
      <c r="C231" s="1" t="n">
        <v>45568</v>
      </c>
      <c r="D231" t="inlineStr">
        <is>
          <t>GOTLANDS LÄN</t>
        </is>
      </c>
      <c r="E231" t="inlineStr">
        <is>
          <t>GOTLAND</t>
        </is>
      </c>
      <c r="G231" t="n">
        <v>4.1</v>
      </c>
      <c r="H231" t="n">
        <v>1</v>
      </c>
      <c r="I231" t="n">
        <v>0</v>
      </c>
      <c r="J231" t="n">
        <v>0</v>
      </c>
      <c r="K231" t="n">
        <v>0</v>
      </c>
      <c r="L231" t="n">
        <v>0</v>
      </c>
      <c r="M231" t="n">
        <v>0</v>
      </c>
      <c r="N231" t="n">
        <v>0</v>
      </c>
      <c r="O231" t="n">
        <v>0</v>
      </c>
      <c r="P231" t="n">
        <v>0</v>
      </c>
      <c r="Q231" t="n">
        <v>1</v>
      </c>
      <c r="R231" s="2" t="inlineStr">
        <is>
          <t>Blåsippa</t>
        </is>
      </c>
      <c r="S231">
        <f>HYPERLINK("https://klasma.github.io/Logging_0980/artfynd/A 15637-2024 artfynd.xlsx", "A 15637-2024")</f>
        <v/>
      </c>
      <c r="T231">
        <f>HYPERLINK("https://klasma.github.io/Logging_0980/kartor/A 15637-2024 karta.png", "A 15637-2024")</f>
        <v/>
      </c>
      <c r="V231">
        <f>HYPERLINK("https://klasma.github.io/Logging_0980/klagomål/A 15637-2024 FSC-klagomål.docx", "A 15637-2024")</f>
        <v/>
      </c>
      <c r="W231">
        <f>HYPERLINK("https://klasma.github.io/Logging_0980/klagomålsmail/A 15637-2024 FSC-klagomål mail.docx", "A 15637-2024")</f>
        <v/>
      </c>
      <c r="X231">
        <f>HYPERLINK("https://klasma.github.io/Logging_0980/tillsyn/A 15637-2024 tillsynsbegäran.docx", "A 15637-2024")</f>
        <v/>
      </c>
      <c r="Y231">
        <f>HYPERLINK("https://klasma.github.io/Logging_0980/tillsynsmail/A 15637-2024 tillsynsbegäran mail.docx", "A 15637-2024")</f>
        <v/>
      </c>
    </row>
    <row r="232" ht="15" customHeight="1">
      <c r="A232" t="inlineStr">
        <is>
          <t>A 17681-2024</t>
        </is>
      </c>
      <c r="B232" s="1" t="n">
        <v>45418</v>
      </c>
      <c r="C232" s="1" t="n">
        <v>45568</v>
      </c>
      <c r="D232" t="inlineStr">
        <is>
          <t>GOTLANDS LÄN</t>
        </is>
      </c>
      <c r="E232" t="inlineStr">
        <is>
          <t>GOTLAND</t>
        </is>
      </c>
      <c r="G232" t="n">
        <v>1.9</v>
      </c>
      <c r="H232" t="n">
        <v>0</v>
      </c>
      <c r="I232" t="n">
        <v>0</v>
      </c>
      <c r="J232" t="n">
        <v>1</v>
      </c>
      <c r="K232" t="n">
        <v>0</v>
      </c>
      <c r="L232" t="n">
        <v>0</v>
      </c>
      <c r="M232" t="n">
        <v>0</v>
      </c>
      <c r="N232" t="n">
        <v>0</v>
      </c>
      <c r="O232" t="n">
        <v>1</v>
      </c>
      <c r="P232" t="n">
        <v>0</v>
      </c>
      <c r="Q232" t="n">
        <v>1</v>
      </c>
      <c r="R232" s="2" t="inlineStr">
        <is>
          <t>Igelkott</t>
        </is>
      </c>
      <c r="S232">
        <f>HYPERLINK("https://klasma.github.io/Logging_0980/artfynd/A 17681-2024 artfynd.xlsx", "A 17681-2024")</f>
        <v/>
      </c>
      <c r="T232">
        <f>HYPERLINK("https://klasma.github.io/Logging_0980/kartor/A 17681-2024 karta.png", "A 17681-2024")</f>
        <v/>
      </c>
      <c r="V232">
        <f>HYPERLINK("https://klasma.github.io/Logging_0980/klagomål/A 17681-2024 FSC-klagomål.docx", "A 17681-2024")</f>
        <v/>
      </c>
      <c r="W232">
        <f>HYPERLINK("https://klasma.github.io/Logging_0980/klagomålsmail/A 17681-2024 FSC-klagomål mail.docx", "A 17681-2024")</f>
        <v/>
      </c>
      <c r="X232">
        <f>HYPERLINK("https://klasma.github.io/Logging_0980/tillsyn/A 17681-2024 tillsynsbegäran.docx", "A 17681-2024")</f>
        <v/>
      </c>
      <c r="Y232">
        <f>HYPERLINK("https://klasma.github.io/Logging_0980/tillsynsmail/A 17681-2024 tillsynsbegäran mail.docx", "A 17681-2024")</f>
        <v/>
      </c>
    </row>
    <row r="233" ht="15" customHeight="1">
      <c r="A233" t="inlineStr">
        <is>
          <t>A 17727-2024</t>
        </is>
      </c>
      <c r="B233" s="1" t="n">
        <v>45418</v>
      </c>
      <c r="C233" s="1" t="n">
        <v>45568</v>
      </c>
      <c r="D233" t="inlineStr">
        <is>
          <t>GOTLANDS LÄN</t>
        </is>
      </c>
      <c r="E233" t="inlineStr">
        <is>
          <t>GOTLAND</t>
        </is>
      </c>
      <c r="G233" t="n">
        <v>1</v>
      </c>
      <c r="H233" t="n">
        <v>0</v>
      </c>
      <c r="I233" t="n">
        <v>0</v>
      </c>
      <c r="J233" t="n">
        <v>1</v>
      </c>
      <c r="K233" t="n">
        <v>0</v>
      </c>
      <c r="L233" t="n">
        <v>0</v>
      </c>
      <c r="M233" t="n">
        <v>0</v>
      </c>
      <c r="N233" t="n">
        <v>0</v>
      </c>
      <c r="O233" t="n">
        <v>1</v>
      </c>
      <c r="P233" t="n">
        <v>0</v>
      </c>
      <c r="Q233" t="n">
        <v>1</v>
      </c>
      <c r="R233" s="2" t="inlineStr">
        <is>
          <t>Åkerranunkel</t>
        </is>
      </c>
      <c r="S233">
        <f>HYPERLINK("https://klasma.github.io/Logging_0980/artfynd/A 17727-2024 artfynd.xlsx", "A 17727-2024")</f>
        <v/>
      </c>
      <c r="T233">
        <f>HYPERLINK("https://klasma.github.io/Logging_0980/kartor/A 17727-2024 karta.png", "A 17727-2024")</f>
        <v/>
      </c>
      <c r="V233">
        <f>HYPERLINK("https://klasma.github.io/Logging_0980/klagomål/A 17727-2024 FSC-klagomål.docx", "A 17727-2024")</f>
        <v/>
      </c>
      <c r="W233">
        <f>HYPERLINK("https://klasma.github.io/Logging_0980/klagomålsmail/A 17727-2024 FSC-klagomål mail.docx", "A 17727-2024")</f>
        <v/>
      </c>
      <c r="X233">
        <f>HYPERLINK("https://klasma.github.io/Logging_0980/tillsyn/A 17727-2024 tillsynsbegäran.docx", "A 17727-2024")</f>
        <v/>
      </c>
      <c r="Y233">
        <f>HYPERLINK("https://klasma.github.io/Logging_0980/tillsynsmail/A 17727-2024 tillsynsbegäran mail.docx", "A 17727-2024")</f>
        <v/>
      </c>
    </row>
    <row r="234" ht="15" customHeight="1">
      <c r="A234" t="inlineStr">
        <is>
          <t>A 20831-2024</t>
        </is>
      </c>
      <c r="B234" s="1" t="n">
        <v>45439</v>
      </c>
      <c r="C234" s="1" t="n">
        <v>45568</v>
      </c>
      <c r="D234" t="inlineStr">
        <is>
          <t>GOTLANDS LÄN</t>
        </is>
      </c>
      <c r="E234" t="inlineStr">
        <is>
          <t>GOTLAND</t>
        </is>
      </c>
      <c r="G234" t="n">
        <v>2.9</v>
      </c>
      <c r="H234" t="n">
        <v>1</v>
      </c>
      <c r="I234" t="n">
        <v>0</v>
      </c>
      <c r="J234" t="n">
        <v>1</v>
      </c>
      <c r="K234" t="n">
        <v>0</v>
      </c>
      <c r="L234" t="n">
        <v>0</v>
      </c>
      <c r="M234" t="n">
        <v>0</v>
      </c>
      <c r="N234" t="n">
        <v>0</v>
      </c>
      <c r="O234" t="n">
        <v>1</v>
      </c>
      <c r="P234" t="n">
        <v>0</v>
      </c>
      <c r="Q234" t="n">
        <v>1</v>
      </c>
      <c r="R234" s="2" t="inlineStr">
        <is>
          <t>Dårgräsfjäril</t>
        </is>
      </c>
      <c r="S234">
        <f>HYPERLINK("https://klasma.github.io/Logging_0980/artfynd/A 20831-2024 artfynd.xlsx", "A 20831-2024")</f>
        <v/>
      </c>
      <c r="T234">
        <f>HYPERLINK("https://klasma.github.io/Logging_0980/kartor/A 20831-2024 karta.png", "A 20831-2024")</f>
        <v/>
      </c>
      <c r="V234">
        <f>HYPERLINK("https://klasma.github.io/Logging_0980/klagomål/A 20831-2024 FSC-klagomål.docx", "A 20831-2024")</f>
        <v/>
      </c>
      <c r="W234">
        <f>HYPERLINK("https://klasma.github.io/Logging_0980/klagomålsmail/A 20831-2024 FSC-klagomål mail.docx", "A 20831-2024")</f>
        <v/>
      </c>
      <c r="X234">
        <f>HYPERLINK("https://klasma.github.io/Logging_0980/tillsyn/A 20831-2024 tillsynsbegäran.docx", "A 20831-2024")</f>
        <v/>
      </c>
      <c r="Y234">
        <f>HYPERLINK("https://klasma.github.io/Logging_0980/tillsynsmail/A 20831-2024 tillsynsbegäran mail.docx", "A 20831-2024")</f>
        <v/>
      </c>
    </row>
    <row r="235" ht="15" customHeight="1">
      <c r="A235" t="inlineStr">
        <is>
          <t>A 20838-2024</t>
        </is>
      </c>
      <c r="B235" s="1" t="n">
        <v>45439</v>
      </c>
      <c r="C235" s="1" t="n">
        <v>45568</v>
      </c>
      <c r="D235" t="inlineStr">
        <is>
          <t>GOTLANDS LÄN</t>
        </is>
      </c>
      <c r="E235" t="inlineStr">
        <is>
          <t>GOTLAND</t>
        </is>
      </c>
      <c r="G235" t="n">
        <v>0.7</v>
      </c>
      <c r="H235" t="n">
        <v>1</v>
      </c>
      <c r="I235" t="n">
        <v>1</v>
      </c>
      <c r="J235" t="n">
        <v>0</v>
      </c>
      <c r="K235" t="n">
        <v>0</v>
      </c>
      <c r="L235" t="n">
        <v>0</v>
      </c>
      <c r="M235" t="n">
        <v>0</v>
      </c>
      <c r="N235" t="n">
        <v>0</v>
      </c>
      <c r="O235" t="n">
        <v>0</v>
      </c>
      <c r="P235" t="n">
        <v>0</v>
      </c>
      <c r="Q235" t="n">
        <v>1</v>
      </c>
      <c r="R235" s="2" t="inlineStr">
        <is>
          <t>Skogsknipprot</t>
        </is>
      </c>
      <c r="S235">
        <f>HYPERLINK("https://klasma.github.io/Logging_0980/artfynd/A 20838-2024 artfynd.xlsx", "A 20838-2024")</f>
        <v/>
      </c>
      <c r="T235">
        <f>HYPERLINK("https://klasma.github.io/Logging_0980/kartor/A 20838-2024 karta.png", "A 20838-2024")</f>
        <v/>
      </c>
      <c r="V235">
        <f>HYPERLINK("https://klasma.github.io/Logging_0980/klagomål/A 20838-2024 FSC-klagomål.docx", "A 20838-2024")</f>
        <v/>
      </c>
      <c r="W235">
        <f>HYPERLINK("https://klasma.github.io/Logging_0980/klagomålsmail/A 20838-2024 FSC-klagomål mail.docx", "A 20838-2024")</f>
        <v/>
      </c>
      <c r="X235">
        <f>HYPERLINK("https://klasma.github.io/Logging_0980/tillsyn/A 20838-2024 tillsynsbegäran.docx", "A 20838-2024")</f>
        <v/>
      </c>
      <c r="Y235">
        <f>HYPERLINK("https://klasma.github.io/Logging_0980/tillsynsmail/A 20838-2024 tillsynsbegäran mail.docx", "A 20838-2024")</f>
        <v/>
      </c>
    </row>
    <row r="236" ht="15" customHeight="1">
      <c r="A236" t="inlineStr">
        <is>
          <t>A 20833-2024</t>
        </is>
      </c>
      <c r="B236" s="1" t="n">
        <v>45439</v>
      </c>
      <c r="C236" s="1" t="n">
        <v>45568</v>
      </c>
      <c r="D236" t="inlineStr">
        <is>
          <t>GOTLANDS LÄN</t>
        </is>
      </c>
      <c r="E236" t="inlineStr">
        <is>
          <t>GOTLAND</t>
        </is>
      </c>
      <c r="G236" t="n">
        <v>0.9</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20833-2024 artfynd.xlsx", "A 20833-2024")</f>
        <v/>
      </c>
      <c r="T236">
        <f>HYPERLINK("https://klasma.github.io/Logging_0980/kartor/A 20833-2024 karta.png", "A 20833-2024")</f>
        <v/>
      </c>
      <c r="V236">
        <f>HYPERLINK("https://klasma.github.io/Logging_0980/klagomål/A 20833-2024 FSC-klagomål.docx", "A 20833-2024")</f>
        <v/>
      </c>
      <c r="W236">
        <f>HYPERLINK("https://klasma.github.io/Logging_0980/klagomålsmail/A 20833-2024 FSC-klagomål mail.docx", "A 20833-2024")</f>
        <v/>
      </c>
      <c r="X236">
        <f>HYPERLINK("https://klasma.github.io/Logging_0980/tillsyn/A 20833-2024 tillsynsbegäran.docx", "A 20833-2024")</f>
        <v/>
      </c>
      <c r="Y236">
        <f>HYPERLINK("https://klasma.github.io/Logging_0980/tillsynsmail/A 20833-2024 tillsynsbegäran mail.docx", "A 20833-2024")</f>
        <v/>
      </c>
    </row>
    <row r="237" ht="15" customHeight="1">
      <c r="A237" t="inlineStr">
        <is>
          <t>A 25977-2024</t>
        </is>
      </c>
      <c r="B237" s="1" t="n">
        <v>45467</v>
      </c>
      <c r="C237" s="1" t="n">
        <v>45568</v>
      </c>
      <c r="D237" t="inlineStr">
        <is>
          <t>GOTLANDS LÄN</t>
        </is>
      </c>
      <c r="E237" t="inlineStr">
        <is>
          <t>GOTLAND</t>
        </is>
      </c>
      <c r="G237" t="n">
        <v>3</v>
      </c>
      <c r="H237" t="n">
        <v>1</v>
      </c>
      <c r="I237" t="n">
        <v>0</v>
      </c>
      <c r="J237" t="n">
        <v>0</v>
      </c>
      <c r="K237" t="n">
        <v>0</v>
      </c>
      <c r="L237" t="n">
        <v>0</v>
      </c>
      <c r="M237" t="n">
        <v>0</v>
      </c>
      <c r="N237" t="n">
        <v>0</v>
      </c>
      <c r="O237" t="n">
        <v>0</v>
      </c>
      <c r="P237" t="n">
        <v>0</v>
      </c>
      <c r="Q237" t="n">
        <v>1</v>
      </c>
      <c r="R237" s="2" t="inlineStr">
        <is>
          <t>Nattviol</t>
        </is>
      </c>
      <c r="S237">
        <f>HYPERLINK("https://klasma.github.io/Logging_0980/artfynd/A 25977-2024 artfynd.xlsx", "A 25977-2024")</f>
        <v/>
      </c>
      <c r="T237">
        <f>HYPERLINK("https://klasma.github.io/Logging_0980/kartor/A 25977-2024 karta.png", "A 25977-2024")</f>
        <v/>
      </c>
      <c r="V237">
        <f>HYPERLINK("https://klasma.github.io/Logging_0980/klagomål/A 25977-2024 FSC-klagomål.docx", "A 25977-2024")</f>
        <v/>
      </c>
      <c r="W237">
        <f>HYPERLINK("https://klasma.github.io/Logging_0980/klagomålsmail/A 25977-2024 FSC-klagomål mail.docx", "A 25977-2024")</f>
        <v/>
      </c>
      <c r="X237">
        <f>HYPERLINK("https://klasma.github.io/Logging_0980/tillsyn/A 25977-2024 tillsynsbegäran.docx", "A 25977-2024")</f>
        <v/>
      </c>
      <c r="Y237">
        <f>HYPERLINK("https://klasma.github.io/Logging_0980/tillsynsmail/A 25977-2024 tillsynsbegäran mail.docx", "A 25977-2024")</f>
        <v/>
      </c>
    </row>
    <row r="238" ht="15" customHeight="1">
      <c r="A238" t="inlineStr">
        <is>
          <t>A 30892-2024</t>
        </is>
      </c>
      <c r="B238" s="1" t="n">
        <v>45491</v>
      </c>
      <c r="C238" s="1" t="n">
        <v>45568</v>
      </c>
      <c r="D238" t="inlineStr">
        <is>
          <t>GOTLANDS LÄN</t>
        </is>
      </c>
      <c r="E238" t="inlineStr">
        <is>
          <t>GOTLAND</t>
        </is>
      </c>
      <c r="G238" t="n">
        <v>16.3</v>
      </c>
      <c r="H238" t="n">
        <v>1</v>
      </c>
      <c r="I238" t="n">
        <v>0</v>
      </c>
      <c r="J238" t="n">
        <v>1</v>
      </c>
      <c r="K238" t="n">
        <v>0</v>
      </c>
      <c r="L238" t="n">
        <v>0</v>
      </c>
      <c r="M238" t="n">
        <v>0</v>
      </c>
      <c r="N238" t="n">
        <v>0</v>
      </c>
      <c r="O238" t="n">
        <v>1</v>
      </c>
      <c r="P238" t="n">
        <v>0</v>
      </c>
      <c r="Q238" t="n">
        <v>1</v>
      </c>
      <c r="R238" s="2" t="inlineStr">
        <is>
          <t>Brun ögontröst</t>
        </is>
      </c>
      <c r="S238">
        <f>HYPERLINK("https://klasma.github.io/Logging_0980/artfynd/A 30892-2024 artfynd.xlsx", "A 30892-2024")</f>
        <v/>
      </c>
      <c r="T238">
        <f>HYPERLINK("https://klasma.github.io/Logging_0980/kartor/A 30892-2024 karta.png", "A 30892-2024")</f>
        <v/>
      </c>
      <c r="V238">
        <f>HYPERLINK("https://klasma.github.io/Logging_0980/klagomål/A 30892-2024 FSC-klagomål.docx", "A 30892-2024")</f>
        <v/>
      </c>
      <c r="W238">
        <f>HYPERLINK("https://klasma.github.io/Logging_0980/klagomålsmail/A 30892-2024 FSC-klagomål mail.docx", "A 30892-2024")</f>
        <v/>
      </c>
      <c r="X238">
        <f>HYPERLINK("https://klasma.github.io/Logging_0980/tillsyn/A 30892-2024 tillsynsbegäran.docx", "A 30892-2024")</f>
        <v/>
      </c>
      <c r="Y238">
        <f>HYPERLINK("https://klasma.github.io/Logging_0980/tillsynsmail/A 30892-2024 tillsynsbegäran mail.docx", "A 30892-2024")</f>
        <v/>
      </c>
    </row>
    <row r="239" ht="15" customHeight="1">
      <c r="A239" t="inlineStr">
        <is>
          <t>A 30410-2024</t>
        </is>
      </c>
      <c r="B239" s="1" t="n">
        <v>45491</v>
      </c>
      <c r="C239" s="1" t="n">
        <v>45568</v>
      </c>
      <c r="D239" t="inlineStr">
        <is>
          <t>GOTLANDS LÄN</t>
        </is>
      </c>
      <c r="E239" t="inlineStr">
        <is>
          <t>GOTLAND</t>
        </is>
      </c>
      <c r="G239" t="n">
        <v>4</v>
      </c>
      <c r="H239" t="n">
        <v>0</v>
      </c>
      <c r="I239" t="n">
        <v>0</v>
      </c>
      <c r="J239" t="n">
        <v>1</v>
      </c>
      <c r="K239" t="n">
        <v>0</v>
      </c>
      <c r="L239" t="n">
        <v>0</v>
      </c>
      <c r="M239" t="n">
        <v>0</v>
      </c>
      <c r="N239" t="n">
        <v>0</v>
      </c>
      <c r="O239" t="n">
        <v>1</v>
      </c>
      <c r="P239" t="n">
        <v>0</v>
      </c>
      <c r="Q239" t="n">
        <v>1</v>
      </c>
      <c r="R239" s="2" t="inlineStr">
        <is>
          <t>Granticka</t>
        </is>
      </c>
      <c r="S239">
        <f>HYPERLINK("https://klasma.github.io/Logging_0980/artfynd/A 30410-2024 artfynd.xlsx", "A 30410-2024")</f>
        <v/>
      </c>
      <c r="T239">
        <f>HYPERLINK("https://klasma.github.io/Logging_0980/kartor/A 30410-2024 karta.png", "A 30410-2024")</f>
        <v/>
      </c>
      <c r="V239">
        <f>HYPERLINK("https://klasma.github.io/Logging_0980/klagomål/A 30410-2024 FSC-klagomål.docx", "A 30410-2024")</f>
        <v/>
      </c>
      <c r="W239">
        <f>HYPERLINK("https://klasma.github.io/Logging_0980/klagomålsmail/A 30410-2024 FSC-klagomål mail.docx", "A 30410-2024")</f>
        <v/>
      </c>
      <c r="X239">
        <f>HYPERLINK("https://klasma.github.io/Logging_0980/tillsyn/A 30410-2024 tillsynsbegäran.docx", "A 30410-2024")</f>
        <v/>
      </c>
      <c r="Y239">
        <f>HYPERLINK("https://klasma.github.io/Logging_0980/tillsynsmail/A 30410-2024 tillsynsbegäran mail.docx", "A 30410-2024")</f>
        <v/>
      </c>
    </row>
    <row r="240" ht="15" customHeight="1">
      <c r="A240" t="inlineStr">
        <is>
          <t>A 31750-2024</t>
        </is>
      </c>
      <c r="B240" s="1" t="n">
        <v>45509</v>
      </c>
      <c r="C240" s="1" t="n">
        <v>45568</v>
      </c>
      <c r="D240" t="inlineStr">
        <is>
          <t>GOTLANDS LÄN</t>
        </is>
      </c>
      <c r="E240" t="inlineStr">
        <is>
          <t>GOTLAND</t>
        </is>
      </c>
      <c r="G240" t="n">
        <v>10.3</v>
      </c>
      <c r="H240" t="n">
        <v>1</v>
      </c>
      <c r="I240" t="n">
        <v>0</v>
      </c>
      <c r="J240" t="n">
        <v>1</v>
      </c>
      <c r="K240" t="n">
        <v>0</v>
      </c>
      <c r="L240" t="n">
        <v>0</v>
      </c>
      <c r="M240" t="n">
        <v>0</v>
      </c>
      <c r="N240" t="n">
        <v>0</v>
      </c>
      <c r="O240" t="n">
        <v>1</v>
      </c>
      <c r="P240" t="n">
        <v>0</v>
      </c>
      <c r="Q240" t="n">
        <v>1</v>
      </c>
      <c r="R240" s="2" t="inlineStr">
        <is>
          <t>Grönsångare</t>
        </is>
      </c>
      <c r="S240">
        <f>HYPERLINK("https://klasma.github.io/Logging_0980/artfynd/A 31750-2024 artfynd.xlsx", "A 31750-2024")</f>
        <v/>
      </c>
      <c r="T240">
        <f>HYPERLINK("https://klasma.github.io/Logging_0980/kartor/A 31750-2024 karta.png", "A 31750-2024")</f>
        <v/>
      </c>
      <c r="V240">
        <f>HYPERLINK("https://klasma.github.io/Logging_0980/klagomål/A 31750-2024 FSC-klagomål.docx", "A 31750-2024")</f>
        <v/>
      </c>
      <c r="W240">
        <f>HYPERLINK("https://klasma.github.io/Logging_0980/klagomålsmail/A 31750-2024 FSC-klagomål mail.docx", "A 31750-2024")</f>
        <v/>
      </c>
      <c r="X240">
        <f>HYPERLINK("https://klasma.github.io/Logging_0980/tillsyn/A 31750-2024 tillsynsbegäran.docx", "A 31750-2024")</f>
        <v/>
      </c>
      <c r="Y240">
        <f>HYPERLINK("https://klasma.github.io/Logging_0980/tillsynsmail/A 31750-2024 tillsynsbegäran mail.docx", "A 31750-2024")</f>
        <v/>
      </c>
      <c r="Z240">
        <f>HYPERLINK("https://klasma.github.io/Logging_0980/fåglar/A 31750-2024 prioriterade fågelarter.docx", "A 31750-2024")</f>
        <v/>
      </c>
    </row>
    <row r="241" ht="15" customHeight="1">
      <c r="A241" t="inlineStr">
        <is>
          <t>A 33081-2024</t>
        </is>
      </c>
      <c r="B241" s="1" t="n">
        <v>45517</v>
      </c>
      <c r="C241" s="1" t="n">
        <v>45568</v>
      </c>
      <c r="D241" t="inlineStr">
        <is>
          <t>GOTLANDS LÄN</t>
        </is>
      </c>
      <c r="E241" t="inlineStr">
        <is>
          <t>GOTLAND</t>
        </is>
      </c>
      <c r="G241" t="n">
        <v>1.4</v>
      </c>
      <c r="H241" t="n">
        <v>0</v>
      </c>
      <c r="I241" t="n">
        <v>0</v>
      </c>
      <c r="J241" t="n">
        <v>0</v>
      </c>
      <c r="K241" t="n">
        <v>1</v>
      </c>
      <c r="L241" t="n">
        <v>0</v>
      </c>
      <c r="M241" t="n">
        <v>0</v>
      </c>
      <c r="N241" t="n">
        <v>0</v>
      </c>
      <c r="O241" t="n">
        <v>1</v>
      </c>
      <c r="P241" t="n">
        <v>1</v>
      </c>
      <c r="Q241" t="n">
        <v>1</v>
      </c>
      <c r="R241" s="2" t="inlineStr">
        <is>
          <t>Gotlandsmåra</t>
        </is>
      </c>
      <c r="S241">
        <f>HYPERLINK("https://klasma.github.io/Logging_0980/artfynd/A 33081-2024 artfynd.xlsx", "A 33081-2024")</f>
        <v/>
      </c>
      <c r="T241">
        <f>HYPERLINK("https://klasma.github.io/Logging_0980/kartor/A 33081-2024 karta.png", "A 33081-2024")</f>
        <v/>
      </c>
      <c r="V241">
        <f>HYPERLINK("https://klasma.github.io/Logging_0980/klagomål/A 33081-2024 FSC-klagomål.docx", "A 33081-2024")</f>
        <v/>
      </c>
      <c r="W241">
        <f>HYPERLINK("https://klasma.github.io/Logging_0980/klagomålsmail/A 33081-2024 FSC-klagomål mail.docx", "A 33081-2024")</f>
        <v/>
      </c>
      <c r="X241">
        <f>HYPERLINK("https://klasma.github.io/Logging_0980/tillsyn/A 33081-2024 tillsynsbegäran.docx", "A 33081-2024")</f>
        <v/>
      </c>
      <c r="Y241">
        <f>HYPERLINK("https://klasma.github.io/Logging_0980/tillsynsmail/A 33081-2024 tillsynsbegäran mail.docx", "A 33081-2024")</f>
        <v/>
      </c>
    </row>
    <row r="242" ht="15" customHeight="1">
      <c r="A242" t="inlineStr">
        <is>
          <t>A 34141-2024</t>
        </is>
      </c>
      <c r="B242" s="1" t="n">
        <v>45524</v>
      </c>
      <c r="C242" s="1" t="n">
        <v>45568</v>
      </c>
      <c r="D242" t="inlineStr">
        <is>
          <t>GOTLANDS LÄN</t>
        </is>
      </c>
      <c r="E242" t="inlineStr">
        <is>
          <t>GOTLAND</t>
        </is>
      </c>
      <c r="G242" t="n">
        <v>0.9</v>
      </c>
      <c r="H242" t="n">
        <v>0</v>
      </c>
      <c r="I242" t="n">
        <v>1</v>
      </c>
      <c r="J242" t="n">
        <v>0</v>
      </c>
      <c r="K242" t="n">
        <v>0</v>
      </c>
      <c r="L242" t="n">
        <v>0</v>
      </c>
      <c r="M242" t="n">
        <v>0</v>
      </c>
      <c r="N242" t="n">
        <v>0</v>
      </c>
      <c r="O242" t="n">
        <v>0</v>
      </c>
      <c r="P242" t="n">
        <v>0</v>
      </c>
      <c r="Q242" t="n">
        <v>1</v>
      </c>
      <c r="R242" s="2" t="inlineStr">
        <is>
          <t>Strävlosta</t>
        </is>
      </c>
      <c r="S242">
        <f>HYPERLINK("https://klasma.github.io/Logging_0980/artfynd/A 34141-2024 artfynd.xlsx", "A 34141-2024")</f>
        <v/>
      </c>
      <c r="T242">
        <f>HYPERLINK("https://klasma.github.io/Logging_0980/kartor/A 34141-2024 karta.png", "A 34141-2024")</f>
        <v/>
      </c>
      <c r="V242">
        <f>HYPERLINK("https://klasma.github.io/Logging_0980/klagomål/A 34141-2024 FSC-klagomål.docx", "A 34141-2024")</f>
        <v/>
      </c>
      <c r="W242">
        <f>HYPERLINK("https://klasma.github.io/Logging_0980/klagomålsmail/A 34141-2024 FSC-klagomål mail.docx", "A 34141-2024")</f>
        <v/>
      </c>
      <c r="X242">
        <f>HYPERLINK("https://klasma.github.io/Logging_0980/tillsyn/A 34141-2024 tillsynsbegäran.docx", "A 34141-2024")</f>
        <v/>
      </c>
      <c r="Y242">
        <f>HYPERLINK("https://klasma.github.io/Logging_0980/tillsynsmail/A 34141-2024 tillsynsbegäran mail.docx", "A 34141-2024")</f>
        <v/>
      </c>
    </row>
    <row r="243" ht="15" customHeight="1">
      <c r="A243" t="inlineStr">
        <is>
          <t>A 34809-2024</t>
        </is>
      </c>
      <c r="B243" s="1" t="n">
        <v>45526</v>
      </c>
      <c r="C243" s="1" t="n">
        <v>45568</v>
      </c>
      <c r="D243" t="inlineStr">
        <is>
          <t>GOTLANDS LÄN</t>
        </is>
      </c>
      <c r="E243" t="inlineStr">
        <is>
          <t>GOTLAND</t>
        </is>
      </c>
      <c r="G243" t="n">
        <v>9.9</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34809-2024 artfynd.xlsx", "A 34809-2024")</f>
        <v/>
      </c>
      <c r="T243">
        <f>HYPERLINK("https://klasma.github.io/Logging_0980/kartor/A 34809-2024 karta.png", "A 34809-2024")</f>
        <v/>
      </c>
      <c r="V243">
        <f>HYPERLINK("https://klasma.github.io/Logging_0980/klagomål/A 34809-2024 FSC-klagomål.docx", "A 34809-2024")</f>
        <v/>
      </c>
      <c r="W243">
        <f>HYPERLINK("https://klasma.github.io/Logging_0980/klagomålsmail/A 34809-2024 FSC-klagomål mail.docx", "A 34809-2024")</f>
        <v/>
      </c>
      <c r="X243">
        <f>HYPERLINK("https://klasma.github.io/Logging_0980/tillsyn/A 34809-2024 tillsynsbegäran.docx", "A 34809-2024")</f>
        <v/>
      </c>
      <c r="Y243">
        <f>HYPERLINK("https://klasma.github.io/Logging_0980/tillsynsmail/A 34809-2024 tillsynsbegäran mail.docx", "A 34809-2024")</f>
        <v/>
      </c>
    </row>
    <row r="244" ht="15" customHeight="1">
      <c r="A244" t="inlineStr">
        <is>
          <t>A 35574-2024</t>
        </is>
      </c>
      <c r="B244" s="1" t="n">
        <v>45531</v>
      </c>
      <c r="C244" s="1" t="n">
        <v>45568</v>
      </c>
      <c r="D244" t="inlineStr">
        <is>
          <t>GOTLANDS LÄN</t>
        </is>
      </c>
      <c r="E244" t="inlineStr">
        <is>
          <t>GOTLAND</t>
        </is>
      </c>
      <c r="G244" t="n">
        <v>5.7</v>
      </c>
      <c r="H244" t="n">
        <v>0</v>
      </c>
      <c r="I244" t="n">
        <v>1</v>
      </c>
      <c r="J244" t="n">
        <v>0</v>
      </c>
      <c r="K244" t="n">
        <v>0</v>
      </c>
      <c r="L244" t="n">
        <v>0</v>
      </c>
      <c r="M244" t="n">
        <v>0</v>
      </c>
      <c r="N244" t="n">
        <v>0</v>
      </c>
      <c r="O244" t="n">
        <v>0</v>
      </c>
      <c r="P244" t="n">
        <v>0</v>
      </c>
      <c r="Q244" t="n">
        <v>1</v>
      </c>
      <c r="R244" s="2" t="inlineStr">
        <is>
          <t>Murgröna</t>
        </is>
      </c>
      <c r="S244">
        <f>HYPERLINK("https://klasma.github.io/Logging_0980/artfynd/A 35574-2024 artfynd.xlsx", "A 35574-2024")</f>
        <v/>
      </c>
      <c r="T244">
        <f>HYPERLINK("https://klasma.github.io/Logging_0980/kartor/A 35574-2024 karta.png", "A 35574-2024")</f>
        <v/>
      </c>
      <c r="V244">
        <f>HYPERLINK("https://klasma.github.io/Logging_0980/klagomål/A 35574-2024 FSC-klagomål.docx", "A 35574-2024")</f>
        <v/>
      </c>
      <c r="W244">
        <f>HYPERLINK("https://klasma.github.io/Logging_0980/klagomålsmail/A 35574-2024 FSC-klagomål mail.docx", "A 35574-2024")</f>
        <v/>
      </c>
      <c r="X244">
        <f>HYPERLINK("https://klasma.github.io/Logging_0980/tillsyn/A 35574-2024 tillsynsbegäran.docx", "A 35574-2024")</f>
        <v/>
      </c>
      <c r="Y244">
        <f>HYPERLINK("https://klasma.github.io/Logging_0980/tillsynsmail/A 35574-2024 tillsynsbegäran mail.docx", "A 35574-2024")</f>
        <v/>
      </c>
    </row>
    <row r="245" ht="15" customHeight="1">
      <c r="A245" t="inlineStr">
        <is>
          <t>A 19159-2019</t>
        </is>
      </c>
      <c r="B245" s="1" t="n">
        <v>43564</v>
      </c>
      <c r="C245" s="1" t="n">
        <v>45568</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21380-2019</t>
        </is>
      </c>
      <c r="B246" s="1" t="n">
        <v>43579</v>
      </c>
      <c r="C246" s="1" t="n">
        <v>45568</v>
      </c>
      <c r="D246" t="inlineStr">
        <is>
          <t>GOTLANDS LÄN</t>
        </is>
      </c>
      <c r="E246" t="inlineStr">
        <is>
          <t>GOTLAND</t>
        </is>
      </c>
      <c r="G246" t="n">
        <v>3.1</v>
      </c>
      <c r="H246" t="n">
        <v>0</v>
      </c>
      <c r="I246" t="n">
        <v>0</v>
      </c>
      <c r="J246" t="n">
        <v>0</v>
      </c>
      <c r="K246" t="n">
        <v>0</v>
      </c>
      <c r="L246" t="n">
        <v>0</v>
      </c>
      <c r="M246" t="n">
        <v>0</v>
      </c>
      <c r="N246" t="n">
        <v>0</v>
      </c>
      <c r="O246" t="n">
        <v>0</v>
      </c>
      <c r="P246" t="n">
        <v>0</v>
      </c>
      <c r="Q246" t="n">
        <v>0</v>
      </c>
      <c r="R246" s="2" t="inlineStr"/>
    </row>
    <row r="247" ht="15" customHeight="1">
      <c r="A247" t="inlineStr">
        <is>
          <t>A 21894-2019</t>
        </is>
      </c>
      <c r="B247" s="1" t="n">
        <v>43584</v>
      </c>
      <c r="C247" s="1" t="n">
        <v>45568</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21925-2019</t>
        </is>
      </c>
      <c r="B248" s="1" t="n">
        <v>43584</v>
      </c>
      <c r="C248" s="1" t="n">
        <v>45568</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22457-2019</t>
        </is>
      </c>
      <c r="B249" s="1" t="n">
        <v>43587</v>
      </c>
      <c r="C249" s="1" t="n">
        <v>45568</v>
      </c>
      <c r="D249" t="inlineStr">
        <is>
          <t>GOTLANDS LÄN</t>
        </is>
      </c>
      <c r="E249" t="inlineStr">
        <is>
          <t>GOTLAND</t>
        </is>
      </c>
      <c r="G249" t="n">
        <v>0.3</v>
      </c>
      <c r="H249" t="n">
        <v>0</v>
      </c>
      <c r="I249" t="n">
        <v>0</v>
      </c>
      <c r="J249" t="n">
        <v>0</v>
      </c>
      <c r="K249" t="n">
        <v>0</v>
      </c>
      <c r="L249" t="n">
        <v>0</v>
      </c>
      <c r="M249" t="n">
        <v>0</v>
      </c>
      <c r="N249" t="n">
        <v>0</v>
      </c>
      <c r="O249" t="n">
        <v>0</v>
      </c>
      <c r="P249" t="n">
        <v>0</v>
      </c>
      <c r="Q249" t="n">
        <v>0</v>
      </c>
      <c r="R249" s="2" t="inlineStr"/>
    </row>
    <row r="250" ht="15" customHeight="1">
      <c r="A250" t="inlineStr">
        <is>
          <t>A 23044-2019</t>
        </is>
      </c>
      <c r="B250" s="1" t="n">
        <v>43591</v>
      </c>
      <c r="C250" s="1" t="n">
        <v>45568</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26595-2019</t>
        </is>
      </c>
      <c r="B251" s="1" t="n">
        <v>43612</v>
      </c>
      <c r="C251" s="1" t="n">
        <v>45568</v>
      </c>
      <c r="D251" t="inlineStr">
        <is>
          <t>GOTLANDS LÄN</t>
        </is>
      </c>
      <c r="E251" t="inlineStr">
        <is>
          <t>GOTLAND</t>
        </is>
      </c>
      <c r="G251" t="n">
        <v>0.2</v>
      </c>
      <c r="H251" t="n">
        <v>0</v>
      </c>
      <c r="I251" t="n">
        <v>0</v>
      </c>
      <c r="J251" t="n">
        <v>0</v>
      </c>
      <c r="K251" t="n">
        <v>0</v>
      </c>
      <c r="L251" t="n">
        <v>0</v>
      </c>
      <c r="M251" t="n">
        <v>0</v>
      </c>
      <c r="N251" t="n">
        <v>0</v>
      </c>
      <c r="O251" t="n">
        <v>0</v>
      </c>
      <c r="P251" t="n">
        <v>0</v>
      </c>
      <c r="Q251" t="n">
        <v>0</v>
      </c>
      <c r="R251" s="2" t="inlineStr"/>
    </row>
    <row r="252" ht="15" customHeight="1">
      <c r="A252" t="inlineStr">
        <is>
          <t>A 27795-2019</t>
        </is>
      </c>
      <c r="B252" s="1" t="n">
        <v>43612</v>
      </c>
      <c r="C252" s="1" t="n">
        <v>45568</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28977-2019</t>
        </is>
      </c>
      <c r="B253" s="1" t="n">
        <v>43628</v>
      </c>
      <c r="C253" s="1" t="n">
        <v>45568</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29470-2019</t>
        </is>
      </c>
      <c r="B254" s="1" t="n">
        <v>43629</v>
      </c>
      <c r="C254" s="1" t="n">
        <v>45568</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29469-2019</t>
        </is>
      </c>
      <c r="B255" s="1" t="n">
        <v>43629</v>
      </c>
      <c r="C255" s="1" t="n">
        <v>45568</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30033-2019</t>
        </is>
      </c>
      <c r="B256" s="1" t="n">
        <v>43630</v>
      </c>
      <c r="C256" s="1" t="n">
        <v>45568</v>
      </c>
      <c r="D256" t="inlineStr">
        <is>
          <t>GOTLANDS LÄN</t>
        </is>
      </c>
      <c r="E256" t="inlineStr">
        <is>
          <t>GOTLAND</t>
        </is>
      </c>
      <c r="G256" t="n">
        <v>3.3</v>
      </c>
      <c r="H256" t="n">
        <v>0</v>
      </c>
      <c r="I256" t="n">
        <v>0</v>
      </c>
      <c r="J256" t="n">
        <v>0</v>
      </c>
      <c r="K256" t="n">
        <v>0</v>
      </c>
      <c r="L256" t="n">
        <v>0</v>
      </c>
      <c r="M256" t="n">
        <v>0</v>
      </c>
      <c r="N256" t="n">
        <v>0</v>
      </c>
      <c r="O256" t="n">
        <v>0</v>
      </c>
      <c r="P256" t="n">
        <v>0</v>
      </c>
      <c r="Q256" t="n">
        <v>0</v>
      </c>
      <c r="R256" s="2" t="inlineStr"/>
    </row>
    <row r="257" ht="15" customHeight="1">
      <c r="A257" t="inlineStr">
        <is>
          <t>A 31396-2019</t>
        </is>
      </c>
      <c r="B257" s="1" t="n">
        <v>43636</v>
      </c>
      <c r="C257" s="1" t="n">
        <v>45568</v>
      </c>
      <c r="D257" t="inlineStr">
        <is>
          <t>GOTLANDS LÄN</t>
        </is>
      </c>
      <c r="E257" t="inlineStr">
        <is>
          <t>GOTLAND</t>
        </is>
      </c>
      <c r="G257" t="n">
        <v>5.8</v>
      </c>
      <c r="H257" t="n">
        <v>0</v>
      </c>
      <c r="I257" t="n">
        <v>0</v>
      </c>
      <c r="J257" t="n">
        <v>0</v>
      </c>
      <c r="K257" t="n">
        <v>0</v>
      </c>
      <c r="L257" t="n">
        <v>0</v>
      </c>
      <c r="M257" t="n">
        <v>0</v>
      </c>
      <c r="N257" t="n">
        <v>0</v>
      </c>
      <c r="O257" t="n">
        <v>0</v>
      </c>
      <c r="P257" t="n">
        <v>0</v>
      </c>
      <c r="Q257" t="n">
        <v>0</v>
      </c>
      <c r="R257" s="2" t="inlineStr"/>
    </row>
    <row r="258" ht="15" customHeight="1">
      <c r="A258" t="inlineStr">
        <is>
          <t>A 32061-2019</t>
        </is>
      </c>
      <c r="B258" s="1" t="n">
        <v>43643</v>
      </c>
      <c r="C258" s="1" t="n">
        <v>45568</v>
      </c>
      <c r="D258" t="inlineStr">
        <is>
          <t>GOTLANDS LÄN</t>
        </is>
      </c>
      <c r="E258" t="inlineStr">
        <is>
          <t>GOTLAND</t>
        </is>
      </c>
      <c r="G258" t="n">
        <v>7.5</v>
      </c>
      <c r="H258" t="n">
        <v>0</v>
      </c>
      <c r="I258" t="n">
        <v>0</v>
      </c>
      <c r="J258" t="n">
        <v>0</v>
      </c>
      <c r="K258" t="n">
        <v>0</v>
      </c>
      <c r="L258" t="n">
        <v>0</v>
      </c>
      <c r="M258" t="n">
        <v>0</v>
      </c>
      <c r="N258" t="n">
        <v>0</v>
      </c>
      <c r="O258" t="n">
        <v>0</v>
      </c>
      <c r="P258" t="n">
        <v>0</v>
      </c>
      <c r="Q258" t="n">
        <v>0</v>
      </c>
      <c r="R258" s="2" t="inlineStr"/>
    </row>
    <row r="259" ht="15" customHeight="1">
      <c r="A259" t="inlineStr">
        <is>
          <t>A 32949-2019</t>
        </is>
      </c>
      <c r="B259" s="1" t="n">
        <v>43648</v>
      </c>
      <c r="C259" s="1" t="n">
        <v>45568</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32964-2019</t>
        </is>
      </c>
      <c r="B260" s="1" t="n">
        <v>43648</v>
      </c>
      <c r="C260" s="1" t="n">
        <v>45568</v>
      </c>
      <c r="D260" t="inlineStr">
        <is>
          <t>GOTLANDS LÄN</t>
        </is>
      </c>
      <c r="E260" t="inlineStr">
        <is>
          <t>GOTLAND</t>
        </is>
      </c>
      <c r="G260" t="n">
        <v>8.9</v>
      </c>
      <c r="H260" t="n">
        <v>0</v>
      </c>
      <c r="I260" t="n">
        <v>0</v>
      </c>
      <c r="J260" t="n">
        <v>0</v>
      </c>
      <c r="K260" t="n">
        <v>0</v>
      </c>
      <c r="L260" t="n">
        <v>0</v>
      </c>
      <c r="M260" t="n">
        <v>0</v>
      </c>
      <c r="N260" t="n">
        <v>0</v>
      </c>
      <c r="O260" t="n">
        <v>0</v>
      </c>
      <c r="P260" t="n">
        <v>0</v>
      </c>
      <c r="Q260" t="n">
        <v>0</v>
      </c>
      <c r="R260" s="2" t="inlineStr"/>
    </row>
    <row r="261" ht="15" customHeight="1">
      <c r="A261" t="inlineStr">
        <is>
          <t>A 32970-2019</t>
        </is>
      </c>
      <c r="B261" s="1" t="n">
        <v>43648</v>
      </c>
      <c r="C261" s="1" t="n">
        <v>45568</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33673-2019</t>
        </is>
      </c>
      <c r="B262" s="1" t="n">
        <v>43651</v>
      </c>
      <c r="C262" s="1" t="n">
        <v>45568</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33668-2019</t>
        </is>
      </c>
      <c r="B263" s="1" t="n">
        <v>43651</v>
      </c>
      <c r="C263" s="1" t="n">
        <v>45568</v>
      </c>
      <c r="D263" t="inlineStr">
        <is>
          <t>GOTLANDS LÄN</t>
        </is>
      </c>
      <c r="E263" t="inlineStr">
        <is>
          <t>GOTLAND</t>
        </is>
      </c>
      <c r="G263" t="n">
        <v>9.4</v>
      </c>
      <c r="H263" t="n">
        <v>0</v>
      </c>
      <c r="I263" t="n">
        <v>0</v>
      </c>
      <c r="J263" t="n">
        <v>0</v>
      </c>
      <c r="K263" t="n">
        <v>0</v>
      </c>
      <c r="L263" t="n">
        <v>0</v>
      </c>
      <c r="M263" t="n">
        <v>0</v>
      </c>
      <c r="N263" t="n">
        <v>0</v>
      </c>
      <c r="O263" t="n">
        <v>0</v>
      </c>
      <c r="P263" t="n">
        <v>0</v>
      </c>
      <c r="Q263" t="n">
        <v>0</v>
      </c>
      <c r="R263" s="2" t="inlineStr"/>
    </row>
    <row r="264" ht="15" customHeight="1">
      <c r="A264" t="inlineStr">
        <is>
          <t>A 33674-2019</t>
        </is>
      </c>
      <c r="B264" s="1" t="n">
        <v>43651</v>
      </c>
      <c r="C264" s="1" t="n">
        <v>45568</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33646-2019</t>
        </is>
      </c>
      <c r="B265" s="1" t="n">
        <v>43651</v>
      </c>
      <c r="C265" s="1" t="n">
        <v>45568</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35282-2019</t>
        </is>
      </c>
      <c r="B266" s="1" t="n">
        <v>43656</v>
      </c>
      <c r="C266" s="1" t="n">
        <v>45568</v>
      </c>
      <c r="D266" t="inlineStr">
        <is>
          <t>GOTLANDS LÄN</t>
        </is>
      </c>
      <c r="E266" t="inlineStr">
        <is>
          <t>GOTLAND</t>
        </is>
      </c>
      <c r="G266" t="n">
        <v>5.6</v>
      </c>
      <c r="H266" t="n">
        <v>0</v>
      </c>
      <c r="I266" t="n">
        <v>0</v>
      </c>
      <c r="J266" t="n">
        <v>0</v>
      </c>
      <c r="K266" t="n">
        <v>0</v>
      </c>
      <c r="L266" t="n">
        <v>0</v>
      </c>
      <c r="M266" t="n">
        <v>0</v>
      </c>
      <c r="N266" t="n">
        <v>0</v>
      </c>
      <c r="O266" t="n">
        <v>0</v>
      </c>
      <c r="P266" t="n">
        <v>0</v>
      </c>
      <c r="Q266" t="n">
        <v>0</v>
      </c>
      <c r="R266" s="2" t="inlineStr"/>
    </row>
    <row r="267" ht="15" customHeight="1">
      <c r="A267" t="inlineStr">
        <is>
          <t>A 34790-2019</t>
        </is>
      </c>
      <c r="B267" s="1" t="n">
        <v>43658</v>
      </c>
      <c r="C267" s="1" t="n">
        <v>45568</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36344-2019</t>
        </is>
      </c>
      <c r="B268" s="1" t="n">
        <v>43661</v>
      </c>
      <c r="C268" s="1" t="n">
        <v>45568</v>
      </c>
      <c r="D268" t="inlineStr">
        <is>
          <t>GOTLANDS LÄN</t>
        </is>
      </c>
      <c r="E268" t="inlineStr">
        <is>
          <t>GOTLAND</t>
        </is>
      </c>
      <c r="G268" t="n">
        <v>1.3</v>
      </c>
      <c r="H268" t="n">
        <v>0</v>
      </c>
      <c r="I268" t="n">
        <v>0</v>
      </c>
      <c r="J268" t="n">
        <v>0</v>
      </c>
      <c r="K268" t="n">
        <v>0</v>
      </c>
      <c r="L268" t="n">
        <v>0</v>
      </c>
      <c r="M268" t="n">
        <v>0</v>
      </c>
      <c r="N268" t="n">
        <v>0</v>
      </c>
      <c r="O268" t="n">
        <v>0</v>
      </c>
      <c r="P268" t="n">
        <v>0</v>
      </c>
      <c r="Q268" t="n">
        <v>0</v>
      </c>
      <c r="R268" s="2" t="inlineStr"/>
    </row>
    <row r="269" ht="15" customHeight="1">
      <c r="A269" t="inlineStr">
        <is>
          <t>A 36072-2019</t>
        </is>
      </c>
      <c r="B269" s="1" t="n">
        <v>43668</v>
      </c>
      <c r="C269" s="1" t="n">
        <v>45568</v>
      </c>
      <c r="D269" t="inlineStr">
        <is>
          <t>GOTLANDS LÄN</t>
        </is>
      </c>
      <c r="E269" t="inlineStr">
        <is>
          <t>GOTLAND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37028-2019</t>
        </is>
      </c>
      <c r="B270" s="1" t="n">
        <v>43675</v>
      </c>
      <c r="C270" s="1" t="n">
        <v>45568</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40205-2019</t>
        </is>
      </c>
      <c r="B271" s="1" t="n">
        <v>43693</v>
      </c>
      <c r="C271" s="1" t="n">
        <v>45568</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46423-2019</t>
        </is>
      </c>
      <c r="B272" s="1" t="n">
        <v>43719</v>
      </c>
      <c r="C272" s="1" t="n">
        <v>45568</v>
      </c>
      <c r="D272" t="inlineStr">
        <is>
          <t>GOTLANDS LÄN</t>
        </is>
      </c>
      <c r="E272" t="inlineStr">
        <is>
          <t>GOTLAND</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47141-2019</t>
        </is>
      </c>
      <c r="B273" s="1" t="n">
        <v>43721</v>
      </c>
      <c r="C273" s="1" t="n">
        <v>45568</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48459-2019</t>
        </is>
      </c>
      <c r="B274" s="1" t="n">
        <v>43727</v>
      </c>
      <c r="C274" s="1" t="n">
        <v>45568</v>
      </c>
      <c r="D274" t="inlineStr">
        <is>
          <t>GOTLANDS LÄN</t>
        </is>
      </c>
      <c r="E274" t="inlineStr">
        <is>
          <t>GOTLAND</t>
        </is>
      </c>
      <c r="G274" t="n">
        <v>3.5</v>
      </c>
      <c r="H274" t="n">
        <v>0</v>
      </c>
      <c r="I274" t="n">
        <v>0</v>
      </c>
      <c r="J274" t="n">
        <v>0</v>
      </c>
      <c r="K274" t="n">
        <v>0</v>
      </c>
      <c r="L274" t="n">
        <v>0</v>
      </c>
      <c r="M274" t="n">
        <v>0</v>
      </c>
      <c r="N274" t="n">
        <v>0</v>
      </c>
      <c r="O274" t="n">
        <v>0</v>
      </c>
      <c r="P274" t="n">
        <v>0</v>
      </c>
      <c r="Q274" t="n">
        <v>0</v>
      </c>
      <c r="R274" s="2" t="inlineStr"/>
    </row>
    <row r="275" ht="15" customHeight="1">
      <c r="A275" t="inlineStr">
        <is>
          <t>A 49769-2019</t>
        </is>
      </c>
      <c r="B275" s="1" t="n">
        <v>43733</v>
      </c>
      <c r="C275" s="1" t="n">
        <v>45568</v>
      </c>
      <c r="D275" t="inlineStr">
        <is>
          <t>GOTLANDS LÄN</t>
        </is>
      </c>
      <c r="E275" t="inlineStr">
        <is>
          <t>GOTLAND</t>
        </is>
      </c>
      <c r="G275" t="n">
        <v>22.3</v>
      </c>
      <c r="H275" t="n">
        <v>0</v>
      </c>
      <c r="I275" t="n">
        <v>0</v>
      </c>
      <c r="J275" t="n">
        <v>0</v>
      </c>
      <c r="K275" t="n">
        <v>0</v>
      </c>
      <c r="L275" t="n">
        <v>0</v>
      </c>
      <c r="M275" t="n">
        <v>0</v>
      </c>
      <c r="N275" t="n">
        <v>0</v>
      </c>
      <c r="O275" t="n">
        <v>0</v>
      </c>
      <c r="P275" t="n">
        <v>0</v>
      </c>
      <c r="Q275" t="n">
        <v>0</v>
      </c>
      <c r="R275" s="2" t="inlineStr"/>
    </row>
    <row r="276" ht="15" customHeight="1">
      <c r="A276" t="inlineStr">
        <is>
          <t>A 50463-2019</t>
        </is>
      </c>
      <c r="B276" s="1" t="n">
        <v>43735</v>
      </c>
      <c r="C276" s="1" t="n">
        <v>45568</v>
      </c>
      <c r="D276" t="inlineStr">
        <is>
          <t>GOTLANDS LÄN</t>
        </is>
      </c>
      <c r="E276" t="inlineStr">
        <is>
          <t>GOTLAND</t>
        </is>
      </c>
      <c r="F276" t="inlineStr">
        <is>
          <t>Kyrkan</t>
        </is>
      </c>
      <c r="G276" t="n">
        <v>1.3</v>
      </c>
      <c r="H276" t="n">
        <v>0</v>
      </c>
      <c r="I276" t="n">
        <v>0</v>
      </c>
      <c r="J276" t="n">
        <v>0</v>
      </c>
      <c r="K276" t="n">
        <v>0</v>
      </c>
      <c r="L276" t="n">
        <v>0</v>
      </c>
      <c r="M276" t="n">
        <v>0</v>
      </c>
      <c r="N276" t="n">
        <v>0</v>
      </c>
      <c r="O276" t="n">
        <v>0</v>
      </c>
      <c r="P276" t="n">
        <v>0</v>
      </c>
      <c r="Q276" t="n">
        <v>0</v>
      </c>
      <c r="R276" s="2" t="inlineStr"/>
    </row>
    <row r="277" ht="15" customHeight="1">
      <c r="A277" t="inlineStr">
        <is>
          <t>A 50632-2019</t>
        </is>
      </c>
      <c r="B277" s="1" t="n">
        <v>43737</v>
      </c>
      <c r="C277" s="1" t="n">
        <v>45568</v>
      </c>
      <c r="D277" t="inlineStr">
        <is>
          <t>GOTLANDS LÄN</t>
        </is>
      </c>
      <c r="E277" t="inlineStr">
        <is>
          <t>GOTLAND</t>
        </is>
      </c>
      <c r="G277" t="n">
        <v>7.7</v>
      </c>
      <c r="H277" t="n">
        <v>0</v>
      </c>
      <c r="I277" t="n">
        <v>0</v>
      </c>
      <c r="J277" t="n">
        <v>0</v>
      </c>
      <c r="K277" t="n">
        <v>0</v>
      </c>
      <c r="L277" t="n">
        <v>0</v>
      </c>
      <c r="M277" t="n">
        <v>0</v>
      </c>
      <c r="N277" t="n">
        <v>0</v>
      </c>
      <c r="O277" t="n">
        <v>0</v>
      </c>
      <c r="P277" t="n">
        <v>0</v>
      </c>
      <c r="Q277" t="n">
        <v>0</v>
      </c>
      <c r="R277" s="2" t="inlineStr"/>
    </row>
    <row r="278" ht="15" customHeight="1">
      <c r="A278" t="inlineStr">
        <is>
          <t>A 51577-2019</t>
        </is>
      </c>
      <c r="B278" s="1" t="n">
        <v>43740</v>
      </c>
      <c r="C278" s="1" t="n">
        <v>45568</v>
      </c>
      <c r="D278" t="inlineStr">
        <is>
          <t>GOTLANDS LÄN</t>
        </is>
      </c>
      <c r="E278" t="inlineStr">
        <is>
          <t>GOTLAND</t>
        </is>
      </c>
      <c r="G278" t="n">
        <v>6.5</v>
      </c>
      <c r="H278" t="n">
        <v>0</v>
      </c>
      <c r="I278" t="n">
        <v>0</v>
      </c>
      <c r="J278" t="n">
        <v>0</v>
      </c>
      <c r="K278" t="n">
        <v>0</v>
      </c>
      <c r="L278" t="n">
        <v>0</v>
      </c>
      <c r="M278" t="n">
        <v>0</v>
      </c>
      <c r="N278" t="n">
        <v>0</v>
      </c>
      <c r="O278" t="n">
        <v>0</v>
      </c>
      <c r="P278" t="n">
        <v>0</v>
      </c>
      <c r="Q278" t="n">
        <v>0</v>
      </c>
      <c r="R278" s="2" t="inlineStr"/>
    </row>
    <row r="279" ht="15" customHeight="1">
      <c r="A279" t="inlineStr">
        <is>
          <t>A 53783-2019</t>
        </is>
      </c>
      <c r="B279" s="1" t="n">
        <v>43750</v>
      </c>
      <c r="C279" s="1" t="n">
        <v>45568</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56238-2019</t>
        </is>
      </c>
      <c r="B280" s="1" t="n">
        <v>43762</v>
      </c>
      <c r="C280" s="1" t="n">
        <v>45568</v>
      </c>
      <c r="D280" t="inlineStr">
        <is>
          <t>GOTLANDS LÄN</t>
        </is>
      </c>
      <c r="E280" t="inlineStr">
        <is>
          <t>GOTLAND</t>
        </is>
      </c>
      <c r="G280" t="n">
        <v>5.8</v>
      </c>
      <c r="H280" t="n">
        <v>0</v>
      </c>
      <c r="I280" t="n">
        <v>0</v>
      </c>
      <c r="J280" t="n">
        <v>0</v>
      </c>
      <c r="K280" t="n">
        <v>0</v>
      </c>
      <c r="L280" t="n">
        <v>0</v>
      </c>
      <c r="M280" t="n">
        <v>0</v>
      </c>
      <c r="N280" t="n">
        <v>0</v>
      </c>
      <c r="O280" t="n">
        <v>0</v>
      </c>
      <c r="P280" t="n">
        <v>0</v>
      </c>
      <c r="Q280" t="n">
        <v>0</v>
      </c>
      <c r="R280" s="2" t="inlineStr"/>
    </row>
    <row r="281" ht="15" customHeight="1">
      <c r="A281" t="inlineStr">
        <is>
          <t>A 56845-2019</t>
        </is>
      </c>
      <c r="B281" s="1" t="n">
        <v>43765</v>
      </c>
      <c r="C281" s="1" t="n">
        <v>45568</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60700-2019</t>
        </is>
      </c>
      <c r="B282" s="1" t="n">
        <v>43781</v>
      </c>
      <c r="C282" s="1" t="n">
        <v>45568</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62212-2019</t>
        </is>
      </c>
      <c r="B283" s="1" t="n">
        <v>43788</v>
      </c>
      <c r="C283" s="1" t="n">
        <v>45568</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62209-2019</t>
        </is>
      </c>
      <c r="B284" s="1" t="n">
        <v>43788</v>
      </c>
      <c r="C284" s="1" t="n">
        <v>45568</v>
      </c>
      <c r="D284" t="inlineStr">
        <is>
          <t>GOTLANDS LÄN</t>
        </is>
      </c>
      <c r="E284" t="inlineStr">
        <is>
          <t>GOTLAND</t>
        </is>
      </c>
      <c r="G284" t="n">
        <v>4.8</v>
      </c>
      <c r="H284" t="n">
        <v>0</v>
      </c>
      <c r="I284" t="n">
        <v>0</v>
      </c>
      <c r="J284" t="n">
        <v>0</v>
      </c>
      <c r="K284" t="n">
        <v>0</v>
      </c>
      <c r="L284" t="n">
        <v>0</v>
      </c>
      <c r="M284" t="n">
        <v>0</v>
      </c>
      <c r="N284" t="n">
        <v>0</v>
      </c>
      <c r="O284" t="n">
        <v>0</v>
      </c>
      <c r="P284" t="n">
        <v>0</v>
      </c>
      <c r="Q284" t="n">
        <v>0</v>
      </c>
      <c r="R284" s="2" t="inlineStr"/>
    </row>
    <row r="285" ht="15" customHeight="1">
      <c r="A285" t="inlineStr">
        <is>
          <t>A 62218-2019</t>
        </is>
      </c>
      <c r="B285" s="1" t="n">
        <v>43788</v>
      </c>
      <c r="C285" s="1" t="n">
        <v>45568</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63366-2019</t>
        </is>
      </c>
      <c r="B286" s="1" t="n">
        <v>43794</v>
      </c>
      <c r="C286" s="1" t="n">
        <v>45568</v>
      </c>
      <c r="D286" t="inlineStr">
        <is>
          <t>GOTLANDS LÄN</t>
        </is>
      </c>
      <c r="E286" t="inlineStr">
        <is>
          <t>GOTLAND</t>
        </is>
      </c>
      <c r="G286" t="n">
        <v>16.4</v>
      </c>
      <c r="H286" t="n">
        <v>0</v>
      </c>
      <c r="I286" t="n">
        <v>0</v>
      </c>
      <c r="J286" t="n">
        <v>0</v>
      </c>
      <c r="K286" t="n">
        <v>0</v>
      </c>
      <c r="L286" t="n">
        <v>0</v>
      </c>
      <c r="M286" t="n">
        <v>0</v>
      </c>
      <c r="N286" t="n">
        <v>0</v>
      </c>
      <c r="O286" t="n">
        <v>0</v>
      </c>
      <c r="P286" t="n">
        <v>0</v>
      </c>
      <c r="Q286" t="n">
        <v>0</v>
      </c>
      <c r="R286" s="2" t="inlineStr"/>
    </row>
    <row r="287" ht="15" customHeight="1">
      <c r="A287" t="inlineStr">
        <is>
          <t>A 63747-2019</t>
        </is>
      </c>
      <c r="B287" s="1" t="n">
        <v>43795</v>
      </c>
      <c r="C287" s="1" t="n">
        <v>45568</v>
      </c>
      <c r="D287" t="inlineStr">
        <is>
          <t>GOTLANDS LÄN</t>
        </is>
      </c>
      <c r="E287" t="inlineStr">
        <is>
          <t>GOTLAND</t>
        </is>
      </c>
      <c r="G287" t="n">
        <v>4.5</v>
      </c>
      <c r="H287" t="n">
        <v>0</v>
      </c>
      <c r="I287" t="n">
        <v>0</v>
      </c>
      <c r="J287" t="n">
        <v>0</v>
      </c>
      <c r="K287" t="n">
        <v>0</v>
      </c>
      <c r="L287" t="n">
        <v>0</v>
      </c>
      <c r="M287" t="n">
        <v>0</v>
      </c>
      <c r="N287" t="n">
        <v>0</v>
      </c>
      <c r="O287" t="n">
        <v>0</v>
      </c>
      <c r="P287" t="n">
        <v>0</v>
      </c>
      <c r="Q287" t="n">
        <v>0</v>
      </c>
      <c r="R287" s="2" t="inlineStr"/>
    </row>
    <row r="288" ht="15" customHeight="1">
      <c r="A288" t="inlineStr">
        <is>
          <t>A 63751-2019</t>
        </is>
      </c>
      <c r="B288" s="1" t="n">
        <v>43795</v>
      </c>
      <c r="C288" s="1" t="n">
        <v>45568</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66960-2019</t>
        </is>
      </c>
      <c r="B289" s="1" t="n">
        <v>43810</v>
      </c>
      <c r="C289" s="1" t="n">
        <v>45568</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67079-2019</t>
        </is>
      </c>
      <c r="B290" s="1" t="n">
        <v>43811</v>
      </c>
      <c r="C290" s="1" t="n">
        <v>45568</v>
      </c>
      <c r="D290" t="inlineStr">
        <is>
          <t>GOTLANDS LÄN</t>
        </is>
      </c>
      <c r="E290" t="inlineStr">
        <is>
          <t>GOTLAND</t>
        </is>
      </c>
      <c r="G290" t="n">
        <v>18.7</v>
      </c>
      <c r="H290" t="n">
        <v>0</v>
      </c>
      <c r="I290" t="n">
        <v>0</v>
      </c>
      <c r="J290" t="n">
        <v>0</v>
      </c>
      <c r="K290" t="n">
        <v>0</v>
      </c>
      <c r="L290" t="n">
        <v>0</v>
      </c>
      <c r="M290" t="n">
        <v>0</v>
      </c>
      <c r="N290" t="n">
        <v>0</v>
      </c>
      <c r="O290" t="n">
        <v>0</v>
      </c>
      <c r="P290" t="n">
        <v>0</v>
      </c>
      <c r="Q290" t="n">
        <v>0</v>
      </c>
      <c r="R290" s="2" t="inlineStr"/>
    </row>
    <row r="291" ht="15" customHeight="1">
      <c r="A291" t="inlineStr">
        <is>
          <t>A 67737-2019</t>
        </is>
      </c>
      <c r="B291" s="1" t="n">
        <v>43815</v>
      </c>
      <c r="C291" s="1" t="n">
        <v>45568</v>
      </c>
      <c r="D291" t="inlineStr">
        <is>
          <t>GOTLANDS LÄN</t>
        </is>
      </c>
      <c r="E291" t="inlineStr">
        <is>
          <t>GOTLAND</t>
        </is>
      </c>
      <c r="G291" t="n">
        <v>22.1</v>
      </c>
      <c r="H291" t="n">
        <v>0</v>
      </c>
      <c r="I291" t="n">
        <v>0</v>
      </c>
      <c r="J291" t="n">
        <v>0</v>
      </c>
      <c r="K291" t="n">
        <v>0</v>
      </c>
      <c r="L291" t="n">
        <v>0</v>
      </c>
      <c r="M291" t="n">
        <v>0</v>
      </c>
      <c r="N291" t="n">
        <v>0</v>
      </c>
      <c r="O291" t="n">
        <v>0</v>
      </c>
      <c r="P291" t="n">
        <v>0</v>
      </c>
      <c r="Q291" t="n">
        <v>0</v>
      </c>
      <c r="R291" s="2" t="inlineStr"/>
    </row>
    <row r="292" ht="15" customHeight="1">
      <c r="A292" t="inlineStr">
        <is>
          <t>A 67791-2019</t>
        </is>
      </c>
      <c r="B292" s="1" t="n">
        <v>43815</v>
      </c>
      <c r="C292" s="1" t="n">
        <v>45568</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67743-2019</t>
        </is>
      </c>
      <c r="B293" s="1" t="n">
        <v>43815</v>
      </c>
      <c r="C293" s="1" t="n">
        <v>45568</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972-2020</t>
        </is>
      </c>
      <c r="B294" s="1" t="n">
        <v>43819</v>
      </c>
      <c r="C294" s="1" t="n">
        <v>45568</v>
      </c>
      <c r="D294" t="inlineStr">
        <is>
          <t>GOTLANDS LÄN</t>
        </is>
      </c>
      <c r="E294" t="inlineStr">
        <is>
          <t>GOTLAND</t>
        </is>
      </c>
      <c r="G294" t="n">
        <v>2.5</v>
      </c>
      <c r="H294" t="n">
        <v>0</v>
      </c>
      <c r="I294" t="n">
        <v>0</v>
      </c>
      <c r="J294" t="n">
        <v>0</v>
      </c>
      <c r="K294" t="n">
        <v>0</v>
      </c>
      <c r="L294" t="n">
        <v>0</v>
      </c>
      <c r="M294" t="n">
        <v>0</v>
      </c>
      <c r="N294" t="n">
        <v>0</v>
      </c>
      <c r="O294" t="n">
        <v>0</v>
      </c>
      <c r="P294" t="n">
        <v>0</v>
      </c>
      <c r="Q294" t="n">
        <v>0</v>
      </c>
      <c r="R294" s="2" t="inlineStr"/>
    </row>
    <row r="295" ht="15" customHeight="1">
      <c r="A295" t="inlineStr">
        <is>
          <t>A 68750-2019</t>
        </is>
      </c>
      <c r="B295" s="1" t="n">
        <v>43819</v>
      </c>
      <c r="C295" s="1" t="n">
        <v>45568</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164-2020</t>
        </is>
      </c>
      <c r="B296" s="1" t="n">
        <v>43833</v>
      </c>
      <c r="C296" s="1" t="n">
        <v>45568</v>
      </c>
      <c r="D296" t="inlineStr">
        <is>
          <t>GOTLANDS LÄN</t>
        </is>
      </c>
      <c r="E296" t="inlineStr">
        <is>
          <t>GOTLAND</t>
        </is>
      </c>
      <c r="F296" t="inlineStr">
        <is>
          <t>Kyrkan</t>
        </is>
      </c>
      <c r="G296" t="n">
        <v>6.2</v>
      </c>
      <c r="H296" t="n">
        <v>0</v>
      </c>
      <c r="I296" t="n">
        <v>0</v>
      </c>
      <c r="J296" t="n">
        <v>0</v>
      </c>
      <c r="K296" t="n">
        <v>0</v>
      </c>
      <c r="L296" t="n">
        <v>0</v>
      </c>
      <c r="M296" t="n">
        <v>0</v>
      </c>
      <c r="N296" t="n">
        <v>0</v>
      </c>
      <c r="O296" t="n">
        <v>0</v>
      </c>
      <c r="P296" t="n">
        <v>0</v>
      </c>
      <c r="Q296" t="n">
        <v>0</v>
      </c>
      <c r="R296" s="2" t="inlineStr"/>
    </row>
    <row r="297" ht="15" customHeight="1">
      <c r="A297" t="inlineStr">
        <is>
          <t>A 768-2020</t>
        </is>
      </c>
      <c r="B297" s="1" t="n">
        <v>43838</v>
      </c>
      <c r="C297" s="1" t="n">
        <v>45568</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1384-2020</t>
        </is>
      </c>
      <c r="B298" s="1" t="n">
        <v>43843</v>
      </c>
      <c r="C298" s="1" t="n">
        <v>45568</v>
      </c>
      <c r="D298" t="inlineStr">
        <is>
          <t>GOTLANDS LÄN</t>
        </is>
      </c>
      <c r="E298" t="inlineStr">
        <is>
          <t>GOTLAND</t>
        </is>
      </c>
      <c r="G298" t="n">
        <v>6</v>
      </c>
      <c r="H298" t="n">
        <v>0</v>
      </c>
      <c r="I298" t="n">
        <v>0</v>
      </c>
      <c r="J298" t="n">
        <v>0</v>
      </c>
      <c r="K298" t="n">
        <v>0</v>
      </c>
      <c r="L298" t="n">
        <v>0</v>
      </c>
      <c r="M298" t="n">
        <v>0</v>
      </c>
      <c r="N298" t="n">
        <v>0</v>
      </c>
      <c r="O298" t="n">
        <v>0</v>
      </c>
      <c r="P298" t="n">
        <v>0</v>
      </c>
      <c r="Q298" t="n">
        <v>0</v>
      </c>
      <c r="R298" s="2" t="inlineStr"/>
    </row>
    <row r="299" ht="15" customHeight="1">
      <c r="A299" t="inlineStr">
        <is>
          <t>A 1541-2020</t>
        </is>
      </c>
      <c r="B299" s="1" t="n">
        <v>43843</v>
      </c>
      <c r="C299" s="1" t="n">
        <v>45568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2675-2020</t>
        </is>
      </c>
      <c r="B300" s="1" t="n">
        <v>43849</v>
      </c>
      <c r="C300" s="1" t="n">
        <v>45568</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4409-2020</t>
        </is>
      </c>
      <c r="B301" s="1" t="n">
        <v>43850</v>
      </c>
      <c r="C301" s="1" t="n">
        <v>45568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5724-2020</t>
        </is>
      </c>
      <c r="B302" s="1" t="n">
        <v>43862</v>
      </c>
      <c r="C302" s="1" t="n">
        <v>45568</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5731-2020</t>
        </is>
      </c>
      <c r="B303" s="1" t="n">
        <v>43862</v>
      </c>
      <c r="C303" s="1" t="n">
        <v>45568</v>
      </c>
      <c r="D303" t="inlineStr">
        <is>
          <t>GOTLANDS LÄN</t>
        </is>
      </c>
      <c r="E303" t="inlineStr">
        <is>
          <t>GOTLAND</t>
        </is>
      </c>
      <c r="G303" t="n">
        <v>2.2</v>
      </c>
      <c r="H303" t="n">
        <v>0</v>
      </c>
      <c r="I303" t="n">
        <v>0</v>
      </c>
      <c r="J303" t="n">
        <v>0</v>
      </c>
      <c r="K303" t="n">
        <v>0</v>
      </c>
      <c r="L303" t="n">
        <v>0</v>
      </c>
      <c r="M303" t="n">
        <v>0</v>
      </c>
      <c r="N303" t="n">
        <v>0</v>
      </c>
      <c r="O303" t="n">
        <v>0</v>
      </c>
      <c r="P303" t="n">
        <v>0</v>
      </c>
      <c r="Q303" t="n">
        <v>0</v>
      </c>
      <c r="R303" s="2" t="inlineStr"/>
    </row>
    <row r="304" ht="15" customHeight="1">
      <c r="A304" t="inlineStr">
        <is>
          <t>A 5723-2020</t>
        </is>
      </c>
      <c r="B304" s="1" t="n">
        <v>43862</v>
      </c>
      <c r="C304" s="1" t="n">
        <v>45568</v>
      </c>
      <c r="D304" t="inlineStr">
        <is>
          <t>GOTLANDS LÄN</t>
        </is>
      </c>
      <c r="E304" t="inlineStr">
        <is>
          <t>GOTLAND</t>
        </is>
      </c>
      <c r="G304" t="n">
        <v>1.4</v>
      </c>
      <c r="H304" t="n">
        <v>0</v>
      </c>
      <c r="I304" t="n">
        <v>0</v>
      </c>
      <c r="J304" t="n">
        <v>0</v>
      </c>
      <c r="K304" t="n">
        <v>0</v>
      </c>
      <c r="L304" t="n">
        <v>0</v>
      </c>
      <c r="M304" t="n">
        <v>0</v>
      </c>
      <c r="N304" t="n">
        <v>0</v>
      </c>
      <c r="O304" t="n">
        <v>0</v>
      </c>
      <c r="P304" t="n">
        <v>0</v>
      </c>
      <c r="Q304" t="n">
        <v>0</v>
      </c>
      <c r="R304" s="2" t="inlineStr"/>
    </row>
    <row r="305" ht="15" customHeight="1">
      <c r="A305" t="inlineStr">
        <is>
          <t>A 5727-2020</t>
        </is>
      </c>
      <c r="B305" s="1" t="n">
        <v>43862</v>
      </c>
      <c r="C305" s="1" t="n">
        <v>45568</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6226-2020</t>
        </is>
      </c>
      <c r="B306" s="1" t="n">
        <v>43865</v>
      </c>
      <c r="C306" s="1" t="n">
        <v>45568</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6611-2020</t>
        </is>
      </c>
      <c r="B307" s="1" t="n">
        <v>43867</v>
      </c>
      <c r="C307" s="1" t="n">
        <v>45568</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8217-2020</t>
        </is>
      </c>
      <c r="B308" s="1" t="n">
        <v>43874</v>
      </c>
      <c r="C308" s="1" t="n">
        <v>45568</v>
      </c>
      <c r="D308" t="inlineStr">
        <is>
          <t>GOTLANDS LÄN</t>
        </is>
      </c>
      <c r="E308" t="inlineStr">
        <is>
          <t>GOTLAND</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8872-2020</t>
        </is>
      </c>
      <c r="B309" s="1" t="n">
        <v>43878</v>
      </c>
      <c r="C309" s="1" t="n">
        <v>45568</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9502-2020</t>
        </is>
      </c>
      <c r="B310" s="1" t="n">
        <v>43880</v>
      </c>
      <c r="C310" s="1" t="n">
        <v>45568</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10932-2020</t>
        </is>
      </c>
      <c r="B311" s="1" t="n">
        <v>43889</v>
      </c>
      <c r="C311" s="1" t="n">
        <v>45568</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10931-2020</t>
        </is>
      </c>
      <c r="B312" s="1" t="n">
        <v>43889</v>
      </c>
      <c r="C312" s="1" t="n">
        <v>45568</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12309-2020</t>
        </is>
      </c>
      <c r="B313" s="1" t="n">
        <v>43895</v>
      </c>
      <c r="C313" s="1" t="n">
        <v>45568</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13940-2020</t>
        </is>
      </c>
      <c r="B314" s="1" t="n">
        <v>43903</v>
      </c>
      <c r="C314" s="1" t="n">
        <v>45568</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13930-2020</t>
        </is>
      </c>
      <c r="B315" s="1" t="n">
        <v>43906</v>
      </c>
      <c r="C315" s="1" t="n">
        <v>45568</v>
      </c>
      <c r="D315" t="inlineStr">
        <is>
          <t>GOTLANDS LÄN</t>
        </is>
      </c>
      <c r="E315" t="inlineStr">
        <is>
          <t>GOTLAND</t>
        </is>
      </c>
      <c r="G315" t="n">
        <v>4</v>
      </c>
      <c r="H315" t="n">
        <v>0</v>
      </c>
      <c r="I315" t="n">
        <v>0</v>
      </c>
      <c r="J315" t="n">
        <v>0</v>
      </c>
      <c r="K315" t="n">
        <v>0</v>
      </c>
      <c r="L315" t="n">
        <v>0</v>
      </c>
      <c r="M315" t="n">
        <v>0</v>
      </c>
      <c r="N315" t="n">
        <v>0</v>
      </c>
      <c r="O315" t="n">
        <v>0</v>
      </c>
      <c r="P315" t="n">
        <v>0</v>
      </c>
      <c r="Q315" t="n">
        <v>0</v>
      </c>
      <c r="R315" s="2" t="inlineStr"/>
    </row>
    <row r="316" ht="15" customHeight="1">
      <c r="A316" t="inlineStr">
        <is>
          <t>A 13995-2020</t>
        </is>
      </c>
      <c r="B316" s="1" t="n">
        <v>43906</v>
      </c>
      <c r="C316" s="1" t="n">
        <v>45568</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13987-2020</t>
        </is>
      </c>
      <c r="B317" s="1" t="n">
        <v>43906</v>
      </c>
      <c r="C317" s="1" t="n">
        <v>45568</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14073-2020</t>
        </is>
      </c>
      <c r="B318" s="1" t="n">
        <v>43907</v>
      </c>
      <c r="C318" s="1" t="n">
        <v>45568</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14074-2020</t>
        </is>
      </c>
      <c r="B319" s="1" t="n">
        <v>43907</v>
      </c>
      <c r="C319" s="1" t="n">
        <v>45568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16452-2020</t>
        </is>
      </c>
      <c r="B320" s="1" t="n">
        <v>43909</v>
      </c>
      <c r="C320" s="1" t="n">
        <v>45568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14995-2020</t>
        </is>
      </c>
      <c r="B321" s="1" t="n">
        <v>43910</v>
      </c>
      <c r="C321" s="1" t="n">
        <v>45568</v>
      </c>
      <c r="D321" t="inlineStr">
        <is>
          <t>GOTLANDS LÄN</t>
        </is>
      </c>
      <c r="E321" t="inlineStr">
        <is>
          <t>GOTLAND</t>
        </is>
      </c>
      <c r="G321" t="n">
        <v>6.3</v>
      </c>
      <c r="H321" t="n">
        <v>0</v>
      </c>
      <c r="I321" t="n">
        <v>0</v>
      </c>
      <c r="J321" t="n">
        <v>0</v>
      </c>
      <c r="K321" t="n">
        <v>0</v>
      </c>
      <c r="L321" t="n">
        <v>0</v>
      </c>
      <c r="M321" t="n">
        <v>0</v>
      </c>
      <c r="N321" t="n">
        <v>0</v>
      </c>
      <c r="O321" t="n">
        <v>0</v>
      </c>
      <c r="P321" t="n">
        <v>0</v>
      </c>
      <c r="Q321" t="n">
        <v>0</v>
      </c>
      <c r="R321" s="2" t="inlineStr"/>
    </row>
    <row r="322" ht="15" customHeight="1">
      <c r="A322" t="inlineStr">
        <is>
          <t>A 15202-2020</t>
        </is>
      </c>
      <c r="B322" s="1" t="n">
        <v>43913</v>
      </c>
      <c r="C322" s="1" t="n">
        <v>45568</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15197-2020</t>
        </is>
      </c>
      <c r="B323" s="1" t="n">
        <v>43913</v>
      </c>
      <c r="C323" s="1" t="n">
        <v>45568</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15888-2020</t>
        </is>
      </c>
      <c r="B324" s="1" t="n">
        <v>43915</v>
      </c>
      <c r="C324" s="1" t="n">
        <v>45568</v>
      </c>
      <c r="D324" t="inlineStr">
        <is>
          <t>GOTLANDS LÄN</t>
        </is>
      </c>
      <c r="E324" t="inlineStr">
        <is>
          <t>GOTLAND</t>
        </is>
      </c>
      <c r="G324" t="n">
        <v>1.8</v>
      </c>
      <c r="H324" t="n">
        <v>0</v>
      </c>
      <c r="I324" t="n">
        <v>0</v>
      </c>
      <c r="J324" t="n">
        <v>0</v>
      </c>
      <c r="K324" t="n">
        <v>0</v>
      </c>
      <c r="L324" t="n">
        <v>0</v>
      </c>
      <c r="M324" t="n">
        <v>0</v>
      </c>
      <c r="N324" t="n">
        <v>0</v>
      </c>
      <c r="O324" t="n">
        <v>0</v>
      </c>
      <c r="P324" t="n">
        <v>0</v>
      </c>
      <c r="Q324" t="n">
        <v>0</v>
      </c>
      <c r="R324" s="2" t="inlineStr"/>
    </row>
    <row r="325" ht="15" customHeight="1">
      <c r="A325" t="inlineStr">
        <is>
          <t>A 16133-2020</t>
        </is>
      </c>
      <c r="B325" s="1" t="n">
        <v>43916</v>
      </c>
      <c r="C325" s="1" t="n">
        <v>45568</v>
      </c>
      <c r="D325" t="inlineStr">
        <is>
          <t>GOTLANDS LÄN</t>
        </is>
      </c>
      <c r="E325" t="inlineStr">
        <is>
          <t>GOTLAND</t>
        </is>
      </c>
      <c r="G325" t="n">
        <v>6.7</v>
      </c>
      <c r="H325" t="n">
        <v>0</v>
      </c>
      <c r="I325" t="n">
        <v>0</v>
      </c>
      <c r="J325" t="n">
        <v>0</v>
      </c>
      <c r="K325" t="n">
        <v>0</v>
      </c>
      <c r="L325" t="n">
        <v>0</v>
      </c>
      <c r="M325" t="n">
        <v>0</v>
      </c>
      <c r="N325" t="n">
        <v>0</v>
      </c>
      <c r="O325" t="n">
        <v>0</v>
      </c>
      <c r="P325" t="n">
        <v>0</v>
      </c>
      <c r="Q325" t="n">
        <v>0</v>
      </c>
      <c r="R325" s="2" t="inlineStr"/>
    </row>
    <row r="326" ht="15" customHeight="1">
      <c r="A326" t="inlineStr">
        <is>
          <t>A 17403-2020</t>
        </is>
      </c>
      <c r="B326" s="1" t="n">
        <v>43917</v>
      </c>
      <c r="C326" s="1" t="n">
        <v>45568</v>
      </c>
      <c r="D326" t="inlineStr">
        <is>
          <t>GOTLANDS LÄN</t>
        </is>
      </c>
      <c r="E326" t="inlineStr">
        <is>
          <t>GOTLAND</t>
        </is>
      </c>
      <c r="G326" t="n">
        <v>4.4</v>
      </c>
      <c r="H326" t="n">
        <v>0</v>
      </c>
      <c r="I326" t="n">
        <v>0</v>
      </c>
      <c r="J326" t="n">
        <v>0</v>
      </c>
      <c r="K326" t="n">
        <v>0</v>
      </c>
      <c r="L326" t="n">
        <v>0</v>
      </c>
      <c r="M326" t="n">
        <v>0</v>
      </c>
      <c r="N326" t="n">
        <v>0</v>
      </c>
      <c r="O326" t="n">
        <v>0</v>
      </c>
      <c r="P326" t="n">
        <v>0</v>
      </c>
      <c r="Q326" t="n">
        <v>0</v>
      </c>
      <c r="R326" s="2" t="inlineStr"/>
    </row>
    <row r="327" ht="15" customHeight="1">
      <c r="A327" t="inlineStr">
        <is>
          <t>A 17869-2020</t>
        </is>
      </c>
      <c r="B327" s="1" t="n">
        <v>43924</v>
      </c>
      <c r="C327" s="1" t="n">
        <v>45568</v>
      </c>
      <c r="D327" t="inlineStr">
        <is>
          <t>GOTLANDS LÄN</t>
        </is>
      </c>
      <c r="E327" t="inlineStr">
        <is>
          <t>GOTLAND</t>
        </is>
      </c>
      <c r="G327" t="n">
        <v>2.7</v>
      </c>
      <c r="H327" t="n">
        <v>0</v>
      </c>
      <c r="I327" t="n">
        <v>0</v>
      </c>
      <c r="J327" t="n">
        <v>0</v>
      </c>
      <c r="K327" t="n">
        <v>0</v>
      </c>
      <c r="L327" t="n">
        <v>0</v>
      </c>
      <c r="M327" t="n">
        <v>0</v>
      </c>
      <c r="N327" t="n">
        <v>0</v>
      </c>
      <c r="O327" t="n">
        <v>0</v>
      </c>
      <c r="P327" t="n">
        <v>0</v>
      </c>
      <c r="Q327" t="n">
        <v>0</v>
      </c>
      <c r="R327" s="2" t="inlineStr"/>
    </row>
    <row r="328" ht="15" customHeight="1">
      <c r="A328" t="inlineStr">
        <is>
          <t>A 19900-2020</t>
        </is>
      </c>
      <c r="B328" s="1" t="n">
        <v>43942</v>
      </c>
      <c r="C328" s="1" t="n">
        <v>45568</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21568-2020</t>
        </is>
      </c>
      <c r="B329" s="1" t="n">
        <v>43956</v>
      </c>
      <c r="C329" s="1" t="n">
        <v>45568</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22093-2020</t>
        </is>
      </c>
      <c r="B330" s="1" t="n">
        <v>43959</v>
      </c>
      <c r="C330" s="1" t="n">
        <v>45568</v>
      </c>
      <c r="D330" t="inlineStr">
        <is>
          <t>GOTLANDS LÄN</t>
        </is>
      </c>
      <c r="E330" t="inlineStr">
        <is>
          <t>GOTLAND</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22329-2020</t>
        </is>
      </c>
      <c r="B331" s="1" t="n">
        <v>43962</v>
      </c>
      <c r="C331" s="1" t="n">
        <v>45568</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22333-2020</t>
        </is>
      </c>
      <c r="B332" s="1" t="n">
        <v>43962</v>
      </c>
      <c r="C332" s="1" t="n">
        <v>45568</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23498-2020</t>
        </is>
      </c>
      <c r="B333" s="1" t="n">
        <v>43969</v>
      </c>
      <c r="C333" s="1" t="n">
        <v>45568</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23728-2020</t>
        </is>
      </c>
      <c r="B334" s="1" t="n">
        <v>43970</v>
      </c>
      <c r="C334" s="1" t="n">
        <v>45568</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24537-2020</t>
        </is>
      </c>
      <c r="B335" s="1" t="n">
        <v>43977</v>
      </c>
      <c r="C335" s="1" t="n">
        <v>45568</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25039-2020</t>
        </is>
      </c>
      <c r="B336" s="1" t="n">
        <v>43979</v>
      </c>
      <c r="C336" s="1" t="n">
        <v>45568</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26117-2020</t>
        </is>
      </c>
      <c r="B337" s="1" t="n">
        <v>43985</v>
      </c>
      <c r="C337" s="1" t="n">
        <v>45568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27322-2020</t>
        </is>
      </c>
      <c r="B338" s="1" t="n">
        <v>43992</v>
      </c>
      <c r="C338" s="1" t="n">
        <v>45568</v>
      </c>
      <c r="D338" t="inlineStr">
        <is>
          <t>GOTLANDS LÄN</t>
        </is>
      </c>
      <c r="E338" t="inlineStr">
        <is>
          <t>GOTLAND</t>
        </is>
      </c>
      <c r="F338" t="inlineStr">
        <is>
          <t>Övriga statliga verk och myndigheter</t>
        </is>
      </c>
      <c r="G338" t="n">
        <v>7.4</v>
      </c>
      <c r="H338" t="n">
        <v>0</v>
      </c>
      <c r="I338" t="n">
        <v>0</v>
      </c>
      <c r="J338" t="n">
        <v>0</v>
      </c>
      <c r="K338" t="n">
        <v>0</v>
      </c>
      <c r="L338" t="n">
        <v>0</v>
      </c>
      <c r="M338" t="n">
        <v>0</v>
      </c>
      <c r="N338" t="n">
        <v>0</v>
      </c>
      <c r="O338" t="n">
        <v>0</v>
      </c>
      <c r="P338" t="n">
        <v>0</v>
      </c>
      <c r="Q338" t="n">
        <v>0</v>
      </c>
      <c r="R338" s="2" t="inlineStr"/>
    </row>
    <row r="339" ht="15" customHeight="1">
      <c r="A339" t="inlineStr">
        <is>
          <t>A 27334-2020</t>
        </is>
      </c>
      <c r="B339" s="1" t="n">
        <v>43992</v>
      </c>
      <c r="C339" s="1" t="n">
        <v>45568</v>
      </c>
      <c r="D339" t="inlineStr">
        <is>
          <t>GOTLANDS LÄN</t>
        </is>
      </c>
      <c r="E339" t="inlineStr">
        <is>
          <t>GOTLAND</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27723-2020</t>
        </is>
      </c>
      <c r="B340" s="1" t="n">
        <v>43994</v>
      </c>
      <c r="C340" s="1" t="n">
        <v>45568</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27719-2020</t>
        </is>
      </c>
      <c r="B341" s="1" t="n">
        <v>43994</v>
      </c>
      <c r="C341" s="1" t="n">
        <v>45568</v>
      </c>
      <c r="D341" t="inlineStr">
        <is>
          <t>GOTLANDS LÄN</t>
        </is>
      </c>
      <c r="E341" t="inlineStr">
        <is>
          <t>GOTLAND</t>
        </is>
      </c>
      <c r="F341" t="inlineStr">
        <is>
          <t>Övriga statliga verk och myndigheter</t>
        </is>
      </c>
      <c r="G341" t="n">
        <v>0.5</v>
      </c>
      <c r="H341" t="n">
        <v>0</v>
      </c>
      <c r="I341" t="n">
        <v>0</v>
      </c>
      <c r="J341" t="n">
        <v>0</v>
      </c>
      <c r="K341" t="n">
        <v>0</v>
      </c>
      <c r="L341" t="n">
        <v>0</v>
      </c>
      <c r="M341" t="n">
        <v>0</v>
      </c>
      <c r="N341" t="n">
        <v>0</v>
      </c>
      <c r="O341" t="n">
        <v>0</v>
      </c>
      <c r="P341" t="n">
        <v>0</v>
      </c>
      <c r="Q341" t="n">
        <v>0</v>
      </c>
      <c r="R341" s="2" t="inlineStr"/>
    </row>
    <row r="342" ht="15" customHeight="1">
      <c r="A342" t="inlineStr">
        <is>
          <t>A 27713-2020</t>
        </is>
      </c>
      <c r="B342" s="1" t="n">
        <v>43994</v>
      </c>
      <c r="C342" s="1" t="n">
        <v>45568</v>
      </c>
      <c r="D342" t="inlineStr">
        <is>
          <t>GOTLANDS LÄN</t>
        </is>
      </c>
      <c r="E342" t="inlineStr">
        <is>
          <t>GOTLAND</t>
        </is>
      </c>
      <c r="F342" t="inlineStr">
        <is>
          <t>Övriga statliga verk och myndigheter</t>
        </is>
      </c>
      <c r="G342" t="n">
        <v>0.8</v>
      </c>
      <c r="H342" t="n">
        <v>0</v>
      </c>
      <c r="I342" t="n">
        <v>0</v>
      </c>
      <c r="J342" t="n">
        <v>0</v>
      </c>
      <c r="K342" t="n">
        <v>0</v>
      </c>
      <c r="L342" t="n">
        <v>0</v>
      </c>
      <c r="M342" t="n">
        <v>0</v>
      </c>
      <c r="N342" t="n">
        <v>0</v>
      </c>
      <c r="O342" t="n">
        <v>0</v>
      </c>
      <c r="P342" t="n">
        <v>0</v>
      </c>
      <c r="Q342" t="n">
        <v>0</v>
      </c>
      <c r="R342" s="2" t="inlineStr"/>
    </row>
    <row r="343" ht="15" customHeight="1">
      <c r="A343" t="inlineStr">
        <is>
          <t>A 29529-2020</t>
        </is>
      </c>
      <c r="B343" s="1" t="n">
        <v>44005</v>
      </c>
      <c r="C343" s="1" t="n">
        <v>45568</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29915-2020</t>
        </is>
      </c>
      <c r="B344" s="1" t="n">
        <v>44006</v>
      </c>
      <c r="C344" s="1" t="n">
        <v>45568</v>
      </c>
      <c r="D344" t="inlineStr">
        <is>
          <t>GOTLANDS LÄN</t>
        </is>
      </c>
      <c r="E344" t="inlineStr">
        <is>
          <t>GOTLAND</t>
        </is>
      </c>
      <c r="F344" t="inlineStr">
        <is>
          <t>Kommuner</t>
        </is>
      </c>
      <c r="G344" t="n">
        <v>5.8</v>
      </c>
      <c r="H344" t="n">
        <v>0</v>
      </c>
      <c r="I344" t="n">
        <v>0</v>
      </c>
      <c r="J344" t="n">
        <v>0</v>
      </c>
      <c r="K344" t="n">
        <v>0</v>
      </c>
      <c r="L344" t="n">
        <v>0</v>
      </c>
      <c r="M344" t="n">
        <v>0</v>
      </c>
      <c r="N344" t="n">
        <v>0</v>
      </c>
      <c r="O344" t="n">
        <v>0</v>
      </c>
      <c r="P344" t="n">
        <v>0</v>
      </c>
      <c r="Q344" t="n">
        <v>0</v>
      </c>
      <c r="R344" s="2" t="inlineStr"/>
    </row>
    <row r="345" ht="15" customHeight="1">
      <c r="A345" t="inlineStr">
        <is>
          <t>A 30980-2020</t>
        </is>
      </c>
      <c r="B345" s="1" t="n">
        <v>44011</v>
      </c>
      <c r="C345" s="1" t="n">
        <v>45568</v>
      </c>
      <c r="D345" t="inlineStr">
        <is>
          <t>GOTLANDS LÄN</t>
        </is>
      </c>
      <c r="E345" t="inlineStr">
        <is>
          <t>GOTLAND</t>
        </is>
      </c>
      <c r="G345" t="n">
        <v>17.9</v>
      </c>
      <c r="H345" t="n">
        <v>0</v>
      </c>
      <c r="I345" t="n">
        <v>0</v>
      </c>
      <c r="J345" t="n">
        <v>0</v>
      </c>
      <c r="K345" t="n">
        <v>0</v>
      </c>
      <c r="L345" t="n">
        <v>0</v>
      </c>
      <c r="M345" t="n">
        <v>0</v>
      </c>
      <c r="N345" t="n">
        <v>0</v>
      </c>
      <c r="O345" t="n">
        <v>0</v>
      </c>
      <c r="P345" t="n">
        <v>0</v>
      </c>
      <c r="Q345" t="n">
        <v>0</v>
      </c>
      <c r="R345" s="2" t="inlineStr"/>
    </row>
    <row r="346" ht="15" customHeight="1">
      <c r="A346" t="inlineStr">
        <is>
          <t>A 32804-2020</t>
        </is>
      </c>
      <c r="B346" s="1" t="n">
        <v>44018</v>
      </c>
      <c r="C346" s="1" t="n">
        <v>45568</v>
      </c>
      <c r="D346" t="inlineStr">
        <is>
          <t>GOTLANDS LÄN</t>
        </is>
      </c>
      <c r="E346" t="inlineStr">
        <is>
          <t>GOTLAND</t>
        </is>
      </c>
      <c r="G346" t="n">
        <v>19.3</v>
      </c>
      <c r="H346" t="n">
        <v>0</v>
      </c>
      <c r="I346" t="n">
        <v>0</v>
      </c>
      <c r="J346" t="n">
        <v>0</v>
      </c>
      <c r="K346" t="n">
        <v>0</v>
      </c>
      <c r="L346" t="n">
        <v>0</v>
      </c>
      <c r="M346" t="n">
        <v>0</v>
      </c>
      <c r="N346" t="n">
        <v>0</v>
      </c>
      <c r="O346" t="n">
        <v>0</v>
      </c>
      <c r="P346" t="n">
        <v>0</v>
      </c>
      <c r="Q346" t="n">
        <v>0</v>
      </c>
      <c r="R346" s="2" t="inlineStr"/>
    </row>
    <row r="347" ht="15" customHeight="1">
      <c r="A347" t="inlineStr">
        <is>
          <t>A 32974-2020</t>
        </is>
      </c>
      <c r="B347" s="1" t="n">
        <v>44020</v>
      </c>
      <c r="C347" s="1" t="n">
        <v>45568</v>
      </c>
      <c r="D347" t="inlineStr">
        <is>
          <t>GOTLANDS LÄN</t>
        </is>
      </c>
      <c r="E347" t="inlineStr">
        <is>
          <t>GOTLAND</t>
        </is>
      </c>
      <c r="F347" t="inlineStr">
        <is>
          <t>Kyrkan</t>
        </is>
      </c>
      <c r="G347" t="n">
        <v>0.7</v>
      </c>
      <c r="H347" t="n">
        <v>0</v>
      </c>
      <c r="I347" t="n">
        <v>0</v>
      </c>
      <c r="J347" t="n">
        <v>0</v>
      </c>
      <c r="K347" t="n">
        <v>0</v>
      </c>
      <c r="L347" t="n">
        <v>0</v>
      </c>
      <c r="M347" t="n">
        <v>0</v>
      </c>
      <c r="N347" t="n">
        <v>0</v>
      </c>
      <c r="O347" t="n">
        <v>0</v>
      </c>
      <c r="P347" t="n">
        <v>0</v>
      </c>
      <c r="Q347" t="n">
        <v>0</v>
      </c>
      <c r="R347" s="2" t="inlineStr"/>
    </row>
    <row r="348" ht="15" customHeight="1">
      <c r="A348" t="inlineStr">
        <is>
          <t>A 35074-2020</t>
        </is>
      </c>
      <c r="B348" s="1" t="n">
        <v>44039</v>
      </c>
      <c r="C348" s="1" t="n">
        <v>45568</v>
      </c>
      <c r="D348" t="inlineStr">
        <is>
          <t>GOTLANDS LÄN</t>
        </is>
      </c>
      <c r="E348" t="inlineStr">
        <is>
          <t>GOTLAND</t>
        </is>
      </c>
      <c r="G348" t="n">
        <v>5.4</v>
      </c>
      <c r="H348" t="n">
        <v>0</v>
      </c>
      <c r="I348" t="n">
        <v>0</v>
      </c>
      <c r="J348" t="n">
        <v>0</v>
      </c>
      <c r="K348" t="n">
        <v>0</v>
      </c>
      <c r="L348" t="n">
        <v>0</v>
      </c>
      <c r="M348" t="n">
        <v>0</v>
      </c>
      <c r="N348" t="n">
        <v>0</v>
      </c>
      <c r="O348" t="n">
        <v>0</v>
      </c>
      <c r="P348" t="n">
        <v>0</v>
      </c>
      <c r="Q348" t="n">
        <v>0</v>
      </c>
      <c r="R348" s="2" t="inlineStr"/>
    </row>
    <row r="349" ht="15" customHeight="1">
      <c r="A349" t="inlineStr">
        <is>
          <t>A 36073-2020</t>
        </is>
      </c>
      <c r="B349" s="1" t="n">
        <v>44048</v>
      </c>
      <c r="C349" s="1" t="n">
        <v>45568</v>
      </c>
      <c r="D349" t="inlineStr">
        <is>
          <t>GOTLANDS LÄN</t>
        </is>
      </c>
      <c r="E349" t="inlineStr">
        <is>
          <t>GOTLAND</t>
        </is>
      </c>
      <c r="G349" t="n">
        <v>10.1</v>
      </c>
      <c r="H349" t="n">
        <v>0</v>
      </c>
      <c r="I349" t="n">
        <v>0</v>
      </c>
      <c r="J349" t="n">
        <v>0</v>
      </c>
      <c r="K349" t="n">
        <v>0</v>
      </c>
      <c r="L349" t="n">
        <v>0</v>
      </c>
      <c r="M349" t="n">
        <v>0</v>
      </c>
      <c r="N349" t="n">
        <v>0</v>
      </c>
      <c r="O349" t="n">
        <v>0</v>
      </c>
      <c r="P349" t="n">
        <v>0</v>
      </c>
      <c r="Q349" t="n">
        <v>0</v>
      </c>
      <c r="R349" s="2" t="inlineStr"/>
    </row>
    <row r="350" ht="15" customHeight="1">
      <c r="A350" t="inlineStr">
        <is>
          <t>A 36076-2020</t>
        </is>
      </c>
      <c r="B350" s="1" t="n">
        <v>44048</v>
      </c>
      <c r="C350" s="1" t="n">
        <v>45568</v>
      </c>
      <c r="D350" t="inlineStr">
        <is>
          <t>GOTLANDS LÄN</t>
        </is>
      </c>
      <c r="E350" t="inlineStr">
        <is>
          <t>GOTLAND</t>
        </is>
      </c>
      <c r="G350" t="n">
        <v>0.8</v>
      </c>
      <c r="H350" t="n">
        <v>0</v>
      </c>
      <c r="I350" t="n">
        <v>0</v>
      </c>
      <c r="J350" t="n">
        <v>0</v>
      </c>
      <c r="K350" t="n">
        <v>0</v>
      </c>
      <c r="L350" t="n">
        <v>0</v>
      </c>
      <c r="M350" t="n">
        <v>0</v>
      </c>
      <c r="N350" t="n">
        <v>0</v>
      </c>
      <c r="O350" t="n">
        <v>0</v>
      </c>
      <c r="P350" t="n">
        <v>0</v>
      </c>
      <c r="Q350" t="n">
        <v>0</v>
      </c>
      <c r="R350" s="2" t="inlineStr"/>
    </row>
    <row r="351" ht="15" customHeight="1">
      <c r="A351" t="inlineStr">
        <is>
          <t>A 36284-2020</t>
        </is>
      </c>
      <c r="B351" s="1" t="n">
        <v>44049</v>
      </c>
      <c r="C351" s="1" t="n">
        <v>45568</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37204-2020</t>
        </is>
      </c>
      <c r="B352" s="1" t="n">
        <v>44054</v>
      </c>
      <c r="C352" s="1" t="n">
        <v>45568</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38709-2020</t>
        </is>
      </c>
      <c r="B353" s="1" t="n">
        <v>44061</v>
      </c>
      <c r="C353" s="1" t="n">
        <v>45568</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39477-2020</t>
        </is>
      </c>
      <c r="B354" s="1" t="n">
        <v>44064</v>
      </c>
      <c r="C354" s="1" t="n">
        <v>45568</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41109-2020</t>
        </is>
      </c>
      <c r="B355" s="1" t="n">
        <v>44069</v>
      </c>
      <c r="C355" s="1" t="n">
        <v>45568</v>
      </c>
      <c r="D355" t="inlineStr">
        <is>
          <t>GOTLANDS LÄN</t>
        </is>
      </c>
      <c r="E355" t="inlineStr">
        <is>
          <t>GOTLAND</t>
        </is>
      </c>
      <c r="G355" t="n">
        <v>2.5</v>
      </c>
      <c r="H355" t="n">
        <v>0</v>
      </c>
      <c r="I355" t="n">
        <v>0</v>
      </c>
      <c r="J355" t="n">
        <v>0</v>
      </c>
      <c r="K355" t="n">
        <v>0</v>
      </c>
      <c r="L355" t="n">
        <v>0</v>
      </c>
      <c r="M355" t="n">
        <v>0</v>
      </c>
      <c r="N355" t="n">
        <v>0</v>
      </c>
      <c r="O355" t="n">
        <v>0</v>
      </c>
      <c r="P355" t="n">
        <v>0</v>
      </c>
      <c r="Q355" t="n">
        <v>0</v>
      </c>
      <c r="R355" s="2" t="inlineStr"/>
    </row>
    <row r="356" ht="15" customHeight="1">
      <c r="A356" t="inlineStr">
        <is>
          <t>A 41576-2020</t>
        </is>
      </c>
      <c r="B356" s="1" t="n">
        <v>44074</v>
      </c>
      <c r="C356" s="1" t="n">
        <v>45568</v>
      </c>
      <c r="D356" t="inlineStr">
        <is>
          <t>GOTLANDS LÄN</t>
        </is>
      </c>
      <c r="E356" t="inlineStr">
        <is>
          <t>GOTLAND</t>
        </is>
      </c>
      <c r="G356" t="n">
        <v>8.4</v>
      </c>
      <c r="H356" t="n">
        <v>0</v>
      </c>
      <c r="I356" t="n">
        <v>0</v>
      </c>
      <c r="J356" t="n">
        <v>0</v>
      </c>
      <c r="K356" t="n">
        <v>0</v>
      </c>
      <c r="L356" t="n">
        <v>0</v>
      </c>
      <c r="M356" t="n">
        <v>0</v>
      </c>
      <c r="N356" t="n">
        <v>0</v>
      </c>
      <c r="O356" t="n">
        <v>0</v>
      </c>
      <c r="P356" t="n">
        <v>0</v>
      </c>
      <c r="Q356" t="n">
        <v>0</v>
      </c>
      <c r="R356" s="2" t="inlineStr"/>
    </row>
    <row r="357" ht="15" customHeight="1">
      <c r="A357" t="inlineStr">
        <is>
          <t>A 45921-2020</t>
        </is>
      </c>
      <c r="B357" s="1" t="n">
        <v>44088</v>
      </c>
      <c r="C357" s="1" t="n">
        <v>45568</v>
      </c>
      <c r="D357" t="inlineStr">
        <is>
          <t>GOTLANDS LÄN</t>
        </is>
      </c>
      <c r="E357" t="inlineStr">
        <is>
          <t>GOTLAND</t>
        </is>
      </c>
      <c r="G357" t="n">
        <v>6.5</v>
      </c>
      <c r="H357" t="n">
        <v>0</v>
      </c>
      <c r="I357" t="n">
        <v>0</v>
      </c>
      <c r="J357" t="n">
        <v>0</v>
      </c>
      <c r="K357" t="n">
        <v>0</v>
      </c>
      <c r="L357" t="n">
        <v>0</v>
      </c>
      <c r="M357" t="n">
        <v>0</v>
      </c>
      <c r="N357" t="n">
        <v>0</v>
      </c>
      <c r="O357" t="n">
        <v>0</v>
      </c>
      <c r="P357" t="n">
        <v>0</v>
      </c>
      <c r="Q357" t="n">
        <v>0</v>
      </c>
      <c r="R357" s="2" t="inlineStr"/>
    </row>
    <row r="358" ht="15" customHeight="1">
      <c r="A358" t="inlineStr">
        <is>
          <t>A 46019-2020</t>
        </is>
      </c>
      <c r="B358" s="1" t="n">
        <v>44091</v>
      </c>
      <c r="C358" s="1" t="n">
        <v>45568</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46778-2020</t>
        </is>
      </c>
      <c r="B359" s="1" t="n">
        <v>44096</v>
      </c>
      <c r="C359" s="1" t="n">
        <v>45568</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53641-2020</t>
        </is>
      </c>
      <c r="B360" s="1" t="n">
        <v>44124</v>
      </c>
      <c r="C360" s="1" t="n">
        <v>45568</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53665-2020</t>
        </is>
      </c>
      <c r="B361" s="1" t="n">
        <v>44124</v>
      </c>
      <c r="C361" s="1" t="n">
        <v>45568</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59052-2020</t>
        </is>
      </c>
      <c r="B362" s="1" t="n">
        <v>44147</v>
      </c>
      <c r="C362" s="1" t="n">
        <v>45568</v>
      </c>
      <c r="D362" t="inlineStr">
        <is>
          <t>GOTLANDS LÄN</t>
        </is>
      </c>
      <c r="E362" t="inlineStr">
        <is>
          <t>GOTLAND</t>
        </is>
      </c>
      <c r="G362" t="n">
        <v>3.4</v>
      </c>
      <c r="H362" t="n">
        <v>0</v>
      </c>
      <c r="I362" t="n">
        <v>0</v>
      </c>
      <c r="J362" t="n">
        <v>0</v>
      </c>
      <c r="K362" t="n">
        <v>0</v>
      </c>
      <c r="L362" t="n">
        <v>0</v>
      </c>
      <c r="M362" t="n">
        <v>0</v>
      </c>
      <c r="N362" t="n">
        <v>0</v>
      </c>
      <c r="O362" t="n">
        <v>0</v>
      </c>
      <c r="P362" t="n">
        <v>0</v>
      </c>
      <c r="Q362" t="n">
        <v>0</v>
      </c>
      <c r="R362" s="2" t="inlineStr"/>
    </row>
    <row r="363" ht="15" customHeight="1">
      <c r="A363" t="inlineStr">
        <is>
          <t>A 59630-2020</t>
        </is>
      </c>
      <c r="B363" s="1" t="n">
        <v>44150</v>
      </c>
      <c r="C363" s="1" t="n">
        <v>45568</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60356-2020</t>
        </is>
      </c>
      <c r="B364" s="1" t="n">
        <v>44152</v>
      </c>
      <c r="C364" s="1" t="n">
        <v>45568</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62120-2020</t>
        </is>
      </c>
      <c r="B365" s="1" t="n">
        <v>44158</v>
      </c>
      <c r="C365" s="1" t="n">
        <v>45568</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64380-2020</t>
        </is>
      </c>
      <c r="B366" s="1" t="n">
        <v>44168</v>
      </c>
      <c r="C366" s="1" t="n">
        <v>45568</v>
      </c>
      <c r="D366" t="inlineStr">
        <is>
          <t>GOTLANDS LÄN</t>
        </is>
      </c>
      <c r="E366" t="inlineStr">
        <is>
          <t>GOTLAND</t>
        </is>
      </c>
      <c r="G366" t="n">
        <v>2.1</v>
      </c>
      <c r="H366" t="n">
        <v>0</v>
      </c>
      <c r="I366" t="n">
        <v>0</v>
      </c>
      <c r="J366" t="n">
        <v>0</v>
      </c>
      <c r="K366" t="n">
        <v>0</v>
      </c>
      <c r="L366" t="n">
        <v>0</v>
      </c>
      <c r="M366" t="n">
        <v>0</v>
      </c>
      <c r="N366" t="n">
        <v>0</v>
      </c>
      <c r="O366" t="n">
        <v>0</v>
      </c>
      <c r="P366" t="n">
        <v>0</v>
      </c>
      <c r="Q366" t="n">
        <v>0</v>
      </c>
      <c r="R366" s="2" t="inlineStr"/>
    </row>
    <row r="367" ht="15" customHeight="1">
      <c r="A367" t="inlineStr">
        <is>
          <t>A 65126-2020</t>
        </is>
      </c>
      <c r="B367" s="1" t="n">
        <v>44168</v>
      </c>
      <c r="C367" s="1" t="n">
        <v>45568</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65537-2020</t>
        </is>
      </c>
      <c r="B368" s="1" t="n">
        <v>44173</v>
      </c>
      <c r="C368" s="1" t="n">
        <v>45568</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69643-2020</t>
        </is>
      </c>
      <c r="B369" s="1" t="n">
        <v>44195</v>
      </c>
      <c r="C369" s="1" t="n">
        <v>45568</v>
      </c>
      <c r="D369" t="inlineStr">
        <is>
          <t>GOTLANDS LÄN</t>
        </is>
      </c>
      <c r="E369" t="inlineStr">
        <is>
          <t>GOTLAND</t>
        </is>
      </c>
      <c r="G369" t="n">
        <v>1.5</v>
      </c>
      <c r="H369" t="n">
        <v>0</v>
      </c>
      <c r="I369" t="n">
        <v>0</v>
      </c>
      <c r="J369" t="n">
        <v>0</v>
      </c>
      <c r="K369" t="n">
        <v>0</v>
      </c>
      <c r="L369" t="n">
        <v>0</v>
      </c>
      <c r="M369" t="n">
        <v>0</v>
      </c>
      <c r="N369" t="n">
        <v>0</v>
      </c>
      <c r="O369" t="n">
        <v>0</v>
      </c>
      <c r="P369" t="n">
        <v>0</v>
      </c>
      <c r="Q369" t="n">
        <v>0</v>
      </c>
      <c r="R369" s="2" t="inlineStr"/>
    </row>
    <row r="370" ht="15" customHeight="1">
      <c r="A370" t="inlineStr">
        <is>
          <t>A 14-2021</t>
        </is>
      </c>
      <c r="B370" s="1" t="n">
        <v>44197</v>
      </c>
      <c r="C370" s="1" t="n">
        <v>45568</v>
      </c>
      <c r="D370" t="inlineStr">
        <is>
          <t>GOTLANDS LÄN</t>
        </is>
      </c>
      <c r="E370" t="inlineStr">
        <is>
          <t>GOTLAND</t>
        </is>
      </c>
      <c r="F370" t="inlineStr">
        <is>
          <t>Kyrkan</t>
        </is>
      </c>
      <c r="G370" t="n">
        <v>1.3</v>
      </c>
      <c r="H370" t="n">
        <v>0</v>
      </c>
      <c r="I370" t="n">
        <v>0</v>
      </c>
      <c r="J370" t="n">
        <v>0</v>
      </c>
      <c r="K370" t="n">
        <v>0</v>
      </c>
      <c r="L370" t="n">
        <v>0</v>
      </c>
      <c r="M370" t="n">
        <v>0</v>
      </c>
      <c r="N370" t="n">
        <v>0</v>
      </c>
      <c r="O370" t="n">
        <v>0</v>
      </c>
      <c r="P370" t="n">
        <v>0</v>
      </c>
      <c r="Q370" t="n">
        <v>0</v>
      </c>
      <c r="R370" s="2" t="inlineStr"/>
    </row>
    <row r="371" ht="15" customHeight="1">
      <c r="A371" t="inlineStr">
        <is>
          <t>A 1229-2021</t>
        </is>
      </c>
      <c r="B371" s="1" t="n">
        <v>44208</v>
      </c>
      <c r="C371" s="1" t="n">
        <v>45568</v>
      </c>
      <c r="D371" t="inlineStr">
        <is>
          <t>GOTLANDS LÄN</t>
        </is>
      </c>
      <c r="E371" t="inlineStr">
        <is>
          <t>GOTLAND</t>
        </is>
      </c>
      <c r="G371" t="n">
        <v>5.3</v>
      </c>
      <c r="H371" t="n">
        <v>0</v>
      </c>
      <c r="I371" t="n">
        <v>0</v>
      </c>
      <c r="J371" t="n">
        <v>0</v>
      </c>
      <c r="K371" t="n">
        <v>0</v>
      </c>
      <c r="L371" t="n">
        <v>0</v>
      </c>
      <c r="M371" t="n">
        <v>0</v>
      </c>
      <c r="N371" t="n">
        <v>0</v>
      </c>
      <c r="O371" t="n">
        <v>0</v>
      </c>
      <c r="P371" t="n">
        <v>0</v>
      </c>
      <c r="Q371" t="n">
        <v>0</v>
      </c>
      <c r="R371" s="2" t="inlineStr"/>
    </row>
    <row r="372" ht="15" customHeight="1">
      <c r="A372" t="inlineStr">
        <is>
          <t>A 2292-2021</t>
        </is>
      </c>
      <c r="B372" s="1" t="n">
        <v>44212</v>
      </c>
      <c r="C372" s="1" t="n">
        <v>45568</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2608-2021</t>
        </is>
      </c>
      <c r="B373" s="1" t="n">
        <v>44214</v>
      </c>
      <c r="C373" s="1" t="n">
        <v>45568</v>
      </c>
      <c r="D373" t="inlineStr">
        <is>
          <t>GOTLANDS LÄN</t>
        </is>
      </c>
      <c r="E373" t="inlineStr">
        <is>
          <t>GOTLAND</t>
        </is>
      </c>
      <c r="G373" t="n">
        <v>3.9</v>
      </c>
      <c r="H373" t="n">
        <v>0</v>
      </c>
      <c r="I373" t="n">
        <v>0</v>
      </c>
      <c r="J373" t="n">
        <v>0</v>
      </c>
      <c r="K373" t="n">
        <v>0</v>
      </c>
      <c r="L373" t="n">
        <v>0</v>
      </c>
      <c r="M373" t="n">
        <v>0</v>
      </c>
      <c r="N373" t="n">
        <v>0</v>
      </c>
      <c r="O373" t="n">
        <v>0</v>
      </c>
      <c r="P373" t="n">
        <v>0</v>
      </c>
      <c r="Q373" t="n">
        <v>0</v>
      </c>
      <c r="R373" s="2" t="inlineStr"/>
    </row>
    <row r="374" ht="15" customHeight="1">
      <c r="A374" t="inlineStr">
        <is>
          <t>A 3319-2021</t>
        </is>
      </c>
      <c r="B374" s="1" t="n">
        <v>44216</v>
      </c>
      <c r="C374" s="1" t="n">
        <v>45568</v>
      </c>
      <c r="D374" t="inlineStr">
        <is>
          <t>GOTLANDS LÄN</t>
        </is>
      </c>
      <c r="E374" t="inlineStr">
        <is>
          <t>GOTLAND</t>
        </is>
      </c>
      <c r="G374" t="n">
        <v>3.2</v>
      </c>
      <c r="H374" t="n">
        <v>0</v>
      </c>
      <c r="I374" t="n">
        <v>0</v>
      </c>
      <c r="J374" t="n">
        <v>0</v>
      </c>
      <c r="K374" t="n">
        <v>0</v>
      </c>
      <c r="L374" t="n">
        <v>0</v>
      </c>
      <c r="M374" t="n">
        <v>0</v>
      </c>
      <c r="N374" t="n">
        <v>0</v>
      </c>
      <c r="O374" t="n">
        <v>0</v>
      </c>
      <c r="P374" t="n">
        <v>0</v>
      </c>
      <c r="Q374" t="n">
        <v>0</v>
      </c>
      <c r="R374" s="2" t="inlineStr"/>
    </row>
    <row r="375" ht="15" customHeight="1">
      <c r="A375" t="inlineStr">
        <is>
          <t>A 3172-2021</t>
        </is>
      </c>
      <c r="B375" s="1" t="n">
        <v>44217</v>
      </c>
      <c r="C375" s="1" t="n">
        <v>45568</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3271-2021</t>
        </is>
      </c>
      <c r="B376" s="1" t="n">
        <v>44217</v>
      </c>
      <c r="C376" s="1" t="n">
        <v>45568</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8329-2021</t>
        </is>
      </c>
      <c r="B377" s="1" t="n">
        <v>44244</v>
      </c>
      <c r="C377" s="1" t="n">
        <v>45568</v>
      </c>
      <c r="D377" t="inlineStr">
        <is>
          <t>GOTLANDS LÄN</t>
        </is>
      </c>
      <c r="E377" t="inlineStr">
        <is>
          <t>GOTLAND</t>
        </is>
      </c>
      <c r="F377" t="inlineStr">
        <is>
          <t>Kyrkan</t>
        </is>
      </c>
      <c r="G377" t="n">
        <v>4.5</v>
      </c>
      <c r="H377" t="n">
        <v>0</v>
      </c>
      <c r="I377" t="n">
        <v>0</v>
      </c>
      <c r="J377" t="n">
        <v>0</v>
      </c>
      <c r="K377" t="n">
        <v>0</v>
      </c>
      <c r="L377" t="n">
        <v>0</v>
      </c>
      <c r="M377" t="n">
        <v>0</v>
      </c>
      <c r="N377" t="n">
        <v>0</v>
      </c>
      <c r="O377" t="n">
        <v>0</v>
      </c>
      <c r="P377" t="n">
        <v>0</v>
      </c>
      <c r="Q377" t="n">
        <v>0</v>
      </c>
      <c r="R377" s="2" t="inlineStr"/>
    </row>
    <row r="378" ht="15" customHeight="1">
      <c r="A378" t="inlineStr">
        <is>
          <t>A 8700-2021</t>
        </is>
      </c>
      <c r="B378" s="1" t="n">
        <v>44246</v>
      </c>
      <c r="C378" s="1" t="n">
        <v>45568</v>
      </c>
      <c r="D378" t="inlineStr">
        <is>
          <t>GOTLANDS LÄN</t>
        </is>
      </c>
      <c r="E378" t="inlineStr">
        <is>
          <t>GOTLAND</t>
        </is>
      </c>
      <c r="G378" t="n">
        <v>0.1</v>
      </c>
      <c r="H378" t="n">
        <v>0</v>
      </c>
      <c r="I378" t="n">
        <v>0</v>
      </c>
      <c r="J378" t="n">
        <v>0</v>
      </c>
      <c r="K378" t="n">
        <v>0</v>
      </c>
      <c r="L378" t="n">
        <v>0</v>
      </c>
      <c r="M378" t="n">
        <v>0</v>
      </c>
      <c r="N378" t="n">
        <v>0</v>
      </c>
      <c r="O378" t="n">
        <v>0</v>
      </c>
      <c r="P378" t="n">
        <v>0</v>
      </c>
      <c r="Q378" t="n">
        <v>0</v>
      </c>
      <c r="R378" s="2" t="inlineStr"/>
    </row>
    <row r="379" ht="15" customHeight="1">
      <c r="A379" t="inlineStr">
        <is>
          <t>A 11400-2021</t>
        </is>
      </c>
      <c r="B379" s="1" t="n">
        <v>44263</v>
      </c>
      <c r="C379" s="1" t="n">
        <v>45568</v>
      </c>
      <c r="D379" t="inlineStr">
        <is>
          <t>GOTLANDS LÄN</t>
        </is>
      </c>
      <c r="E379" t="inlineStr">
        <is>
          <t>GOTLAND</t>
        </is>
      </c>
      <c r="G379" t="n">
        <v>5.6</v>
      </c>
      <c r="H379" t="n">
        <v>0</v>
      </c>
      <c r="I379" t="n">
        <v>0</v>
      </c>
      <c r="J379" t="n">
        <v>0</v>
      </c>
      <c r="K379" t="n">
        <v>0</v>
      </c>
      <c r="L379" t="n">
        <v>0</v>
      </c>
      <c r="M379" t="n">
        <v>0</v>
      </c>
      <c r="N379" t="n">
        <v>0</v>
      </c>
      <c r="O379" t="n">
        <v>0</v>
      </c>
      <c r="P379" t="n">
        <v>0</v>
      </c>
      <c r="Q379" t="n">
        <v>0</v>
      </c>
      <c r="R379" s="2" t="inlineStr"/>
    </row>
    <row r="380" ht="15" customHeight="1">
      <c r="A380" t="inlineStr">
        <is>
          <t>A 11402-2021</t>
        </is>
      </c>
      <c r="B380" s="1" t="n">
        <v>44263</v>
      </c>
      <c r="C380" s="1" t="n">
        <v>45568</v>
      </c>
      <c r="D380" t="inlineStr">
        <is>
          <t>GOTLANDS LÄN</t>
        </is>
      </c>
      <c r="E380" t="inlineStr">
        <is>
          <t>GOTLAND</t>
        </is>
      </c>
      <c r="G380" t="n">
        <v>2.9</v>
      </c>
      <c r="H380" t="n">
        <v>0</v>
      </c>
      <c r="I380" t="n">
        <v>0</v>
      </c>
      <c r="J380" t="n">
        <v>0</v>
      </c>
      <c r="K380" t="n">
        <v>0</v>
      </c>
      <c r="L380" t="n">
        <v>0</v>
      </c>
      <c r="M380" t="n">
        <v>0</v>
      </c>
      <c r="N380" t="n">
        <v>0</v>
      </c>
      <c r="O380" t="n">
        <v>0</v>
      </c>
      <c r="P380" t="n">
        <v>0</v>
      </c>
      <c r="Q380" t="n">
        <v>0</v>
      </c>
      <c r="R380" s="2" t="inlineStr"/>
    </row>
    <row r="381" ht="15" customHeight="1">
      <c r="A381" t="inlineStr">
        <is>
          <t>A 12318-2021</t>
        </is>
      </c>
      <c r="B381" s="1" t="n">
        <v>44266</v>
      </c>
      <c r="C381" s="1" t="n">
        <v>45568</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13274-2021</t>
        </is>
      </c>
      <c r="B382" s="1" t="n">
        <v>44272</v>
      </c>
      <c r="C382" s="1" t="n">
        <v>45568</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14536-2021</t>
        </is>
      </c>
      <c r="B383" s="1" t="n">
        <v>44279</v>
      </c>
      <c r="C383" s="1" t="n">
        <v>45568</v>
      </c>
      <c r="D383" t="inlineStr">
        <is>
          <t>GOTLANDS LÄN</t>
        </is>
      </c>
      <c r="E383" t="inlineStr">
        <is>
          <t>GOTLAND</t>
        </is>
      </c>
      <c r="G383" t="n">
        <v>8.5</v>
      </c>
      <c r="H383" t="n">
        <v>0</v>
      </c>
      <c r="I383" t="n">
        <v>0</v>
      </c>
      <c r="J383" t="n">
        <v>0</v>
      </c>
      <c r="K383" t="n">
        <v>0</v>
      </c>
      <c r="L383" t="n">
        <v>0</v>
      </c>
      <c r="M383" t="n">
        <v>0</v>
      </c>
      <c r="N383" t="n">
        <v>0</v>
      </c>
      <c r="O383" t="n">
        <v>0</v>
      </c>
      <c r="P383" t="n">
        <v>0</v>
      </c>
      <c r="Q383" t="n">
        <v>0</v>
      </c>
      <c r="R383" s="2" t="inlineStr"/>
    </row>
    <row r="384" ht="15" customHeight="1">
      <c r="A384" t="inlineStr">
        <is>
          <t>A 14804-2021</t>
        </is>
      </c>
      <c r="B384" s="1" t="n">
        <v>44280</v>
      </c>
      <c r="C384" s="1" t="n">
        <v>45568</v>
      </c>
      <c r="D384" t="inlineStr">
        <is>
          <t>GOTLANDS LÄN</t>
        </is>
      </c>
      <c r="E384" t="inlineStr">
        <is>
          <t>GOTLAND</t>
        </is>
      </c>
      <c r="G384" t="n">
        <v>2.2</v>
      </c>
      <c r="H384" t="n">
        <v>0</v>
      </c>
      <c r="I384" t="n">
        <v>0</v>
      </c>
      <c r="J384" t="n">
        <v>0</v>
      </c>
      <c r="K384" t="n">
        <v>0</v>
      </c>
      <c r="L384" t="n">
        <v>0</v>
      </c>
      <c r="M384" t="n">
        <v>0</v>
      </c>
      <c r="N384" t="n">
        <v>0</v>
      </c>
      <c r="O384" t="n">
        <v>0</v>
      </c>
      <c r="P384" t="n">
        <v>0</v>
      </c>
      <c r="Q384" t="n">
        <v>0</v>
      </c>
      <c r="R384" s="2" t="inlineStr"/>
    </row>
    <row r="385" ht="15" customHeight="1">
      <c r="A385" t="inlineStr">
        <is>
          <t>A 15127-2021</t>
        </is>
      </c>
      <c r="B385" s="1" t="n">
        <v>44283</v>
      </c>
      <c r="C385" s="1" t="n">
        <v>45568</v>
      </c>
      <c r="D385" t="inlineStr">
        <is>
          <t>GOTLANDS LÄN</t>
        </is>
      </c>
      <c r="E385" t="inlineStr">
        <is>
          <t>GOTLAND</t>
        </is>
      </c>
      <c r="G385" t="n">
        <v>0.4</v>
      </c>
      <c r="H385" t="n">
        <v>0</v>
      </c>
      <c r="I385" t="n">
        <v>0</v>
      </c>
      <c r="J385" t="n">
        <v>0</v>
      </c>
      <c r="K385" t="n">
        <v>0</v>
      </c>
      <c r="L385" t="n">
        <v>0</v>
      </c>
      <c r="M385" t="n">
        <v>0</v>
      </c>
      <c r="N385" t="n">
        <v>0</v>
      </c>
      <c r="O385" t="n">
        <v>0</v>
      </c>
      <c r="P385" t="n">
        <v>0</v>
      </c>
      <c r="Q385" t="n">
        <v>0</v>
      </c>
      <c r="R385" s="2" t="inlineStr"/>
    </row>
    <row r="386" ht="15" customHeight="1">
      <c r="A386" t="inlineStr">
        <is>
          <t>A 16435-2021</t>
        </is>
      </c>
      <c r="B386" s="1" t="n">
        <v>44293</v>
      </c>
      <c r="C386" s="1" t="n">
        <v>45568</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17254-2021</t>
        </is>
      </c>
      <c r="B387" s="1" t="n">
        <v>44298</v>
      </c>
      <c r="C387" s="1" t="n">
        <v>45568</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17227-2021</t>
        </is>
      </c>
      <c r="B388" s="1" t="n">
        <v>44298</v>
      </c>
      <c r="C388" s="1" t="n">
        <v>45568</v>
      </c>
      <c r="D388" t="inlineStr">
        <is>
          <t>GOTLANDS LÄN</t>
        </is>
      </c>
      <c r="E388" t="inlineStr">
        <is>
          <t>GOTLAND</t>
        </is>
      </c>
      <c r="G388" t="n">
        <v>6.2</v>
      </c>
      <c r="H388" t="n">
        <v>0</v>
      </c>
      <c r="I388" t="n">
        <v>0</v>
      </c>
      <c r="J388" t="n">
        <v>0</v>
      </c>
      <c r="K388" t="n">
        <v>0</v>
      </c>
      <c r="L388" t="n">
        <v>0</v>
      </c>
      <c r="M388" t="n">
        <v>0</v>
      </c>
      <c r="N388" t="n">
        <v>0</v>
      </c>
      <c r="O388" t="n">
        <v>0</v>
      </c>
      <c r="P388" t="n">
        <v>0</v>
      </c>
      <c r="Q388" t="n">
        <v>0</v>
      </c>
      <c r="R388" s="2" t="inlineStr"/>
    </row>
    <row r="389" ht="15" customHeight="1">
      <c r="A389" t="inlineStr">
        <is>
          <t>A 17199-2021</t>
        </is>
      </c>
      <c r="B389" s="1" t="n">
        <v>44298</v>
      </c>
      <c r="C389" s="1" t="n">
        <v>45568</v>
      </c>
      <c r="D389" t="inlineStr">
        <is>
          <t>GOTLANDS LÄN</t>
        </is>
      </c>
      <c r="E389" t="inlineStr">
        <is>
          <t>GOTLAND</t>
        </is>
      </c>
      <c r="G389" t="n">
        <v>9.6</v>
      </c>
      <c r="H389" t="n">
        <v>0</v>
      </c>
      <c r="I389" t="n">
        <v>0</v>
      </c>
      <c r="J389" t="n">
        <v>0</v>
      </c>
      <c r="K389" t="n">
        <v>0</v>
      </c>
      <c r="L389" t="n">
        <v>0</v>
      </c>
      <c r="M389" t="n">
        <v>0</v>
      </c>
      <c r="N389" t="n">
        <v>0</v>
      </c>
      <c r="O389" t="n">
        <v>0</v>
      </c>
      <c r="P389" t="n">
        <v>0</v>
      </c>
      <c r="Q389" t="n">
        <v>0</v>
      </c>
      <c r="R389" s="2" t="inlineStr"/>
    </row>
    <row r="390" ht="15" customHeight="1">
      <c r="A390" t="inlineStr">
        <is>
          <t>A 17585-2021</t>
        </is>
      </c>
      <c r="B390" s="1" t="n">
        <v>44299</v>
      </c>
      <c r="C390" s="1" t="n">
        <v>45568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17920-2021</t>
        </is>
      </c>
      <c r="B391" s="1" t="n">
        <v>44301</v>
      </c>
      <c r="C391" s="1" t="n">
        <v>45568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18038-2021</t>
        </is>
      </c>
      <c r="B392" s="1" t="n">
        <v>44302</v>
      </c>
      <c r="C392" s="1" t="n">
        <v>45568</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19447-2021</t>
        </is>
      </c>
      <c r="B393" s="1" t="n">
        <v>44310</v>
      </c>
      <c r="C393" s="1" t="n">
        <v>45568</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19448-2021</t>
        </is>
      </c>
      <c r="B394" s="1" t="n">
        <v>44310</v>
      </c>
      <c r="C394" s="1" t="n">
        <v>45568</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19892-2021</t>
        </is>
      </c>
      <c r="B395" s="1" t="n">
        <v>44312</v>
      </c>
      <c r="C395" s="1" t="n">
        <v>45568</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19901-2021</t>
        </is>
      </c>
      <c r="B396" s="1" t="n">
        <v>44312</v>
      </c>
      <c r="C396" s="1" t="n">
        <v>45568</v>
      </c>
      <c r="D396" t="inlineStr">
        <is>
          <t>GOTLANDS LÄN</t>
        </is>
      </c>
      <c r="E396" t="inlineStr">
        <is>
          <t>GOTLAND</t>
        </is>
      </c>
      <c r="G396" t="n">
        <v>4.5</v>
      </c>
      <c r="H396" t="n">
        <v>0</v>
      </c>
      <c r="I396" t="n">
        <v>0</v>
      </c>
      <c r="J396" t="n">
        <v>0</v>
      </c>
      <c r="K396" t="n">
        <v>0</v>
      </c>
      <c r="L396" t="n">
        <v>0</v>
      </c>
      <c r="M396" t="n">
        <v>0</v>
      </c>
      <c r="N396" t="n">
        <v>0</v>
      </c>
      <c r="O396" t="n">
        <v>0</v>
      </c>
      <c r="P396" t="n">
        <v>0</v>
      </c>
      <c r="Q396" t="n">
        <v>0</v>
      </c>
      <c r="R396" s="2" t="inlineStr"/>
    </row>
    <row r="397" ht="15" customHeight="1">
      <c r="A397" t="inlineStr">
        <is>
          <t>A 19939-2021</t>
        </is>
      </c>
      <c r="B397" s="1" t="n">
        <v>44313</v>
      </c>
      <c r="C397" s="1" t="n">
        <v>45568</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20111-2021</t>
        </is>
      </c>
      <c r="B398" s="1" t="n">
        <v>44314</v>
      </c>
      <c r="C398" s="1" t="n">
        <v>45568</v>
      </c>
      <c r="D398" t="inlineStr">
        <is>
          <t>GOTLANDS LÄN</t>
        </is>
      </c>
      <c r="E398" t="inlineStr">
        <is>
          <t>GOTLAND</t>
        </is>
      </c>
      <c r="G398" t="n">
        <v>4.4</v>
      </c>
      <c r="H398" t="n">
        <v>0</v>
      </c>
      <c r="I398" t="n">
        <v>0</v>
      </c>
      <c r="J398" t="n">
        <v>0</v>
      </c>
      <c r="K398" t="n">
        <v>0</v>
      </c>
      <c r="L398" t="n">
        <v>0</v>
      </c>
      <c r="M398" t="n">
        <v>0</v>
      </c>
      <c r="N398" t="n">
        <v>0</v>
      </c>
      <c r="O398" t="n">
        <v>0</v>
      </c>
      <c r="P398" t="n">
        <v>0</v>
      </c>
      <c r="Q398" t="n">
        <v>0</v>
      </c>
      <c r="R398" s="2" t="inlineStr"/>
    </row>
    <row r="399" ht="15" customHeight="1">
      <c r="A399" t="inlineStr">
        <is>
          <t>A 21507-2021</t>
        </is>
      </c>
      <c r="B399" s="1" t="n">
        <v>44321</v>
      </c>
      <c r="C399" s="1" t="n">
        <v>45568</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22155-2021</t>
        </is>
      </c>
      <c r="B400" s="1" t="n">
        <v>44325</v>
      </c>
      <c r="C400" s="1" t="n">
        <v>45568</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23910-2021</t>
        </is>
      </c>
      <c r="B401" s="1" t="n">
        <v>44335</v>
      </c>
      <c r="C401" s="1" t="n">
        <v>45568</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24001-2021</t>
        </is>
      </c>
      <c r="B402" s="1" t="n">
        <v>44335</v>
      </c>
      <c r="C402" s="1" t="n">
        <v>45568</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26810-2021</t>
        </is>
      </c>
      <c r="B403" s="1" t="n">
        <v>44349</v>
      </c>
      <c r="C403" s="1" t="n">
        <v>45568</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26857-2021</t>
        </is>
      </c>
      <c r="B404" s="1" t="n">
        <v>44349</v>
      </c>
      <c r="C404" s="1" t="n">
        <v>45568</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26867-2021</t>
        </is>
      </c>
      <c r="B405" s="1" t="n">
        <v>44349</v>
      </c>
      <c r="C405" s="1" t="n">
        <v>45568</v>
      </c>
      <c r="D405" t="inlineStr">
        <is>
          <t>GOTLANDS LÄN</t>
        </is>
      </c>
      <c r="E405" t="inlineStr">
        <is>
          <t>GOTLAND</t>
        </is>
      </c>
      <c r="G405" t="n">
        <v>5.7</v>
      </c>
      <c r="H405" t="n">
        <v>0</v>
      </c>
      <c r="I405" t="n">
        <v>0</v>
      </c>
      <c r="J405" t="n">
        <v>0</v>
      </c>
      <c r="K405" t="n">
        <v>0</v>
      </c>
      <c r="L405" t="n">
        <v>0</v>
      </c>
      <c r="M405" t="n">
        <v>0</v>
      </c>
      <c r="N405" t="n">
        <v>0</v>
      </c>
      <c r="O405" t="n">
        <v>0</v>
      </c>
      <c r="P405" t="n">
        <v>0</v>
      </c>
      <c r="Q405" t="n">
        <v>0</v>
      </c>
      <c r="R405" s="2" t="inlineStr"/>
    </row>
    <row r="406" ht="15" customHeight="1">
      <c r="A406" t="inlineStr">
        <is>
          <t>A 27930-2021</t>
        </is>
      </c>
      <c r="B406" s="1" t="n">
        <v>44354</v>
      </c>
      <c r="C406" s="1" t="n">
        <v>45568</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30055-2021</t>
        </is>
      </c>
      <c r="B407" s="1" t="n">
        <v>44363</v>
      </c>
      <c r="C407" s="1" t="n">
        <v>45568</v>
      </c>
      <c r="D407" t="inlineStr">
        <is>
          <t>GOTLANDS LÄN</t>
        </is>
      </c>
      <c r="E407" t="inlineStr">
        <is>
          <t>GOTLAND</t>
        </is>
      </c>
      <c r="G407" t="n">
        <v>1.8</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45568</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31981-2021</t>
        </is>
      </c>
      <c r="B409" s="1" t="n">
        <v>44370</v>
      </c>
      <c r="C409" s="1" t="n">
        <v>45568</v>
      </c>
      <c r="D409" t="inlineStr">
        <is>
          <t>GOTLANDS LÄN</t>
        </is>
      </c>
      <c r="E409" t="inlineStr">
        <is>
          <t>GOTLAND</t>
        </is>
      </c>
      <c r="G409" t="n">
        <v>6.1</v>
      </c>
      <c r="H409" t="n">
        <v>0</v>
      </c>
      <c r="I409" t="n">
        <v>0</v>
      </c>
      <c r="J409" t="n">
        <v>0</v>
      </c>
      <c r="K409" t="n">
        <v>0</v>
      </c>
      <c r="L409" t="n">
        <v>0</v>
      </c>
      <c r="M409" t="n">
        <v>0</v>
      </c>
      <c r="N409" t="n">
        <v>0</v>
      </c>
      <c r="O409" t="n">
        <v>0</v>
      </c>
      <c r="P409" t="n">
        <v>0</v>
      </c>
      <c r="Q409" t="n">
        <v>0</v>
      </c>
      <c r="R409" s="2" t="inlineStr"/>
    </row>
    <row r="410" ht="15" customHeight="1">
      <c r="A410" t="inlineStr">
        <is>
          <t>A 32647-2021</t>
        </is>
      </c>
      <c r="B410" s="1" t="n">
        <v>44375</v>
      </c>
      <c r="C410" s="1" t="n">
        <v>45568</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32691-2021</t>
        </is>
      </c>
      <c r="B411" s="1" t="n">
        <v>44375</v>
      </c>
      <c r="C411" s="1" t="n">
        <v>45568</v>
      </c>
      <c r="D411" t="inlineStr">
        <is>
          <t>GOTLANDS LÄN</t>
        </is>
      </c>
      <c r="E411" t="inlineStr">
        <is>
          <t>GOTLAND</t>
        </is>
      </c>
      <c r="G411" t="n">
        <v>0.8</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45568</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36313-2021</t>
        </is>
      </c>
      <c r="B413" s="1" t="n">
        <v>44390</v>
      </c>
      <c r="C413" s="1" t="n">
        <v>45568</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37037-2021</t>
        </is>
      </c>
      <c r="B414" s="1" t="n">
        <v>44393</v>
      </c>
      <c r="C414" s="1" t="n">
        <v>45568</v>
      </c>
      <c r="D414" t="inlineStr">
        <is>
          <t>GOTLANDS LÄN</t>
        </is>
      </c>
      <c r="E414" t="inlineStr">
        <is>
          <t>GOTLAND</t>
        </is>
      </c>
      <c r="G414" t="n">
        <v>10.2</v>
      </c>
      <c r="H414" t="n">
        <v>0</v>
      </c>
      <c r="I414" t="n">
        <v>0</v>
      </c>
      <c r="J414" t="n">
        <v>0</v>
      </c>
      <c r="K414" t="n">
        <v>0</v>
      </c>
      <c r="L414" t="n">
        <v>0</v>
      </c>
      <c r="M414" t="n">
        <v>0</v>
      </c>
      <c r="N414" t="n">
        <v>0</v>
      </c>
      <c r="O414" t="n">
        <v>0</v>
      </c>
      <c r="P414" t="n">
        <v>0</v>
      </c>
      <c r="Q414" t="n">
        <v>0</v>
      </c>
      <c r="R414" s="2" t="inlineStr"/>
    </row>
    <row r="415" ht="15" customHeight="1">
      <c r="A415" t="inlineStr">
        <is>
          <t>A 37222-2021</t>
        </is>
      </c>
      <c r="B415" s="1" t="n">
        <v>44396</v>
      </c>
      <c r="C415" s="1" t="n">
        <v>45568</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41346-2021</t>
        </is>
      </c>
      <c r="B416" s="1" t="n">
        <v>44424</v>
      </c>
      <c r="C416" s="1" t="n">
        <v>45568</v>
      </c>
      <c r="D416" t="inlineStr">
        <is>
          <t>GOTLANDS LÄN</t>
        </is>
      </c>
      <c r="E416" t="inlineStr">
        <is>
          <t>GOTLAND</t>
        </is>
      </c>
      <c r="G416" t="n">
        <v>0.9</v>
      </c>
      <c r="H416" t="n">
        <v>0</v>
      </c>
      <c r="I416" t="n">
        <v>0</v>
      </c>
      <c r="J416" t="n">
        <v>0</v>
      </c>
      <c r="K416" t="n">
        <v>0</v>
      </c>
      <c r="L416" t="n">
        <v>0</v>
      </c>
      <c r="M416" t="n">
        <v>0</v>
      </c>
      <c r="N416" t="n">
        <v>0</v>
      </c>
      <c r="O416" t="n">
        <v>0</v>
      </c>
      <c r="P416" t="n">
        <v>0</v>
      </c>
      <c r="Q416" t="n">
        <v>0</v>
      </c>
      <c r="R416" s="2" t="inlineStr"/>
    </row>
    <row r="417" ht="15" customHeight="1">
      <c r="A417" t="inlineStr">
        <is>
          <t>A 42688-2021</t>
        </is>
      </c>
      <c r="B417" s="1" t="n">
        <v>44428</v>
      </c>
      <c r="C417" s="1" t="n">
        <v>45568</v>
      </c>
      <c r="D417" t="inlineStr">
        <is>
          <t>GOTLANDS LÄN</t>
        </is>
      </c>
      <c r="E417" t="inlineStr">
        <is>
          <t>GOTLAND</t>
        </is>
      </c>
      <c r="G417" t="n">
        <v>0.6</v>
      </c>
      <c r="H417" t="n">
        <v>0</v>
      </c>
      <c r="I417" t="n">
        <v>0</v>
      </c>
      <c r="J417" t="n">
        <v>0</v>
      </c>
      <c r="K417" t="n">
        <v>0</v>
      </c>
      <c r="L417" t="n">
        <v>0</v>
      </c>
      <c r="M417" t="n">
        <v>0</v>
      </c>
      <c r="N417" t="n">
        <v>0</v>
      </c>
      <c r="O417" t="n">
        <v>0</v>
      </c>
      <c r="P417" t="n">
        <v>0</v>
      </c>
      <c r="Q417" t="n">
        <v>0</v>
      </c>
      <c r="R417" s="2" t="inlineStr"/>
    </row>
    <row r="418" ht="15" customHeight="1">
      <c r="A418" t="inlineStr">
        <is>
          <t>A 44304-2021</t>
        </is>
      </c>
      <c r="B418" s="1" t="n">
        <v>44434</v>
      </c>
      <c r="C418" s="1" t="n">
        <v>45568</v>
      </c>
      <c r="D418" t="inlineStr">
        <is>
          <t>GOTLANDS LÄN</t>
        </is>
      </c>
      <c r="E418" t="inlineStr">
        <is>
          <t>GOTLAND</t>
        </is>
      </c>
      <c r="G418" t="n">
        <v>5.8</v>
      </c>
      <c r="H418" t="n">
        <v>0</v>
      </c>
      <c r="I418" t="n">
        <v>0</v>
      </c>
      <c r="J418" t="n">
        <v>0</v>
      </c>
      <c r="K418" t="n">
        <v>0</v>
      </c>
      <c r="L418" t="n">
        <v>0</v>
      </c>
      <c r="M418" t="n">
        <v>0</v>
      </c>
      <c r="N418" t="n">
        <v>0</v>
      </c>
      <c r="O418" t="n">
        <v>0</v>
      </c>
      <c r="P418" t="n">
        <v>0</v>
      </c>
      <c r="Q418" t="n">
        <v>0</v>
      </c>
      <c r="R418" s="2" t="inlineStr"/>
    </row>
    <row r="419" ht="15" customHeight="1">
      <c r="A419" t="inlineStr">
        <is>
          <t>A 44649-2021</t>
        </is>
      </c>
      <c r="B419" s="1" t="n">
        <v>44437</v>
      </c>
      <c r="C419" s="1" t="n">
        <v>45568</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46362-2021</t>
        </is>
      </c>
      <c r="B420" s="1" t="n">
        <v>44442</v>
      </c>
      <c r="C420" s="1" t="n">
        <v>45568</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46389-2021</t>
        </is>
      </c>
      <c r="B421" s="1" t="n">
        <v>44443</v>
      </c>
      <c r="C421" s="1" t="n">
        <v>45568</v>
      </c>
      <c r="D421" t="inlineStr">
        <is>
          <t>GOTLANDS LÄN</t>
        </is>
      </c>
      <c r="E421" t="inlineStr">
        <is>
          <t>GOTLAND</t>
        </is>
      </c>
      <c r="F421" t="inlineStr">
        <is>
          <t>Kyrkan</t>
        </is>
      </c>
      <c r="G421" t="n">
        <v>2.1</v>
      </c>
      <c r="H421" t="n">
        <v>0</v>
      </c>
      <c r="I421" t="n">
        <v>0</v>
      </c>
      <c r="J421" t="n">
        <v>0</v>
      </c>
      <c r="K421" t="n">
        <v>0</v>
      </c>
      <c r="L421" t="n">
        <v>0</v>
      </c>
      <c r="M421" t="n">
        <v>0</v>
      </c>
      <c r="N421" t="n">
        <v>0</v>
      </c>
      <c r="O421" t="n">
        <v>0</v>
      </c>
      <c r="P421" t="n">
        <v>0</v>
      </c>
      <c r="Q421" t="n">
        <v>0</v>
      </c>
      <c r="R421" s="2" t="inlineStr"/>
    </row>
    <row r="422" ht="15" customHeight="1">
      <c r="A422" t="inlineStr">
        <is>
          <t>A 47369-2021</t>
        </is>
      </c>
      <c r="B422" s="1" t="n">
        <v>44447</v>
      </c>
      <c r="C422" s="1" t="n">
        <v>45568</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50892-2021</t>
        </is>
      </c>
      <c r="B423" s="1" t="n">
        <v>44459</v>
      </c>
      <c r="C423" s="1" t="n">
        <v>45568</v>
      </c>
      <c r="D423" t="inlineStr">
        <is>
          <t>GOTLANDS LÄN</t>
        </is>
      </c>
      <c r="E423" t="inlineStr">
        <is>
          <t>GOTLAND</t>
        </is>
      </c>
      <c r="G423" t="n">
        <v>0.8</v>
      </c>
      <c r="H423" t="n">
        <v>0</v>
      </c>
      <c r="I423" t="n">
        <v>0</v>
      </c>
      <c r="J423" t="n">
        <v>0</v>
      </c>
      <c r="K423" t="n">
        <v>0</v>
      </c>
      <c r="L423" t="n">
        <v>0</v>
      </c>
      <c r="M423" t="n">
        <v>0</v>
      </c>
      <c r="N423" t="n">
        <v>0</v>
      </c>
      <c r="O423" t="n">
        <v>0</v>
      </c>
      <c r="P423" t="n">
        <v>0</v>
      </c>
      <c r="Q423" t="n">
        <v>0</v>
      </c>
      <c r="R423" s="2" t="inlineStr"/>
    </row>
    <row r="424" ht="15" customHeight="1">
      <c r="A424" t="inlineStr">
        <is>
          <t>A 52892-2021</t>
        </is>
      </c>
      <c r="B424" s="1" t="n">
        <v>44467</v>
      </c>
      <c r="C424" s="1" t="n">
        <v>45568</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53479-2021</t>
        </is>
      </c>
      <c r="B425" s="1" t="n">
        <v>44468</v>
      </c>
      <c r="C425" s="1" t="n">
        <v>45568</v>
      </c>
      <c r="D425" t="inlineStr">
        <is>
          <t>GOTLANDS LÄN</t>
        </is>
      </c>
      <c r="E425" t="inlineStr">
        <is>
          <t>GOTLAND</t>
        </is>
      </c>
      <c r="G425" t="n">
        <v>8</v>
      </c>
      <c r="H425" t="n">
        <v>0</v>
      </c>
      <c r="I425" t="n">
        <v>0</v>
      </c>
      <c r="J425" t="n">
        <v>0</v>
      </c>
      <c r="K425" t="n">
        <v>0</v>
      </c>
      <c r="L425" t="n">
        <v>0</v>
      </c>
      <c r="M425" t="n">
        <v>0</v>
      </c>
      <c r="N425" t="n">
        <v>0</v>
      </c>
      <c r="O425" t="n">
        <v>0</v>
      </c>
      <c r="P425" t="n">
        <v>0</v>
      </c>
      <c r="Q425" t="n">
        <v>0</v>
      </c>
      <c r="R425" s="2" t="inlineStr"/>
    </row>
    <row r="426" ht="15" customHeight="1">
      <c r="A426" t="inlineStr">
        <is>
          <t>A 56951-2021</t>
        </is>
      </c>
      <c r="B426" s="1" t="n">
        <v>44482</v>
      </c>
      <c r="C426" s="1" t="n">
        <v>45568</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57219-2021</t>
        </is>
      </c>
      <c r="B427" s="1" t="n">
        <v>44483</v>
      </c>
      <c r="C427" s="1" t="n">
        <v>45568</v>
      </c>
      <c r="D427" t="inlineStr">
        <is>
          <t>GOTLANDS LÄN</t>
        </is>
      </c>
      <c r="E427" t="inlineStr">
        <is>
          <t>GOTLAND</t>
        </is>
      </c>
      <c r="F427" t="inlineStr">
        <is>
          <t>Kyrkan</t>
        </is>
      </c>
      <c r="G427" t="n">
        <v>4</v>
      </c>
      <c r="H427" t="n">
        <v>0</v>
      </c>
      <c r="I427" t="n">
        <v>0</v>
      </c>
      <c r="J427" t="n">
        <v>0</v>
      </c>
      <c r="K427" t="n">
        <v>0</v>
      </c>
      <c r="L427" t="n">
        <v>0</v>
      </c>
      <c r="M427" t="n">
        <v>0</v>
      </c>
      <c r="N427" t="n">
        <v>0</v>
      </c>
      <c r="O427" t="n">
        <v>0</v>
      </c>
      <c r="P427" t="n">
        <v>0</v>
      </c>
      <c r="Q427" t="n">
        <v>0</v>
      </c>
      <c r="R427" s="2" t="inlineStr"/>
    </row>
    <row r="428" ht="15" customHeight="1">
      <c r="A428" t="inlineStr">
        <is>
          <t>A 58224-2021</t>
        </is>
      </c>
      <c r="B428" s="1" t="n">
        <v>44487</v>
      </c>
      <c r="C428" s="1" t="n">
        <v>45568</v>
      </c>
      <c r="D428" t="inlineStr">
        <is>
          <t>GOTLANDS LÄN</t>
        </is>
      </c>
      <c r="E428" t="inlineStr">
        <is>
          <t>GOTLAND</t>
        </is>
      </c>
      <c r="G428" t="n">
        <v>1.4</v>
      </c>
      <c r="H428" t="n">
        <v>0</v>
      </c>
      <c r="I428" t="n">
        <v>0</v>
      </c>
      <c r="J428" t="n">
        <v>0</v>
      </c>
      <c r="K428" t="n">
        <v>0</v>
      </c>
      <c r="L428" t="n">
        <v>0</v>
      </c>
      <c r="M428" t="n">
        <v>0</v>
      </c>
      <c r="N428" t="n">
        <v>0</v>
      </c>
      <c r="O428" t="n">
        <v>0</v>
      </c>
      <c r="P428" t="n">
        <v>0</v>
      </c>
      <c r="Q428" t="n">
        <v>0</v>
      </c>
      <c r="R428" s="2" t="inlineStr"/>
    </row>
    <row r="429" ht="15" customHeight="1">
      <c r="A429" t="inlineStr">
        <is>
          <t>A 58600-2021</t>
        </is>
      </c>
      <c r="B429" s="1" t="n">
        <v>44488</v>
      </c>
      <c r="C429" s="1" t="n">
        <v>45568</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58815-2021</t>
        </is>
      </c>
      <c r="B430" s="1" t="n">
        <v>44489</v>
      </c>
      <c r="C430" s="1" t="n">
        <v>45568</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60607-2021</t>
        </is>
      </c>
      <c r="B431" s="1" t="n">
        <v>44496</v>
      </c>
      <c r="C431" s="1" t="n">
        <v>45568</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60675-2021</t>
        </is>
      </c>
      <c r="B432" s="1" t="n">
        <v>44496</v>
      </c>
      <c r="C432" s="1" t="n">
        <v>45568</v>
      </c>
      <c r="D432" t="inlineStr">
        <is>
          <t>GOTLANDS LÄN</t>
        </is>
      </c>
      <c r="E432" t="inlineStr">
        <is>
          <t>GOTLAND</t>
        </is>
      </c>
      <c r="G432" t="n">
        <v>4.6</v>
      </c>
      <c r="H432" t="n">
        <v>0</v>
      </c>
      <c r="I432" t="n">
        <v>0</v>
      </c>
      <c r="J432" t="n">
        <v>0</v>
      </c>
      <c r="K432" t="n">
        <v>0</v>
      </c>
      <c r="L432" t="n">
        <v>0</v>
      </c>
      <c r="M432" t="n">
        <v>0</v>
      </c>
      <c r="N432" t="n">
        <v>0</v>
      </c>
      <c r="O432" t="n">
        <v>0</v>
      </c>
      <c r="P432" t="n">
        <v>0</v>
      </c>
      <c r="Q432" t="n">
        <v>0</v>
      </c>
      <c r="R432" s="2" t="inlineStr"/>
    </row>
    <row r="433" ht="15" customHeight="1">
      <c r="A433" t="inlineStr">
        <is>
          <t>A 62915-2021</t>
        </is>
      </c>
      <c r="B433" s="1" t="n">
        <v>44504</v>
      </c>
      <c r="C433" s="1" t="n">
        <v>45568</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63229-2021</t>
        </is>
      </c>
      <c r="B434" s="1" t="n">
        <v>44508</v>
      </c>
      <c r="C434" s="1" t="n">
        <v>45568</v>
      </c>
      <c r="D434" t="inlineStr">
        <is>
          <t>GOTLANDS LÄN</t>
        </is>
      </c>
      <c r="E434" t="inlineStr">
        <is>
          <t>GOTLAND</t>
        </is>
      </c>
      <c r="F434" t="inlineStr">
        <is>
          <t>Kyrkan</t>
        </is>
      </c>
      <c r="G434" t="n">
        <v>3.8</v>
      </c>
      <c r="H434" t="n">
        <v>0</v>
      </c>
      <c r="I434" t="n">
        <v>0</v>
      </c>
      <c r="J434" t="n">
        <v>0</v>
      </c>
      <c r="K434" t="n">
        <v>0</v>
      </c>
      <c r="L434" t="n">
        <v>0</v>
      </c>
      <c r="M434" t="n">
        <v>0</v>
      </c>
      <c r="N434" t="n">
        <v>0</v>
      </c>
      <c r="O434" t="n">
        <v>0</v>
      </c>
      <c r="P434" t="n">
        <v>0</v>
      </c>
      <c r="Q434" t="n">
        <v>0</v>
      </c>
      <c r="R434" s="2" t="inlineStr"/>
    </row>
    <row r="435" ht="15" customHeight="1">
      <c r="A435" t="inlineStr">
        <is>
          <t>A 64208-2021</t>
        </is>
      </c>
      <c r="B435" s="1" t="n">
        <v>44510</v>
      </c>
      <c r="C435" s="1" t="n">
        <v>45568</v>
      </c>
      <c r="D435" t="inlineStr">
        <is>
          <t>GOTLANDS LÄN</t>
        </is>
      </c>
      <c r="E435" t="inlineStr">
        <is>
          <t>GOTLAND</t>
        </is>
      </c>
      <c r="G435" t="n">
        <v>4.7</v>
      </c>
      <c r="H435" t="n">
        <v>0</v>
      </c>
      <c r="I435" t="n">
        <v>0</v>
      </c>
      <c r="J435" t="n">
        <v>0</v>
      </c>
      <c r="K435" t="n">
        <v>0</v>
      </c>
      <c r="L435" t="n">
        <v>0</v>
      </c>
      <c r="M435" t="n">
        <v>0</v>
      </c>
      <c r="N435" t="n">
        <v>0</v>
      </c>
      <c r="O435" t="n">
        <v>0</v>
      </c>
      <c r="P435" t="n">
        <v>0</v>
      </c>
      <c r="Q435" t="n">
        <v>0</v>
      </c>
      <c r="R435" s="2" t="inlineStr"/>
    </row>
    <row r="436" ht="15" customHeight="1">
      <c r="A436" t="inlineStr">
        <is>
          <t>A 65393-2021</t>
        </is>
      </c>
      <c r="B436" s="1" t="n">
        <v>44515</v>
      </c>
      <c r="C436" s="1" t="n">
        <v>45568</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65901-2021</t>
        </is>
      </c>
      <c r="B437" s="1" t="n">
        <v>44516</v>
      </c>
      <c r="C437" s="1" t="n">
        <v>45568</v>
      </c>
      <c r="D437" t="inlineStr">
        <is>
          <t>GOTLANDS LÄN</t>
        </is>
      </c>
      <c r="E437" t="inlineStr">
        <is>
          <t>GOTLAND</t>
        </is>
      </c>
      <c r="G437" t="n">
        <v>4.9</v>
      </c>
      <c r="H437" t="n">
        <v>0</v>
      </c>
      <c r="I437" t="n">
        <v>0</v>
      </c>
      <c r="J437" t="n">
        <v>0</v>
      </c>
      <c r="K437" t="n">
        <v>0</v>
      </c>
      <c r="L437" t="n">
        <v>0</v>
      </c>
      <c r="M437" t="n">
        <v>0</v>
      </c>
      <c r="N437" t="n">
        <v>0</v>
      </c>
      <c r="O437" t="n">
        <v>0</v>
      </c>
      <c r="P437" t="n">
        <v>0</v>
      </c>
      <c r="Q437" t="n">
        <v>0</v>
      </c>
      <c r="R437" s="2" t="inlineStr"/>
    </row>
    <row r="438" ht="15" customHeight="1">
      <c r="A438" t="inlineStr">
        <is>
          <t>A 69112-2021</t>
        </is>
      </c>
      <c r="B438" s="1" t="n">
        <v>44530</v>
      </c>
      <c r="C438" s="1" t="n">
        <v>45568</v>
      </c>
      <c r="D438" t="inlineStr">
        <is>
          <t>GOTLANDS LÄN</t>
        </is>
      </c>
      <c r="E438" t="inlineStr">
        <is>
          <t>GOTLAND</t>
        </is>
      </c>
      <c r="G438" t="n">
        <v>4.2</v>
      </c>
      <c r="H438" t="n">
        <v>0</v>
      </c>
      <c r="I438" t="n">
        <v>0</v>
      </c>
      <c r="J438" t="n">
        <v>0</v>
      </c>
      <c r="K438" t="n">
        <v>0</v>
      </c>
      <c r="L438" t="n">
        <v>0</v>
      </c>
      <c r="M438" t="n">
        <v>0</v>
      </c>
      <c r="N438" t="n">
        <v>0</v>
      </c>
      <c r="O438" t="n">
        <v>0</v>
      </c>
      <c r="P438" t="n">
        <v>0</v>
      </c>
      <c r="Q438" t="n">
        <v>0</v>
      </c>
      <c r="R438" s="2" t="inlineStr"/>
    </row>
    <row r="439" ht="15" customHeight="1">
      <c r="A439" t="inlineStr">
        <is>
          <t>A 70997-2021</t>
        </is>
      </c>
      <c r="B439" s="1" t="n">
        <v>44538</v>
      </c>
      <c r="C439" s="1" t="n">
        <v>45568</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71010-2021</t>
        </is>
      </c>
      <c r="B440" s="1" t="n">
        <v>44538</v>
      </c>
      <c r="C440" s="1" t="n">
        <v>45568</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71620-2021</t>
        </is>
      </c>
      <c r="B441" s="1" t="n">
        <v>44542</v>
      </c>
      <c r="C441" s="1" t="n">
        <v>45568</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72626-2021</t>
        </is>
      </c>
      <c r="B442" s="1" t="n">
        <v>44546</v>
      </c>
      <c r="C442" s="1" t="n">
        <v>45568</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411-2022</t>
        </is>
      </c>
      <c r="B443" s="1" t="n">
        <v>44565</v>
      </c>
      <c r="C443" s="1" t="n">
        <v>45568</v>
      </c>
      <c r="D443" t="inlineStr">
        <is>
          <t>GOTLANDS LÄN</t>
        </is>
      </c>
      <c r="E443" t="inlineStr">
        <is>
          <t>GOTLAND</t>
        </is>
      </c>
      <c r="G443" t="n">
        <v>3.9</v>
      </c>
      <c r="H443" t="n">
        <v>0</v>
      </c>
      <c r="I443" t="n">
        <v>0</v>
      </c>
      <c r="J443" t="n">
        <v>0</v>
      </c>
      <c r="K443" t="n">
        <v>0</v>
      </c>
      <c r="L443" t="n">
        <v>0</v>
      </c>
      <c r="M443" t="n">
        <v>0</v>
      </c>
      <c r="N443" t="n">
        <v>0</v>
      </c>
      <c r="O443" t="n">
        <v>0</v>
      </c>
      <c r="P443" t="n">
        <v>0</v>
      </c>
      <c r="Q443" t="n">
        <v>0</v>
      </c>
      <c r="R443" s="2" t="inlineStr"/>
    </row>
    <row r="444" ht="15" customHeight="1">
      <c r="A444" t="inlineStr">
        <is>
          <t>A 4262-2022</t>
        </is>
      </c>
      <c r="B444" s="1" t="n">
        <v>44588</v>
      </c>
      <c r="C444" s="1" t="n">
        <v>45568</v>
      </c>
      <c r="D444" t="inlineStr">
        <is>
          <t>GOTLANDS LÄN</t>
        </is>
      </c>
      <c r="E444" t="inlineStr">
        <is>
          <t>GOTLAND</t>
        </is>
      </c>
      <c r="G444" t="n">
        <v>1.8</v>
      </c>
      <c r="H444" t="n">
        <v>0</v>
      </c>
      <c r="I444" t="n">
        <v>0</v>
      </c>
      <c r="J444" t="n">
        <v>0</v>
      </c>
      <c r="K444" t="n">
        <v>0</v>
      </c>
      <c r="L444" t="n">
        <v>0</v>
      </c>
      <c r="M444" t="n">
        <v>0</v>
      </c>
      <c r="N444" t="n">
        <v>0</v>
      </c>
      <c r="O444" t="n">
        <v>0</v>
      </c>
      <c r="P444" t="n">
        <v>0</v>
      </c>
      <c r="Q444" t="n">
        <v>0</v>
      </c>
      <c r="R444" s="2" t="inlineStr"/>
    </row>
    <row r="445" ht="15" customHeight="1">
      <c r="A445" t="inlineStr">
        <is>
          <t>A 8055-2022</t>
        </is>
      </c>
      <c r="B445" s="1" t="n">
        <v>44609</v>
      </c>
      <c r="C445" s="1" t="n">
        <v>45568</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8036-2022</t>
        </is>
      </c>
      <c r="B446" s="1" t="n">
        <v>44609</v>
      </c>
      <c r="C446" s="1" t="n">
        <v>45568</v>
      </c>
      <c r="D446" t="inlineStr">
        <is>
          <t>GOTLANDS LÄN</t>
        </is>
      </c>
      <c r="E446" t="inlineStr">
        <is>
          <t>GOTLAND</t>
        </is>
      </c>
      <c r="G446" t="n">
        <v>6.1</v>
      </c>
      <c r="H446" t="n">
        <v>0</v>
      </c>
      <c r="I446" t="n">
        <v>0</v>
      </c>
      <c r="J446" t="n">
        <v>0</v>
      </c>
      <c r="K446" t="n">
        <v>0</v>
      </c>
      <c r="L446" t="n">
        <v>0</v>
      </c>
      <c r="M446" t="n">
        <v>0</v>
      </c>
      <c r="N446" t="n">
        <v>0</v>
      </c>
      <c r="O446" t="n">
        <v>0</v>
      </c>
      <c r="P446" t="n">
        <v>0</v>
      </c>
      <c r="Q446" t="n">
        <v>0</v>
      </c>
      <c r="R446" s="2" t="inlineStr"/>
    </row>
    <row r="447" ht="15" customHeight="1">
      <c r="A447" t="inlineStr">
        <is>
          <t>A 8045-2022</t>
        </is>
      </c>
      <c r="B447" s="1" t="n">
        <v>44609</v>
      </c>
      <c r="C447" s="1" t="n">
        <v>45568</v>
      </c>
      <c r="D447" t="inlineStr">
        <is>
          <t>GOTLANDS LÄN</t>
        </is>
      </c>
      <c r="E447" t="inlineStr">
        <is>
          <t>GOTLAND</t>
        </is>
      </c>
      <c r="G447" t="n">
        <v>7</v>
      </c>
      <c r="H447" t="n">
        <v>0</v>
      </c>
      <c r="I447" t="n">
        <v>0</v>
      </c>
      <c r="J447" t="n">
        <v>0</v>
      </c>
      <c r="K447" t="n">
        <v>0</v>
      </c>
      <c r="L447" t="n">
        <v>0</v>
      </c>
      <c r="M447" t="n">
        <v>0</v>
      </c>
      <c r="N447" t="n">
        <v>0</v>
      </c>
      <c r="O447" t="n">
        <v>0</v>
      </c>
      <c r="P447" t="n">
        <v>0</v>
      </c>
      <c r="Q447" t="n">
        <v>0</v>
      </c>
      <c r="R447" s="2" t="inlineStr"/>
    </row>
    <row r="448" ht="15" customHeight="1">
      <c r="A448" t="inlineStr">
        <is>
          <t>A 10650-2022</t>
        </is>
      </c>
      <c r="B448" s="1" t="n">
        <v>44624</v>
      </c>
      <c r="C448" s="1" t="n">
        <v>45568</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11029-2022</t>
        </is>
      </c>
      <c r="B449" s="1" t="n">
        <v>44628</v>
      </c>
      <c r="C449" s="1" t="n">
        <v>45568</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13498-2022</t>
        </is>
      </c>
      <c r="B450" s="1" t="n">
        <v>44647</v>
      </c>
      <c r="C450" s="1" t="n">
        <v>45568</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13500-2022</t>
        </is>
      </c>
      <c r="B451" s="1" t="n">
        <v>44647</v>
      </c>
      <c r="C451" s="1" t="n">
        <v>45568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13643-2022</t>
        </is>
      </c>
      <c r="B452" s="1" t="n">
        <v>44648</v>
      </c>
      <c r="C452" s="1" t="n">
        <v>45568</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14413-2022</t>
        </is>
      </c>
      <c r="B453" s="1" t="n">
        <v>44652</v>
      </c>
      <c r="C453" s="1" t="n">
        <v>45568</v>
      </c>
      <c r="D453" t="inlineStr">
        <is>
          <t>GOTLANDS LÄN</t>
        </is>
      </c>
      <c r="E453" t="inlineStr">
        <is>
          <t>GOTLAND</t>
        </is>
      </c>
      <c r="G453" t="n">
        <v>3.1</v>
      </c>
      <c r="H453" t="n">
        <v>0</v>
      </c>
      <c r="I453" t="n">
        <v>0</v>
      </c>
      <c r="J453" t="n">
        <v>0</v>
      </c>
      <c r="K453" t="n">
        <v>0</v>
      </c>
      <c r="L453" t="n">
        <v>0</v>
      </c>
      <c r="M453" t="n">
        <v>0</v>
      </c>
      <c r="N453" t="n">
        <v>0</v>
      </c>
      <c r="O453" t="n">
        <v>0</v>
      </c>
      <c r="P453" t="n">
        <v>0</v>
      </c>
      <c r="Q453" t="n">
        <v>0</v>
      </c>
      <c r="R453" s="2" t="inlineStr"/>
    </row>
    <row r="454" ht="15" customHeight="1">
      <c r="A454" t="inlineStr">
        <is>
          <t>A 15713-2022</t>
        </is>
      </c>
      <c r="B454" s="1" t="n">
        <v>44663</v>
      </c>
      <c r="C454" s="1" t="n">
        <v>45568</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15710-2022</t>
        </is>
      </c>
      <c r="B455" s="1" t="n">
        <v>44663</v>
      </c>
      <c r="C455" s="1" t="n">
        <v>45568</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16858-2022</t>
        </is>
      </c>
      <c r="B456" s="1" t="n">
        <v>44674</v>
      </c>
      <c r="C456" s="1" t="n">
        <v>45568</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17147-2022</t>
        </is>
      </c>
      <c r="B457" s="1" t="n">
        <v>44677</v>
      </c>
      <c r="C457" s="1" t="n">
        <v>45568</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17354-2022</t>
        </is>
      </c>
      <c r="B458" s="1" t="n">
        <v>44678</v>
      </c>
      <c r="C458" s="1" t="n">
        <v>45568</v>
      </c>
      <c r="D458" t="inlineStr">
        <is>
          <t>GOTLANDS LÄN</t>
        </is>
      </c>
      <c r="E458" t="inlineStr">
        <is>
          <t>GOTLAND</t>
        </is>
      </c>
      <c r="G458" t="n">
        <v>7.1</v>
      </c>
      <c r="H458" t="n">
        <v>0</v>
      </c>
      <c r="I458" t="n">
        <v>0</v>
      </c>
      <c r="J458" t="n">
        <v>0</v>
      </c>
      <c r="K458" t="n">
        <v>0</v>
      </c>
      <c r="L458" t="n">
        <v>0</v>
      </c>
      <c r="M458" t="n">
        <v>0</v>
      </c>
      <c r="N458" t="n">
        <v>0</v>
      </c>
      <c r="O458" t="n">
        <v>0</v>
      </c>
      <c r="P458" t="n">
        <v>0</v>
      </c>
      <c r="Q458" t="n">
        <v>0</v>
      </c>
      <c r="R458" s="2" t="inlineStr"/>
    </row>
    <row r="459" ht="15" customHeight="1">
      <c r="A459" t="inlineStr">
        <is>
          <t>A 17381-2022</t>
        </is>
      </c>
      <c r="B459" s="1" t="n">
        <v>44678</v>
      </c>
      <c r="C459" s="1" t="n">
        <v>45568</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17780-2022</t>
        </is>
      </c>
      <c r="B460" s="1" t="n">
        <v>44682</v>
      </c>
      <c r="C460" s="1" t="n">
        <v>45568</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20165-2022</t>
        </is>
      </c>
      <c r="B461" s="1" t="n">
        <v>44698</v>
      </c>
      <c r="C461" s="1" t="n">
        <v>45568</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20356-2022</t>
        </is>
      </c>
      <c r="B462" s="1" t="n">
        <v>44699</v>
      </c>
      <c r="C462" s="1" t="n">
        <v>45568</v>
      </c>
      <c r="D462" t="inlineStr">
        <is>
          <t>GOTLANDS LÄN</t>
        </is>
      </c>
      <c r="E462" t="inlineStr">
        <is>
          <t>GOTLAND</t>
        </is>
      </c>
      <c r="F462" t="inlineStr">
        <is>
          <t>Övriga Aktiebolag</t>
        </is>
      </c>
      <c r="G462" t="n">
        <v>4.4</v>
      </c>
      <c r="H462" t="n">
        <v>0</v>
      </c>
      <c r="I462" t="n">
        <v>0</v>
      </c>
      <c r="J462" t="n">
        <v>0</v>
      </c>
      <c r="K462" t="n">
        <v>0</v>
      </c>
      <c r="L462" t="n">
        <v>0</v>
      </c>
      <c r="M462" t="n">
        <v>0</v>
      </c>
      <c r="N462" t="n">
        <v>0</v>
      </c>
      <c r="O462" t="n">
        <v>0</v>
      </c>
      <c r="P462" t="n">
        <v>0</v>
      </c>
      <c r="Q462" t="n">
        <v>0</v>
      </c>
      <c r="R462" s="2" t="inlineStr"/>
    </row>
    <row r="463" ht="15" customHeight="1">
      <c r="A463" t="inlineStr">
        <is>
          <t>A 20990-2022</t>
        </is>
      </c>
      <c r="B463" s="1" t="n">
        <v>44703</v>
      </c>
      <c r="C463" s="1" t="n">
        <v>45568</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20993-2022</t>
        </is>
      </c>
      <c r="B464" s="1" t="n">
        <v>44703</v>
      </c>
      <c r="C464" s="1" t="n">
        <v>45568</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21247-2022</t>
        </is>
      </c>
      <c r="B465" s="1" t="n">
        <v>44705</v>
      </c>
      <c r="C465" s="1" t="n">
        <v>45568</v>
      </c>
      <c r="D465" t="inlineStr">
        <is>
          <t>GOTLANDS LÄN</t>
        </is>
      </c>
      <c r="E465" t="inlineStr">
        <is>
          <t>GOTLAND</t>
        </is>
      </c>
      <c r="G465" t="n">
        <v>16.2</v>
      </c>
      <c r="H465" t="n">
        <v>0</v>
      </c>
      <c r="I465" t="n">
        <v>0</v>
      </c>
      <c r="J465" t="n">
        <v>0</v>
      </c>
      <c r="K465" t="n">
        <v>0</v>
      </c>
      <c r="L465" t="n">
        <v>0</v>
      </c>
      <c r="M465" t="n">
        <v>0</v>
      </c>
      <c r="N465" t="n">
        <v>0</v>
      </c>
      <c r="O465" t="n">
        <v>0</v>
      </c>
      <c r="P465" t="n">
        <v>0</v>
      </c>
      <c r="Q465" t="n">
        <v>0</v>
      </c>
      <c r="R465" s="2" t="inlineStr"/>
    </row>
    <row r="466" ht="15" customHeight="1">
      <c r="A466" t="inlineStr">
        <is>
          <t>A 22287-2022</t>
        </is>
      </c>
      <c r="B466" s="1" t="n">
        <v>44712</v>
      </c>
      <c r="C466" s="1" t="n">
        <v>45568</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22498-2022</t>
        </is>
      </c>
      <c r="B467" s="1" t="n">
        <v>44713</v>
      </c>
      <c r="C467" s="1" t="n">
        <v>45568</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22495-2022</t>
        </is>
      </c>
      <c r="B468" s="1" t="n">
        <v>44713</v>
      </c>
      <c r="C468" s="1" t="n">
        <v>45568</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24123-2022</t>
        </is>
      </c>
      <c r="B469" s="1" t="n">
        <v>44725</v>
      </c>
      <c r="C469" s="1" t="n">
        <v>45568</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24235-2022</t>
        </is>
      </c>
      <c r="B470" s="1" t="n">
        <v>44725</v>
      </c>
      <c r="C470" s="1" t="n">
        <v>45568</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25866-2022</t>
        </is>
      </c>
      <c r="B471" s="1" t="n">
        <v>44733</v>
      </c>
      <c r="C471" s="1" t="n">
        <v>45568</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27095-2022</t>
        </is>
      </c>
      <c r="B472" s="1" t="n">
        <v>44741</v>
      </c>
      <c r="C472" s="1" t="n">
        <v>45568</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29809-2022</t>
        </is>
      </c>
      <c r="B473" s="1" t="n">
        <v>44755</v>
      </c>
      <c r="C473" s="1" t="n">
        <v>45568</v>
      </c>
      <c r="D473" t="inlineStr">
        <is>
          <t>GOTLANDS LÄN</t>
        </is>
      </c>
      <c r="E473" t="inlineStr">
        <is>
          <t>GOTLAND</t>
        </is>
      </c>
      <c r="G473" t="n">
        <v>11.5</v>
      </c>
      <c r="H473" t="n">
        <v>0</v>
      </c>
      <c r="I473" t="n">
        <v>0</v>
      </c>
      <c r="J473" t="n">
        <v>0</v>
      </c>
      <c r="K473" t="n">
        <v>0</v>
      </c>
      <c r="L473" t="n">
        <v>0</v>
      </c>
      <c r="M473" t="n">
        <v>0</v>
      </c>
      <c r="N473" t="n">
        <v>0</v>
      </c>
      <c r="O473" t="n">
        <v>0</v>
      </c>
      <c r="P473" t="n">
        <v>0</v>
      </c>
      <c r="Q473" t="n">
        <v>0</v>
      </c>
      <c r="R473" s="2" t="inlineStr"/>
    </row>
    <row r="474" ht="15" customHeight="1">
      <c r="A474" t="inlineStr">
        <is>
          <t>A 30282-2022</t>
        </is>
      </c>
      <c r="B474" s="1" t="n">
        <v>44760</v>
      </c>
      <c r="C474" s="1" t="n">
        <v>45568</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31239-2022</t>
        </is>
      </c>
      <c r="B475" s="1" t="n">
        <v>44771</v>
      </c>
      <c r="C475" s="1" t="n">
        <v>45568</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37569-2022</t>
        </is>
      </c>
      <c r="B476" s="1" t="n">
        <v>44809</v>
      </c>
      <c r="C476" s="1" t="n">
        <v>45568</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39302-2022</t>
        </is>
      </c>
      <c r="B477" s="1" t="n">
        <v>44817</v>
      </c>
      <c r="C477" s="1" t="n">
        <v>45568</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39496-2022</t>
        </is>
      </c>
      <c r="B478" s="1" t="n">
        <v>44818</v>
      </c>
      <c r="C478" s="1" t="n">
        <v>45568</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39479-2022</t>
        </is>
      </c>
      <c r="B479" s="1" t="n">
        <v>44818</v>
      </c>
      <c r="C479" s="1" t="n">
        <v>45568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39764-2022</t>
        </is>
      </c>
      <c r="B480" s="1" t="n">
        <v>44819</v>
      </c>
      <c r="C480" s="1" t="n">
        <v>45568</v>
      </c>
      <c r="D480" t="inlineStr">
        <is>
          <t>GOTLANDS LÄN</t>
        </is>
      </c>
      <c r="E480" t="inlineStr">
        <is>
          <t>GOTLAND</t>
        </is>
      </c>
      <c r="F480" t="inlineStr">
        <is>
          <t>Kyrkan</t>
        </is>
      </c>
      <c r="G480" t="n">
        <v>3.7</v>
      </c>
      <c r="H480" t="n">
        <v>0</v>
      </c>
      <c r="I480" t="n">
        <v>0</v>
      </c>
      <c r="J480" t="n">
        <v>0</v>
      </c>
      <c r="K480" t="n">
        <v>0</v>
      </c>
      <c r="L480" t="n">
        <v>0</v>
      </c>
      <c r="M480" t="n">
        <v>0</v>
      </c>
      <c r="N480" t="n">
        <v>0</v>
      </c>
      <c r="O480" t="n">
        <v>0</v>
      </c>
      <c r="P480" t="n">
        <v>0</v>
      </c>
      <c r="Q480" t="n">
        <v>0</v>
      </c>
      <c r="R480" s="2" t="inlineStr"/>
    </row>
    <row r="481" ht="15" customHeight="1">
      <c r="A481" t="inlineStr">
        <is>
          <t>A 40294-2022</t>
        </is>
      </c>
      <c r="B481" s="1" t="n">
        <v>44821</v>
      </c>
      <c r="C481" s="1" t="n">
        <v>45568</v>
      </c>
      <c r="D481" t="inlineStr">
        <is>
          <t>GOTLANDS LÄN</t>
        </is>
      </c>
      <c r="E481" t="inlineStr">
        <is>
          <t>GOTLAND</t>
        </is>
      </c>
      <c r="G481" t="n">
        <v>1.6</v>
      </c>
      <c r="H481" t="n">
        <v>0</v>
      </c>
      <c r="I481" t="n">
        <v>0</v>
      </c>
      <c r="J481" t="n">
        <v>0</v>
      </c>
      <c r="K481" t="n">
        <v>0</v>
      </c>
      <c r="L481" t="n">
        <v>0</v>
      </c>
      <c r="M481" t="n">
        <v>0</v>
      </c>
      <c r="N481" t="n">
        <v>0</v>
      </c>
      <c r="O481" t="n">
        <v>0</v>
      </c>
      <c r="P481" t="n">
        <v>0</v>
      </c>
      <c r="Q481" t="n">
        <v>0</v>
      </c>
      <c r="R481" s="2" t="inlineStr"/>
    </row>
    <row r="482" ht="15" customHeight="1">
      <c r="A482" t="inlineStr">
        <is>
          <t>A 40478-2022</t>
        </is>
      </c>
      <c r="B482" s="1" t="n">
        <v>44823</v>
      </c>
      <c r="C482" s="1" t="n">
        <v>45568</v>
      </c>
      <c r="D482" t="inlineStr">
        <is>
          <t>GOTLANDS LÄN</t>
        </is>
      </c>
      <c r="E482" t="inlineStr">
        <is>
          <t>GOTLAND</t>
        </is>
      </c>
      <c r="G482" t="n">
        <v>6.3</v>
      </c>
      <c r="H482" t="n">
        <v>0</v>
      </c>
      <c r="I482" t="n">
        <v>0</v>
      </c>
      <c r="J482" t="n">
        <v>0</v>
      </c>
      <c r="K482" t="n">
        <v>0</v>
      </c>
      <c r="L482" t="n">
        <v>0</v>
      </c>
      <c r="M482" t="n">
        <v>0</v>
      </c>
      <c r="N482" t="n">
        <v>0</v>
      </c>
      <c r="O482" t="n">
        <v>0</v>
      </c>
      <c r="P482" t="n">
        <v>0</v>
      </c>
      <c r="Q482" t="n">
        <v>0</v>
      </c>
      <c r="R482" s="2" t="inlineStr"/>
    </row>
    <row r="483" ht="15" customHeight="1">
      <c r="A483" t="inlineStr">
        <is>
          <t>A 43081-2022</t>
        </is>
      </c>
      <c r="B483" s="1" t="n">
        <v>44833</v>
      </c>
      <c r="C483" s="1" t="n">
        <v>45568</v>
      </c>
      <c r="D483" t="inlineStr">
        <is>
          <t>GOTLANDS LÄN</t>
        </is>
      </c>
      <c r="E483" t="inlineStr">
        <is>
          <t>GOTLAND</t>
        </is>
      </c>
      <c r="G483" t="n">
        <v>6.8</v>
      </c>
      <c r="H483" t="n">
        <v>0</v>
      </c>
      <c r="I483" t="n">
        <v>0</v>
      </c>
      <c r="J483" t="n">
        <v>0</v>
      </c>
      <c r="K483" t="n">
        <v>0</v>
      </c>
      <c r="L483" t="n">
        <v>0</v>
      </c>
      <c r="M483" t="n">
        <v>0</v>
      </c>
      <c r="N483" t="n">
        <v>0</v>
      </c>
      <c r="O483" t="n">
        <v>0</v>
      </c>
      <c r="P483" t="n">
        <v>0</v>
      </c>
      <c r="Q483" t="n">
        <v>0</v>
      </c>
      <c r="R483" s="2" t="inlineStr"/>
    </row>
    <row r="484" ht="15" customHeight="1">
      <c r="A484" t="inlineStr">
        <is>
          <t>A 44102-2022</t>
        </is>
      </c>
      <c r="B484" s="1" t="n">
        <v>44839</v>
      </c>
      <c r="C484" s="1" t="n">
        <v>45568</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44108-2022</t>
        </is>
      </c>
      <c r="B485" s="1" t="n">
        <v>44839</v>
      </c>
      <c r="C485" s="1" t="n">
        <v>45568</v>
      </c>
      <c r="D485" t="inlineStr">
        <is>
          <t>GOTLANDS LÄN</t>
        </is>
      </c>
      <c r="E485" t="inlineStr">
        <is>
          <t>GOTLAND</t>
        </is>
      </c>
      <c r="G485" t="n">
        <v>12.9</v>
      </c>
      <c r="H485" t="n">
        <v>0</v>
      </c>
      <c r="I485" t="n">
        <v>0</v>
      </c>
      <c r="J485" t="n">
        <v>0</v>
      </c>
      <c r="K485" t="n">
        <v>0</v>
      </c>
      <c r="L485" t="n">
        <v>0</v>
      </c>
      <c r="M485" t="n">
        <v>0</v>
      </c>
      <c r="N485" t="n">
        <v>0</v>
      </c>
      <c r="O485" t="n">
        <v>0</v>
      </c>
      <c r="P485" t="n">
        <v>0</v>
      </c>
      <c r="Q485" t="n">
        <v>0</v>
      </c>
      <c r="R485" s="2" t="inlineStr"/>
    </row>
    <row r="486" ht="15" customHeight="1">
      <c r="A486" t="inlineStr">
        <is>
          <t>A 44207-2022</t>
        </is>
      </c>
      <c r="B486" s="1" t="n">
        <v>44839</v>
      </c>
      <c r="C486" s="1" t="n">
        <v>45568</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44204-2022</t>
        </is>
      </c>
      <c r="B487" s="1" t="n">
        <v>44839</v>
      </c>
      <c r="C487" s="1" t="n">
        <v>45568</v>
      </c>
      <c r="D487" t="inlineStr">
        <is>
          <t>GOTLANDS LÄN</t>
        </is>
      </c>
      <c r="E487" t="inlineStr">
        <is>
          <t>GOTLAND</t>
        </is>
      </c>
      <c r="G487" t="n">
        <v>2.3</v>
      </c>
      <c r="H487" t="n">
        <v>0</v>
      </c>
      <c r="I487" t="n">
        <v>0</v>
      </c>
      <c r="J487" t="n">
        <v>0</v>
      </c>
      <c r="K487" t="n">
        <v>0</v>
      </c>
      <c r="L487" t="n">
        <v>0</v>
      </c>
      <c r="M487" t="n">
        <v>0</v>
      </c>
      <c r="N487" t="n">
        <v>0</v>
      </c>
      <c r="O487" t="n">
        <v>0</v>
      </c>
      <c r="P487" t="n">
        <v>0</v>
      </c>
      <c r="Q487" t="n">
        <v>0</v>
      </c>
      <c r="R487" s="2" t="inlineStr"/>
    </row>
    <row r="488" ht="15" customHeight="1">
      <c r="A488" t="inlineStr">
        <is>
          <t>A 44228-2022</t>
        </is>
      </c>
      <c r="B488" s="1" t="n">
        <v>44839</v>
      </c>
      <c r="C488" s="1" t="n">
        <v>45568</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44878-2022</t>
        </is>
      </c>
      <c r="B489" s="1" t="n">
        <v>44839</v>
      </c>
      <c r="C489" s="1" t="n">
        <v>45568</v>
      </c>
      <c r="D489" t="inlineStr">
        <is>
          <t>GOTLANDS LÄN</t>
        </is>
      </c>
      <c r="E489" t="inlineStr">
        <is>
          <t>GOTLAND</t>
        </is>
      </c>
      <c r="G489" t="n">
        <v>4</v>
      </c>
      <c r="H489" t="n">
        <v>0</v>
      </c>
      <c r="I489" t="n">
        <v>0</v>
      </c>
      <c r="J489" t="n">
        <v>0</v>
      </c>
      <c r="K489" t="n">
        <v>0</v>
      </c>
      <c r="L489" t="n">
        <v>0</v>
      </c>
      <c r="M489" t="n">
        <v>0</v>
      </c>
      <c r="N489" t="n">
        <v>0</v>
      </c>
      <c r="O489" t="n">
        <v>0</v>
      </c>
      <c r="P489" t="n">
        <v>0</v>
      </c>
      <c r="Q489" t="n">
        <v>0</v>
      </c>
      <c r="R489" s="2" t="inlineStr"/>
    </row>
    <row r="490" ht="15" customHeight="1">
      <c r="A490" t="inlineStr">
        <is>
          <t>A 44919-2022</t>
        </is>
      </c>
      <c r="B490" s="1" t="n">
        <v>44841</v>
      </c>
      <c r="C490" s="1" t="n">
        <v>45568</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44942-2022</t>
        </is>
      </c>
      <c r="B491" s="1" t="n">
        <v>44841</v>
      </c>
      <c r="C491" s="1" t="n">
        <v>45568</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46189-2022</t>
        </is>
      </c>
      <c r="B492" s="1" t="n">
        <v>44847</v>
      </c>
      <c r="C492" s="1" t="n">
        <v>45568</v>
      </c>
      <c r="D492" t="inlineStr">
        <is>
          <t>GOTLANDS LÄN</t>
        </is>
      </c>
      <c r="E492" t="inlineStr">
        <is>
          <t>GOTLAND</t>
        </is>
      </c>
      <c r="G492" t="n">
        <v>0.4</v>
      </c>
      <c r="H492" t="n">
        <v>0</v>
      </c>
      <c r="I492" t="n">
        <v>0</v>
      </c>
      <c r="J492" t="n">
        <v>0</v>
      </c>
      <c r="K492" t="n">
        <v>0</v>
      </c>
      <c r="L492" t="n">
        <v>0</v>
      </c>
      <c r="M492" t="n">
        <v>0</v>
      </c>
      <c r="N492" t="n">
        <v>0</v>
      </c>
      <c r="O492" t="n">
        <v>0</v>
      </c>
      <c r="P492" t="n">
        <v>0</v>
      </c>
      <c r="Q492" t="n">
        <v>0</v>
      </c>
      <c r="R492" s="2" t="inlineStr"/>
    </row>
    <row r="493" ht="15" customHeight="1">
      <c r="A493" t="inlineStr">
        <is>
          <t>A 47231-2022</t>
        </is>
      </c>
      <c r="B493" s="1" t="n">
        <v>44852</v>
      </c>
      <c r="C493" s="1" t="n">
        <v>45568</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48734-2022</t>
        </is>
      </c>
      <c r="B494" s="1" t="n">
        <v>44855</v>
      </c>
      <c r="C494" s="1" t="n">
        <v>45568</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49812-2022</t>
        </is>
      </c>
      <c r="B495" s="1" t="n">
        <v>44862</v>
      </c>
      <c r="C495" s="1" t="n">
        <v>45568</v>
      </c>
      <c r="D495" t="inlineStr">
        <is>
          <t>GOTLANDS LÄN</t>
        </is>
      </c>
      <c r="E495" t="inlineStr">
        <is>
          <t>GOTLAND</t>
        </is>
      </c>
      <c r="F495" t="inlineStr">
        <is>
          <t>Kyrkan</t>
        </is>
      </c>
      <c r="G495" t="n">
        <v>1.3</v>
      </c>
      <c r="H495" t="n">
        <v>0</v>
      </c>
      <c r="I495" t="n">
        <v>0</v>
      </c>
      <c r="J495" t="n">
        <v>0</v>
      </c>
      <c r="K495" t="n">
        <v>0</v>
      </c>
      <c r="L495" t="n">
        <v>0</v>
      </c>
      <c r="M495" t="n">
        <v>0</v>
      </c>
      <c r="N495" t="n">
        <v>0</v>
      </c>
      <c r="O495" t="n">
        <v>0</v>
      </c>
      <c r="P495" t="n">
        <v>0</v>
      </c>
      <c r="Q495" t="n">
        <v>0</v>
      </c>
      <c r="R495" s="2" t="inlineStr"/>
    </row>
    <row r="496" ht="15" customHeight="1">
      <c r="A496" t="inlineStr">
        <is>
          <t>A 50810-2022</t>
        </is>
      </c>
      <c r="B496" s="1" t="n">
        <v>44867</v>
      </c>
      <c r="C496" s="1" t="n">
        <v>45568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51591-2022</t>
        </is>
      </c>
      <c r="B497" s="1" t="n">
        <v>44871</v>
      </c>
      <c r="C497" s="1" t="n">
        <v>45568</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53725-2022</t>
        </is>
      </c>
      <c r="B498" s="1" t="n">
        <v>44875</v>
      </c>
      <c r="C498" s="1" t="n">
        <v>45568</v>
      </c>
      <c r="D498" t="inlineStr">
        <is>
          <t>GOTLANDS LÄN</t>
        </is>
      </c>
      <c r="E498" t="inlineStr">
        <is>
          <t>GOTLAND</t>
        </is>
      </c>
      <c r="F498" t="inlineStr">
        <is>
          <t>Övriga statliga verk och myndigheter</t>
        </is>
      </c>
      <c r="G498" t="n">
        <v>6.2</v>
      </c>
      <c r="H498" t="n">
        <v>0</v>
      </c>
      <c r="I498" t="n">
        <v>0</v>
      </c>
      <c r="J498" t="n">
        <v>0</v>
      </c>
      <c r="K498" t="n">
        <v>0</v>
      </c>
      <c r="L498" t="n">
        <v>0</v>
      </c>
      <c r="M498" t="n">
        <v>0</v>
      </c>
      <c r="N498" t="n">
        <v>0</v>
      </c>
      <c r="O498" t="n">
        <v>0</v>
      </c>
      <c r="P498" t="n">
        <v>0</v>
      </c>
      <c r="Q498" t="n">
        <v>0</v>
      </c>
      <c r="R498" s="2" t="inlineStr"/>
    </row>
    <row r="499" ht="15" customHeight="1">
      <c r="A499" t="inlineStr">
        <is>
          <t>A 53722-2022</t>
        </is>
      </c>
      <c r="B499" s="1" t="n">
        <v>44875</v>
      </c>
      <c r="C499" s="1" t="n">
        <v>45568</v>
      </c>
      <c r="D499" t="inlineStr">
        <is>
          <t>GOTLANDS LÄN</t>
        </is>
      </c>
      <c r="E499" t="inlineStr">
        <is>
          <t>GOTLAND</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53727-2022</t>
        </is>
      </c>
      <c r="B500" s="1" t="n">
        <v>44875</v>
      </c>
      <c r="C500" s="1" t="n">
        <v>45568</v>
      </c>
      <c r="D500" t="inlineStr">
        <is>
          <t>GOTLANDS LÄN</t>
        </is>
      </c>
      <c r="E500" t="inlineStr">
        <is>
          <t>GOTLAND</t>
        </is>
      </c>
      <c r="F500" t="inlineStr">
        <is>
          <t>Övriga statliga verk och myndigheter</t>
        </is>
      </c>
      <c r="G500" t="n">
        <v>3.6</v>
      </c>
      <c r="H500" t="n">
        <v>0</v>
      </c>
      <c r="I500" t="n">
        <v>0</v>
      </c>
      <c r="J500" t="n">
        <v>0</v>
      </c>
      <c r="K500" t="n">
        <v>0</v>
      </c>
      <c r="L500" t="n">
        <v>0</v>
      </c>
      <c r="M500" t="n">
        <v>0</v>
      </c>
      <c r="N500" t="n">
        <v>0</v>
      </c>
      <c r="O500" t="n">
        <v>0</v>
      </c>
      <c r="P500" t="n">
        <v>0</v>
      </c>
      <c r="Q500" t="n">
        <v>0</v>
      </c>
      <c r="R500" s="2" t="inlineStr"/>
    </row>
    <row r="501" ht="15" customHeight="1">
      <c r="A501" t="inlineStr">
        <is>
          <t>A 53225-2022</t>
        </is>
      </c>
      <c r="B501" s="1" t="n">
        <v>44876</v>
      </c>
      <c r="C501" s="1" t="n">
        <v>45568</v>
      </c>
      <c r="D501" t="inlineStr">
        <is>
          <t>GOTLANDS LÄN</t>
        </is>
      </c>
      <c r="E501" t="inlineStr">
        <is>
          <t>GOTLAND</t>
        </is>
      </c>
      <c r="F501" t="inlineStr">
        <is>
          <t>Kyrkan</t>
        </is>
      </c>
      <c r="G501" t="n">
        <v>0.9</v>
      </c>
      <c r="H501" t="n">
        <v>0</v>
      </c>
      <c r="I501" t="n">
        <v>0</v>
      </c>
      <c r="J501" t="n">
        <v>0</v>
      </c>
      <c r="K501" t="n">
        <v>0</v>
      </c>
      <c r="L501" t="n">
        <v>0</v>
      </c>
      <c r="M501" t="n">
        <v>0</v>
      </c>
      <c r="N501" t="n">
        <v>0</v>
      </c>
      <c r="O501" t="n">
        <v>0</v>
      </c>
      <c r="P501" t="n">
        <v>0</v>
      </c>
      <c r="Q501" t="n">
        <v>0</v>
      </c>
      <c r="R501" s="2" t="inlineStr"/>
    </row>
    <row r="502" ht="15" customHeight="1">
      <c r="A502" t="inlineStr">
        <is>
          <t>A 54074-2022</t>
        </is>
      </c>
      <c r="B502" s="1" t="n">
        <v>44881</v>
      </c>
      <c r="C502" s="1" t="n">
        <v>45568</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54073-2022</t>
        </is>
      </c>
      <c r="B503" s="1" t="n">
        <v>44881</v>
      </c>
      <c r="C503" s="1" t="n">
        <v>45568</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54268-2022</t>
        </is>
      </c>
      <c r="B504" s="1" t="n">
        <v>44882</v>
      </c>
      <c r="C504" s="1" t="n">
        <v>45568</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55866-2022</t>
        </is>
      </c>
      <c r="B505" s="1" t="n">
        <v>44888</v>
      </c>
      <c r="C505" s="1" t="n">
        <v>45568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56928-2022</t>
        </is>
      </c>
      <c r="B506" s="1" t="n">
        <v>44894</v>
      </c>
      <c r="C506" s="1" t="n">
        <v>45568</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58388-2022</t>
        </is>
      </c>
      <c r="B507" s="1" t="n">
        <v>44894</v>
      </c>
      <c r="C507" s="1" t="n">
        <v>45568</v>
      </c>
      <c r="D507" t="inlineStr">
        <is>
          <t>GOTLANDS LÄN</t>
        </is>
      </c>
      <c r="E507" t="inlineStr">
        <is>
          <t>GOTLAND</t>
        </is>
      </c>
      <c r="F507" t="inlineStr">
        <is>
          <t>Övriga statliga verk och myndigheter</t>
        </is>
      </c>
      <c r="G507" t="n">
        <v>3.1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45568</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57522-2022</t>
        </is>
      </c>
      <c r="B509" s="1" t="n">
        <v>44896</v>
      </c>
      <c r="C509" s="1" t="n">
        <v>45568</v>
      </c>
      <c r="D509" t="inlineStr">
        <is>
          <t>GOTLANDS LÄN</t>
        </is>
      </c>
      <c r="E509" t="inlineStr">
        <is>
          <t>GOTLAND</t>
        </is>
      </c>
      <c r="G509" t="n">
        <v>2</v>
      </c>
      <c r="H509" t="n">
        <v>0</v>
      </c>
      <c r="I509" t="n">
        <v>0</v>
      </c>
      <c r="J509" t="n">
        <v>0</v>
      </c>
      <c r="K509" t="n">
        <v>0</v>
      </c>
      <c r="L509" t="n">
        <v>0</v>
      </c>
      <c r="M509" t="n">
        <v>0</v>
      </c>
      <c r="N509" t="n">
        <v>0</v>
      </c>
      <c r="O509" t="n">
        <v>0</v>
      </c>
      <c r="P509" t="n">
        <v>0</v>
      </c>
      <c r="Q509" t="n">
        <v>0</v>
      </c>
      <c r="R509" s="2" t="inlineStr"/>
    </row>
    <row r="510" ht="15" customHeight="1">
      <c r="A510" t="inlineStr">
        <is>
          <t>A 57685-2022</t>
        </is>
      </c>
      <c r="B510" s="1" t="n">
        <v>44897</v>
      </c>
      <c r="C510" s="1" t="n">
        <v>45568</v>
      </c>
      <c r="D510" t="inlineStr">
        <is>
          <t>GOTLANDS LÄN</t>
        </is>
      </c>
      <c r="E510" t="inlineStr">
        <is>
          <t>GOTLAND</t>
        </is>
      </c>
      <c r="G510" t="n">
        <v>3.7</v>
      </c>
      <c r="H510" t="n">
        <v>0</v>
      </c>
      <c r="I510" t="n">
        <v>0</v>
      </c>
      <c r="J510" t="n">
        <v>0</v>
      </c>
      <c r="K510" t="n">
        <v>0</v>
      </c>
      <c r="L510" t="n">
        <v>0</v>
      </c>
      <c r="M510" t="n">
        <v>0</v>
      </c>
      <c r="N510" t="n">
        <v>0</v>
      </c>
      <c r="O510" t="n">
        <v>0</v>
      </c>
      <c r="P510" t="n">
        <v>0</v>
      </c>
      <c r="Q510" t="n">
        <v>0</v>
      </c>
      <c r="R510" s="2" t="inlineStr"/>
    </row>
    <row r="511" ht="15" customHeight="1">
      <c r="A511" t="inlineStr">
        <is>
          <t>A 57947-2022</t>
        </is>
      </c>
      <c r="B511" s="1" t="n">
        <v>44900</v>
      </c>
      <c r="C511" s="1" t="n">
        <v>45568</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58479-2022</t>
        </is>
      </c>
      <c r="B512" s="1" t="n">
        <v>44902</v>
      </c>
      <c r="C512" s="1" t="n">
        <v>45568</v>
      </c>
      <c r="D512" t="inlineStr">
        <is>
          <t>GOTLANDS LÄN</t>
        </is>
      </c>
      <c r="E512" t="inlineStr">
        <is>
          <t>GOTLAND</t>
        </is>
      </c>
      <c r="G512" t="n">
        <v>2.9</v>
      </c>
      <c r="H512" t="n">
        <v>0</v>
      </c>
      <c r="I512" t="n">
        <v>0</v>
      </c>
      <c r="J512" t="n">
        <v>0</v>
      </c>
      <c r="K512" t="n">
        <v>0</v>
      </c>
      <c r="L512" t="n">
        <v>0</v>
      </c>
      <c r="M512" t="n">
        <v>0</v>
      </c>
      <c r="N512" t="n">
        <v>0</v>
      </c>
      <c r="O512" t="n">
        <v>0</v>
      </c>
      <c r="P512" t="n">
        <v>0</v>
      </c>
      <c r="Q512" t="n">
        <v>0</v>
      </c>
      <c r="R512" s="2" t="inlineStr"/>
    </row>
    <row r="513" ht="15" customHeight="1">
      <c r="A513" t="inlineStr">
        <is>
          <t>A 58476-2022</t>
        </is>
      </c>
      <c r="B513" s="1" t="n">
        <v>44902</v>
      </c>
      <c r="C513" s="1" t="n">
        <v>45568</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59874-2022</t>
        </is>
      </c>
      <c r="B514" s="1" t="n">
        <v>44908</v>
      </c>
      <c r="C514" s="1" t="n">
        <v>45568</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60086-2022</t>
        </is>
      </c>
      <c r="B515" s="1" t="n">
        <v>44909</v>
      </c>
      <c r="C515" s="1" t="n">
        <v>45568</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59986-2022</t>
        </is>
      </c>
      <c r="B516" s="1" t="n">
        <v>44909</v>
      </c>
      <c r="C516" s="1" t="n">
        <v>45568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60372-2022</t>
        </is>
      </c>
      <c r="B517" s="1" t="n">
        <v>44910</v>
      </c>
      <c r="C517" s="1" t="n">
        <v>45568</v>
      </c>
      <c r="D517" t="inlineStr">
        <is>
          <t>GOTLANDS LÄN</t>
        </is>
      </c>
      <c r="E517" t="inlineStr">
        <is>
          <t>GOTLAND</t>
        </is>
      </c>
      <c r="G517" t="n">
        <v>3.9</v>
      </c>
      <c r="H517" t="n">
        <v>0</v>
      </c>
      <c r="I517" t="n">
        <v>0</v>
      </c>
      <c r="J517" t="n">
        <v>0</v>
      </c>
      <c r="K517" t="n">
        <v>0</v>
      </c>
      <c r="L517" t="n">
        <v>0</v>
      </c>
      <c r="M517" t="n">
        <v>0</v>
      </c>
      <c r="N517" t="n">
        <v>0</v>
      </c>
      <c r="O517" t="n">
        <v>0</v>
      </c>
      <c r="P517" t="n">
        <v>0</v>
      </c>
      <c r="Q517" t="n">
        <v>0</v>
      </c>
      <c r="R517" s="2" t="inlineStr"/>
    </row>
    <row r="518" ht="15" customHeight="1">
      <c r="A518" t="inlineStr">
        <is>
          <t>A 61100-2022</t>
        </is>
      </c>
      <c r="B518" s="1" t="n">
        <v>44915</v>
      </c>
      <c r="C518" s="1" t="n">
        <v>45568</v>
      </c>
      <c r="D518" t="inlineStr">
        <is>
          <t>GOTLANDS LÄN</t>
        </is>
      </c>
      <c r="E518" t="inlineStr">
        <is>
          <t>GOTLAND</t>
        </is>
      </c>
      <c r="G518" t="n">
        <v>1.4</v>
      </c>
      <c r="H518" t="n">
        <v>0</v>
      </c>
      <c r="I518" t="n">
        <v>0</v>
      </c>
      <c r="J518" t="n">
        <v>0</v>
      </c>
      <c r="K518" t="n">
        <v>0</v>
      </c>
      <c r="L518" t="n">
        <v>0</v>
      </c>
      <c r="M518" t="n">
        <v>0</v>
      </c>
      <c r="N518" t="n">
        <v>0</v>
      </c>
      <c r="O518" t="n">
        <v>0</v>
      </c>
      <c r="P518" t="n">
        <v>0</v>
      </c>
      <c r="Q518" t="n">
        <v>0</v>
      </c>
      <c r="R518" s="2" t="inlineStr"/>
    </row>
    <row r="519" ht="15" customHeight="1">
      <c r="A519" t="inlineStr">
        <is>
          <t>A 61570-2022</t>
        </is>
      </c>
      <c r="B519" s="1" t="n">
        <v>44916</v>
      </c>
      <c r="C519" s="1" t="n">
        <v>45568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61563-2022</t>
        </is>
      </c>
      <c r="B520" s="1" t="n">
        <v>44916</v>
      </c>
      <c r="C520" s="1" t="n">
        <v>45568</v>
      </c>
      <c r="D520" t="inlineStr">
        <is>
          <t>GOTLANDS LÄN</t>
        </is>
      </c>
      <c r="E520" t="inlineStr">
        <is>
          <t>GOTLAND</t>
        </is>
      </c>
      <c r="G520" t="n">
        <v>3.4</v>
      </c>
      <c r="H520" t="n">
        <v>0</v>
      </c>
      <c r="I520" t="n">
        <v>0</v>
      </c>
      <c r="J520" t="n">
        <v>0</v>
      </c>
      <c r="K520" t="n">
        <v>0</v>
      </c>
      <c r="L520" t="n">
        <v>0</v>
      </c>
      <c r="M520" t="n">
        <v>0</v>
      </c>
      <c r="N520" t="n">
        <v>0</v>
      </c>
      <c r="O520" t="n">
        <v>0</v>
      </c>
      <c r="P520" t="n">
        <v>0</v>
      </c>
      <c r="Q520" t="n">
        <v>0</v>
      </c>
      <c r="R520" s="2" t="inlineStr"/>
    </row>
    <row r="521" ht="15" customHeight="1">
      <c r="A521" t="inlineStr">
        <is>
          <t>A 62155-2022</t>
        </is>
      </c>
      <c r="B521" s="1" t="n">
        <v>44922</v>
      </c>
      <c r="C521" s="1" t="n">
        <v>45568</v>
      </c>
      <c r="D521" t="inlineStr">
        <is>
          <t>GOTLANDS LÄN</t>
        </is>
      </c>
      <c r="E521" t="inlineStr">
        <is>
          <t>GOTLAND</t>
        </is>
      </c>
      <c r="G521" t="n">
        <v>4.1</v>
      </c>
      <c r="H521" t="n">
        <v>0</v>
      </c>
      <c r="I521" t="n">
        <v>0</v>
      </c>
      <c r="J521" t="n">
        <v>0</v>
      </c>
      <c r="K521" t="n">
        <v>0</v>
      </c>
      <c r="L521" t="n">
        <v>0</v>
      </c>
      <c r="M521" t="n">
        <v>0</v>
      </c>
      <c r="N521" t="n">
        <v>0</v>
      </c>
      <c r="O521" t="n">
        <v>0</v>
      </c>
      <c r="P521" t="n">
        <v>0</v>
      </c>
      <c r="Q521" t="n">
        <v>0</v>
      </c>
      <c r="R521" s="2" t="inlineStr"/>
    </row>
    <row r="522" ht="15" customHeight="1">
      <c r="A522" t="inlineStr">
        <is>
          <t>A 62164-2022</t>
        </is>
      </c>
      <c r="B522" s="1" t="n">
        <v>44922</v>
      </c>
      <c r="C522" s="1" t="n">
        <v>45568</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62182-2022</t>
        </is>
      </c>
      <c r="B523" s="1" t="n">
        <v>44922</v>
      </c>
      <c r="C523" s="1" t="n">
        <v>45568</v>
      </c>
      <c r="D523" t="inlineStr">
        <is>
          <t>GOTLANDS LÄN</t>
        </is>
      </c>
      <c r="E523" t="inlineStr">
        <is>
          <t>GOTLAND</t>
        </is>
      </c>
      <c r="G523" t="n">
        <v>5.3</v>
      </c>
      <c r="H523" t="n">
        <v>0</v>
      </c>
      <c r="I523" t="n">
        <v>0</v>
      </c>
      <c r="J523" t="n">
        <v>0</v>
      </c>
      <c r="K523" t="n">
        <v>0</v>
      </c>
      <c r="L523" t="n">
        <v>0</v>
      </c>
      <c r="M523" t="n">
        <v>0</v>
      </c>
      <c r="N523" t="n">
        <v>0</v>
      </c>
      <c r="O523" t="n">
        <v>0</v>
      </c>
      <c r="P523" t="n">
        <v>0</v>
      </c>
      <c r="Q523" t="n">
        <v>0</v>
      </c>
      <c r="R523" s="2" t="inlineStr"/>
    </row>
    <row r="524" ht="15" customHeight="1">
      <c r="A524" t="inlineStr">
        <is>
          <t>A 62193-2022</t>
        </is>
      </c>
      <c r="B524" s="1" t="n">
        <v>44922</v>
      </c>
      <c r="C524" s="1" t="n">
        <v>45568</v>
      </c>
      <c r="D524" t="inlineStr">
        <is>
          <t>GOTLANDS LÄN</t>
        </is>
      </c>
      <c r="E524" t="inlineStr">
        <is>
          <t>GOTLAND</t>
        </is>
      </c>
      <c r="G524" t="n">
        <v>5.6</v>
      </c>
      <c r="H524" t="n">
        <v>0</v>
      </c>
      <c r="I524" t="n">
        <v>0</v>
      </c>
      <c r="J524" t="n">
        <v>0</v>
      </c>
      <c r="K524" t="n">
        <v>0</v>
      </c>
      <c r="L524" t="n">
        <v>0</v>
      </c>
      <c r="M524" t="n">
        <v>0</v>
      </c>
      <c r="N524" t="n">
        <v>0</v>
      </c>
      <c r="O524" t="n">
        <v>0</v>
      </c>
      <c r="P524" t="n">
        <v>0</v>
      </c>
      <c r="Q524" t="n">
        <v>0</v>
      </c>
      <c r="R524" s="2" t="inlineStr"/>
    </row>
    <row r="525" ht="15" customHeight="1">
      <c r="A525" t="inlineStr">
        <is>
          <t>A 62151-2022</t>
        </is>
      </c>
      <c r="B525" s="1" t="n">
        <v>44922</v>
      </c>
      <c r="C525" s="1" t="n">
        <v>45568</v>
      </c>
      <c r="D525" t="inlineStr">
        <is>
          <t>GOTLANDS LÄN</t>
        </is>
      </c>
      <c r="E525" t="inlineStr">
        <is>
          <t>GOTLAND</t>
        </is>
      </c>
      <c r="G525" t="n">
        <v>6.5</v>
      </c>
      <c r="H525" t="n">
        <v>0</v>
      </c>
      <c r="I525" t="n">
        <v>0</v>
      </c>
      <c r="J525" t="n">
        <v>0</v>
      </c>
      <c r="K525" t="n">
        <v>0</v>
      </c>
      <c r="L525" t="n">
        <v>0</v>
      </c>
      <c r="M525" t="n">
        <v>0</v>
      </c>
      <c r="N525" t="n">
        <v>0</v>
      </c>
      <c r="O525" t="n">
        <v>0</v>
      </c>
      <c r="P525" t="n">
        <v>0</v>
      </c>
      <c r="Q525" t="n">
        <v>0</v>
      </c>
      <c r="R525" s="2" t="inlineStr"/>
    </row>
    <row r="526" ht="15" customHeight="1">
      <c r="A526" t="inlineStr">
        <is>
          <t>A 62186-2022</t>
        </is>
      </c>
      <c r="B526" s="1" t="n">
        <v>44922</v>
      </c>
      <c r="C526" s="1" t="n">
        <v>45568</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62184-2022</t>
        </is>
      </c>
      <c r="B527" s="1" t="n">
        <v>44922</v>
      </c>
      <c r="C527" s="1" t="n">
        <v>45568</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163-2023</t>
        </is>
      </c>
      <c r="B528" s="1" t="n">
        <v>44928</v>
      </c>
      <c r="C528" s="1" t="n">
        <v>45568</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458-2023</t>
        </is>
      </c>
      <c r="B529" s="1" t="n">
        <v>44929</v>
      </c>
      <c r="C529" s="1" t="n">
        <v>45568</v>
      </c>
      <c r="D529" t="inlineStr">
        <is>
          <t>GOTLANDS LÄN</t>
        </is>
      </c>
      <c r="E529" t="inlineStr">
        <is>
          <t>GOTLAND</t>
        </is>
      </c>
      <c r="G529" t="n">
        <v>3.6</v>
      </c>
      <c r="H529" t="n">
        <v>0</v>
      </c>
      <c r="I529" t="n">
        <v>0</v>
      </c>
      <c r="J529" t="n">
        <v>0</v>
      </c>
      <c r="K529" t="n">
        <v>0</v>
      </c>
      <c r="L529" t="n">
        <v>0</v>
      </c>
      <c r="M529" t="n">
        <v>0</v>
      </c>
      <c r="N529" t="n">
        <v>0</v>
      </c>
      <c r="O529" t="n">
        <v>0</v>
      </c>
      <c r="P529" t="n">
        <v>0</v>
      </c>
      <c r="Q529" t="n">
        <v>0</v>
      </c>
      <c r="R529" s="2" t="inlineStr"/>
    </row>
    <row r="530" ht="15" customHeight="1">
      <c r="A530" t="inlineStr">
        <is>
          <t>A 457-2023</t>
        </is>
      </c>
      <c r="B530" s="1" t="n">
        <v>44929</v>
      </c>
      <c r="C530" s="1" t="n">
        <v>45568</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456-2023</t>
        </is>
      </c>
      <c r="B531" s="1" t="n">
        <v>44929</v>
      </c>
      <c r="C531" s="1" t="n">
        <v>45568</v>
      </c>
      <c r="D531" t="inlineStr">
        <is>
          <t>GOTLANDS LÄN</t>
        </is>
      </c>
      <c r="E531" t="inlineStr">
        <is>
          <t>GOTLAND</t>
        </is>
      </c>
      <c r="G531" t="n">
        <v>3.2</v>
      </c>
      <c r="H531" t="n">
        <v>0</v>
      </c>
      <c r="I531" t="n">
        <v>0</v>
      </c>
      <c r="J531" t="n">
        <v>0</v>
      </c>
      <c r="K531" t="n">
        <v>0</v>
      </c>
      <c r="L531" t="n">
        <v>0</v>
      </c>
      <c r="M531" t="n">
        <v>0</v>
      </c>
      <c r="N531" t="n">
        <v>0</v>
      </c>
      <c r="O531" t="n">
        <v>0</v>
      </c>
      <c r="P531" t="n">
        <v>0</v>
      </c>
      <c r="Q531" t="n">
        <v>0</v>
      </c>
      <c r="R531" s="2" t="inlineStr"/>
    </row>
    <row r="532" ht="15" customHeight="1">
      <c r="A532" t="inlineStr">
        <is>
          <t>A 459-2023</t>
        </is>
      </c>
      <c r="B532" s="1" t="n">
        <v>44929</v>
      </c>
      <c r="C532" s="1" t="n">
        <v>45568</v>
      </c>
      <c r="D532" t="inlineStr">
        <is>
          <t>GOTLANDS LÄN</t>
        </is>
      </c>
      <c r="E532" t="inlineStr">
        <is>
          <t>GOTLAND</t>
        </is>
      </c>
      <c r="G532" t="n">
        <v>4.2</v>
      </c>
      <c r="H532" t="n">
        <v>0</v>
      </c>
      <c r="I532" t="n">
        <v>0</v>
      </c>
      <c r="J532" t="n">
        <v>0</v>
      </c>
      <c r="K532" t="n">
        <v>0</v>
      </c>
      <c r="L532" t="n">
        <v>0</v>
      </c>
      <c r="M532" t="n">
        <v>0</v>
      </c>
      <c r="N532" t="n">
        <v>0</v>
      </c>
      <c r="O532" t="n">
        <v>0</v>
      </c>
      <c r="P532" t="n">
        <v>0</v>
      </c>
      <c r="Q532" t="n">
        <v>0</v>
      </c>
      <c r="R532" s="2" t="inlineStr"/>
    </row>
    <row r="533" ht="15" customHeight="1">
      <c r="A533" t="inlineStr">
        <is>
          <t>A 581-2023</t>
        </is>
      </c>
      <c r="B533" s="1" t="n">
        <v>44930</v>
      </c>
      <c r="C533" s="1" t="n">
        <v>45568</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45568</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999-2023</t>
        </is>
      </c>
      <c r="B535" s="1" t="n">
        <v>44935</v>
      </c>
      <c r="C535" s="1" t="n">
        <v>45568</v>
      </c>
      <c r="D535" t="inlineStr">
        <is>
          <t>GOTLANDS LÄN</t>
        </is>
      </c>
      <c r="E535" t="inlineStr">
        <is>
          <t>GOTLAND</t>
        </is>
      </c>
      <c r="G535" t="n">
        <v>4.7</v>
      </c>
      <c r="H535" t="n">
        <v>0</v>
      </c>
      <c r="I535" t="n">
        <v>0</v>
      </c>
      <c r="J535" t="n">
        <v>0</v>
      </c>
      <c r="K535" t="n">
        <v>0</v>
      </c>
      <c r="L535" t="n">
        <v>0</v>
      </c>
      <c r="M535" t="n">
        <v>0</v>
      </c>
      <c r="N535" t="n">
        <v>0</v>
      </c>
      <c r="O535" t="n">
        <v>0</v>
      </c>
      <c r="P535" t="n">
        <v>0</v>
      </c>
      <c r="Q535" t="n">
        <v>0</v>
      </c>
      <c r="R535" s="2" t="inlineStr"/>
    </row>
    <row r="536" ht="15" customHeight="1">
      <c r="A536" t="inlineStr">
        <is>
          <t>A 1284-2023</t>
        </is>
      </c>
      <c r="B536" s="1" t="n">
        <v>44936</v>
      </c>
      <c r="C536" s="1" t="n">
        <v>45568</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1273-2023</t>
        </is>
      </c>
      <c r="B537" s="1" t="n">
        <v>44936</v>
      </c>
      <c r="C537" s="1" t="n">
        <v>45568</v>
      </c>
      <c r="D537" t="inlineStr">
        <is>
          <t>GOTLANDS LÄN</t>
        </is>
      </c>
      <c r="E537" t="inlineStr">
        <is>
          <t>GOTLAND</t>
        </is>
      </c>
      <c r="G537" t="n">
        <v>4.5</v>
      </c>
      <c r="H537" t="n">
        <v>0</v>
      </c>
      <c r="I537" t="n">
        <v>0</v>
      </c>
      <c r="J537" t="n">
        <v>0</v>
      </c>
      <c r="K537" t="n">
        <v>0</v>
      </c>
      <c r="L537" t="n">
        <v>0</v>
      </c>
      <c r="M537" t="n">
        <v>0</v>
      </c>
      <c r="N537" t="n">
        <v>0</v>
      </c>
      <c r="O537" t="n">
        <v>0</v>
      </c>
      <c r="P537" t="n">
        <v>0</v>
      </c>
      <c r="Q537" t="n">
        <v>0</v>
      </c>
      <c r="R537" s="2" t="inlineStr"/>
    </row>
    <row r="538" ht="15" customHeight="1">
      <c r="A538" t="inlineStr">
        <is>
          <t>A 1291-2023</t>
        </is>
      </c>
      <c r="B538" s="1" t="n">
        <v>44936</v>
      </c>
      <c r="C538" s="1" t="n">
        <v>45568</v>
      </c>
      <c r="D538" t="inlineStr">
        <is>
          <t>GOTLANDS LÄN</t>
        </is>
      </c>
      <c r="E538" t="inlineStr">
        <is>
          <t>GOTLAND</t>
        </is>
      </c>
      <c r="G538" t="n">
        <v>7.4</v>
      </c>
      <c r="H538" t="n">
        <v>0</v>
      </c>
      <c r="I538" t="n">
        <v>0</v>
      </c>
      <c r="J538" t="n">
        <v>0</v>
      </c>
      <c r="K538" t="n">
        <v>0</v>
      </c>
      <c r="L538" t="n">
        <v>0</v>
      </c>
      <c r="M538" t="n">
        <v>0</v>
      </c>
      <c r="N538" t="n">
        <v>0</v>
      </c>
      <c r="O538" t="n">
        <v>0</v>
      </c>
      <c r="P538" t="n">
        <v>0</v>
      </c>
      <c r="Q538" t="n">
        <v>0</v>
      </c>
      <c r="R538" s="2" t="inlineStr"/>
    </row>
    <row r="539" ht="15" customHeight="1">
      <c r="A539" t="inlineStr">
        <is>
          <t>A 1394-2023</t>
        </is>
      </c>
      <c r="B539" s="1" t="n">
        <v>44936</v>
      </c>
      <c r="C539" s="1" t="n">
        <v>45568</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1677-2023</t>
        </is>
      </c>
      <c r="B540" s="1" t="n">
        <v>44938</v>
      </c>
      <c r="C540" s="1" t="n">
        <v>45568</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1681-2023</t>
        </is>
      </c>
      <c r="B541" s="1" t="n">
        <v>44938</v>
      </c>
      <c r="C541" s="1" t="n">
        <v>45568</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2674-2023</t>
        </is>
      </c>
      <c r="B542" s="1" t="n">
        <v>44944</v>
      </c>
      <c r="C542" s="1" t="n">
        <v>45568</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2676-2023</t>
        </is>
      </c>
      <c r="B543" s="1" t="n">
        <v>44944</v>
      </c>
      <c r="C543" s="1" t="n">
        <v>45568</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2714-2023</t>
        </is>
      </c>
      <c r="B544" s="1" t="n">
        <v>44944</v>
      </c>
      <c r="C544" s="1" t="n">
        <v>45568</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2727-2023</t>
        </is>
      </c>
      <c r="B545" s="1" t="n">
        <v>44944</v>
      </c>
      <c r="C545" s="1" t="n">
        <v>45568</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v>
      </c>
      <c r="C546" s="1" t="n">
        <v>45568</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2805-2023</t>
        </is>
      </c>
      <c r="B547" s="1" t="n">
        <v>44944</v>
      </c>
      <c r="C547" s="1" t="n">
        <v>45568</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2815-2023</t>
        </is>
      </c>
      <c r="B548" s="1" t="n">
        <v>44944</v>
      </c>
      <c r="C548" s="1" t="n">
        <v>45568</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3230-2023</t>
        </is>
      </c>
      <c r="B549" s="1" t="n">
        <v>44946</v>
      </c>
      <c r="C549" s="1" t="n">
        <v>45568</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4378-2023</t>
        </is>
      </c>
      <c r="B550" s="1" t="n">
        <v>44955</v>
      </c>
      <c r="C550" s="1" t="n">
        <v>45568</v>
      </c>
      <c r="D550" t="inlineStr">
        <is>
          <t>GOTLANDS LÄN</t>
        </is>
      </c>
      <c r="E550" t="inlineStr">
        <is>
          <t>GOTLAND</t>
        </is>
      </c>
      <c r="F550" t="inlineStr">
        <is>
          <t>Kyrkan</t>
        </is>
      </c>
      <c r="G550" t="n">
        <v>1.5</v>
      </c>
      <c r="H550" t="n">
        <v>0</v>
      </c>
      <c r="I550" t="n">
        <v>0</v>
      </c>
      <c r="J550" t="n">
        <v>0</v>
      </c>
      <c r="K550" t="n">
        <v>0</v>
      </c>
      <c r="L550" t="n">
        <v>0</v>
      </c>
      <c r="M550" t="n">
        <v>0</v>
      </c>
      <c r="N550" t="n">
        <v>0</v>
      </c>
      <c r="O550" t="n">
        <v>0</v>
      </c>
      <c r="P550" t="n">
        <v>0</v>
      </c>
      <c r="Q550" t="n">
        <v>0</v>
      </c>
      <c r="R550" s="2" t="inlineStr"/>
    </row>
    <row r="551" ht="15" customHeight="1">
      <c r="A551" t="inlineStr">
        <is>
          <t>A 4377-2023</t>
        </is>
      </c>
      <c r="B551" s="1" t="n">
        <v>44955</v>
      </c>
      <c r="C551" s="1" t="n">
        <v>45568</v>
      </c>
      <c r="D551" t="inlineStr">
        <is>
          <t>GOTLANDS LÄN</t>
        </is>
      </c>
      <c r="E551" t="inlineStr">
        <is>
          <t>GOTLAND</t>
        </is>
      </c>
      <c r="F551" t="inlineStr">
        <is>
          <t>Kyrkan</t>
        </is>
      </c>
      <c r="G551" t="n">
        <v>0.6</v>
      </c>
      <c r="H551" t="n">
        <v>0</v>
      </c>
      <c r="I551" t="n">
        <v>0</v>
      </c>
      <c r="J551" t="n">
        <v>0</v>
      </c>
      <c r="K551" t="n">
        <v>0</v>
      </c>
      <c r="L551" t="n">
        <v>0</v>
      </c>
      <c r="M551" t="n">
        <v>0</v>
      </c>
      <c r="N551" t="n">
        <v>0</v>
      </c>
      <c r="O551" t="n">
        <v>0</v>
      </c>
      <c r="P551" t="n">
        <v>0</v>
      </c>
      <c r="Q551" t="n">
        <v>0</v>
      </c>
      <c r="R551" s="2" t="inlineStr"/>
    </row>
    <row r="552" ht="15" customHeight="1">
      <c r="A552" t="inlineStr">
        <is>
          <t>A 4387-2023</t>
        </is>
      </c>
      <c r="B552" s="1" t="n">
        <v>44955</v>
      </c>
      <c r="C552" s="1" t="n">
        <v>45568</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4565-2023</t>
        </is>
      </c>
      <c r="B553" s="1" t="n">
        <v>44956</v>
      </c>
      <c r="C553" s="1" t="n">
        <v>45568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5217-2023</t>
        </is>
      </c>
      <c r="B554" s="1" t="n">
        <v>44959</v>
      </c>
      <c r="C554" s="1" t="n">
        <v>45568</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5379-2023</t>
        </is>
      </c>
      <c r="B555" s="1" t="n">
        <v>44959</v>
      </c>
      <c r="C555" s="1" t="n">
        <v>45568</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5386-2023</t>
        </is>
      </c>
      <c r="B556" s="1" t="n">
        <v>44959</v>
      </c>
      <c r="C556" s="1" t="n">
        <v>45568</v>
      </c>
      <c r="D556" t="inlineStr">
        <is>
          <t>GOTLANDS LÄN</t>
        </is>
      </c>
      <c r="E556" t="inlineStr">
        <is>
          <t>GOTLAND</t>
        </is>
      </c>
      <c r="G556" t="n">
        <v>5.4</v>
      </c>
      <c r="H556" t="n">
        <v>0</v>
      </c>
      <c r="I556" t="n">
        <v>0</v>
      </c>
      <c r="J556" t="n">
        <v>0</v>
      </c>
      <c r="K556" t="n">
        <v>0</v>
      </c>
      <c r="L556" t="n">
        <v>0</v>
      </c>
      <c r="M556" t="n">
        <v>0</v>
      </c>
      <c r="N556" t="n">
        <v>0</v>
      </c>
      <c r="O556" t="n">
        <v>0</v>
      </c>
      <c r="P556" t="n">
        <v>0</v>
      </c>
      <c r="Q556" t="n">
        <v>0</v>
      </c>
      <c r="R556" s="2" t="inlineStr"/>
    </row>
    <row r="557" ht="15" customHeight="1">
      <c r="A557" t="inlineStr">
        <is>
          <t>A 5923-2023</t>
        </is>
      </c>
      <c r="B557" s="1" t="n">
        <v>44963</v>
      </c>
      <c r="C557" s="1" t="n">
        <v>45568</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6721-2023</t>
        </is>
      </c>
      <c r="B558" s="1" t="n">
        <v>44966</v>
      </c>
      <c r="C558" s="1" t="n">
        <v>45568</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6717-2023</t>
        </is>
      </c>
      <c r="B559" s="1" t="n">
        <v>44966</v>
      </c>
      <c r="C559" s="1" t="n">
        <v>45568</v>
      </c>
      <c r="D559" t="inlineStr">
        <is>
          <t>GOTLANDS LÄN</t>
        </is>
      </c>
      <c r="E559" t="inlineStr">
        <is>
          <t>GOTLAND</t>
        </is>
      </c>
      <c r="F559" t="inlineStr">
        <is>
          <t>Naturvårdsverket</t>
        </is>
      </c>
      <c r="G559" t="n">
        <v>1.4</v>
      </c>
      <c r="H559" t="n">
        <v>0</v>
      </c>
      <c r="I559" t="n">
        <v>0</v>
      </c>
      <c r="J559" t="n">
        <v>0</v>
      </c>
      <c r="K559" t="n">
        <v>0</v>
      </c>
      <c r="L559" t="n">
        <v>0</v>
      </c>
      <c r="M559" t="n">
        <v>0</v>
      </c>
      <c r="N559" t="n">
        <v>0</v>
      </c>
      <c r="O559" t="n">
        <v>0</v>
      </c>
      <c r="P559" t="n">
        <v>0</v>
      </c>
      <c r="Q559" t="n">
        <v>0</v>
      </c>
      <c r="R559" s="2" t="inlineStr"/>
    </row>
    <row r="560" ht="15" customHeight="1">
      <c r="A560" t="inlineStr">
        <is>
          <t>A 7041-2023</t>
        </is>
      </c>
      <c r="B560" s="1" t="n">
        <v>44968</v>
      </c>
      <c r="C560" s="1" t="n">
        <v>45568</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7026-2023</t>
        </is>
      </c>
      <c r="B561" s="1" t="n">
        <v>44968</v>
      </c>
      <c r="C561" s="1" t="n">
        <v>45568</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7034-2023</t>
        </is>
      </c>
      <c r="B562" s="1" t="n">
        <v>44968</v>
      </c>
      <c r="C562" s="1" t="n">
        <v>45568</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7040-2023</t>
        </is>
      </c>
      <c r="B563" s="1" t="n">
        <v>44968</v>
      </c>
      <c r="C563" s="1" t="n">
        <v>45568</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7042-2023</t>
        </is>
      </c>
      <c r="B564" s="1" t="n">
        <v>44968</v>
      </c>
      <c r="C564" s="1" t="n">
        <v>45568</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8260-2023</t>
        </is>
      </c>
      <c r="B565" s="1" t="n">
        <v>44974</v>
      </c>
      <c r="C565" s="1" t="n">
        <v>45568</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8962-2023</t>
        </is>
      </c>
      <c r="B566" s="1" t="n">
        <v>44979</v>
      </c>
      <c r="C566" s="1" t="n">
        <v>45568</v>
      </c>
      <c r="D566" t="inlineStr">
        <is>
          <t>GOTLANDS LÄN</t>
        </is>
      </c>
      <c r="E566" t="inlineStr">
        <is>
          <t>GOTLAND</t>
        </is>
      </c>
      <c r="G566" t="n">
        <v>5.5</v>
      </c>
      <c r="H566" t="n">
        <v>0</v>
      </c>
      <c r="I566" t="n">
        <v>0</v>
      </c>
      <c r="J566" t="n">
        <v>0</v>
      </c>
      <c r="K566" t="n">
        <v>0</v>
      </c>
      <c r="L566" t="n">
        <v>0</v>
      </c>
      <c r="M566" t="n">
        <v>0</v>
      </c>
      <c r="N566" t="n">
        <v>0</v>
      </c>
      <c r="O566" t="n">
        <v>0</v>
      </c>
      <c r="P566" t="n">
        <v>0</v>
      </c>
      <c r="Q566" t="n">
        <v>0</v>
      </c>
      <c r="R566" s="2" t="inlineStr"/>
    </row>
    <row r="567" ht="15" customHeight="1">
      <c r="A567" t="inlineStr">
        <is>
          <t>A 10492-2023</t>
        </is>
      </c>
      <c r="B567" s="1" t="n">
        <v>44987</v>
      </c>
      <c r="C567" s="1" t="n">
        <v>45568</v>
      </c>
      <c r="D567" t="inlineStr">
        <is>
          <t>GOTLANDS LÄN</t>
        </is>
      </c>
      <c r="E567" t="inlineStr">
        <is>
          <t>GOTLAND</t>
        </is>
      </c>
      <c r="G567" t="n">
        <v>1</v>
      </c>
      <c r="H567" t="n">
        <v>0</v>
      </c>
      <c r="I567" t="n">
        <v>0</v>
      </c>
      <c r="J567" t="n">
        <v>0</v>
      </c>
      <c r="K567" t="n">
        <v>0</v>
      </c>
      <c r="L567" t="n">
        <v>0</v>
      </c>
      <c r="M567" t="n">
        <v>0</v>
      </c>
      <c r="N567" t="n">
        <v>0</v>
      </c>
      <c r="O567" t="n">
        <v>0</v>
      </c>
      <c r="P567" t="n">
        <v>0</v>
      </c>
      <c r="Q567" t="n">
        <v>0</v>
      </c>
      <c r="R567" s="2" t="inlineStr"/>
    </row>
    <row r="568" ht="15" customHeight="1">
      <c r="A568" t="inlineStr">
        <is>
          <t>A 10655-2023</t>
        </is>
      </c>
      <c r="B568" s="1" t="n">
        <v>44988</v>
      </c>
      <c r="C568" s="1" t="n">
        <v>45568</v>
      </c>
      <c r="D568" t="inlineStr">
        <is>
          <t>GOTLANDS LÄN</t>
        </is>
      </c>
      <c r="E568" t="inlineStr">
        <is>
          <t>GOTLAND</t>
        </is>
      </c>
      <c r="F568" t="inlineStr">
        <is>
          <t>Kyrkan</t>
        </is>
      </c>
      <c r="G568" t="n">
        <v>2</v>
      </c>
      <c r="H568" t="n">
        <v>0</v>
      </c>
      <c r="I568" t="n">
        <v>0</v>
      </c>
      <c r="J568" t="n">
        <v>0</v>
      </c>
      <c r="K568" t="n">
        <v>0</v>
      </c>
      <c r="L568" t="n">
        <v>0</v>
      </c>
      <c r="M568" t="n">
        <v>0</v>
      </c>
      <c r="N568" t="n">
        <v>0</v>
      </c>
      <c r="O568" t="n">
        <v>0</v>
      </c>
      <c r="P568" t="n">
        <v>0</v>
      </c>
      <c r="Q568" t="n">
        <v>0</v>
      </c>
      <c r="R568" s="2" t="inlineStr"/>
    </row>
    <row r="569" ht="15" customHeight="1">
      <c r="A569" t="inlineStr">
        <is>
          <t>A 10657-2023</t>
        </is>
      </c>
      <c r="B569" s="1" t="n">
        <v>44988</v>
      </c>
      <c r="C569" s="1" t="n">
        <v>45568</v>
      </c>
      <c r="D569" t="inlineStr">
        <is>
          <t>GOTLANDS LÄN</t>
        </is>
      </c>
      <c r="E569" t="inlineStr">
        <is>
          <t>GOTLAND</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10653-2023</t>
        </is>
      </c>
      <c r="B570" s="1" t="n">
        <v>44988</v>
      </c>
      <c r="C570" s="1" t="n">
        <v>45568</v>
      </c>
      <c r="D570" t="inlineStr">
        <is>
          <t>GOTLANDS LÄN</t>
        </is>
      </c>
      <c r="E570" t="inlineStr">
        <is>
          <t>GOTLAND</t>
        </is>
      </c>
      <c r="F570" t="inlineStr">
        <is>
          <t>Kyrkan</t>
        </is>
      </c>
      <c r="G570" t="n">
        <v>3</v>
      </c>
      <c r="H570" t="n">
        <v>0</v>
      </c>
      <c r="I570" t="n">
        <v>0</v>
      </c>
      <c r="J570" t="n">
        <v>0</v>
      </c>
      <c r="K570" t="n">
        <v>0</v>
      </c>
      <c r="L570" t="n">
        <v>0</v>
      </c>
      <c r="M570" t="n">
        <v>0</v>
      </c>
      <c r="N570" t="n">
        <v>0</v>
      </c>
      <c r="O570" t="n">
        <v>0</v>
      </c>
      <c r="P570" t="n">
        <v>0</v>
      </c>
      <c r="Q570" t="n">
        <v>0</v>
      </c>
      <c r="R570" s="2" t="inlineStr"/>
    </row>
    <row r="571" ht="15" customHeight="1">
      <c r="A571" t="inlineStr">
        <is>
          <t>A 11115-2023</t>
        </is>
      </c>
      <c r="B571" s="1" t="n">
        <v>44992</v>
      </c>
      <c r="C571" s="1" t="n">
        <v>45568</v>
      </c>
      <c r="D571" t="inlineStr">
        <is>
          <t>GOTLANDS LÄN</t>
        </is>
      </c>
      <c r="E571" t="inlineStr">
        <is>
          <t>GOTLAND</t>
        </is>
      </c>
      <c r="G571" t="n">
        <v>3.5</v>
      </c>
      <c r="H571" t="n">
        <v>0</v>
      </c>
      <c r="I571" t="n">
        <v>0</v>
      </c>
      <c r="J571" t="n">
        <v>0</v>
      </c>
      <c r="K571" t="n">
        <v>0</v>
      </c>
      <c r="L571" t="n">
        <v>0</v>
      </c>
      <c r="M571" t="n">
        <v>0</v>
      </c>
      <c r="N571" t="n">
        <v>0</v>
      </c>
      <c r="O571" t="n">
        <v>0</v>
      </c>
      <c r="P571" t="n">
        <v>0</v>
      </c>
      <c r="Q571" t="n">
        <v>0</v>
      </c>
      <c r="R571" s="2" t="inlineStr"/>
    </row>
    <row r="572" ht="15" customHeight="1">
      <c r="A572" t="inlineStr">
        <is>
          <t>A 12161-2023</t>
        </is>
      </c>
      <c r="B572" s="1" t="n">
        <v>44998</v>
      </c>
      <c r="C572" s="1" t="n">
        <v>45568</v>
      </c>
      <c r="D572" t="inlineStr">
        <is>
          <t>GOTLANDS LÄN</t>
        </is>
      </c>
      <c r="E572" t="inlineStr">
        <is>
          <t>GOTLAND</t>
        </is>
      </c>
      <c r="G572" t="n">
        <v>1.8</v>
      </c>
      <c r="H572" t="n">
        <v>0</v>
      </c>
      <c r="I572" t="n">
        <v>0</v>
      </c>
      <c r="J572" t="n">
        <v>0</v>
      </c>
      <c r="K572" t="n">
        <v>0</v>
      </c>
      <c r="L572" t="n">
        <v>0</v>
      </c>
      <c r="M572" t="n">
        <v>0</v>
      </c>
      <c r="N572" t="n">
        <v>0</v>
      </c>
      <c r="O572" t="n">
        <v>0</v>
      </c>
      <c r="P572" t="n">
        <v>0</v>
      </c>
      <c r="Q572" t="n">
        <v>0</v>
      </c>
      <c r="R572" s="2" t="inlineStr"/>
    </row>
    <row r="573" ht="15" customHeight="1">
      <c r="A573" t="inlineStr">
        <is>
          <t>A 12155-2023</t>
        </is>
      </c>
      <c r="B573" s="1" t="n">
        <v>44998</v>
      </c>
      <c r="C573" s="1" t="n">
        <v>45568</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12596-2023</t>
        </is>
      </c>
      <c r="B574" s="1" t="n">
        <v>45000</v>
      </c>
      <c r="C574" s="1" t="n">
        <v>45568</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13627-2023</t>
        </is>
      </c>
      <c r="B575" s="1" t="n">
        <v>45006</v>
      </c>
      <c r="C575" s="1" t="n">
        <v>45568</v>
      </c>
      <c r="D575" t="inlineStr">
        <is>
          <t>GOTLANDS LÄN</t>
        </is>
      </c>
      <c r="E575" t="inlineStr">
        <is>
          <t>GOTLAND</t>
        </is>
      </c>
      <c r="G575" t="n">
        <v>10.7</v>
      </c>
      <c r="H575" t="n">
        <v>0</v>
      </c>
      <c r="I575" t="n">
        <v>0</v>
      </c>
      <c r="J575" t="n">
        <v>0</v>
      </c>
      <c r="K575" t="n">
        <v>0</v>
      </c>
      <c r="L575" t="n">
        <v>0</v>
      </c>
      <c r="M575" t="n">
        <v>0</v>
      </c>
      <c r="N575" t="n">
        <v>0</v>
      </c>
      <c r="O575" t="n">
        <v>0</v>
      </c>
      <c r="P575" t="n">
        <v>0</v>
      </c>
      <c r="Q575" t="n">
        <v>0</v>
      </c>
      <c r="R575" s="2" t="inlineStr"/>
    </row>
    <row r="576" ht="15" customHeight="1">
      <c r="A576" t="inlineStr">
        <is>
          <t>A 13910-2023</t>
        </is>
      </c>
      <c r="B576" s="1" t="n">
        <v>45008</v>
      </c>
      <c r="C576" s="1" t="n">
        <v>45568</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14635-2023</t>
        </is>
      </c>
      <c r="B577" s="1" t="n">
        <v>45013</v>
      </c>
      <c r="C577" s="1" t="n">
        <v>45568</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14704-2023</t>
        </is>
      </c>
      <c r="B578" s="1" t="n">
        <v>45014</v>
      </c>
      <c r="C578" s="1" t="n">
        <v>45568</v>
      </c>
      <c r="D578" t="inlineStr">
        <is>
          <t>GOTLANDS LÄN</t>
        </is>
      </c>
      <c r="E578" t="inlineStr">
        <is>
          <t>GOTLAND</t>
        </is>
      </c>
      <c r="G578" t="n">
        <v>4.4</v>
      </c>
      <c r="H578" t="n">
        <v>0</v>
      </c>
      <c r="I578" t="n">
        <v>0</v>
      </c>
      <c r="J578" t="n">
        <v>0</v>
      </c>
      <c r="K578" t="n">
        <v>0</v>
      </c>
      <c r="L578" t="n">
        <v>0</v>
      </c>
      <c r="M578" t="n">
        <v>0</v>
      </c>
      <c r="N578" t="n">
        <v>0</v>
      </c>
      <c r="O578" t="n">
        <v>0</v>
      </c>
      <c r="P578" t="n">
        <v>0</v>
      </c>
      <c r="Q578" t="n">
        <v>0</v>
      </c>
      <c r="R578" s="2" t="inlineStr"/>
    </row>
    <row r="579" ht="15" customHeight="1">
      <c r="A579" t="inlineStr">
        <is>
          <t>A 15182-2023</t>
        </is>
      </c>
      <c r="B579" s="1" t="n">
        <v>45016</v>
      </c>
      <c r="C579" s="1" t="n">
        <v>45568</v>
      </c>
      <c r="D579" t="inlineStr">
        <is>
          <t>GOTLANDS LÄN</t>
        </is>
      </c>
      <c r="E579" t="inlineStr">
        <is>
          <t>GOTLAND</t>
        </is>
      </c>
      <c r="G579" t="n">
        <v>3.9</v>
      </c>
      <c r="H579" t="n">
        <v>0</v>
      </c>
      <c r="I579" t="n">
        <v>0</v>
      </c>
      <c r="J579" t="n">
        <v>0</v>
      </c>
      <c r="K579" t="n">
        <v>0</v>
      </c>
      <c r="L579" t="n">
        <v>0</v>
      </c>
      <c r="M579" t="n">
        <v>0</v>
      </c>
      <c r="N579" t="n">
        <v>0</v>
      </c>
      <c r="O579" t="n">
        <v>0</v>
      </c>
      <c r="P579" t="n">
        <v>0</v>
      </c>
      <c r="Q579" t="n">
        <v>0</v>
      </c>
      <c r="R579" s="2" t="inlineStr"/>
    </row>
    <row r="580" ht="15" customHeight="1">
      <c r="A580" t="inlineStr">
        <is>
          <t>A 15216-2023</t>
        </is>
      </c>
      <c r="B580" s="1" t="n">
        <v>45019</v>
      </c>
      <c r="C580" s="1" t="n">
        <v>45568</v>
      </c>
      <c r="D580" t="inlineStr">
        <is>
          <t>GOTLANDS LÄN</t>
        </is>
      </c>
      <c r="E580" t="inlineStr">
        <is>
          <t>GOTLAND</t>
        </is>
      </c>
      <c r="G580" t="n">
        <v>5</v>
      </c>
      <c r="H580" t="n">
        <v>0</v>
      </c>
      <c r="I580" t="n">
        <v>0</v>
      </c>
      <c r="J580" t="n">
        <v>0</v>
      </c>
      <c r="K580" t="n">
        <v>0</v>
      </c>
      <c r="L580" t="n">
        <v>0</v>
      </c>
      <c r="M580" t="n">
        <v>0</v>
      </c>
      <c r="N580" t="n">
        <v>0</v>
      </c>
      <c r="O580" t="n">
        <v>0</v>
      </c>
      <c r="P580" t="n">
        <v>0</v>
      </c>
      <c r="Q580" t="n">
        <v>0</v>
      </c>
      <c r="R580" s="2" t="inlineStr"/>
    </row>
    <row r="581" ht="15" customHeight="1">
      <c r="A581" t="inlineStr">
        <is>
          <t>A 15617-2023</t>
        </is>
      </c>
      <c r="B581" s="1" t="n">
        <v>45020</v>
      </c>
      <c r="C581" s="1" t="n">
        <v>45568</v>
      </c>
      <c r="D581" t="inlineStr">
        <is>
          <t>GOTLANDS LÄN</t>
        </is>
      </c>
      <c r="E581" t="inlineStr">
        <is>
          <t>GOTLAND</t>
        </is>
      </c>
      <c r="G581" t="n">
        <v>6.1</v>
      </c>
      <c r="H581" t="n">
        <v>0</v>
      </c>
      <c r="I581" t="n">
        <v>0</v>
      </c>
      <c r="J581" t="n">
        <v>0</v>
      </c>
      <c r="K581" t="n">
        <v>0</v>
      </c>
      <c r="L581" t="n">
        <v>0</v>
      </c>
      <c r="M581" t="n">
        <v>0</v>
      </c>
      <c r="N581" t="n">
        <v>0</v>
      </c>
      <c r="O581" t="n">
        <v>0</v>
      </c>
      <c r="P581" t="n">
        <v>0</v>
      </c>
      <c r="Q581" t="n">
        <v>0</v>
      </c>
      <c r="R581" s="2" t="inlineStr"/>
    </row>
    <row r="582" ht="15" customHeight="1">
      <c r="A582" t="inlineStr">
        <is>
          <t>A 16501-2023</t>
        </is>
      </c>
      <c r="B582" s="1" t="n">
        <v>45029</v>
      </c>
      <c r="C582" s="1" t="n">
        <v>45568</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17080-2023</t>
        </is>
      </c>
      <c r="B583" s="1" t="n">
        <v>45033</v>
      </c>
      <c r="C583" s="1" t="n">
        <v>45568</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17901-2023</t>
        </is>
      </c>
      <c r="B584" s="1" t="n">
        <v>45039</v>
      </c>
      <c r="C584" s="1" t="n">
        <v>45568</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18889-2023</t>
        </is>
      </c>
      <c r="B585" s="1" t="n">
        <v>45044</v>
      </c>
      <c r="C585" s="1" t="n">
        <v>45568</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20993-2023</t>
        </is>
      </c>
      <c r="B586" s="1" t="n">
        <v>45056</v>
      </c>
      <c r="C586" s="1" t="n">
        <v>45568</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20855-2023</t>
        </is>
      </c>
      <c r="B587" s="1" t="n">
        <v>45058</v>
      </c>
      <c r="C587" s="1" t="n">
        <v>45568</v>
      </c>
      <c r="D587" t="inlineStr">
        <is>
          <t>GOTLANDS LÄN</t>
        </is>
      </c>
      <c r="E587" t="inlineStr">
        <is>
          <t>GOTLAND</t>
        </is>
      </c>
      <c r="G587" t="n">
        <v>1.7</v>
      </c>
      <c r="H587" t="n">
        <v>0</v>
      </c>
      <c r="I587" t="n">
        <v>0</v>
      </c>
      <c r="J587" t="n">
        <v>0</v>
      </c>
      <c r="K587" t="n">
        <v>0</v>
      </c>
      <c r="L587" t="n">
        <v>0</v>
      </c>
      <c r="M587" t="n">
        <v>0</v>
      </c>
      <c r="N587" t="n">
        <v>0</v>
      </c>
      <c r="O587" t="n">
        <v>0</v>
      </c>
      <c r="P587" t="n">
        <v>0</v>
      </c>
      <c r="Q587" t="n">
        <v>0</v>
      </c>
      <c r="R587" s="2" t="inlineStr"/>
    </row>
    <row r="588" ht="15" customHeight="1">
      <c r="A588" t="inlineStr">
        <is>
          <t>A 20856-2023</t>
        </is>
      </c>
      <c r="B588" s="1" t="n">
        <v>45058</v>
      </c>
      <c r="C588" s="1" t="n">
        <v>45568</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20857-2023</t>
        </is>
      </c>
      <c r="B589" s="1" t="n">
        <v>45058</v>
      </c>
      <c r="C589" s="1" t="n">
        <v>45568</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20854-2023</t>
        </is>
      </c>
      <c r="B590" s="1" t="n">
        <v>45058</v>
      </c>
      <c r="C590" s="1" t="n">
        <v>45568</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22275-2023</t>
        </is>
      </c>
      <c r="B591" s="1" t="n">
        <v>45070</v>
      </c>
      <c r="C591" s="1" t="n">
        <v>45568</v>
      </c>
      <c r="D591" t="inlineStr">
        <is>
          <t>GOTLANDS LÄN</t>
        </is>
      </c>
      <c r="E591" t="inlineStr">
        <is>
          <t>GOTLAND</t>
        </is>
      </c>
      <c r="G591" t="n">
        <v>7.2</v>
      </c>
      <c r="H591" t="n">
        <v>0</v>
      </c>
      <c r="I591" t="n">
        <v>0</v>
      </c>
      <c r="J591" t="n">
        <v>0</v>
      </c>
      <c r="K591" t="n">
        <v>0</v>
      </c>
      <c r="L591" t="n">
        <v>0</v>
      </c>
      <c r="M591" t="n">
        <v>0</v>
      </c>
      <c r="N591" t="n">
        <v>0</v>
      </c>
      <c r="O591" t="n">
        <v>0</v>
      </c>
      <c r="P591" t="n">
        <v>0</v>
      </c>
      <c r="Q591" t="n">
        <v>0</v>
      </c>
      <c r="R591" s="2" t="inlineStr"/>
    </row>
    <row r="592" ht="15" customHeight="1">
      <c r="A592" t="inlineStr">
        <is>
          <t>A 22412-2023</t>
        </is>
      </c>
      <c r="B592" s="1" t="n">
        <v>45070</v>
      </c>
      <c r="C592" s="1" t="n">
        <v>45568</v>
      </c>
      <c r="D592" t="inlineStr">
        <is>
          <t>GOTLANDS LÄN</t>
        </is>
      </c>
      <c r="E592" t="inlineStr">
        <is>
          <t>GOTLAND</t>
        </is>
      </c>
      <c r="G592" t="n">
        <v>7.3</v>
      </c>
      <c r="H592" t="n">
        <v>0</v>
      </c>
      <c r="I592" t="n">
        <v>0</v>
      </c>
      <c r="J592" t="n">
        <v>0</v>
      </c>
      <c r="K592" t="n">
        <v>0</v>
      </c>
      <c r="L592" t="n">
        <v>0</v>
      </c>
      <c r="M592" t="n">
        <v>0</v>
      </c>
      <c r="N592" t="n">
        <v>0</v>
      </c>
      <c r="O592" t="n">
        <v>0</v>
      </c>
      <c r="P592" t="n">
        <v>0</v>
      </c>
      <c r="Q592" t="n">
        <v>0</v>
      </c>
      <c r="R592" s="2" t="inlineStr"/>
    </row>
    <row r="593" ht="15" customHeight="1">
      <c r="A593" t="inlineStr">
        <is>
          <t>A 22709-2023</t>
        </is>
      </c>
      <c r="B593" s="1" t="n">
        <v>45071</v>
      </c>
      <c r="C593" s="1" t="n">
        <v>45568</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22704-2023</t>
        </is>
      </c>
      <c r="B594" s="1" t="n">
        <v>45071</v>
      </c>
      <c r="C594" s="1" t="n">
        <v>45568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22708-2023</t>
        </is>
      </c>
      <c r="B595" s="1" t="n">
        <v>45071</v>
      </c>
      <c r="C595" s="1" t="n">
        <v>45568</v>
      </c>
      <c r="D595" t="inlineStr">
        <is>
          <t>GOTLANDS LÄN</t>
        </is>
      </c>
      <c r="E595" t="inlineStr">
        <is>
          <t>GOTLAND</t>
        </is>
      </c>
      <c r="G595" t="n">
        <v>0.6</v>
      </c>
      <c r="H595" t="n">
        <v>0</v>
      </c>
      <c r="I595" t="n">
        <v>0</v>
      </c>
      <c r="J595" t="n">
        <v>0</v>
      </c>
      <c r="K595" t="n">
        <v>0</v>
      </c>
      <c r="L595" t="n">
        <v>0</v>
      </c>
      <c r="M595" t="n">
        <v>0</v>
      </c>
      <c r="N595" t="n">
        <v>0</v>
      </c>
      <c r="O595" t="n">
        <v>0</v>
      </c>
      <c r="P595" t="n">
        <v>0</v>
      </c>
      <c r="Q595" t="n">
        <v>0</v>
      </c>
      <c r="R595" s="2" t="inlineStr"/>
    </row>
    <row r="596" ht="15" customHeight="1">
      <c r="A596" t="inlineStr">
        <is>
          <t>A 22707-2023</t>
        </is>
      </c>
      <c r="B596" s="1" t="n">
        <v>45071</v>
      </c>
      <c r="C596" s="1" t="n">
        <v>45568</v>
      </c>
      <c r="D596" t="inlineStr">
        <is>
          <t>GOTLANDS LÄN</t>
        </is>
      </c>
      <c r="E596" t="inlineStr">
        <is>
          <t>GOTLAND</t>
        </is>
      </c>
      <c r="G596" t="n">
        <v>2.2</v>
      </c>
      <c r="H596" t="n">
        <v>0</v>
      </c>
      <c r="I596" t="n">
        <v>0</v>
      </c>
      <c r="J596" t="n">
        <v>0</v>
      </c>
      <c r="K596" t="n">
        <v>0</v>
      </c>
      <c r="L596" t="n">
        <v>0</v>
      </c>
      <c r="M596" t="n">
        <v>0</v>
      </c>
      <c r="N596" t="n">
        <v>0</v>
      </c>
      <c r="O596" t="n">
        <v>0</v>
      </c>
      <c r="P596" t="n">
        <v>0</v>
      </c>
      <c r="Q596" t="n">
        <v>0</v>
      </c>
      <c r="R596" s="2" t="inlineStr"/>
    </row>
    <row r="597" ht="15" customHeight="1">
      <c r="A597" t="inlineStr">
        <is>
          <t>A 22723-2023</t>
        </is>
      </c>
      <c r="B597" s="1" t="n">
        <v>45071</v>
      </c>
      <c r="C597" s="1" t="n">
        <v>45568</v>
      </c>
      <c r="D597" t="inlineStr">
        <is>
          <t>GOTLANDS LÄN</t>
        </is>
      </c>
      <c r="E597" t="inlineStr">
        <is>
          <t>GOTLAND</t>
        </is>
      </c>
      <c r="G597" t="n">
        <v>2.5</v>
      </c>
      <c r="H597" t="n">
        <v>0</v>
      </c>
      <c r="I597" t="n">
        <v>0</v>
      </c>
      <c r="J597" t="n">
        <v>0</v>
      </c>
      <c r="K597" t="n">
        <v>0</v>
      </c>
      <c r="L597" t="n">
        <v>0</v>
      </c>
      <c r="M597" t="n">
        <v>0</v>
      </c>
      <c r="N597" t="n">
        <v>0</v>
      </c>
      <c r="O597" t="n">
        <v>0</v>
      </c>
      <c r="P597" t="n">
        <v>0</v>
      </c>
      <c r="Q597" t="n">
        <v>0</v>
      </c>
      <c r="R597" s="2" t="inlineStr"/>
    </row>
    <row r="598" ht="15" customHeight="1">
      <c r="A598" t="inlineStr">
        <is>
          <t>A 22706-2023</t>
        </is>
      </c>
      <c r="B598" s="1" t="n">
        <v>45071</v>
      </c>
      <c r="C598" s="1" t="n">
        <v>45568</v>
      </c>
      <c r="D598" t="inlineStr">
        <is>
          <t>GOTLANDS LÄN</t>
        </is>
      </c>
      <c r="E598" t="inlineStr">
        <is>
          <t>GOTLAND</t>
        </is>
      </c>
      <c r="G598" t="n">
        <v>1.7</v>
      </c>
      <c r="H598" t="n">
        <v>0</v>
      </c>
      <c r="I598" t="n">
        <v>0</v>
      </c>
      <c r="J598" t="n">
        <v>0</v>
      </c>
      <c r="K598" t="n">
        <v>0</v>
      </c>
      <c r="L598" t="n">
        <v>0</v>
      </c>
      <c r="M598" t="n">
        <v>0</v>
      </c>
      <c r="N598" t="n">
        <v>0</v>
      </c>
      <c r="O598" t="n">
        <v>0</v>
      </c>
      <c r="P598" t="n">
        <v>0</v>
      </c>
      <c r="Q598" t="n">
        <v>0</v>
      </c>
      <c r="R598" s="2" t="inlineStr"/>
    </row>
    <row r="599" ht="15" customHeight="1">
      <c r="A599" t="inlineStr">
        <is>
          <t>A 22890-2023</t>
        </is>
      </c>
      <c r="B599" s="1" t="n">
        <v>45072</v>
      </c>
      <c r="C599" s="1" t="n">
        <v>45568</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22899-2023</t>
        </is>
      </c>
      <c r="B600" s="1" t="n">
        <v>45072</v>
      </c>
      <c r="C600" s="1" t="n">
        <v>45568</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22903-2023</t>
        </is>
      </c>
      <c r="B601" s="1" t="n">
        <v>45072</v>
      </c>
      <c r="C601" s="1" t="n">
        <v>45568</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22897-2023</t>
        </is>
      </c>
      <c r="B602" s="1" t="n">
        <v>45072</v>
      </c>
      <c r="C602" s="1" t="n">
        <v>45568</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23511-2023</t>
        </is>
      </c>
      <c r="B603" s="1" t="n">
        <v>45077</v>
      </c>
      <c r="C603" s="1" t="n">
        <v>45568</v>
      </c>
      <c r="D603" t="inlineStr">
        <is>
          <t>GOTLANDS LÄN</t>
        </is>
      </c>
      <c r="E603" t="inlineStr">
        <is>
          <t>GOTLAND</t>
        </is>
      </c>
      <c r="G603" t="n">
        <v>11.2</v>
      </c>
      <c r="H603" t="n">
        <v>0</v>
      </c>
      <c r="I603" t="n">
        <v>0</v>
      </c>
      <c r="J603" t="n">
        <v>0</v>
      </c>
      <c r="K603" t="n">
        <v>0</v>
      </c>
      <c r="L603" t="n">
        <v>0</v>
      </c>
      <c r="M603" t="n">
        <v>0</v>
      </c>
      <c r="N603" t="n">
        <v>0</v>
      </c>
      <c r="O603" t="n">
        <v>0</v>
      </c>
      <c r="P603" t="n">
        <v>0</v>
      </c>
      <c r="Q603" t="n">
        <v>0</v>
      </c>
      <c r="R603" s="2" t="inlineStr"/>
    </row>
    <row r="604" ht="15" customHeight="1">
      <c r="A604" t="inlineStr">
        <is>
          <t>A 23516-2023</t>
        </is>
      </c>
      <c r="B604" s="1" t="n">
        <v>45077</v>
      </c>
      <c r="C604" s="1" t="n">
        <v>45568</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23858-2023</t>
        </is>
      </c>
      <c r="B605" s="1" t="n">
        <v>45078</v>
      </c>
      <c r="C605" s="1" t="n">
        <v>45568</v>
      </c>
      <c r="D605" t="inlineStr">
        <is>
          <t>GOTLANDS LÄN</t>
        </is>
      </c>
      <c r="E605" t="inlineStr">
        <is>
          <t>GOTLAND</t>
        </is>
      </c>
      <c r="F605" t="inlineStr">
        <is>
          <t>Naturvårdsverket</t>
        </is>
      </c>
      <c r="G605" t="n">
        <v>4.2</v>
      </c>
      <c r="H605" t="n">
        <v>0</v>
      </c>
      <c r="I605" t="n">
        <v>0</v>
      </c>
      <c r="J605" t="n">
        <v>0</v>
      </c>
      <c r="K605" t="n">
        <v>0</v>
      </c>
      <c r="L605" t="n">
        <v>0</v>
      </c>
      <c r="M605" t="n">
        <v>0</v>
      </c>
      <c r="N605" t="n">
        <v>0</v>
      </c>
      <c r="O605" t="n">
        <v>0</v>
      </c>
      <c r="P605" t="n">
        <v>0</v>
      </c>
      <c r="Q605" t="n">
        <v>0</v>
      </c>
      <c r="R605" s="2" t="inlineStr"/>
    </row>
    <row r="606" ht="15" customHeight="1">
      <c r="A606" t="inlineStr">
        <is>
          <t>A 23966-2023</t>
        </is>
      </c>
      <c r="B606" s="1" t="n">
        <v>45078</v>
      </c>
      <c r="C606" s="1" t="n">
        <v>45568</v>
      </c>
      <c r="D606" t="inlineStr">
        <is>
          <t>GOTLANDS LÄN</t>
        </is>
      </c>
      <c r="E606" t="inlineStr">
        <is>
          <t>GOTLAND</t>
        </is>
      </c>
      <c r="G606" t="n">
        <v>2.5</v>
      </c>
      <c r="H606" t="n">
        <v>0</v>
      </c>
      <c r="I606" t="n">
        <v>0</v>
      </c>
      <c r="J606" t="n">
        <v>0</v>
      </c>
      <c r="K606" t="n">
        <v>0</v>
      </c>
      <c r="L606" t="n">
        <v>0</v>
      </c>
      <c r="M606" t="n">
        <v>0</v>
      </c>
      <c r="N606" t="n">
        <v>0</v>
      </c>
      <c r="O606" t="n">
        <v>0</v>
      </c>
      <c r="P606" t="n">
        <v>0</v>
      </c>
      <c r="Q606" t="n">
        <v>0</v>
      </c>
      <c r="R606" s="2" t="inlineStr"/>
    </row>
    <row r="607" ht="15" customHeight="1">
      <c r="A607" t="inlineStr">
        <is>
          <t>A 23978-2023</t>
        </is>
      </c>
      <c r="B607" s="1" t="n">
        <v>45078</v>
      </c>
      <c r="C607" s="1" t="n">
        <v>45568</v>
      </c>
      <c r="D607" t="inlineStr">
        <is>
          <t>GOTLANDS LÄN</t>
        </is>
      </c>
      <c r="E607" t="inlineStr">
        <is>
          <t>GOTLAND</t>
        </is>
      </c>
      <c r="F607" t="inlineStr">
        <is>
          <t>Naturvårdsverket</t>
        </is>
      </c>
      <c r="G607" t="n">
        <v>1.7</v>
      </c>
      <c r="H607" t="n">
        <v>0</v>
      </c>
      <c r="I607" t="n">
        <v>0</v>
      </c>
      <c r="J607" t="n">
        <v>0</v>
      </c>
      <c r="K607" t="n">
        <v>0</v>
      </c>
      <c r="L607" t="n">
        <v>0</v>
      </c>
      <c r="M607" t="n">
        <v>0</v>
      </c>
      <c r="N607" t="n">
        <v>0</v>
      </c>
      <c r="O607" t="n">
        <v>0</v>
      </c>
      <c r="P607" t="n">
        <v>0</v>
      </c>
      <c r="Q607" t="n">
        <v>0</v>
      </c>
      <c r="R607" s="2" t="inlineStr"/>
    </row>
    <row r="608" ht="15" customHeight="1">
      <c r="A608" t="inlineStr">
        <is>
          <t>A 24192-2023</t>
        </is>
      </c>
      <c r="B608" s="1" t="n">
        <v>45079</v>
      </c>
      <c r="C608" s="1" t="n">
        <v>45568</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24719-2023</t>
        </is>
      </c>
      <c r="B609" s="1" t="n">
        <v>45084</v>
      </c>
      <c r="C609" s="1" t="n">
        <v>45568</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24966-2023</t>
        </is>
      </c>
      <c r="B610" s="1" t="n">
        <v>45085</v>
      </c>
      <c r="C610" s="1" t="n">
        <v>45568</v>
      </c>
      <c r="D610" t="inlineStr">
        <is>
          <t>GOTLANDS LÄN</t>
        </is>
      </c>
      <c r="E610" t="inlineStr">
        <is>
          <t>GOTLAND</t>
        </is>
      </c>
      <c r="G610" t="n">
        <v>7</v>
      </c>
      <c r="H610" t="n">
        <v>0</v>
      </c>
      <c r="I610" t="n">
        <v>0</v>
      </c>
      <c r="J610" t="n">
        <v>0</v>
      </c>
      <c r="K610" t="n">
        <v>0</v>
      </c>
      <c r="L610" t="n">
        <v>0</v>
      </c>
      <c r="M610" t="n">
        <v>0</v>
      </c>
      <c r="N610" t="n">
        <v>0</v>
      </c>
      <c r="O610" t="n">
        <v>0</v>
      </c>
      <c r="P610" t="n">
        <v>0</v>
      </c>
      <c r="Q610" t="n">
        <v>0</v>
      </c>
      <c r="R610" s="2" t="inlineStr"/>
    </row>
    <row r="611" ht="15" customHeight="1">
      <c r="A611" t="inlineStr">
        <is>
          <t>A 25129-2023</t>
        </is>
      </c>
      <c r="B611" s="1" t="n">
        <v>45086</v>
      </c>
      <c r="C611" s="1" t="n">
        <v>45568</v>
      </c>
      <c r="D611" t="inlineStr">
        <is>
          <t>GOTLANDS LÄN</t>
        </is>
      </c>
      <c r="E611" t="inlineStr">
        <is>
          <t>GOTLAND</t>
        </is>
      </c>
      <c r="G611" t="n">
        <v>1.5</v>
      </c>
      <c r="H611" t="n">
        <v>0</v>
      </c>
      <c r="I611" t="n">
        <v>0</v>
      </c>
      <c r="J611" t="n">
        <v>0</v>
      </c>
      <c r="K611" t="n">
        <v>0</v>
      </c>
      <c r="L611" t="n">
        <v>0</v>
      </c>
      <c r="M611" t="n">
        <v>0</v>
      </c>
      <c r="N611" t="n">
        <v>0</v>
      </c>
      <c r="O611" t="n">
        <v>0</v>
      </c>
      <c r="P611" t="n">
        <v>0</v>
      </c>
      <c r="Q611" t="n">
        <v>0</v>
      </c>
      <c r="R611" s="2" t="inlineStr"/>
    </row>
    <row r="612" ht="15" customHeight="1">
      <c r="A612" t="inlineStr">
        <is>
          <t>A 27593-2023</t>
        </is>
      </c>
      <c r="B612" s="1" t="n">
        <v>45097</v>
      </c>
      <c r="C612" s="1" t="n">
        <v>45568</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27597-2023</t>
        </is>
      </c>
      <c r="B613" s="1" t="n">
        <v>45097</v>
      </c>
      <c r="C613" s="1" t="n">
        <v>45568</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27602-2023</t>
        </is>
      </c>
      <c r="B614" s="1" t="n">
        <v>45097</v>
      </c>
      <c r="C614" s="1" t="n">
        <v>45568</v>
      </c>
      <c r="D614" t="inlineStr">
        <is>
          <t>GOTLANDS LÄN</t>
        </is>
      </c>
      <c r="E614" t="inlineStr">
        <is>
          <t>GOTLAND</t>
        </is>
      </c>
      <c r="G614" t="n">
        <v>2.7</v>
      </c>
      <c r="H614" t="n">
        <v>0</v>
      </c>
      <c r="I614" t="n">
        <v>0</v>
      </c>
      <c r="J614" t="n">
        <v>0</v>
      </c>
      <c r="K614" t="n">
        <v>0</v>
      </c>
      <c r="L614" t="n">
        <v>0</v>
      </c>
      <c r="M614" t="n">
        <v>0</v>
      </c>
      <c r="N614" t="n">
        <v>0</v>
      </c>
      <c r="O614" t="n">
        <v>0</v>
      </c>
      <c r="P614" t="n">
        <v>0</v>
      </c>
      <c r="Q614" t="n">
        <v>0</v>
      </c>
      <c r="R614" s="2" t="inlineStr"/>
    </row>
    <row r="615" ht="15" customHeight="1">
      <c r="A615" t="inlineStr">
        <is>
          <t>A 27596-2023</t>
        </is>
      </c>
      <c r="B615" s="1" t="n">
        <v>45097</v>
      </c>
      <c r="C615" s="1" t="n">
        <v>45568</v>
      </c>
      <c r="D615" t="inlineStr">
        <is>
          <t>GOTLANDS LÄN</t>
        </is>
      </c>
      <c r="E615" t="inlineStr">
        <is>
          <t>GOTLAND</t>
        </is>
      </c>
      <c r="G615" t="n">
        <v>3.6</v>
      </c>
      <c r="H615" t="n">
        <v>0</v>
      </c>
      <c r="I615" t="n">
        <v>0</v>
      </c>
      <c r="J615" t="n">
        <v>0</v>
      </c>
      <c r="K615" t="n">
        <v>0</v>
      </c>
      <c r="L615" t="n">
        <v>0</v>
      </c>
      <c r="M615" t="n">
        <v>0</v>
      </c>
      <c r="N615" t="n">
        <v>0</v>
      </c>
      <c r="O615" t="n">
        <v>0</v>
      </c>
      <c r="P615" t="n">
        <v>0</v>
      </c>
      <c r="Q615" t="n">
        <v>0</v>
      </c>
      <c r="R615" s="2" t="inlineStr"/>
    </row>
    <row r="616" ht="15" customHeight="1">
      <c r="A616" t="inlineStr">
        <is>
          <t>A 28228-2023</t>
        </is>
      </c>
      <c r="B616" s="1" t="n">
        <v>45099</v>
      </c>
      <c r="C616" s="1" t="n">
        <v>45568</v>
      </c>
      <c r="D616" t="inlineStr">
        <is>
          <t>GOTLANDS LÄN</t>
        </is>
      </c>
      <c r="E616" t="inlineStr">
        <is>
          <t>GOTLAND</t>
        </is>
      </c>
      <c r="G616" t="n">
        <v>1</v>
      </c>
      <c r="H616" t="n">
        <v>0</v>
      </c>
      <c r="I616" t="n">
        <v>0</v>
      </c>
      <c r="J616" t="n">
        <v>0</v>
      </c>
      <c r="K616" t="n">
        <v>0</v>
      </c>
      <c r="L616" t="n">
        <v>0</v>
      </c>
      <c r="M616" t="n">
        <v>0</v>
      </c>
      <c r="N616" t="n">
        <v>0</v>
      </c>
      <c r="O616" t="n">
        <v>0</v>
      </c>
      <c r="P616" t="n">
        <v>0</v>
      </c>
      <c r="Q616" t="n">
        <v>0</v>
      </c>
      <c r="R616" s="2" t="inlineStr"/>
    </row>
    <row r="617" ht="15" customHeight="1">
      <c r="A617" t="inlineStr">
        <is>
          <t>A 28425-2023</t>
        </is>
      </c>
      <c r="B617" s="1" t="n">
        <v>45102</v>
      </c>
      <c r="C617" s="1" t="n">
        <v>45568</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28486-2023</t>
        </is>
      </c>
      <c r="B618" s="1" t="n">
        <v>45103</v>
      </c>
      <c r="C618" s="1" t="n">
        <v>45568</v>
      </c>
      <c r="D618" t="inlineStr">
        <is>
          <t>GOTLANDS LÄN</t>
        </is>
      </c>
      <c r="E618" t="inlineStr">
        <is>
          <t>GOTLAND</t>
        </is>
      </c>
      <c r="G618" t="n">
        <v>7.7</v>
      </c>
      <c r="H618" t="n">
        <v>0</v>
      </c>
      <c r="I618" t="n">
        <v>0</v>
      </c>
      <c r="J618" t="n">
        <v>0</v>
      </c>
      <c r="K618" t="n">
        <v>0</v>
      </c>
      <c r="L618" t="n">
        <v>0</v>
      </c>
      <c r="M618" t="n">
        <v>0</v>
      </c>
      <c r="N618" t="n">
        <v>0</v>
      </c>
      <c r="O618" t="n">
        <v>0</v>
      </c>
      <c r="P618" t="n">
        <v>0</v>
      </c>
      <c r="Q618" t="n">
        <v>0</v>
      </c>
      <c r="R618" s="2" t="inlineStr"/>
    </row>
    <row r="619" ht="15" customHeight="1">
      <c r="A619" t="inlineStr">
        <is>
          <t>A 28485-2023</t>
        </is>
      </c>
      <c r="B619" s="1" t="n">
        <v>45103</v>
      </c>
      <c r="C619" s="1" t="n">
        <v>45568</v>
      </c>
      <c r="D619" t="inlineStr">
        <is>
          <t>GOTLANDS LÄN</t>
        </is>
      </c>
      <c r="E619" t="inlineStr">
        <is>
          <t>GOTLAND</t>
        </is>
      </c>
      <c r="G619" t="n">
        <v>2.3</v>
      </c>
      <c r="H619" t="n">
        <v>0</v>
      </c>
      <c r="I619" t="n">
        <v>0</v>
      </c>
      <c r="J619" t="n">
        <v>0</v>
      </c>
      <c r="K619" t="n">
        <v>0</v>
      </c>
      <c r="L619" t="n">
        <v>0</v>
      </c>
      <c r="M619" t="n">
        <v>0</v>
      </c>
      <c r="N619" t="n">
        <v>0</v>
      </c>
      <c r="O619" t="n">
        <v>0</v>
      </c>
      <c r="P619" t="n">
        <v>0</v>
      </c>
      <c r="Q619" t="n">
        <v>0</v>
      </c>
      <c r="R619" s="2" t="inlineStr"/>
    </row>
    <row r="620" ht="15" customHeight="1">
      <c r="A620" t="inlineStr">
        <is>
          <t>A 28480-2023</t>
        </is>
      </c>
      <c r="B620" s="1" t="n">
        <v>45103</v>
      </c>
      <c r="C620" s="1" t="n">
        <v>45568</v>
      </c>
      <c r="D620" t="inlineStr">
        <is>
          <t>GOTLANDS LÄN</t>
        </is>
      </c>
      <c r="E620" t="inlineStr">
        <is>
          <t>GOTLAND</t>
        </is>
      </c>
      <c r="G620" t="n">
        <v>5.7</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45568</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28560-2023</t>
        </is>
      </c>
      <c r="B622" s="1" t="n">
        <v>45103</v>
      </c>
      <c r="C622" s="1" t="n">
        <v>45568</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29126-2023</t>
        </is>
      </c>
      <c r="B623" s="1" t="n">
        <v>45105</v>
      </c>
      <c r="C623" s="1" t="n">
        <v>45568</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29499-2023</t>
        </is>
      </c>
      <c r="B624" s="1" t="n">
        <v>45106</v>
      </c>
      <c r="C624" s="1" t="n">
        <v>45568</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30164-2023</t>
        </is>
      </c>
      <c r="B625" s="1" t="n">
        <v>45110</v>
      </c>
      <c r="C625" s="1" t="n">
        <v>45568</v>
      </c>
      <c r="D625" t="inlineStr">
        <is>
          <t>GOTLANDS LÄN</t>
        </is>
      </c>
      <c r="E625" t="inlineStr">
        <is>
          <t>GOTLAND</t>
        </is>
      </c>
      <c r="G625" t="n">
        <v>5.5</v>
      </c>
      <c r="H625" t="n">
        <v>0</v>
      </c>
      <c r="I625" t="n">
        <v>0</v>
      </c>
      <c r="J625" t="n">
        <v>0</v>
      </c>
      <c r="K625" t="n">
        <v>0</v>
      </c>
      <c r="L625" t="n">
        <v>0</v>
      </c>
      <c r="M625" t="n">
        <v>0</v>
      </c>
      <c r="N625" t="n">
        <v>0</v>
      </c>
      <c r="O625" t="n">
        <v>0</v>
      </c>
      <c r="P625" t="n">
        <v>0</v>
      </c>
      <c r="Q625" t="n">
        <v>0</v>
      </c>
      <c r="R625" s="2" t="inlineStr"/>
    </row>
    <row r="626" ht="15" customHeight="1">
      <c r="A626" t="inlineStr">
        <is>
          <t>A 30815-2023</t>
        </is>
      </c>
      <c r="B626" s="1" t="n">
        <v>45112</v>
      </c>
      <c r="C626" s="1" t="n">
        <v>45568</v>
      </c>
      <c r="D626" t="inlineStr">
        <is>
          <t>GOTLANDS LÄN</t>
        </is>
      </c>
      <c r="E626" t="inlineStr">
        <is>
          <t>GOTLAND</t>
        </is>
      </c>
      <c r="G626" t="n">
        <v>6</v>
      </c>
      <c r="H626" t="n">
        <v>0</v>
      </c>
      <c r="I626" t="n">
        <v>0</v>
      </c>
      <c r="J626" t="n">
        <v>0</v>
      </c>
      <c r="K626" t="n">
        <v>0</v>
      </c>
      <c r="L626" t="n">
        <v>0</v>
      </c>
      <c r="M626" t="n">
        <v>0</v>
      </c>
      <c r="N626" t="n">
        <v>0</v>
      </c>
      <c r="O626" t="n">
        <v>0</v>
      </c>
      <c r="P626" t="n">
        <v>0</v>
      </c>
      <c r="Q626" t="n">
        <v>0</v>
      </c>
      <c r="R626" s="2" t="inlineStr"/>
    </row>
    <row r="627" ht="15" customHeight="1">
      <c r="A627" t="inlineStr">
        <is>
          <t>A 32737-2023</t>
        </is>
      </c>
      <c r="B627" s="1" t="n">
        <v>45122</v>
      </c>
      <c r="C627" s="1" t="n">
        <v>45568</v>
      </c>
      <c r="D627" t="inlineStr">
        <is>
          <t>GOTLANDS LÄN</t>
        </is>
      </c>
      <c r="E627" t="inlineStr">
        <is>
          <t>GOTLAND</t>
        </is>
      </c>
      <c r="F627" t="inlineStr">
        <is>
          <t>Kyrkan</t>
        </is>
      </c>
      <c r="G627" t="n">
        <v>15.4</v>
      </c>
      <c r="H627" t="n">
        <v>0</v>
      </c>
      <c r="I627" t="n">
        <v>0</v>
      </c>
      <c r="J627" t="n">
        <v>0</v>
      </c>
      <c r="K627" t="n">
        <v>0</v>
      </c>
      <c r="L627" t="n">
        <v>0</v>
      </c>
      <c r="M627" t="n">
        <v>0</v>
      </c>
      <c r="N627" t="n">
        <v>0</v>
      </c>
      <c r="O627" t="n">
        <v>0</v>
      </c>
      <c r="P627" t="n">
        <v>0</v>
      </c>
      <c r="Q627" t="n">
        <v>0</v>
      </c>
      <c r="R627" s="2" t="inlineStr"/>
    </row>
    <row r="628" ht="15" customHeight="1">
      <c r="A628" t="inlineStr">
        <is>
          <t>A 32783-2023</t>
        </is>
      </c>
      <c r="B628" s="1" t="n">
        <v>45124</v>
      </c>
      <c r="C628" s="1" t="n">
        <v>45568</v>
      </c>
      <c r="D628" t="inlineStr">
        <is>
          <t>GOTLANDS LÄN</t>
        </is>
      </c>
      <c r="E628" t="inlineStr">
        <is>
          <t>GOTLAND</t>
        </is>
      </c>
      <c r="G628" t="n">
        <v>17.8</v>
      </c>
      <c r="H628" t="n">
        <v>0</v>
      </c>
      <c r="I628" t="n">
        <v>0</v>
      </c>
      <c r="J628" t="n">
        <v>0</v>
      </c>
      <c r="K628" t="n">
        <v>0</v>
      </c>
      <c r="L628" t="n">
        <v>0</v>
      </c>
      <c r="M628" t="n">
        <v>0</v>
      </c>
      <c r="N628" t="n">
        <v>0</v>
      </c>
      <c r="O628" t="n">
        <v>0</v>
      </c>
      <c r="P628" t="n">
        <v>0</v>
      </c>
      <c r="Q628" t="n">
        <v>0</v>
      </c>
      <c r="R628" s="2" t="inlineStr"/>
    </row>
    <row r="629" ht="15" customHeight="1">
      <c r="A629" t="inlineStr">
        <is>
          <t>A 34081-2023</t>
        </is>
      </c>
      <c r="B629" s="1" t="n">
        <v>45125</v>
      </c>
      <c r="C629" s="1" t="n">
        <v>45568</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34407-2023</t>
        </is>
      </c>
      <c r="B630" s="1" t="n">
        <v>45132</v>
      </c>
      <c r="C630" s="1" t="n">
        <v>45568</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35478-2023</t>
        </is>
      </c>
      <c r="B631" s="1" t="n">
        <v>45146</v>
      </c>
      <c r="C631" s="1" t="n">
        <v>45568</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35512-2023</t>
        </is>
      </c>
      <c r="B632" s="1" t="n">
        <v>45147</v>
      </c>
      <c r="C632" s="1" t="n">
        <v>45568</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35595-2023</t>
        </is>
      </c>
      <c r="B633" s="1" t="n">
        <v>45147</v>
      </c>
      <c r="C633" s="1" t="n">
        <v>45568</v>
      </c>
      <c r="D633" t="inlineStr">
        <is>
          <t>GOTLANDS LÄN</t>
        </is>
      </c>
      <c r="E633" t="inlineStr">
        <is>
          <t>GOTLAND</t>
        </is>
      </c>
      <c r="G633" t="n">
        <v>4.2</v>
      </c>
      <c r="H633" t="n">
        <v>0</v>
      </c>
      <c r="I633" t="n">
        <v>0</v>
      </c>
      <c r="J633" t="n">
        <v>0</v>
      </c>
      <c r="K633" t="n">
        <v>0</v>
      </c>
      <c r="L633" t="n">
        <v>0</v>
      </c>
      <c r="M633" t="n">
        <v>0</v>
      </c>
      <c r="N633" t="n">
        <v>0</v>
      </c>
      <c r="O633" t="n">
        <v>0</v>
      </c>
      <c r="P633" t="n">
        <v>0</v>
      </c>
      <c r="Q633" t="n">
        <v>0</v>
      </c>
      <c r="R633" s="2" t="inlineStr"/>
    </row>
    <row r="634" ht="15" customHeight="1">
      <c r="A634" t="inlineStr">
        <is>
          <t>A 35592-2023</t>
        </is>
      </c>
      <c r="B634" s="1" t="n">
        <v>45147</v>
      </c>
      <c r="C634" s="1" t="n">
        <v>45568</v>
      </c>
      <c r="D634" t="inlineStr">
        <is>
          <t>GOTLANDS LÄN</t>
        </is>
      </c>
      <c r="E634" t="inlineStr">
        <is>
          <t>GOTLAND</t>
        </is>
      </c>
      <c r="G634" t="n">
        <v>5.1</v>
      </c>
      <c r="H634" t="n">
        <v>0</v>
      </c>
      <c r="I634" t="n">
        <v>0</v>
      </c>
      <c r="J634" t="n">
        <v>0</v>
      </c>
      <c r="K634" t="n">
        <v>0</v>
      </c>
      <c r="L634" t="n">
        <v>0</v>
      </c>
      <c r="M634" t="n">
        <v>0</v>
      </c>
      <c r="N634" t="n">
        <v>0</v>
      </c>
      <c r="O634" t="n">
        <v>0</v>
      </c>
      <c r="P634" t="n">
        <v>0</v>
      </c>
      <c r="Q634" t="n">
        <v>0</v>
      </c>
      <c r="R634" s="2" t="inlineStr"/>
    </row>
    <row r="635" ht="15" customHeight="1">
      <c r="A635" t="inlineStr">
        <is>
          <t>A 37591-2023</t>
        </is>
      </c>
      <c r="B635" s="1" t="n">
        <v>45159</v>
      </c>
      <c r="C635" s="1" t="n">
        <v>45568</v>
      </c>
      <c r="D635" t="inlineStr">
        <is>
          <t>GOTLANDS LÄN</t>
        </is>
      </c>
      <c r="E635" t="inlineStr">
        <is>
          <t>GOTLAND</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38234-2023</t>
        </is>
      </c>
      <c r="B636" s="1" t="n">
        <v>45161</v>
      </c>
      <c r="C636" s="1" t="n">
        <v>45568</v>
      </c>
      <c r="D636" t="inlineStr">
        <is>
          <t>GOTLANDS LÄN</t>
        </is>
      </c>
      <c r="E636" t="inlineStr">
        <is>
          <t>GOTLAND</t>
        </is>
      </c>
      <c r="G636" t="n">
        <v>1.3</v>
      </c>
      <c r="H636" t="n">
        <v>0</v>
      </c>
      <c r="I636" t="n">
        <v>0</v>
      </c>
      <c r="J636" t="n">
        <v>0</v>
      </c>
      <c r="K636" t="n">
        <v>0</v>
      </c>
      <c r="L636" t="n">
        <v>0</v>
      </c>
      <c r="M636" t="n">
        <v>0</v>
      </c>
      <c r="N636" t="n">
        <v>0</v>
      </c>
      <c r="O636" t="n">
        <v>0</v>
      </c>
      <c r="P636" t="n">
        <v>0</v>
      </c>
      <c r="Q636" t="n">
        <v>0</v>
      </c>
      <c r="R636" s="2" t="inlineStr"/>
    </row>
    <row r="637" ht="15" customHeight="1">
      <c r="A637" t="inlineStr">
        <is>
          <t>A 38237-2023</t>
        </is>
      </c>
      <c r="B637" s="1" t="n">
        <v>45161</v>
      </c>
      <c r="C637" s="1" t="n">
        <v>45568</v>
      </c>
      <c r="D637" t="inlineStr">
        <is>
          <t>GOTLANDS LÄN</t>
        </is>
      </c>
      <c r="E637" t="inlineStr">
        <is>
          <t>GOTLAND</t>
        </is>
      </c>
      <c r="G637" t="n">
        <v>2.8</v>
      </c>
      <c r="H637" t="n">
        <v>0</v>
      </c>
      <c r="I637" t="n">
        <v>0</v>
      </c>
      <c r="J637" t="n">
        <v>0</v>
      </c>
      <c r="K637" t="n">
        <v>0</v>
      </c>
      <c r="L637" t="n">
        <v>0</v>
      </c>
      <c r="M637" t="n">
        <v>0</v>
      </c>
      <c r="N637" t="n">
        <v>0</v>
      </c>
      <c r="O637" t="n">
        <v>0</v>
      </c>
      <c r="P637" t="n">
        <v>0</v>
      </c>
      <c r="Q637" t="n">
        <v>0</v>
      </c>
      <c r="R637" s="2" t="inlineStr"/>
    </row>
    <row r="638" ht="15" customHeight="1">
      <c r="A638" t="inlineStr">
        <is>
          <t>A 38165-2023</t>
        </is>
      </c>
      <c r="B638" s="1" t="n">
        <v>45161</v>
      </c>
      <c r="C638" s="1" t="n">
        <v>45568</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38787-2023</t>
        </is>
      </c>
      <c r="B639" s="1" t="n">
        <v>45163</v>
      </c>
      <c r="C639" s="1" t="n">
        <v>45568</v>
      </c>
      <c r="D639" t="inlineStr">
        <is>
          <t>GOTLANDS LÄN</t>
        </is>
      </c>
      <c r="E639" t="inlineStr">
        <is>
          <t>GOTLAND</t>
        </is>
      </c>
      <c r="G639" t="n">
        <v>0.4</v>
      </c>
      <c r="H639" t="n">
        <v>0</v>
      </c>
      <c r="I639" t="n">
        <v>0</v>
      </c>
      <c r="J639" t="n">
        <v>0</v>
      </c>
      <c r="K639" t="n">
        <v>0</v>
      </c>
      <c r="L639" t="n">
        <v>0</v>
      </c>
      <c r="M639" t="n">
        <v>0</v>
      </c>
      <c r="N639" t="n">
        <v>0</v>
      </c>
      <c r="O639" t="n">
        <v>0</v>
      </c>
      <c r="P639" t="n">
        <v>0</v>
      </c>
      <c r="Q639" t="n">
        <v>0</v>
      </c>
      <c r="R639" s="2" t="inlineStr"/>
    </row>
    <row r="640" ht="15" customHeight="1">
      <c r="A640" t="inlineStr">
        <is>
          <t>A 39436-2023</t>
        </is>
      </c>
      <c r="B640" s="1" t="n">
        <v>45166</v>
      </c>
      <c r="C640" s="1" t="n">
        <v>45568</v>
      </c>
      <c r="D640" t="inlineStr">
        <is>
          <t>GOTLANDS LÄN</t>
        </is>
      </c>
      <c r="E640" t="inlineStr">
        <is>
          <t>GOTLAND</t>
        </is>
      </c>
      <c r="G640" t="n">
        <v>7</v>
      </c>
      <c r="H640" t="n">
        <v>0</v>
      </c>
      <c r="I640" t="n">
        <v>0</v>
      </c>
      <c r="J640" t="n">
        <v>0</v>
      </c>
      <c r="K640" t="n">
        <v>0</v>
      </c>
      <c r="L640" t="n">
        <v>0</v>
      </c>
      <c r="M640" t="n">
        <v>0</v>
      </c>
      <c r="N640" t="n">
        <v>0</v>
      </c>
      <c r="O640" t="n">
        <v>0</v>
      </c>
      <c r="P640" t="n">
        <v>0</v>
      </c>
      <c r="Q640" t="n">
        <v>0</v>
      </c>
      <c r="R640" s="2" t="inlineStr"/>
    </row>
    <row r="641" ht="15" customHeight="1">
      <c r="A641" t="inlineStr">
        <is>
          <t>A 39371-2023</t>
        </is>
      </c>
      <c r="B641" s="1" t="n">
        <v>45166</v>
      </c>
      <c r="C641" s="1" t="n">
        <v>45568</v>
      </c>
      <c r="D641" t="inlineStr">
        <is>
          <t>GOTLANDS LÄN</t>
        </is>
      </c>
      <c r="E641" t="inlineStr">
        <is>
          <t>GOTLAND</t>
        </is>
      </c>
      <c r="G641" t="n">
        <v>8.4</v>
      </c>
      <c r="H641" t="n">
        <v>0</v>
      </c>
      <c r="I641" t="n">
        <v>0</v>
      </c>
      <c r="J641" t="n">
        <v>0</v>
      </c>
      <c r="K641" t="n">
        <v>0</v>
      </c>
      <c r="L641" t="n">
        <v>0</v>
      </c>
      <c r="M641" t="n">
        <v>0</v>
      </c>
      <c r="N641" t="n">
        <v>0</v>
      </c>
      <c r="O641" t="n">
        <v>0</v>
      </c>
      <c r="P641" t="n">
        <v>0</v>
      </c>
      <c r="Q641" t="n">
        <v>0</v>
      </c>
      <c r="R641" s="2" t="inlineStr"/>
    </row>
    <row r="642" ht="15" customHeight="1">
      <c r="A642" t="inlineStr">
        <is>
          <t>A 39711-2023</t>
        </is>
      </c>
      <c r="B642" s="1" t="n">
        <v>45166</v>
      </c>
      <c r="C642" s="1" t="n">
        <v>45568</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41038-2023</t>
        </is>
      </c>
      <c r="B643" s="1" t="n">
        <v>45173</v>
      </c>
      <c r="C643" s="1" t="n">
        <v>45568</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41378-2023</t>
        </is>
      </c>
      <c r="B644" s="1" t="n">
        <v>45174</v>
      </c>
      <c r="C644" s="1" t="n">
        <v>45568</v>
      </c>
      <c r="D644" t="inlineStr">
        <is>
          <t>GOTLANDS LÄN</t>
        </is>
      </c>
      <c r="E644" t="inlineStr">
        <is>
          <t>GOTLAND</t>
        </is>
      </c>
      <c r="G644" t="n">
        <v>1.6</v>
      </c>
      <c r="H644" t="n">
        <v>0</v>
      </c>
      <c r="I644" t="n">
        <v>0</v>
      </c>
      <c r="J644" t="n">
        <v>0</v>
      </c>
      <c r="K644" t="n">
        <v>0</v>
      </c>
      <c r="L644" t="n">
        <v>0</v>
      </c>
      <c r="M644" t="n">
        <v>0</v>
      </c>
      <c r="N644" t="n">
        <v>0</v>
      </c>
      <c r="O644" t="n">
        <v>0</v>
      </c>
      <c r="P644" t="n">
        <v>0</v>
      </c>
      <c r="Q644" t="n">
        <v>0</v>
      </c>
      <c r="R644" s="2" t="inlineStr"/>
    </row>
    <row r="645" ht="15" customHeight="1">
      <c r="A645" t="inlineStr">
        <is>
          <t>A 41336-2023</t>
        </is>
      </c>
      <c r="B645" s="1" t="n">
        <v>45174</v>
      </c>
      <c r="C645" s="1" t="n">
        <v>45568</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41697-2023</t>
        </is>
      </c>
      <c r="B646" s="1" t="n">
        <v>45176</v>
      </c>
      <c r="C646" s="1" t="n">
        <v>45568</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41893-2023</t>
        </is>
      </c>
      <c r="B647" s="1" t="n">
        <v>45176</v>
      </c>
      <c r="C647" s="1" t="n">
        <v>45568</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42007-2023</t>
        </is>
      </c>
      <c r="B648" s="1" t="n">
        <v>45177</v>
      </c>
      <c r="C648" s="1" t="n">
        <v>45568</v>
      </c>
      <c r="D648" t="inlineStr">
        <is>
          <t>GOTLANDS LÄN</t>
        </is>
      </c>
      <c r="E648" t="inlineStr">
        <is>
          <t>GOTLAND</t>
        </is>
      </c>
      <c r="G648" t="n">
        <v>0.8</v>
      </c>
      <c r="H648" t="n">
        <v>0</v>
      </c>
      <c r="I648" t="n">
        <v>0</v>
      </c>
      <c r="J648" t="n">
        <v>0</v>
      </c>
      <c r="K648" t="n">
        <v>0</v>
      </c>
      <c r="L648" t="n">
        <v>0</v>
      </c>
      <c r="M648" t="n">
        <v>0</v>
      </c>
      <c r="N648" t="n">
        <v>0</v>
      </c>
      <c r="O648" t="n">
        <v>0</v>
      </c>
      <c r="P648" t="n">
        <v>0</v>
      </c>
      <c r="Q648" t="n">
        <v>0</v>
      </c>
      <c r="R648" s="2" t="inlineStr"/>
    </row>
    <row r="649" ht="15" customHeight="1">
      <c r="A649" t="inlineStr">
        <is>
          <t>A 42097-2023</t>
        </is>
      </c>
      <c r="B649" s="1" t="n">
        <v>45177</v>
      </c>
      <c r="C649" s="1" t="n">
        <v>45568</v>
      </c>
      <c r="D649" t="inlineStr">
        <is>
          <t>GOTLANDS LÄN</t>
        </is>
      </c>
      <c r="E649" t="inlineStr">
        <is>
          <t>GOTLAND</t>
        </is>
      </c>
      <c r="G649" t="n">
        <v>3.9</v>
      </c>
      <c r="H649" t="n">
        <v>0</v>
      </c>
      <c r="I649" t="n">
        <v>0</v>
      </c>
      <c r="J649" t="n">
        <v>0</v>
      </c>
      <c r="K649" t="n">
        <v>0</v>
      </c>
      <c r="L649" t="n">
        <v>0</v>
      </c>
      <c r="M649" t="n">
        <v>0</v>
      </c>
      <c r="N649" t="n">
        <v>0</v>
      </c>
      <c r="O649" t="n">
        <v>0</v>
      </c>
      <c r="P649" t="n">
        <v>0</v>
      </c>
      <c r="Q649" t="n">
        <v>0</v>
      </c>
      <c r="R649" s="2" t="inlineStr"/>
    </row>
    <row r="650" ht="15" customHeight="1">
      <c r="A650" t="inlineStr">
        <is>
          <t>A 42201-2023</t>
        </is>
      </c>
      <c r="B650" s="1" t="n">
        <v>45179</v>
      </c>
      <c r="C650" s="1" t="n">
        <v>45568</v>
      </c>
      <c r="D650" t="inlineStr">
        <is>
          <t>GOTLANDS LÄN</t>
        </is>
      </c>
      <c r="E650" t="inlineStr">
        <is>
          <t>GOTLAND</t>
        </is>
      </c>
      <c r="G650" t="n">
        <v>11.9</v>
      </c>
      <c r="H650" t="n">
        <v>0</v>
      </c>
      <c r="I650" t="n">
        <v>0</v>
      </c>
      <c r="J650" t="n">
        <v>0</v>
      </c>
      <c r="K650" t="n">
        <v>0</v>
      </c>
      <c r="L650" t="n">
        <v>0</v>
      </c>
      <c r="M650" t="n">
        <v>0</v>
      </c>
      <c r="N650" t="n">
        <v>0</v>
      </c>
      <c r="O650" t="n">
        <v>0</v>
      </c>
      <c r="P650" t="n">
        <v>0</v>
      </c>
      <c r="Q650" t="n">
        <v>0</v>
      </c>
      <c r="R650" s="2" t="inlineStr"/>
    </row>
    <row r="651" ht="15" customHeight="1">
      <c r="A651" t="inlineStr">
        <is>
          <t>A 42338-2023</t>
        </is>
      </c>
      <c r="B651" s="1" t="n">
        <v>45180</v>
      </c>
      <c r="C651" s="1" t="n">
        <v>45568</v>
      </c>
      <c r="D651" t="inlineStr">
        <is>
          <t>GOTLANDS LÄN</t>
        </is>
      </c>
      <c r="E651" t="inlineStr">
        <is>
          <t>GOTLAND</t>
        </is>
      </c>
      <c r="G651" t="n">
        <v>0.7</v>
      </c>
      <c r="H651" t="n">
        <v>0</v>
      </c>
      <c r="I651" t="n">
        <v>0</v>
      </c>
      <c r="J651" t="n">
        <v>0</v>
      </c>
      <c r="K651" t="n">
        <v>0</v>
      </c>
      <c r="L651" t="n">
        <v>0</v>
      </c>
      <c r="M651" t="n">
        <v>0</v>
      </c>
      <c r="N651" t="n">
        <v>0</v>
      </c>
      <c r="O651" t="n">
        <v>0</v>
      </c>
      <c r="P651" t="n">
        <v>0</v>
      </c>
      <c r="Q651" t="n">
        <v>0</v>
      </c>
      <c r="R651" s="2" t="inlineStr"/>
    </row>
    <row r="652" ht="15" customHeight="1">
      <c r="A652" t="inlineStr">
        <is>
          <t>A 42465-2023</t>
        </is>
      </c>
      <c r="B652" s="1" t="n">
        <v>45180</v>
      </c>
      <c r="C652" s="1" t="n">
        <v>45568</v>
      </c>
      <c r="D652" t="inlineStr">
        <is>
          <t>GOTLANDS LÄN</t>
        </is>
      </c>
      <c r="E652" t="inlineStr">
        <is>
          <t>GOTLAND</t>
        </is>
      </c>
      <c r="G652" t="n">
        <v>0.9</v>
      </c>
      <c r="H652" t="n">
        <v>0</v>
      </c>
      <c r="I652" t="n">
        <v>0</v>
      </c>
      <c r="J652" t="n">
        <v>0</v>
      </c>
      <c r="K652" t="n">
        <v>0</v>
      </c>
      <c r="L652" t="n">
        <v>0</v>
      </c>
      <c r="M652" t="n">
        <v>0</v>
      </c>
      <c r="N652" t="n">
        <v>0</v>
      </c>
      <c r="O652" t="n">
        <v>0</v>
      </c>
      <c r="P652" t="n">
        <v>0</v>
      </c>
      <c r="Q652" t="n">
        <v>0</v>
      </c>
      <c r="R652" s="2" t="inlineStr"/>
    </row>
    <row r="653" ht="15" customHeight="1">
      <c r="A653" t="inlineStr">
        <is>
          <t>A 43223-2023</t>
        </is>
      </c>
      <c r="B653" s="1" t="n">
        <v>45183</v>
      </c>
      <c r="C653" s="1" t="n">
        <v>45568</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43200-2023</t>
        </is>
      </c>
      <c r="B654" s="1" t="n">
        <v>45183</v>
      </c>
      <c r="C654" s="1" t="n">
        <v>45568</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43226-2023</t>
        </is>
      </c>
      <c r="B655" s="1" t="n">
        <v>45183</v>
      </c>
      <c r="C655" s="1" t="n">
        <v>45568</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43231-2023</t>
        </is>
      </c>
      <c r="B656" s="1" t="n">
        <v>45183</v>
      </c>
      <c r="C656" s="1" t="n">
        <v>45568</v>
      </c>
      <c r="D656" t="inlineStr">
        <is>
          <t>GOTLANDS LÄN</t>
        </is>
      </c>
      <c r="E656" t="inlineStr">
        <is>
          <t>GOTLAND</t>
        </is>
      </c>
      <c r="G656" t="n">
        <v>3.6</v>
      </c>
      <c r="H656" t="n">
        <v>0</v>
      </c>
      <c r="I656" t="n">
        <v>0</v>
      </c>
      <c r="J656" t="n">
        <v>0</v>
      </c>
      <c r="K656" t="n">
        <v>0</v>
      </c>
      <c r="L656" t="n">
        <v>0</v>
      </c>
      <c r="M656" t="n">
        <v>0</v>
      </c>
      <c r="N656" t="n">
        <v>0</v>
      </c>
      <c r="O656" t="n">
        <v>0</v>
      </c>
      <c r="P656" t="n">
        <v>0</v>
      </c>
      <c r="Q656" t="n">
        <v>0</v>
      </c>
      <c r="R656" s="2" t="inlineStr"/>
    </row>
    <row r="657" ht="15" customHeight="1">
      <c r="A657" t="inlineStr">
        <is>
          <t>A 43220-2023</t>
        </is>
      </c>
      <c r="B657" s="1" t="n">
        <v>45183</v>
      </c>
      <c r="C657" s="1" t="n">
        <v>45568</v>
      </c>
      <c r="D657" t="inlineStr">
        <is>
          <t>GOTLANDS LÄN</t>
        </is>
      </c>
      <c r="E657" t="inlineStr">
        <is>
          <t>GOTLAND</t>
        </is>
      </c>
      <c r="G657" t="n">
        <v>3.3</v>
      </c>
      <c r="H657" t="n">
        <v>0</v>
      </c>
      <c r="I657" t="n">
        <v>0</v>
      </c>
      <c r="J657" t="n">
        <v>0</v>
      </c>
      <c r="K657" t="n">
        <v>0</v>
      </c>
      <c r="L657" t="n">
        <v>0</v>
      </c>
      <c r="M657" t="n">
        <v>0</v>
      </c>
      <c r="N657" t="n">
        <v>0</v>
      </c>
      <c r="O657" t="n">
        <v>0</v>
      </c>
      <c r="P657" t="n">
        <v>0</v>
      </c>
      <c r="Q657" t="n">
        <v>0</v>
      </c>
      <c r="R657" s="2" t="inlineStr"/>
    </row>
    <row r="658" ht="15" customHeight="1">
      <c r="A658" t="inlineStr">
        <is>
          <t>A 43224-2023</t>
        </is>
      </c>
      <c r="B658" s="1" t="n">
        <v>45183</v>
      </c>
      <c r="C658" s="1" t="n">
        <v>45568</v>
      </c>
      <c r="D658" t="inlineStr">
        <is>
          <t>GOTLANDS LÄN</t>
        </is>
      </c>
      <c r="E658" t="inlineStr">
        <is>
          <t>GOTLAND</t>
        </is>
      </c>
      <c r="G658" t="n">
        <v>1.1</v>
      </c>
      <c r="H658" t="n">
        <v>0</v>
      </c>
      <c r="I658" t="n">
        <v>0</v>
      </c>
      <c r="J658" t="n">
        <v>0</v>
      </c>
      <c r="K658" t="n">
        <v>0</v>
      </c>
      <c r="L658" t="n">
        <v>0</v>
      </c>
      <c r="M658" t="n">
        <v>0</v>
      </c>
      <c r="N658" t="n">
        <v>0</v>
      </c>
      <c r="O658" t="n">
        <v>0</v>
      </c>
      <c r="P658" t="n">
        <v>0</v>
      </c>
      <c r="Q658" t="n">
        <v>0</v>
      </c>
      <c r="R658" s="2" t="inlineStr"/>
    </row>
    <row r="659" ht="15" customHeight="1">
      <c r="A659" t="inlineStr">
        <is>
          <t>A 43229-2023</t>
        </is>
      </c>
      <c r="B659" s="1" t="n">
        <v>45183</v>
      </c>
      <c r="C659" s="1" t="n">
        <v>45568</v>
      </c>
      <c r="D659" t="inlineStr">
        <is>
          <t>GOTLANDS LÄN</t>
        </is>
      </c>
      <c r="E659" t="inlineStr">
        <is>
          <t>GOTLAND</t>
        </is>
      </c>
      <c r="G659" t="n">
        <v>7.1</v>
      </c>
      <c r="H659" t="n">
        <v>0</v>
      </c>
      <c r="I659" t="n">
        <v>0</v>
      </c>
      <c r="J659" t="n">
        <v>0</v>
      </c>
      <c r="K659" t="n">
        <v>0</v>
      </c>
      <c r="L659" t="n">
        <v>0</v>
      </c>
      <c r="M659" t="n">
        <v>0</v>
      </c>
      <c r="N659" t="n">
        <v>0</v>
      </c>
      <c r="O659" t="n">
        <v>0</v>
      </c>
      <c r="P659" t="n">
        <v>0</v>
      </c>
      <c r="Q659" t="n">
        <v>0</v>
      </c>
      <c r="R659" s="2" t="inlineStr"/>
    </row>
    <row r="660" ht="15" customHeight="1">
      <c r="A660" t="inlineStr">
        <is>
          <t>A 43901-2023</t>
        </is>
      </c>
      <c r="B660" s="1" t="n">
        <v>45187</v>
      </c>
      <c r="C660" s="1" t="n">
        <v>45568</v>
      </c>
      <c r="D660" t="inlineStr">
        <is>
          <t>GOTLANDS LÄN</t>
        </is>
      </c>
      <c r="E660" t="inlineStr">
        <is>
          <t>GOTLAND</t>
        </is>
      </c>
      <c r="G660" t="n">
        <v>5.4</v>
      </c>
      <c r="H660" t="n">
        <v>0</v>
      </c>
      <c r="I660" t="n">
        <v>0</v>
      </c>
      <c r="J660" t="n">
        <v>0</v>
      </c>
      <c r="K660" t="n">
        <v>0</v>
      </c>
      <c r="L660" t="n">
        <v>0</v>
      </c>
      <c r="M660" t="n">
        <v>0</v>
      </c>
      <c r="N660" t="n">
        <v>0</v>
      </c>
      <c r="O660" t="n">
        <v>0</v>
      </c>
      <c r="P660" t="n">
        <v>0</v>
      </c>
      <c r="Q660" t="n">
        <v>0</v>
      </c>
      <c r="R660" s="2" t="inlineStr"/>
    </row>
    <row r="661" ht="15" customHeight="1">
      <c r="A661" t="inlineStr">
        <is>
          <t>A 44189-2023</t>
        </is>
      </c>
      <c r="B661" s="1" t="n">
        <v>45188</v>
      </c>
      <c r="C661" s="1" t="n">
        <v>45568</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44888-2023</t>
        </is>
      </c>
      <c r="B662" s="1" t="n">
        <v>45190</v>
      </c>
      <c r="C662" s="1" t="n">
        <v>45568</v>
      </c>
      <c r="D662" t="inlineStr">
        <is>
          <t>GOTLANDS LÄN</t>
        </is>
      </c>
      <c r="E662" t="inlineStr">
        <is>
          <t>GOTLAND</t>
        </is>
      </c>
      <c r="G662" t="n">
        <v>6.1</v>
      </c>
      <c r="H662" t="n">
        <v>0</v>
      </c>
      <c r="I662" t="n">
        <v>0</v>
      </c>
      <c r="J662" t="n">
        <v>0</v>
      </c>
      <c r="K662" t="n">
        <v>0</v>
      </c>
      <c r="L662" t="n">
        <v>0</v>
      </c>
      <c r="M662" t="n">
        <v>0</v>
      </c>
      <c r="N662" t="n">
        <v>0</v>
      </c>
      <c r="O662" t="n">
        <v>0</v>
      </c>
      <c r="P662" t="n">
        <v>0</v>
      </c>
      <c r="Q662" t="n">
        <v>0</v>
      </c>
      <c r="R662" s="2" t="inlineStr"/>
    </row>
    <row r="663" ht="15" customHeight="1">
      <c r="A663" t="inlineStr">
        <is>
          <t>A 44941-2023</t>
        </is>
      </c>
      <c r="B663" s="1" t="n">
        <v>45190</v>
      </c>
      <c r="C663" s="1" t="n">
        <v>45568</v>
      </c>
      <c r="D663" t="inlineStr">
        <is>
          <t>GOTLANDS LÄN</t>
        </is>
      </c>
      <c r="E663" t="inlineStr">
        <is>
          <t>GOTLAND</t>
        </is>
      </c>
      <c r="G663" t="n">
        <v>2.7</v>
      </c>
      <c r="H663" t="n">
        <v>0</v>
      </c>
      <c r="I663" t="n">
        <v>0</v>
      </c>
      <c r="J663" t="n">
        <v>0</v>
      </c>
      <c r="K663" t="n">
        <v>0</v>
      </c>
      <c r="L663" t="n">
        <v>0</v>
      </c>
      <c r="M663" t="n">
        <v>0</v>
      </c>
      <c r="N663" t="n">
        <v>0</v>
      </c>
      <c r="O663" t="n">
        <v>0</v>
      </c>
      <c r="P663" t="n">
        <v>0</v>
      </c>
      <c r="Q663" t="n">
        <v>0</v>
      </c>
      <c r="R663" s="2" t="inlineStr"/>
    </row>
    <row r="664" ht="15" customHeight="1">
      <c r="A664" t="inlineStr">
        <is>
          <t>A 44953-2023</t>
        </is>
      </c>
      <c r="B664" s="1" t="n">
        <v>45190</v>
      </c>
      <c r="C664" s="1" t="n">
        <v>45568</v>
      </c>
      <c r="D664" t="inlineStr">
        <is>
          <t>GOTLANDS LÄN</t>
        </is>
      </c>
      <c r="E664" t="inlineStr">
        <is>
          <t>GOTLAND</t>
        </is>
      </c>
      <c r="G664" t="n">
        <v>3.7</v>
      </c>
      <c r="H664" t="n">
        <v>0</v>
      </c>
      <c r="I664" t="n">
        <v>0</v>
      </c>
      <c r="J664" t="n">
        <v>0</v>
      </c>
      <c r="K664" t="n">
        <v>0</v>
      </c>
      <c r="L664" t="n">
        <v>0</v>
      </c>
      <c r="M664" t="n">
        <v>0</v>
      </c>
      <c r="N664" t="n">
        <v>0</v>
      </c>
      <c r="O664" t="n">
        <v>0</v>
      </c>
      <c r="P664" t="n">
        <v>0</v>
      </c>
      <c r="Q664" t="n">
        <v>0</v>
      </c>
      <c r="R664" s="2" t="inlineStr"/>
    </row>
    <row r="665" ht="15" customHeight="1">
      <c r="A665" t="inlineStr">
        <is>
          <t>A 44918-2023</t>
        </is>
      </c>
      <c r="B665" s="1" t="n">
        <v>45190</v>
      </c>
      <c r="C665" s="1" t="n">
        <v>45568</v>
      </c>
      <c r="D665" t="inlineStr">
        <is>
          <t>GOTLANDS LÄN</t>
        </is>
      </c>
      <c r="E665" t="inlineStr">
        <is>
          <t>GOTLAND</t>
        </is>
      </c>
      <c r="G665" t="n">
        <v>1.6</v>
      </c>
      <c r="H665" t="n">
        <v>0</v>
      </c>
      <c r="I665" t="n">
        <v>0</v>
      </c>
      <c r="J665" t="n">
        <v>0</v>
      </c>
      <c r="K665" t="n">
        <v>0</v>
      </c>
      <c r="L665" t="n">
        <v>0</v>
      </c>
      <c r="M665" t="n">
        <v>0</v>
      </c>
      <c r="N665" t="n">
        <v>0</v>
      </c>
      <c r="O665" t="n">
        <v>0</v>
      </c>
      <c r="P665" t="n">
        <v>0</v>
      </c>
      <c r="Q665" t="n">
        <v>0</v>
      </c>
      <c r="R665" s="2" t="inlineStr"/>
    </row>
    <row r="666" ht="15" customHeight="1">
      <c r="A666" t="inlineStr">
        <is>
          <t>A 44949-2023</t>
        </is>
      </c>
      <c r="B666" s="1" t="n">
        <v>45190</v>
      </c>
      <c r="C666" s="1" t="n">
        <v>45568</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45168-2023</t>
        </is>
      </c>
      <c r="B667" s="1" t="n">
        <v>45191</v>
      </c>
      <c r="C667" s="1" t="n">
        <v>45568</v>
      </c>
      <c r="D667" t="inlineStr">
        <is>
          <t>GOTLANDS LÄN</t>
        </is>
      </c>
      <c r="E667" t="inlineStr">
        <is>
          <t>GOTLAND</t>
        </is>
      </c>
      <c r="G667" t="n">
        <v>1.4</v>
      </c>
      <c r="H667" t="n">
        <v>0</v>
      </c>
      <c r="I667" t="n">
        <v>0</v>
      </c>
      <c r="J667" t="n">
        <v>0</v>
      </c>
      <c r="K667" t="n">
        <v>0</v>
      </c>
      <c r="L667" t="n">
        <v>0</v>
      </c>
      <c r="M667" t="n">
        <v>0</v>
      </c>
      <c r="N667" t="n">
        <v>0</v>
      </c>
      <c r="O667" t="n">
        <v>0</v>
      </c>
      <c r="P667" t="n">
        <v>0</v>
      </c>
      <c r="Q667" t="n">
        <v>0</v>
      </c>
      <c r="R667" s="2" t="inlineStr"/>
    </row>
    <row r="668" ht="15" customHeight="1">
      <c r="A668" t="inlineStr">
        <is>
          <t>A 45600-2023</t>
        </is>
      </c>
      <c r="B668" s="1" t="n">
        <v>45194</v>
      </c>
      <c r="C668" s="1" t="n">
        <v>45568</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45692-2023</t>
        </is>
      </c>
      <c r="B669" s="1" t="n">
        <v>45195</v>
      </c>
      <c r="C669" s="1" t="n">
        <v>45568</v>
      </c>
      <c r="D669" t="inlineStr">
        <is>
          <t>GOTLANDS LÄN</t>
        </is>
      </c>
      <c r="E669" t="inlineStr">
        <is>
          <t>GOTLAND</t>
        </is>
      </c>
      <c r="G669" t="n">
        <v>5.3</v>
      </c>
      <c r="H669" t="n">
        <v>0</v>
      </c>
      <c r="I669" t="n">
        <v>0</v>
      </c>
      <c r="J669" t="n">
        <v>0</v>
      </c>
      <c r="K669" t="n">
        <v>0</v>
      </c>
      <c r="L669" t="n">
        <v>0</v>
      </c>
      <c r="M669" t="n">
        <v>0</v>
      </c>
      <c r="N669" t="n">
        <v>0</v>
      </c>
      <c r="O669" t="n">
        <v>0</v>
      </c>
      <c r="P669" t="n">
        <v>0</v>
      </c>
      <c r="Q669" t="n">
        <v>0</v>
      </c>
      <c r="R669" s="2" t="inlineStr"/>
    </row>
    <row r="670" ht="15" customHeight="1">
      <c r="A670" t="inlineStr">
        <is>
          <t>A 46402-2023</t>
        </is>
      </c>
      <c r="B670" s="1" t="n">
        <v>45197</v>
      </c>
      <c r="C670" s="1" t="n">
        <v>45568</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46396-2023</t>
        </is>
      </c>
      <c r="B671" s="1" t="n">
        <v>45197</v>
      </c>
      <c r="C671" s="1" t="n">
        <v>45568</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46400-2023</t>
        </is>
      </c>
      <c r="B672" s="1" t="n">
        <v>45197</v>
      </c>
      <c r="C672" s="1" t="n">
        <v>45568</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47322-2023</t>
        </is>
      </c>
      <c r="B673" s="1" t="n">
        <v>45202</v>
      </c>
      <c r="C673" s="1" t="n">
        <v>45568</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47762-2023</t>
        </is>
      </c>
      <c r="B674" s="1" t="n">
        <v>45203</v>
      </c>
      <c r="C674" s="1" t="n">
        <v>45568</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49411-2023</t>
        </is>
      </c>
      <c r="B675" s="1" t="n">
        <v>45205</v>
      </c>
      <c r="C675" s="1" t="n">
        <v>45568</v>
      </c>
      <c r="D675" t="inlineStr">
        <is>
          <t>GOTLANDS LÄN</t>
        </is>
      </c>
      <c r="E675" t="inlineStr">
        <is>
          <t>GOTLAND</t>
        </is>
      </c>
      <c r="G675" t="n">
        <v>2</v>
      </c>
      <c r="H675" t="n">
        <v>0</v>
      </c>
      <c r="I675" t="n">
        <v>0</v>
      </c>
      <c r="J675" t="n">
        <v>0</v>
      </c>
      <c r="K675" t="n">
        <v>0</v>
      </c>
      <c r="L675" t="n">
        <v>0</v>
      </c>
      <c r="M675" t="n">
        <v>0</v>
      </c>
      <c r="N675" t="n">
        <v>0</v>
      </c>
      <c r="O675" t="n">
        <v>0</v>
      </c>
      <c r="P675" t="n">
        <v>0</v>
      </c>
      <c r="Q675" t="n">
        <v>0</v>
      </c>
      <c r="R675" s="2" t="inlineStr"/>
    </row>
    <row r="676" ht="15" customHeight="1">
      <c r="A676" t="inlineStr">
        <is>
          <t>A 48503-2023</t>
        </is>
      </c>
      <c r="B676" s="1" t="n">
        <v>45207</v>
      </c>
      <c r="C676" s="1" t="n">
        <v>45568</v>
      </c>
      <c r="D676" t="inlineStr">
        <is>
          <t>GOTLANDS LÄN</t>
        </is>
      </c>
      <c r="E676" t="inlineStr">
        <is>
          <t>GOTLAND</t>
        </is>
      </c>
      <c r="G676" t="n">
        <v>1.6</v>
      </c>
      <c r="H676" t="n">
        <v>0</v>
      </c>
      <c r="I676" t="n">
        <v>0</v>
      </c>
      <c r="J676" t="n">
        <v>0</v>
      </c>
      <c r="K676" t="n">
        <v>0</v>
      </c>
      <c r="L676" t="n">
        <v>0</v>
      </c>
      <c r="M676" t="n">
        <v>0</v>
      </c>
      <c r="N676" t="n">
        <v>0</v>
      </c>
      <c r="O676" t="n">
        <v>0</v>
      </c>
      <c r="P676" t="n">
        <v>0</v>
      </c>
      <c r="Q676" t="n">
        <v>0</v>
      </c>
      <c r="R676" s="2" t="inlineStr"/>
    </row>
    <row r="677" ht="15" customHeight="1">
      <c r="A677" t="inlineStr">
        <is>
          <t>A 48504-2023</t>
        </is>
      </c>
      <c r="B677" s="1" t="n">
        <v>45207</v>
      </c>
      <c r="C677" s="1" t="n">
        <v>45568</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48745-2023</t>
        </is>
      </c>
      <c r="B678" s="1" t="n">
        <v>45208</v>
      </c>
      <c r="C678" s="1" t="n">
        <v>45568</v>
      </c>
      <c r="D678" t="inlineStr">
        <is>
          <t>GOTLANDS LÄN</t>
        </is>
      </c>
      <c r="E678" t="inlineStr">
        <is>
          <t>GOTLAND</t>
        </is>
      </c>
      <c r="G678" t="n">
        <v>3.6</v>
      </c>
      <c r="H678" t="n">
        <v>0</v>
      </c>
      <c r="I678" t="n">
        <v>0</v>
      </c>
      <c r="J678" t="n">
        <v>0</v>
      </c>
      <c r="K678" t="n">
        <v>0</v>
      </c>
      <c r="L678" t="n">
        <v>0</v>
      </c>
      <c r="M678" t="n">
        <v>0</v>
      </c>
      <c r="N678" t="n">
        <v>0</v>
      </c>
      <c r="O678" t="n">
        <v>0</v>
      </c>
      <c r="P678" t="n">
        <v>0</v>
      </c>
      <c r="Q678" t="n">
        <v>0</v>
      </c>
      <c r="R678" s="2" t="inlineStr"/>
    </row>
    <row r="679" ht="15" customHeight="1">
      <c r="A679" t="inlineStr">
        <is>
          <t>A 49693-2023</t>
        </is>
      </c>
      <c r="B679" s="1" t="n">
        <v>45212</v>
      </c>
      <c r="C679" s="1" t="n">
        <v>45568</v>
      </c>
      <c r="D679" t="inlineStr">
        <is>
          <t>GOTLANDS LÄN</t>
        </is>
      </c>
      <c r="E679" t="inlineStr">
        <is>
          <t>GOTLAND</t>
        </is>
      </c>
      <c r="G679" t="n">
        <v>2.4</v>
      </c>
      <c r="H679" t="n">
        <v>0</v>
      </c>
      <c r="I679" t="n">
        <v>0</v>
      </c>
      <c r="J679" t="n">
        <v>0</v>
      </c>
      <c r="K679" t="n">
        <v>0</v>
      </c>
      <c r="L679" t="n">
        <v>0</v>
      </c>
      <c r="M679" t="n">
        <v>0</v>
      </c>
      <c r="N679" t="n">
        <v>0</v>
      </c>
      <c r="O679" t="n">
        <v>0</v>
      </c>
      <c r="P679" t="n">
        <v>0</v>
      </c>
      <c r="Q679" t="n">
        <v>0</v>
      </c>
      <c r="R679" s="2" t="inlineStr"/>
    </row>
    <row r="680" ht="15" customHeight="1">
      <c r="A680" t="inlineStr">
        <is>
          <t>A 49697-2023</t>
        </is>
      </c>
      <c r="B680" s="1" t="n">
        <v>45212</v>
      </c>
      <c r="C680" s="1" t="n">
        <v>45568</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49846-2023</t>
        </is>
      </c>
      <c r="B681" s="1" t="n">
        <v>45212</v>
      </c>
      <c r="C681" s="1" t="n">
        <v>45568</v>
      </c>
      <c r="D681" t="inlineStr">
        <is>
          <t>GOTLANDS LÄN</t>
        </is>
      </c>
      <c r="E681" t="inlineStr">
        <is>
          <t>GOTLAND</t>
        </is>
      </c>
      <c r="G681" t="n">
        <v>16.9</v>
      </c>
      <c r="H681" t="n">
        <v>0</v>
      </c>
      <c r="I681" t="n">
        <v>0</v>
      </c>
      <c r="J681" t="n">
        <v>0</v>
      </c>
      <c r="K681" t="n">
        <v>0</v>
      </c>
      <c r="L681" t="n">
        <v>0</v>
      </c>
      <c r="M681" t="n">
        <v>0</v>
      </c>
      <c r="N681" t="n">
        <v>0</v>
      </c>
      <c r="O681" t="n">
        <v>0</v>
      </c>
      <c r="P681" t="n">
        <v>0</v>
      </c>
      <c r="Q681" t="n">
        <v>0</v>
      </c>
      <c r="R681" s="2" t="inlineStr"/>
    </row>
    <row r="682" ht="15" customHeight="1">
      <c r="A682" t="inlineStr">
        <is>
          <t>A 49884-2023</t>
        </is>
      </c>
      <c r="B682" s="1" t="n">
        <v>45213</v>
      </c>
      <c r="C682" s="1" t="n">
        <v>45568</v>
      </c>
      <c r="D682" t="inlineStr">
        <is>
          <t>GOTLANDS LÄN</t>
        </is>
      </c>
      <c r="E682" t="inlineStr">
        <is>
          <t>GOTLAND</t>
        </is>
      </c>
      <c r="G682" t="n">
        <v>8.9</v>
      </c>
      <c r="H682" t="n">
        <v>0</v>
      </c>
      <c r="I682" t="n">
        <v>0</v>
      </c>
      <c r="J682" t="n">
        <v>0</v>
      </c>
      <c r="K682" t="n">
        <v>0</v>
      </c>
      <c r="L682" t="n">
        <v>0</v>
      </c>
      <c r="M682" t="n">
        <v>0</v>
      </c>
      <c r="N682" t="n">
        <v>0</v>
      </c>
      <c r="O682" t="n">
        <v>0</v>
      </c>
      <c r="P682" t="n">
        <v>0</v>
      </c>
      <c r="Q682" t="n">
        <v>0</v>
      </c>
      <c r="R682" s="2" t="inlineStr"/>
    </row>
    <row r="683" ht="15" customHeight="1">
      <c r="A683" t="inlineStr">
        <is>
          <t>A 49962-2023</t>
        </is>
      </c>
      <c r="B683" s="1" t="n">
        <v>45215</v>
      </c>
      <c r="C683" s="1" t="n">
        <v>45568</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49966-2023</t>
        </is>
      </c>
      <c r="B684" s="1" t="n">
        <v>45215</v>
      </c>
      <c r="C684" s="1" t="n">
        <v>45568</v>
      </c>
      <c r="D684" t="inlineStr">
        <is>
          <t>GOTLANDS LÄN</t>
        </is>
      </c>
      <c r="E684" t="inlineStr">
        <is>
          <t>GOTLAND</t>
        </is>
      </c>
      <c r="G684" t="n">
        <v>5</v>
      </c>
      <c r="H684" t="n">
        <v>0</v>
      </c>
      <c r="I684" t="n">
        <v>0</v>
      </c>
      <c r="J684" t="n">
        <v>0</v>
      </c>
      <c r="K684" t="n">
        <v>0</v>
      </c>
      <c r="L684" t="n">
        <v>0</v>
      </c>
      <c r="M684" t="n">
        <v>0</v>
      </c>
      <c r="N684" t="n">
        <v>0</v>
      </c>
      <c r="O684" t="n">
        <v>0</v>
      </c>
      <c r="P684" t="n">
        <v>0</v>
      </c>
      <c r="Q684" t="n">
        <v>0</v>
      </c>
      <c r="R684" s="2" t="inlineStr"/>
    </row>
    <row r="685" ht="15" customHeight="1">
      <c r="A685" t="inlineStr">
        <is>
          <t>A 49964-2023</t>
        </is>
      </c>
      <c r="B685" s="1" t="n">
        <v>45215</v>
      </c>
      <c r="C685" s="1" t="n">
        <v>45568</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49968-2023</t>
        </is>
      </c>
      <c r="B686" s="1" t="n">
        <v>45215</v>
      </c>
      <c r="C686" s="1" t="n">
        <v>45568</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50566-2023</t>
        </is>
      </c>
      <c r="B687" s="1" t="n">
        <v>45217</v>
      </c>
      <c r="C687" s="1" t="n">
        <v>45568</v>
      </c>
      <c r="D687" t="inlineStr">
        <is>
          <t>GOTLANDS LÄN</t>
        </is>
      </c>
      <c r="E687" t="inlineStr">
        <is>
          <t>GOTLAND</t>
        </is>
      </c>
      <c r="G687" t="n">
        <v>5.8</v>
      </c>
      <c r="H687" t="n">
        <v>0</v>
      </c>
      <c r="I687" t="n">
        <v>0</v>
      </c>
      <c r="J687" t="n">
        <v>0</v>
      </c>
      <c r="K687" t="n">
        <v>0</v>
      </c>
      <c r="L687" t="n">
        <v>0</v>
      </c>
      <c r="M687" t="n">
        <v>0</v>
      </c>
      <c r="N687" t="n">
        <v>0</v>
      </c>
      <c r="O687" t="n">
        <v>0</v>
      </c>
      <c r="P687" t="n">
        <v>0</v>
      </c>
      <c r="Q687" t="n">
        <v>0</v>
      </c>
      <c r="R687" s="2" t="inlineStr"/>
    </row>
    <row r="688" ht="15" customHeight="1">
      <c r="A688" t="inlineStr">
        <is>
          <t>A 51035-2023</t>
        </is>
      </c>
      <c r="B688" s="1" t="n">
        <v>45218</v>
      </c>
      <c r="C688" s="1" t="n">
        <v>45568</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51782-2023</t>
        </is>
      </c>
      <c r="B689" s="1" t="n">
        <v>45222</v>
      </c>
      <c r="C689" s="1" t="n">
        <v>45568</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52684-2023</t>
        </is>
      </c>
      <c r="B690" s="1" t="n">
        <v>45225</v>
      </c>
      <c r="C690" s="1" t="n">
        <v>45568</v>
      </c>
      <c r="D690" t="inlineStr">
        <is>
          <t>GOTLANDS LÄN</t>
        </is>
      </c>
      <c r="E690" t="inlineStr">
        <is>
          <t>GOTLAND</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53913-2023</t>
        </is>
      </c>
      <c r="B691" s="1" t="n">
        <v>45231</v>
      </c>
      <c r="C691" s="1" t="n">
        <v>45568</v>
      </c>
      <c r="D691" t="inlineStr">
        <is>
          <t>GOTLANDS LÄN</t>
        </is>
      </c>
      <c r="E691" t="inlineStr">
        <is>
          <t>GOTLAND</t>
        </is>
      </c>
      <c r="G691" t="n">
        <v>6.2</v>
      </c>
      <c r="H691" t="n">
        <v>0</v>
      </c>
      <c r="I691" t="n">
        <v>0</v>
      </c>
      <c r="J691" t="n">
        <v>0</v>
      </c>
      <c r="K691" t="n">
        <v>0</v>
      </c>
      <c r="L691" t="n">
        <v>0</v>
      </c>
      <c r="M691" t="n">
        <v>0</v>
      </c>
      <c r="N691" t="n">
        <v>0</v>
      </c>
      <c r="O691" t="n">
        <v>0</v>
      </c>
      <c r="P691" t="n">
        <v>0</v>
      </c>
      <c r="Q691" t="n">
        <v>0</v>
      </c>
      <c r="R691" s="2" t="inlineStr"/>
    </row>
    <row r="692" ht="15" customHeight="1">
      <c r="A692" t="inlineStr">
        <is>
          <t>A 56115-2023</t>
        </is>
      </c>
      <c r="B692" s="1" t="n">
        <v>45236</v>
      </c>
      <c r="C692" s="1" t="n">
        <v>45568</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57356-2023</t>
        </is>
      </c>
      <c r="B693" s="1" t="n">
        <v>45240</v>
      </c>
      <c r="C693" s="1" t="n">
        <v>45568</v>
      </c>
      <c r="D693" t="inlineStr">
        <is>
          <t>GOTLANDS LÄN</t>
        </is>
      </c>
      <c r="E693" t="inlineStr">
        <is>
          <t>GOTLAND</t>
        </is>
      </c>
      <c r="G693" t="n">
        <v>6.4</v>
      </c>
      <c r="H693" t="n">
        <v>0</v>
      </c>
      <c r="I693" t="n">
        <v>0</v>
      </c>
      <c r="J693" t="n">
        <v>0</v>
      </c>
      <c r="K693" t="n">
        <v>0</v>
      </c>
      <c r="L693" t="n">
        <v>0</v>
      </c>
      <c r="M693" t="n">
        <v>0</v>
      </c>
      <c r="N693" t="n">
        <v>0</v>
      </c>
      <c r="O693" t="n">
        <v>0</v>
      </c>
      <c r="P693" t="n">
        <v>0</v>
      </c>
      <c r="Q693" t="n">
        <v>0</v>
      </c>
      <c r="R693" s="2" t="inlineStr"/>
    </row>
    <row r="694" ht="15" customHeight="1">
      <c r="A694" t="inlineStr">
        <is>
          <t>A 56303-2023</t>
        </is>
      </c>
      <c r="B694" s="1" t="n">
        <v>45242</v>
      </c>
      <c r="C694" s="1" t="n">
        <v>45568</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56568-2023</t>
        </is>
      </c>
      <c r="B695" s="1" t="n">
        <v>45243</v>
      </c>
      <c r="C695" s="1" t="n">
        <v>45568</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56877-2023</t>
        </is>
      </c>
      <c r="B696" s="1" t="n">
        <v>45244</v>
      </c>
      <c r="C696" s="1" t="n">
        <v>45568</v>
      </c>
      <c r="D696" t="inlineStr">
        <is>
          <t>GOTLANDS LÄN</t>
        </is>
      </c>
      <c r="E696" t="inlineStr">
        <is>
          <t>GOTLAND</t>
        </is>
      </c>
      <c r="G696" t="n">
        <v>5.8</v>
      </c>
      <c r="H696" t="n">
        <v>0</v>
      </c>
      <c r="I696" t="n">
        <v>0</v>
      </c>
      <c r="J696" t="n">
        <v>0</v>
      </c>
      <c r="K696" t="n">
        <v>0</v>
      </c>
      <c r="L696" t="n">
        <v>0</v>
      </c>
      <c r="M696" t="n">
        <v>0</v>
      </c>
      <c r="N696" t="n">
        <v>0</v>
      </c>
      <c r="O696" t="n">
        <v>0</v>
      </c>
      <c r="P696" t="n">
        <v>0</v>
      </c>
      <c r="Q696" t="n">
        <v>0</v>
      </c>
      <c r="R696" s="2" t="inlineStr"/>
    </row>
    <row r="697" ht="15" customHeight="1">
      <c r="A697" t="inlineStr">
        <is>
          <t>A 57573-2023</t>
        </is>
      </c>
      <c r="B697" s="1" t="n">
        <v>45246</v>
      </c>
      <c r="C697" s="1" t="n">
        <v>45568</v>
      </c>
      <c r="D697" t="inlineStr">
        <is>
          <t>GOTLANDS LÄN</t>
        </is>
      </c>
      <c r="E697" t="inlineStr">
        <is>
          <t>GOTLAND</t>
        </is>
      </c>
      <c r="G697" t="n">
        <v>1.7</v>
      </c>
      <c r="H697" t="n">
        <v>0</v>
      </c>
      <c r="I697" t="n">
        <v>0</v>
      </c>
      <c r="J697" t="n">
        <v>0</v>
      </c>
      <c r="K697" t="n">
        <v>0</v>
      </c>
      <c r="L697" t="n">
        <v>0</v>
      </c>
      <c r="M697" t="n">
        <v>0</v>
      </c>
      <c r="N697" t="n">
        <v>0</v>
      </c>
      <c r="O697" t="n">
        <v>0</v>
      </c>
      <c r="P697" t="n">
        <v>0</v>
      </c>
      <c r="Q697" t="n">
        <v>0</v>
      </c>
      <c r="R697" s="2" t="inlineStr"/>
    </row>
    <row r="698" ht="15" customHeight="1">
      <c r="A698" t="inlineStr">
        <is>
          <t>A 57652-2023</t>
        </is>
      </c>
      <c r="B698" s="1" t="n">
        <v>45246</v>
      </c>
      <c r="C698" s="1" t="n">
        <v>45568</v>
      </c>
      <c r="D698" t="inlineStr">
        <is>
          <t>GOTLANDS LÄN</t>
        </is>
      </c>
      <c r="E698" t="inlineStr">
        <is>
          <t>GOTLAND</t>
        </is>
      </c>
      <c r="G698" t="n">
        <v>7.2</v>
      </c>
      <c r="H698" t="n">
        <v>0</v>
      </c>
      <c r="I698" t="n">
        <v>0</v>
      </c>
      <c r="J698" t="n">
        <v>0</v>
      </c>
      <c r="K698" t="n">
        <v>0</v>
      </c>
      <c r="L698" t="n">
        <v>0</v>
      </c>
      <c r="M698" t="n">
        <v>0</v>
      </c>
      <c r="N698" t="n">
        <v>0</v>
      </c>
      <c r="O698" t="n">
        <v>0</v>
      </c>
      <c r="P698" t="n">
        <v>0</v>
      </c>
      <c r="Q698" t="n">
        <v>0</v>
      </c>
      <c r="R698" s="2" t="inlineStr"/>
    </row>
    <row r="699" ht="15" customHeight="1">
      <c r="A699" t="inlineStr">
        <is>
          <t>A 57765-2023</t>
        </is>
      </c>
      <c r="B699" s="1" t="n">
        <v>45246</v>
      </c>
      <c r="C699" s="1" t="n">
        <v>45568</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58132-2023</t>
        </is>
      </c>
      <c r="B700" s="1" t="n">
        <v>45250</v>
      </c>
      <c r="C700" s="1" t="n">
        <v>45568</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59559-2023</t>
        </is>
      </c>
      <c r="B701" s="1" t="n">
        <v>45254</v>
      </c>
      <c r="C701" s="1" t="n">
        <v>45568</v>
      </c>
      <c r="D701" t="inlineStr">
        <is>
          <t>GOTLANDS LÄN</t>
        </is>
      </c>
      <c r="E701" t="inlineStr">
        <is>
          <t>GOTLAND</t>
        </is>
      </c>
      <c r="G701" t="n">
        <v>1</v>
      </c>
      <c r="H701" t="n">
        <v>0</v>
      </c>
      <c r="I701" t="n">
        <v>0</v>
      </c>
      <c r="J701" t="n">
        <v>0</v>
      </c>
      <c r="K701" t="n">
        <v>0</v>
      </c>
      <c r="L701" t="n">
        <v>0</v>
      </c>
      <c r="M701" t="n">
        <v>0</v>
      </c>
      <c r="N701" t="n">
        <v>0</v>
      </c>
      <c r="O701" t="n">
        <v>0</v>
      </c>
      <c r="P701" t="n">
        <v>0</v>
      </c>
      <c r="Q701" t="n">
        <v>0</v>
      </c>
      <c r="R701" s="2" t="inlineStr"/>
    </row>
    <row r="702" ht="15" customHeight="1">
      <c r="A702" t="inlineStr">
        <is>
          <t>A 59554-2023</t>
        </is>
      </c>
      <c r="B702" s="1" t="n">
        <v>45254</v>
      </c>
      <c r="C702" s="1" t="n">
        <v>45568</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60269-2023</t>
        </is>
      </c>
      <c r="B703" s="1" t="n">
        <v>45258</v>
      </c>
      <c r="C703" s="1" t="n">
        <v>45568</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60273-2023</t>
        </is>
      </c>
      <c r="B704" s="1" t="n">
        <v>45258</v>
      </c>
      <c r="C704" s="1" t="n">
        <v>45568</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60709-2023</t>
        </is>
      </c>
      <c r="B705" s="1" t="n">
        <v>45260</v>
      </c>
      <c r="C705" s="1" t="n">
        <v>45568</v>
      </c>
      <c r="D705" t="inlineStr">
        <is>
          <t>GOTLANDS LÄN</t>
        </is>
      </c>
      <c r="E705" t="inlineStr">
        <is>
          <t>GOTLAND</t>
        </is>
      </c>
      <c r="G705" t="n">
        <v>1.7</v>
      </c>
      <c r="H705" t="n">
        <v>0</v>
      </c>
      <c r="I705" t="n">
        <v>0</v>
      </c>
      <c r="J705" t="n">
        <v>0</v>
      </c>
      <c r="K705" t="n">
        <v>0</v>
      </c>
      <c r="L705" t="n">
        <v>0</v>
      </c>
      <c r="M705" t="n">
        <v>0</v>
      </c>
      <c r="N705" t="n">
        <v>0</v>
      </c>
      <c r="O705" t="n">
        <v>0</v>
      </c>
      <c r="P705" t="n">
        <v>0</v>
      </c>
      <c r="Q705" t="n">
        <v>0</v>
      </c>
      <c r="R705" s="2" t="inlineStr"/>
    </row>
    <row r="706" ht="15" customHeight="1">
      <c r="A706" t="inlineStr">
        <is>
          <t>A 61175-2023</t>
        </is>
      </c>
      <c r="B706" s="1" t="n">
        <v>45263</v>
      </c>
      <c r="C706" s="1" t="n">
        <v>45568</v>
      </c>
      <c r="D706" t="inlineStr">
        <is>
          <t>GOTLANDS LÄN</t>
        </is>
      </c>
      <c r="E706" t="inlineStr">
        <is>
          <t>GOTLAND</t>
        </is>
      </c>
      <c r="G706" t="n">
        <v>0.9</v>
      </c>
      <c r="H706" t="n">
        <v>0</v>
      </c>
      <c r="I706" t="n">
        <v>0</v>
      </c>
      <c r="J706" t="n">
        <v>0</v>
      </c>
      <c r="K706" t="n">
        <v>0</v>
      </c>
      <c r="L706" t="n">
        <v>0</v>
      </c>
      <c r="M706" t="n">
        <v>0</v>
      </c>
      <c r="N706" t="n">
        <v>0</v>
      </c>
      <c r="O706" t="n">
        <v>0</v>
      </c>
      <c r="P706" t="n">
        <v>0</v>
      </c>
      <c r="Q706" t="n">
        <v>0</v>
      </c>
      <c r="R706" s="2" t="inlineStr"/>
    </row>
    <row r="707" ht="15" customHeight="1">
      <c r="A707" t="inlineStr">
        <is>
          <t>A 61386-2023</t>
        </is>
      </c>
      <c r="B707" s="1" t="n">
        <v>45264</v>
      </c>
      <c r="C707" s="1" t="n">
        <v>45568</v>
      </c>
      <c r="D707" t="inlineStr">
        <is>
          <t>GOTLANDS LÄN</t>
        </is>
      </c>
      <c r="E707" t="inlineStr">
        <is>
          <t>GOTLAND</t>
        </is>
      </c>
      <c r="G707" t="n">
        <v>0.7</v>
      </c>
      <c r="H707" t="n">
        <v>0</v>
      </c>
      <c r="I707" t="n">
        <v>0</v>
      </c>
      <c r="J707" t="n">
        <v>0</v>
      </c>
      <c r="K707" t="n">
        <v>0</v>
      </c>
      <c r="L707" t="n">
        <v>0</v>
      </c>
      <c r="M707" t="n">
        <v>0</v>
      </c>
      <c r="N707" t="n">
        <v>0</v>
      </c>
      <c r="O707" t="n">
        <v>0</v>
      </c>
      <c r="P707" t="n">
        <v>0</v>
      </c>
      <c r="Q707" t="n">
        <v>0</v>
      </c>
      <c r="R707" s="2" t="inlineStr"/>
    </row>
    <row r="708" ht="15" customHeight="1">
      <c r="A708" t="inlineStr">
        <is>
          <t>A 61694-2023</t>
        </is>
      </c>
      <c r="B708" s="1" t="n">
        <v>45264</v>
      </c>
      <c r="C708" s="1" t="n">
        <v>45568</v>
      </c>
      <c r="D708" t="inlineStr">
        <is>
          <t>GOTLANDS LÄN</t>
        </is>
      </c>
      <c r="E708" t="inlineStr">
        <is>
          <t>GOTLAND</t>
        </is>
      </c>
      <c r="G708" t="n">
        <v>4.6</v>
      </c>
      <c r="H708" t="n">
        <v>0</v>
      </c>
      <c r="I708" t="n">
        <v>0</v>
      </c>
      <c r="J708" t="n">
        <v>0</v>
      </c>
      <c r="K708" t="n">
        <v>0</v>
      </c>
      <c r="L708" t="n">
        <v>0</v>
      </c>
      <c r="M708" t="n">
        <v>0</v>
      </c>
      <c r="N708" t="n">
        <v>0</v>
      </c>
      <c r="O708" t="n">
        <v>0</v>
      </c>
      <c r="P708" t="n">
        <v>0</v>
      </c>
      <c r="Q708" t="n">
        <v>0</v>
      </c>
      <c r="R708" s="2" t="inlineStr"/>
    </row>
    <row r="709" ht="15" customHeight="1">
      <c r="A709" t="inlineStr">
        <is>
          <t>A 61596-2023</t>
        </is>
      </c>
      <c r="B709" s="1" t="n">
        <v>45265</v>
      </c>
      <c r="C709" s="1" t="n">
        <v>45568</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61634-2023</t>
        </is>
      </c>
      <c r="B710" s="1" t="n">
        <v>45265</v>
      </c>
      <c r="C710" s="1" t="n">
        <v>45568</v>
      </c>
      <c r="D710" t="inlineStr">
        <is>
          <t>GOTLANDS LÄN</t>
        </is>
      </c>
      <c r="E710" t="inlineStr">
        <is>
          <t>GOTLAND</t>
        </is>
      </c>
      <c r="G710" t="n">
        <v>7.4</v>
      </c>
      <c r="H710" t="n">
        <v>0</v>
      </c>
      <c r="I710" t="n">
        <v>0</v>
      </c>
      <c r="J710" t="n">
        <v>0</v>
      </c>
      <c r="K710" t="n">
        <v>0</v>
      </c>
      <c r="L710" t="n">
        <v>0</v>
      </c>
      <c r="M710" t="n">
        <v>0</v>
      </c>
      <c r="N710" t="n">
        <v>0</v>
      </c>
      <c r="O710" t="n">
        <v>0</v>
      </c>
      <c r="P710" t="n">
        <v>0</v>
      </c>
      <c r="Q710" t="n">
        <v>0</v>
      </c>
      <c r="R710" s="2" t="inlineStr"/>
    </row>
    <row r="711" ht="15" customHeight="1">
      <c r="A711" t="inlineStr">
        <is>
          <t>A 63246-2023</t>
        </is>
      </c>
      <c r="B711" s="1" t="n">
        <v>45273</v>
      </c>
      <c r="C711" s="1" t="n">
        <v>45568</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63303-2023</t>
        </is>
      </c>
      <c r="B712" s="1" t="n">
        <v>45274</v>
      </c>
      <c r="C712" s="1" t="n">
        <v>45568</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63516-2023</t>
        </is>
      </c>
      <c r="B713" s="1" t="n">
        <v>45274</v>
      </c>
      <c r="C713" s="1" t="n">
        <v>45568</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63773-2023</t>
        </is>
      </c>
      <c r="B714" s="1" t="n">
        <v>45278</v>
      </c>
      <c r="C714" s="1" t="n">
        <v>45568</v>
      </c>
      <c r="D714" t="inlineStr">
        <is>
          <t>GOTLANDS LÄN</t>
        </is>
      </c>
      <c r="E714" t="inlineStr">
        <is>
          <t>GOTLAND</t>
        </is>
      </c>
      <c r="G714" t="n">
        <v>8.5</v>
      </c>
      <c r="H714" t="n">
        <v>0</v>
      </c>
      <c r="I714" t="n">
        <v>0</v>
      </c>
      <c r="J714" t="n">
        <v>0</v>
      </c>
      <c r="K714" t="n">
        <v>0</v>
      </c>
      <c r="L714" t="n">
        <v>0</v>
      </c>
      <c r="M714" t="n">
        <v>0</v>
      </c>
      <c r="N714" t="n">
        <v>0</v>
      </c>
      <c r="O714" t="n">
        <v>0</v>
      </c>
      <c r="P714" t="n">
        <v>0</v>
      </c>
      <c r="Q714" t="n">
        <v>0</v>
      </c>
      <c r="R714" s="2" t="inlineStr"/>
    </row>
    <row r="715" ht="15" customHeight="1">
      <c r="A715" t="inlineStr">
        <is>
          <t>A 63763-2023</t>
        </is>
      </c>
      <c r="B715" s="1" t="n">
        <v>45278</v>
      </c>
      <c r="C715" s="1" t="n">
        <v>45568</v>
      </c>
      <c r="D715" t="inlineStr">
        <is>
          <t>GOTLANDS LÄN</t>
        </is>
      </c>
      <c r="E715" t="inlineStr">
        <is>
          <t>GOTLAND</t>
        </is>
      </c>
      <c r="G715" t="n">
        <v>0.5</v>
      </c>
      <c r="H715" t="n">
        <v>0</v>
      </c>
      <c r="I715" t="n">
        <v>0</v>
      </c>
      <c r="J715" t="n">
        <v>0</v>
      </c>
      <c r="K715" t="n">
        <v>0</v>
      </c>
      <c r="L715" t="n">
        <v>0</v>
      </c>
      <c r="M715" t="n">
        <v>0</v>
      </c>
      <c r="N715" t="n">
        <v>0</v>
      </c>
      <c r="O715" t="n">
        <v>0</v>
      </c>
      <c r="P715" t="n">
        <v>0</v>
      </c>
      <c r="Q715" t="n">
        <v>0</v>
      </c>
      <c r="R715" s="2" t="inlineStr"/>
    </row>
    <row r="716" ht="15" customHeight="1">
      <c r="A716" t="inlineStr">
        <is>
          <t>A 63996-2023</t>
        </is>
      </c>
      <c r="B716" s="1" t="n">
        <v>45278</v>
      </c>
      <c r="C716" s="1" t="n">
        <v>45568</v>
      </c>
      <c r="D716" t="inlineStr">
        <is>
          <t>GOTLANDS LÄN</t>
        </is>
      </c>
      <c r="E716" t="inlineStr">
        <is>
          <t>GOTLAND</t>
        </is>
      </c>
      <c r="G716" t="n">
        <v>3.8</v>
      </c>
      <c r="H716" t="n">
        <v>0</v>
      </c>
      <c r="I716" t="n">
        <v>0</v>
      </c>
      <c r="J716" t="n">
        <v>0</v>
      </c>
      <c r="K716" t="n">
        <v>0</v>
      </c>
      <c r="L716" t="n">
        <v>0</v>
      </c>
      <c r="M716" t="n">
        <v>0</v>
      </c>
      <c r="N716" t="n">
        <v>0</v>
      </c>
      <c r="O716" t="n">
        <v>0</v>
      </c>
      <c r="P716" t="n">
        <v>0</v>
      </c>
      <c r="Q716" t="n">
        <v>0</v>
      </c>
      <c r="R716" s="2" t="inlineStr"/>
    </row>
    <row r="717" ht="15" customHeight="1">
      <c r="A717" t="inlineStr">
        <is>
          <t>A 64555-2023</t>
        </is>
      </c>
      <c r="B717" s="1" t="n">
        <v>45281</v>
      </c>
      <c r="C717" s="1" t="n">
        <v>45568</v>
      </c>
      <c r="D717" t="inlineStr">
        <is>
          <t>GOTLANDS LÄN</t>
        </is>
      </c>
      <c r="E717" t="inlineStr">
        <is>
          <t>GOTLAND</t>
        </is>
      </c>
      <c r="G717" t="n">
        <v>3.5</v>
      </c>
      <c r="H717" t="n">
        <v>0</v>
      </c>
      <c r="I717" t="n">
        <v>0</v>
      </c>
      <c r="J717" t="n">
        <v>0</v>
      </c>
      <c r="K717" t="n">
        <v>0</v>
      </c>
      <c r="L717" t="n">
        <v>0</v>
      </c>
      <c r="M717" t="n">
        <v>0</v>
      </c>
      <c r="N717" t="n">
        <v>0</v>
      </c>
      <c r="O717" t="n">
        <v>0</v>
      </c>
      <c r="P717" t="n">
        <v>0</v>
      </c>
      <c r="Q717" t="n">
        <v>0</v>
      </c>
      <c r="R717" s="2" t="inlineStr"/>
    </row>
    <row r="718" ht="15" customHeight="1">
      <c r="A718" t="inlineStr">
        <is>
          <t>A 64660-2023</t>
        </is>
      </c>
      <c r="B718" s="1" t="n">
        <v>45281</v>
      </c>
      <c r="C718" s="1" t="n">
        <v>45568</v>
      </c>
      <c r="D718" t="inlineStr">
        <is>
          <t>GOTLANDS LÄN</t>
        </is>
      </c>
      <c r="E718" t="inlineStr">
        <is>
          <t>GOTLAND</t>
        </is>
      </c>
      <c r="G718" t="n">
        <v>6.3</v>
      </c>
      <c r="H718" t="n">
        <v>0</v>
      </c>
      <c r="I718" t="n">
        <v>0</v>
      </c>
      <c r="J718" t="n">
        <v>0</v>
      </c>
      <c r="K718" t="n">
        <v>0</v>
      </c>
      <c r="L718" t="n">
        <v>0</v>
      </c>
      <c r="M718" t="n">
        <v>0</v>
      </c>
      <c r="N718" t="n">
        <v>0</v>
      </c>
      <c r="O718" t="n">
        <v>0</v>
      </c>
      <c r="P718" t="n">
        <v>0</v>
      </c>
      <c r="Q718" t="n">
        <v>0</v>
      </c>
      <c r="R718" s="2" t="inlineStr"/>
    </row>
    <row r="719" ht="15" customHeight="1">
      <c r="A719" t="inlineStr">
        <is>
          <t>A 64831-2023</t>
        </is>
      </c>
      <c r="B719" s="1" t="n">
        <v>45282</v>
      </c>
      <c r="C719" s="1" t="n">
        <v>45568</v>
      </c>
      <c r="D719" t="inlineStr">
        <is>
          <t>GOTLANDS LÄN</t>
        </is>
      </c>
      <c r="E719" t="inlineStr">
        <is>
          <t>GOTLAND</t>
        </is>
      </c>
      <c r="G719" t="n">
        <v>1.9</v>
      </c>
      <c r="H719" t="n">
        <v>0</v>
      </c>
      <c r="I719" t="n">
        <v>0</v>
      </c>
      <c r="J719" t="n">
        <v>0</v>
      </c>
      <c r="K719" t="n">
        <v>0</v>
      </c>
      <c r="L719" t="n">
        <v>0</v>
      </c>
      <c r="M719" t="n">
        <v>0</v>
      </c>
      <c r="N719" t="n">
        <v>0</v>
      </c>
      <c r="O719" t="n">
        <v>0</v>
      </c>
      <c r="P719" t="n">
        <v>0</v>
      </c>
      <c r="Q719" t="n">
        <v>0</v>
      </c>
      <c r="R719" s="2" t="inlineStr"/>
    </row>
    <row r="720" ht="15" customHeight="1">
      <c r="A720" t="inlineStr">
        <is>
          <t>A 64838-2023</t>
        </is>
      </c>
      <c r="B720" s="1" t="n">
        <v>45282</v>
      </c>
      <c r="C720" s="1" t="n">
        <v>45568</v>
      </c>
      <c r="D720" t="inlineStr">
        <is>
          <t>GOTLANDS LÄN</t>
        </is>
      </c>
      <c r="E720" t="inlineStr">
        <is>
          <t>GOTLAND</t>
        </is>
      </c>
      <c r="G720" t="n">
        <v>7.5</v>
      </c>
      <c r="H720" t="n">
        <v>0</v>
      </c>
      <c r="I720" t="n">
        <v>0</v>
      </c>
      <c r="J720" t="n">
        <v>0</v>
      </c>
      <c r="K720" t="n">
        <v>0</v>
      </c>
      <c r="L720" t="n">
        <v>0</v>
      </c>
      <c r="M720" t="n">
        <v>0</v>
      </c>
      <c r="N720" t="n">
        <v>0</v>
      </c>
      <c r="O720" t="n">
        <v>0</v>
      </c>
      <c r="P720" t="n">
        <v>0</v>
      </c>
      <c r="Q720" t="n">
        <v>0</v>
      </c>
      <c r="R720" s="2" t="inlineStr"/>
    </row>
    <row r="721" ht="15" customHeight="1">
      <c r="A721" t="inlineStr">
        <is>
          <t>A 64969-2023</t>
        </is>
      </c>
      <c r="B721" s="1" t="n">
        <v>45284</v>
      </c>
      <c r="C721" s="1" t="n">
        <v>45568</v>
      </c>
      <c r="D721" t="inlineStr">
        <is>
          <t>GOTLANDS LÄN</t>
        </is>
      </c>
      <c r="E721" t="inlineStr">
        <is>
          <t>GOTLAND</t>
        </is>
      </c>
      <c r="G721" t="n">
        <v>1.2</v>
      </c>
      <c r="H721" t="n">
        <v>0</v>
      </c>
      <c r="I721" t="n">
        <v>0</v>
      </c>
      <c r="J721" t="n">
        <v>0</v>
      </c>
      <c r="K721" t="n">
        <v>0</v>
      </c>
      <c r="L721" t="n">
        <v>0</v>
      </c>
      <c r="M721" t="n">
        <v>0</v>
      </c>
      <c r="N721" t="n">
        <v>0</v>
      </c>
      <c r="O721" t="n">
        <v>0</v>
      </c>
      <c r="P721" t="n">
        <v>0</v>
      </c>
      <c r="Q721" t="n">
        <v>0</v>
      </c>
      <c r="R721" s="2" t="inlineStr"/>
    </row>
    <row r="722" ht="15" customHeight="1">
      <c r="A722" t="inlineStr">
        <is>
          <t>A 65088-2023</t>
        </is>
      </c>
      <c r="B722" s="1" t="n">
        <v>45287</v>
      </c>
      <c r="C722" s="1" t="n">
        <v>45568</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65097-2023</t>
        </is>
      </c>
      <c r="B723" s="1" t="n">
        <v>45287</v>
      </c>
      <c r="C723" s="1" t="n">
        <v>45568</v>
      </c>
      <c r="D723" t="inlineStr">
        <is>
          <t>GOTLANDS LÄN</t>
        </is>
      </c>
      <c r="E723" t="inlineStr">
        <is>
          <t>GOTLAND</t>
        </is>
      </c>
      <c r="G723" t="n">
        <v>15.4</v>
      </c>
      <c r="H723" t="n">
        <v>0</v>
      </c>
      <c r="I723" t="n">
        <v>0</v>
      </c>
      <c r="J723" t="n">
        <v>0</v>
      </c>
      <c r="K723" t="n">
        <v>0</v>
      </c>
      <c r="L723" t="n">
        <v>0</v>
      </c>
      <c r="M723" t="n">
        <v>0</v>
      </c>
      <c r="N723" t="n">
        <v>0</v>
      </c>
      <c r="O723" t="n">
        <v>0</v>
      </c>
      <c r="P723" t="n">
        <v>0</v>
      </c>
      <c r="Q723" t="n">
        <v>0</v>
      </c>
      <c r="R723" s="2" t="inlineStr"/>
    </row>
    <row r="724" ht="15" customHeight="1">
      <c r="A724" t="inlineStr">
        <is>
          <t>A 65249-2023</t>
        </is>
      </c>
      <c r="B724" s="1" t="n">
        <v>45290</v>
      </c>
      <c r="C724" s="1" t="n">
        <v>45568</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98-2024</t>
        </is>
      </c>
      <c r="B725" s="1" t="n">
        <v>45293</v>
      </c>
      <c r="C725" s="1" t="n">
        <v>45568</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450-2024</t>
        </is>
      </c>
      <c r="B726" s="1" t="n">
        <v>45296</v>
      </c>
      <c r="C726" s="1" t="n">
        <v>45568</v>
      </c>
      <c r="D726" t="inlineStr">
        <is>
          <t>GOTLANDS LÄN</t>
        </is>
      </c>
      <c r="E726" t="inlineStr">
        <is>
          <t>GOTLAND</t>
        </is>
      </c>
      <c r="G726" t="n">
        <v>10.1</v>
      </c>
      <c r="H726" t="n">
        <v>0</v>
      </c>
      <c r="I726" t="n">
        <v>0</v>
      </c>
      <c r="J726" t="n">
        <v>0</v>
      </c>
      <c r="K726" t="n">
        <v>0</v>
      </c>
      <c r="L726" t="n">
        <v>0</v>
      </c>
      <c r="M726" t="n">
        <v>0</v>
      </c>
      <c r="N726" t="n">
        <v>0</v>
      </c>
      <c r="O726" t="n">
        <v>0</v>
      </c>
      <c r="P726" t="n">
        <v>0</v>
      </c>
      <c r="Q726" t="n">
        <v>0</v>
      </c>
      <c r="R726" s="2" t="inlineStr"/>
    </row>
    <row r="727" ht="15" customHeight="1">
      <c r="A727" t="inlineStr">
        <is>
          <t>A 533-2024</t>
        </is>
      </c>
      <c r="B727" s="1" t="n">
        <v>45299</v>
      </c>
      <c r="C727" s="1" t="n">
        <v>45568</v>
      </c>
      <c r="D727" t="inlineStr">
        <is>
          <t>GOTLANDS LÄN</t>
        </is>
      </c>
      <c r="E727" t="inlineStr">
        <is>
          <t>GOTLAND</t>
        </is>
      </c>
      <c r="G727" t="n">
        <v>7.1</v>
      </c>
      <c r="H727" t="n">
        <v>0</v>
      </c>
      <c r="I727" t="n">
        <v>0</v>
      </c>
      <c r="J727" t="n">
        <v>0</v>
      </c>
      <c r="K727" t="n">
        <v>0</v>
      </c>
      <c r="L727" t="n">
        <v>0</v>
      </c>
      <c r="M727" t="n">
        <v>0</v>
      </c>
      <c r="N727" t="n">
        <v>0</v>
      </c>
      <c r="O727" t="n">
        <v>0</v>
      </c>
      <c r="P727" t="n">
        <v>0</v>
      </c>
      <c r="Q727" t="n">
        <v>0</v>
      </c>
      <c r="R727" s="2" t="inlineStr"/>
    </row>
    <row r="728" ht="15" customHeight="1">
      <c r="A728" t="inlineStr">
        <is>
          <t>A 796-2024</t>
        </is>
      </c>
      <c r="B728" s="1" t="n">
        <v>45300</v>
      </c>
      <c r="C728" s="1" t="n">
        <v>45568</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873-2024</t>
        </is>
      </c>
      <c r="B729" s="1" t="n">
        <v>45301</v>
      </c>
      <c r="C729" s="1" t="n">
        <v>45568</v>
      </c>
      <c r="D729" t="inlineStr">
        <is>
          <t>GOTLANDS LÄN</t>
        </is>
      </c>
      <c r="E729" t="inlineStr">
        <is>
          <t>GOTLAND</t>
        </is>
      </c>
      <c r="G729" t="n">
        <v>2.7</v>
      </c>
      <c r="H729" t="n">
        <v>0</v>
      </c>
      <c r="I729" t="n">
        <v>0</v>
      </c>
      <c r="J729" t="n">
        <v>0</v>
      </c>
      <c r="K729" t="n">
        <v>0</v>
      </c>
      <c r="L729" t="n">
        <v>0</v>
      </c>
      <c r="M729" t="n">
        <v>0</v>
      </c>
      <c r="N729" t="n">
        <v>0</v>
      </c>
      <c r="O729" t="n">
        <v>0</v>
      </c>
      <c r="P729" t="n">
        <v>0</v>
      </c>
      <c r="Q729" t="n">
        <v>0</v>
      </c>
      <c r="R729" s="2" t="inlineStr"/>
    </row>
    <row r="730" ht="15" customHeight="1">
      <c r="A730" t="inlineStr">
        <is>
          <t>A 876-2024</t>
        </is>
      </c>
      <c r="B730" s="1" t="n">
        <v>45301</v>
      </c>
      <c r="C730" s="1" t="n">
        <v>45568</v>
      </c>
      <c r="D730" t="inlineStr">
        <is>
          <t>GOTLANDS LÄN</t>
        </is>
      </c>
      <c r="E730" t="inlineStr">
        <is>
          <t>GOTLAND</t>
        </is>
      </c>
      <c r="G730" t="n">
        <v>5.3</v>
      </c>
      <c r="H730" t="n">
        <v>0</v>
      </c>
      <c r="I730" t="n">
        <v>0</v>
      </c>
      <c r="J730" t="n">
        <v>0</v>
      </c>
      <c r="K730" t="n">
        <v>0</v>
      </c>
      <c r="L730" t="n">
        <v>0</v>
      </c>
      <c r="M730" t="n">
        <v>0</v>
      </c>
      <c r="N730" t="n">
        <v>0</v>
      </c>
      <c r="O730" t="n">
        <v>0</v>
      </c>
      <c r="P730" t="n">
        <v>0</v>
      </c>
      <c r="Q730" t="n">
        <v>0</v>
      </c>
      <c r="R730" s="2" t="inlineStr"/>
    </row>
    <row r="731" ht="15" customHeight="1">
      <c r="A731" t="inlineStr">
        <is>
          <t>A 999-2024</t>
        </is>
      </c>
      <c r="B731" s="1" t="n">
        <v>45301</v>
      </c>
      <c r="C731" s="1" t="n">
        <v>45568</v>
      </c>
      <c r="D731" t="inlineStr">
        <is>
          <t>GOTLANDS LÄN</t>
        </is>
      </c>
      <c r="E731" t="inlineStr">
        <is>
          <t>GOTLAND</t>
        </is>
      </c>
      <c r="G731" t="n">
        <v>1</v>
      </c>
      <c r="H731" t="n">
        <v>0</v>
      </c>
      <c r="I731" t="n">
        <v>0</v>
      </c>
      <c r="J731" t="n">
        <v>0</v>
      </c>
      <c r="K731" t="n">
        <v>0</v>
      </c>
      <c r="L731" t="n">
        <v>0</v>
      </c>
      <c r="M731" t="n">
        <v>0</v>
      </c>
      <c r="N731" t="n">
        <v>0</v>
      </c>
      <c r="O731" t="n">
        <v>0</v>
      </c>
      <c r="P731" t="n">
        <v>0</v>
      </c>
      <c r="Q731" t="n">
        <v>0</v>
      </c>
      <c r="R731" s="2" t="inlineStr"/>
    </row>
    <row r="732" ht="15" customHeight="1">
      <c r="A732" t="inlineStr">
        <is>
          <t>A 1010-2024</t>
        </is>
      </c>
      <c r="B732" s="1" t="n">
        <v>45301</v>
      </c>
      <c r="C732" s="1" t="n">
        <v>45568</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1000-2024</t>
        </is>
      </c>
      <c r="B733" s="1" t="n">
        <v>45301</v>
      </c>
      <c r="C733" s="1" t="n">
        <v>45568</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1008-2024</t>
        </is>
      </c>
      <c r="B734" s="1" t="n">
        <v>45301</v>
      </c>
      <c r="C734" s="1" t="n">
        <v>45568</v>
      </c>
      <c r="D734" t="inlineStr">
        <is>
          <t>GOTLANDS LÄN</t>
        </is>
      </c>
      <c r="E734" t="inlineStr">
        <is>
          <t>GOTLAND</t>
        </is>
      </c>
      <c r="G734" t="n">
        <v>2.3</v>
      </c>
      <c r="H734" t="n">
        <v>0</v>
      </c>
      <c r="I734" t="n">
        <v>0</v>
      </c>
      <c r="J734" t="n">
        <v>0</v>
      </c>
      <c r="K734" t="n">
        <v>0</v>
      </c>
      <c r="L734" t="n">
        <v>0</v>
      </c>
      <c r="M734" t="n">
        <v>0</v>
      </c>
      <c r="N734" t="n">
        <v>0</v>
      </c>
      <c r="O734" t="n">
        <v>0</v>
      </c>
      <c r="P734" t="n">
        <v>0</v>
      </c>
      <c r="Q734" t="n">
        <v>0</v>
      </c>
      <c r="R734" s="2" t="inlineStr"/>
    </row>
    <row r="735" ht="15" customHeight="1">
      <c r="A735" t="inlineStr">
        <is>
          <t>A 1066-2024</t>
        </is>
      </c>
      <c r="B735" s="1" t="n">
        <v>45302</v>
      </c>
      <c r="C735" s="1" t="n">
        <v>45568</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1321-2024</t>
        </is>
      </c>
      <c r="B736" s="1" t="n">
        <v>45303</v>
      </c>
      <c r="C736" s="1" t="n">
        <v>45568</v>
      </c>
      <c r="D736" t="inlineStr">
        <is>
          <t>GOTLANDS LÄN</t>
        </is>
      </c>
      <c r="E736" t="inlineStr">
        <is>
          <t>GOTLAND</t>
        </is>
      </c>
      <c r="G736" t="n">
        <v>5.5</v>
      </c>
      <c r="H736" t="n">
        <v>0</v>
      </c>
      <c r="I736" t="n">
        <v>0</v>
      </c>
      <c r="J736" t="n">
        <v>0</v>
      </c>
      <c r="K736" t="n">
        <v>0</v>
      </c>
      <c r="L736" t="n">
        <v>0</v>
      </c>
      <c r="M736" t="n">
        <v>0</v>
      </c>
      <c r="N736" t="n">
        <v>0</v>
      </c>
      <c r="O736" t="n">
        <v>0</v>
      </c>
      <c r="P736" t="n">
        <v>0</v>
      </c>
      <c r="Q736" t="n">
        <v>0</v>
      </c>
      <c r="R736" s="2" t="inlineStr"/>
    </row>
    <row r="737" ht="15" customHeight="1">
      <c r="A737" t="inlineStr">
        <is>
          <t>A 1477-2024</t>
        </is>
      </c>
      <c r="B737" s="1" t="n">
        <v>45305</v>
      </c>
      <c r="C737" s="1" t="n">
        <v>45568</v>
      </c>
      <c r="D737" t="inlineStr">
        <is>
          <t>GOTLANDS LÄN</t>
        </is>
      </c>
      <c r="E737" t="inlineStr">
        <is>
          <t>GOTLAND</t>
        </is>
      </c>
      <c r="G737" t="n">
        <v>6.9</v>
      </c>
      <c r="H737" t="n">
        <v>0</v>
      </c>
      <c r="I737" t="n">
        <v>0</v>
      </c>
      <c r="J737" t="n">
        <v>0</v>
      </c>
      <c r="K737" t="n">
        <v>0</v>
      </c>
      <c r="L737" t="n">
        <v>0</v>
      </c>
      <c r="M737" t="n">
        <v>0</v>
      </c>
      <c r="N737" t="n">
        <v>0</v>
      </c>
      <c r="O737" t="n">
        <v>0</v>
      </c>
      <c r="P737" t="n">
        <v>0</v>
      </c>
      <c r="Q737" t="n">
        <v>0</v>
      </c>
      <c r="R737" s="2" t="inlineStr"/>
    </row>
    <row r="738" ht="15" customHeight="1">
      <c r="A738" t="inlineStr">
        <is>
          <t>A 2010-2024</t>
        </is>
      </c>
      <c r="B738" s="1" t="n">
        <v>45308</v>
      </c>
      <c r="C738" s="1" t="n">
        <v>45568</v>
      </c>
      <c r="D738" t="inlineStr">
        <is>
          <t>GOTLANDS LÄN</t>
        </is>
      </c>
      <c r="E738" t="inlineStr">
        <is>
          <t>GOTLAND</t>
        </is>
      </c>
      <c r="G738" t="n">
        <v>5.1</v>
      </c>
      <c r="H738" t="n">
        <v>0</v>
      </c>
      <c r="I738" t="n">
        <v>0</v>
      </c>
      <c r="J738" t="n">
        <v>0</v>
      </c>
      <c r="K738" t="n">
        <v>0</v>
      </c>
      <c r="L738" t="n">
        <v>0</v>
      </c>
      <c r="M738" t="n">
        <v>0</v>
      </c>
      <c r="N738" t="n">
        <v>0</v>
      </c>
      <c r="O738" t="n">
        <v>0</v>
      </c>
      <c r="P738" t="n">
        <v>0</v>
      </c>
      <c r="Q738" t="n">
        <v>0</v>
      </c>
      <c r="R738" s="2" t="inlineStr"/>
    </row>
    <row r="739" ht="15" customHeight="1">
      <c r="A739" t="inlineStr">
        <is>
          <t>A 2534-2024</t>
        </is>
      </c>
      <c r="B739" s="1" t="n">
        <v>45313</v>
      </c>
      <c r="C739" s="1" t="n">
        <v>45568</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2774-2024</t>
        </is>
      </c>
      <c r="B740" s="1" t="n">
        <v>45314</v>
      </c>
      <c r="C740" s="1" t="n">
        <v>45568</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2821-2024</t>
        </is>
      </c>
      <c r="B741" s="1" t="n">
        <v>45314</v>
      </c>
      <c r="C741" s="1" t="n">
        <v>45568</v>
      </c>
      <c r="D741" t="inlineStr">
        <is>
          <t>GOTLANDS LÄN</t>
        </is>
      </c>
      <c r="E741" t="inlineStr">
        <is>
          <t>GOTLAND</t>
        </is>
      </c>
      <c r="G741" t="n">
        <v>1.9</v>
      </c>
      <c r="H741" t="n">
        <v>0</v>
      </c>
      <c r="I741" t="n">
        <v>0</v>
      </c>
      <c r="J741" t="n">
        <v>0</v>
      </c>
      <c r="K741" t="n">
        <v>0</v>
      </c>
      <c r="L741" t="n">
        <v>0</v>
      </c>
      <c r="M741" t="n">
        <v>0</v>
      </c>
      <c r="N741" t="n">
        <v>0</v>
      </c>
      <c r="O741" t="n">
        <v>0</v>
      </c>
      <c r="P741" t="n">
        <v>0</v>
      </c>
      <c r="Q741" t="n">
        <v>0</v>
      </c>
      <c r="R741" s="2" t="inlineStr"/>
    </row>
    <row r="742" ht="15" customHeight="1">
      <c r="A742" t="inlineStr">
        <is>
          <t>A 2825-2024</t>
        </is>
      </c>
      <c r="B742" s="1" t="n">
        <v>45314</v>
      </c>
      <c r="C742" s="1" t="n">
        <v>45568</v>
      </c>
      <c r="D742" t="inlineStr">
        <is>
          <t>GOTLANDS LÄN</t>
        </is>
      </c>
      <c r="E742" t="inlineStr">
        <is>
          <t>GOTLAND</t>
        </is>
      </c>
      <c r="G742" t="n">
        <v>4.8</v>
      </c>
      <c r="H742" t="n">
        <v>0</v>
      </c>
      <c r="I742" t="n">
        <v>0</v>
      </c>
      <c r="J742" t="n">
        <v>0</v>
      </c>
      <c r="K742" t="n">
        <v>0</v>
      </c>
      <c r="L742" t="n">
        <v>0</v>
      </c>
      <c r="M742" t="n">
        <v>0</v>
      </c>
      <c r="N742" t="n">
        <v>0</v>
      </c>
      <c r="O742" t="n">
        <v>0</v>
      </c>
      <c r="P742" t="n">
        <v>0</v>
      </c>
      <c r="Q742" t="n">
        <v>0</v>
      </c>
      <c r="R742" s="2" t="inlineStr"/>
    </row>
    <row r="743" ht="15" customHeight="1">
      <c r="A743" t="inlineStr">
        <is>
          <t>A 2819-2024</t>
        </is>
      </c>
      <c r="B743" s="1" t="n">
        <v>45314</v>
      </c>
      <c r="C743" s="1" t="n">
        <v>45568</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3004-2024</t>
        </is>
      </c>
      <c r="B744" s="1" t="n">
        <v>45315</v>
      </c>
      <c r="C744" s="1" t="n">
        <v>45568</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3689-2024</t>
        </is>
      </c>
      <c r="B745" s="1" t="n">
        <v>45321</v>
      </c>
      <c r="C745" s="1" t="n">
        <v>45568</v>
      </c>
      <c r="D745" t="inlineStr">
        <is>
          <t>GOTLANDS LÄN</t>
        </is>
      </c>
      <c r="E745" t="inlineStr">
        <is>
          <t>GOTLAND</t>
        </is>
      </c>
      <c r="G745" t="n">
        <v>4.5</v>
      </c>
      <c r="H745" t="n">
        <v>0</v>
      </c>
      <c r="I745" t="n">
        <v>0</v>
      </c>
      <c r="J745" t="n">
        <v>0</v>
      </c>
      <c r="K745" t="n">
        <v>0</v>
      </c>
      <c r="L745" t="n">
        <v>0</v>
      </c>
      <c r="M745" t="n">
        <v>0</v>
      </c>
      <c r="N745" t="n">
        <v>0</v>
      </c>
      <c r="O745" t="n">
        <v>0</v>
      </c>
      <c r="P745" t="n">
        <v>0</v>
      </c>
      <c r="Q745" t="n">
        <v>0</v>
      </c>
      <c r="R745" s="2" t="inlineStr"/>
    </row>
    <row r="746" ht="15" customHeight="1">
      <c r="A746" t="inlineStr">
        <is>
          <t>A 3707-2024</t>
        </is>
      </c>
      <c r="B746" s="1" t="n">
        <v>45321</v>
      </c>
      <c r="C746" s="1" t="n">
        <v>45568</v>
      </c>
      <c r="D746" t="inlineStr">
        <is>
          <t>GOTLANDS LÄN</t>
        </is>
      </c>
      <c r="E746" t="inlineStr">
        <is>
          <t>GOTLAND</t>
        </is>
      </c>
      <c r="G746" t="n">
        <v>12.2</v>
      </c>
      <c r="H746" t="n">
        <v>0</v>
      </c>
      <c r="I746" t="n">
        <v>0</v>
      </c>
      <c r="J746" t="n">
        <v>0</v>
      </c>
      <c r="K746" t="n">
        <v>0</v>
      </c>
      <c r="L746" t="n">
        <v>0</v>
      </c>
      <c r="M746" t="n">
        <v>0</v>
      </c>
      <c r="N746" t="n">
        <v>0</v>
      </c>
      <c r="O746" t="n">
        <v>0</v>
      </c>
      <c r="P746" t="n">
        <v>0</v>
      </c>
      <c r="Q746" t="n">
        <v>0</v>
      </c>
      <c r="R746" s="2" t="inlineStr"/>
    </row>
    <row r="747" ht="15" customHeight="1">
      <c r="A747" t="inlineStr">
        <is>
          <t>A 3964-2024</t>
        </is>
      </c>
      <c r="B747" s="1" t="n">
        <v>45322</v>
      </c>
      <c r="C747" s="1" t="n">
        <v>45568</v>
      </c>
      <c r="D747" t="inlineStr">
        <is>
          <t>GOTLANDS LÄN</t>
        </is>
      </c>
      <c r="E747" t="inlineStr">
        <is>
          <t>GOTLAND</t>
        </is>
      </c>
      <c r="G747" t="n">
        <v>1.4</v>
      </c>
      <c r="H747" t="n">
        <v>0</v>
      </c>
      <c r="I747" t="n">
        <v>0</v>
      </c>
      <c r="J747" t="n">
        <v>0</v>
      </c>
      <c r="K747" t="n">
        <v>0</v>
      </c>
      <c r="L747" t="n">
        <v>0</v>
      </c>
      <c r="M747" t="n">
        <v>0</v>
      </c>
      <c r="N747" t="n">
        <v>0</v>
      </c>
      <c r="O747" t="n">
        <v>0</v>
      </c>
      <c r="P747" t="n">
        <v>0</v>
      </c>
      <c r="Q747" t="n">
        <v>0</v>
      </c>
      <c r="R747" s="2" t="inlineStr"/>
    </row>
    <row r="748" ht="15" customHeight="1">
      <c r="A748" t="inlineStr">
        <is>
          <t>A 4259-2024</t>
        </is>
      </c>
      <c r="B748" s="1" t="n">
        <v>45324</v>
      </c>
      <c r="C748" s="1" t="n">
        <v>45568</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4421-2024</t>
        </is>
      </c>
      <c r="B749" s="1" t="n">
        <v>45327</v>
      </c>
      <c r="C749" s="1" t="n">
        <v>45568</v>
      </c>
      <c r="D749" t="inlineStr">
        <is>
          <t>GOTLANDS LÄN</t>
        </is>
      </c>
      <c r="E749" t="inlineStr">
        <is>
          <t>GOTLAND</t>
        </is>
      </c>
      <c r="G749" t="n">
        <v>5.1</v>
      </c>
      <c r="H749" t="n">
        <v>0</v>
      </c>
      <c r="I749" t="n">
        <v>0</v>
      </c>
      <c r="J749" t="n">
        <v>0</v>
      </c>
      <c r="K749" t="n">
        <v>0</v>
      </c>
      <c r="L749" t="n">
        <v>0</v>
      </c>
      <c r="M749" t="n">
        <v>0</v>
      </c>
      <c r="N749" t="n">
        <v>0</v>
      </c>
      <c r="O749" t="n">
        <v>0</v>
      </c>
      <c r="P749" t="n">
        <v>0</v>
      </c>
      <c r="Q749" t="n">
        <v>0</v>
      </c>
      <c r="R749" s="2" t="inlineStr"/>
    </row>
    <row r="750" ht="15" customHeight="1">
      <c r="A750" t="inlineStr">
        <is>
          <t>A 4483-2024</t>
        </is>
      </c>
      <c r="B750" s="1" t="n">
        <v>45327</v>
      </c>
      <c r="C750" s="1" t="n">
        <v>45568</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4689-2024</t>
        </is>
      </c>
      <c r="B751" s="1" t="n">
        <v>45328</v>
      </c>
      <c r="C751" s="1" t="n">
        <v>45568</v>
      </c>
      <c r="D751" t="inlineStr">
        <is>
          <t>GOTLANDS LÄN</t>
        </is>
      </c>
      <c r="E751" t="inlineStr">
        <is>
          <t>GOTLAND</t>
        </is>
      </c>
      <c r="G751" t="n">
        <v>1.3</v>
      </c>
      <c r="H751" t="n">
        <v>0</v>
      </c>
      <c r="I751" t="n">
        <v>0</v>
      </c>
      <c r="J751" t="n">
        <v>0</v>
      </c>
      <c r="K751" t="n">
        <v>0</v>
      </c>
      <c r="L751" t="n">
        <v>0</v>
      </c>
      <c r="M751" t="n">
        <v>0</v>
      </c>
      <c r="N751" t="n">
        <v>0</v>
      </c>
      <c r="O751" t="n">
        <v>0</v>
      </c>
      <c r="P751" t="n">
        <v>0</v>
      </c>
      <c r="Q751" t="n">
        <v>0</v>
      </c>
      <c r="R751" s="2" t="inlineStr"/>
    </row>
    <row r="752" ht="15" customHeight="1">
      <c r="A752" t="inlineStr">
        <is>
          <t>A 4868-2024</t>
        </is>
      </c>
      <c r="B752" s="1" t="n">
        <v>45329</v>
      </c>
      <c r="C752" s="1" t="n">
        <v>45568</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5413-2024</t>
        </is>
      </c>
      <c r="B753" s="1" t="n">
        <v>45331</v>
      </c>
      <c r="C753" s="1" t="n">
        <v>45568</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5686-2024</t>
        </is>
      </c>
      <c r="B754" s="1" t="n">
        <v>45334</v>
      </c>
      <c r="C754" s="1" t="n">
        <v>45568</v>
      </c>
      <c r="D754" t="inlineStr">
        <is>
          <t>GOTLANDS LÄN</t>
        </is>
      </c>
      <c r="E754" t="inlineStr">
        <is>
          <t>GOTLAND</t>
        </is>
      </c>
      <c r="G754" t="n">
        <v>6</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45568</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45568</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45568</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45568</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45568</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45568</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45568</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45568</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45568</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45568</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45568</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45568</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45568</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45568</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45568</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45568</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45568</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45568</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45568</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45568</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45568</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45568</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45568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45568</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45568</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45568</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45568</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45568</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45568</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45568</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45568</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45568</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45568</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45568</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45568</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45568</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45568</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45568</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45568</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45568</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45568</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45568</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45568</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45568</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45568</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45568</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45568</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45568</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45568</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45568</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45568</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45568</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45568</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45568</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45568</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45568</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45568</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45568</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45568</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45568</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45568</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45568</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45568</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45568</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45568</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45568</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45568</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45568</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45568</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45568</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45568</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45568</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45568</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45568</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45568</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45568</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45568</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45568</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45568</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45568</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45568</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45568</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45568</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45568</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45568</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45568</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45568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45568</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45568</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45568</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45568</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45568</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45568</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45568</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45568</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45568</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45568</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45568</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45568</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45568</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45568</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45568</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45568</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45568</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45568</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45568</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45568</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45568</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45568</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45568</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45568</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45568</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45568</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45568</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45568</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45568</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45568</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45568</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45568</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45568</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37202-2024</t>
        </is>
      </c>
      <c r="B875" s="1" t="n">
        <v>45539</v>
      </c>
      <c r="C875" s="1" t="n">
        <v>45568</v>
      </c>
      <c r="D875" t="inlineStr">
        <is>
          <t>GOTLANDS LÄN</t>
        </is>
      </c>
      <c r="E875" t="inlineStr">
        <is>
          <t>GOTLAND</t>
        </is>
      </c>
      <c r="G875" t="n">
        <v>0.3</v>
      </c>
      <c r="H875" t="n">
        <v>0</v>
      </c>
      <c r="I875" t="n">
        <v>0</v>
      </c>
      <c r="J875" t="n">
        <v>0</v>
      </c>
      <c r="K875" t="n">
        <v>0</v>
      </c>
      <c r="L875" t="n">
        <v>0</v>
      </c>
      <c r="M875" t="n">
        <v>0</v>
      </c>
      <c r="N875" t="n">
        <v>0</v>
      </c>
      <c r="O875" t="n">
        <v>0</v>
      </c>
      <c r="P875" t="n">
        <v>0</v>
      </c>
      <c r="Q875" t="n">
        <v>0</v>
      </c>
      <c r="R875" s="2" t="inlineStr"/>
    </row>
    <row r="876" ht="15" customHeight="1">
      <c r="A876" t="inlineStr">
        <is>
          <t>A 37225-2024</t>
        </is>
      </c>
      <c r="B876" s="1" t="n">
        <v>45539</v>
      </c>
      <c r="C876" s="1" t="n">
        <v>45568</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45568</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37440-2024</t>
        </is>
      </c>
      <c r="B878" s="1" t="n">
        <v>45540</v>
      </c>
      <c r="C878" s="1" t="n">
        <v>45568</v>
      </c>
      <c r="D878" t="inlineStr">
        <is>
          <t>GOTLANDS LÄN</t>
        </is>
      </c>
      <c r="E878" t="inlineStr">
        <is>
          <t>GOTLAND</t>
        </is>
      </c>
      <c r="G878" t="n">
        <v>1</v>
      </c>
      <c r="H878" t="n">
        <v>0</v>
      </c>
      <c r="I878" t="n">
        <v>0</v>
      </c>
      <c r="J878" t="n">
        <v>0</v>
      </c>
      <c r="K878" t="n">
        <v>0</v>
      </c>
      <c r="L878" t="n">
        <v>0</v>
      </c>
      <c r="M878" t="n">
        <v>0</v>
      </c>
      <c r="N878" t="n">
        <v>0</v>
      </c>
      <c r="O878" t="n">
        <v>0</v>
      </c>
      <c r="P878" t="n">
        <v>0</v>
      </c>
      <c r="Q878" t="n">
        <v>0</v>
      </c>
      <c r="R878" s="2" t="inlineStr"/>
    </row>
    <row r="879" ht="15" customHeight="1">
      <c r="A879" t="inlineStr">
        <is>
          <t>A 37442-2024</t>
        </is>
      </c>
      <c r="B879" s="1" t="n">
        <v>45540</v>
      </c>
      <c r="C879" s="1" t="n">
        <v>45568</v>
      </c>
      <c r="D879" t="inlineStr">
        <is>
          <t>GOTLANDS LÄN</t>
        </is>
      </c>
      <c r="E879" t="inlineStr">
        <is>
          <t>GOTLAND</t>
        </is>
      </c>
      <c r="G879" t="n">
        <v>4.3</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45568</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45568</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45568</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45568</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45568</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45568</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45568</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c r="A887" t="inlineStr">
        <is>
          <t>A 42041-2024</t>
        </is>
      </c>
      <c r="B887" s="1" t="n">
        <v>45561</v>
      </c>
      <c r="C887" s="1" t="n">
        <v>45568</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2024-10-03T12:32:48Z</dcterms:created>
  <dcterms:modified xmlns:dcterms="http://purl.org/dc/terms/" xmlns:xsi="http://www.w3.org/2001/XMLSchema-instance" xsi:type="dcterms:W3CDTF">2024-10-03T12:32:49Z</dcterms:modified>
</cp:coreProperties>
</file>