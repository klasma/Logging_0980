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45907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45907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45907</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45907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45907</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45907</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45907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45907</v>
      </c>
      <c r="D9" t="inlineStr">
        <is>
          <t>GOTLANDS LÄN</t>
        </is>
      </c>
      <c r="E9" t="inlineStr">
        <is>
          <t>GOTLAND</t>
        </is>
      </c>
      <c r="G9" t="n">
        <v>6.1</v>
      </c>
      <c r="H9" t="n">
        <v>11</v>
      </c>
      <c r="I9" t="n">
        <v>8</v>
      </c>
      <c r="J9" t="n">
        <v>5</v>
      </c>
      <c r="K9" t="n">
        <v>1</v>
      </c>
      <c r="L9" t="n">
        <v>1</v>
      </c>
      <c r="M9" t="n">
        <v>0</v>
      </c>
      <c r="N9" t="n">
        <v>0</v>
      </c>
      <c r="O9" t="n">
        <v>7</v>
      </c>
      <c r="P9" t="n">
        <v>2</v>
      </c>
      <c r="Q9" t="n">
        <v>20</v>
      </c>
      <c r="R9" s="2" t="inlineStr">
        <is>
          <t>Ask
Knärot
Dårgräsfjäril
Jordtistel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4572-2025</t>
        </is>
      </c>
      <c r="B10" s="1" t="n">
        <v>45687</v>
      </c>
      <c r="C10" s="1" t="n">
        <v>45907</v>
      </c>
      <c r="D10" t="inlineStr">
        <is>
          <t>GOTLANDS LÄN</t>
        </is>
      </c>
      <c r="E10" t="inlineStr">
        <is>
          <t>GOTLAND</t>
        </is>
      </c>
      <c r="G10" t="n">
        <v>6.2</v>
      </c>
      <c r="H10" t="n">
        <v>13</v>
      </c>
      <c r="I10" t="n">
        <v>2</v>
      </c>
      <c r="J10" t="n">
        <v>10</v>
      </c>
      <c r="K10" t="n">
        <v>0</v>
      </c>
      <c r="L10" t="n">
        <v>1</v>
      </c>
      <c r="M10" t="n">
        <v>0</v>
      </c>
      <c r="N10" t="n">
        <v>0</v>
      </c>
      <c r="O10" t="n">
        <v>11</v>
      </c>
      <c r="P10" t="n">
        <v>1</v>
      </c>
      <c r="Q10" t="n">
        <v>18</v>
      </c>
      <c r="R10" s="2" t="inlineStr">
        <is>
          <t>Brun glada
Apollofjäril
Axveronika
Backtimjan
Havsörn
Jordtistel
Mindre hackspett
Reliktbock
Solvända
Spillkråka
Svartfläckig blåvinge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530-2024</t>
        </is>
      </c>
      <c r="B11" s="1" t="n">
        <v>45299</v>
      </c>
      <c r="C11" s="1" t="n">
        <v>45907</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45907</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8645-2025</t>
        </is>
      </c>
      <c r="B13" s="1" t="n">
        <v>45712</v>
      </c>
      <c r="C13" s="1" t="n">
        <v>45907</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34100-2024</t>
        </is>
      </c>
      <c r="B14" s="1" t="n">
        <v>45523</v>
      </c>
      <c r="C14" s="1" t="n">
        <v>45907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45907</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61697-2023</t>
        </is>
      </c>
      <c r="B16" s="1" t="n">
        <v>45265</v>
      </c>
      <c r="C16" s="1" t="n">
        <v>45907</v>
      </c>
      <c r="D16" t="inlineStr">
        <is>
          <t>GOTLANDS LÄN</t>
        </is>
      </c>
      <c r="E16" t="inlineStr">
        <is>
          <t>GOTLAND</t>
        </is>
      </c>
      <c r="G16" t="n">
        <v>8.699999999999999</v>
      </c>
      <c r="H16" t="n">
        <v>2</v>
      </c>
      <c r="I16" t="n">
        <v>3</v>
      </c>
      <c r="J16" t="n">
        <v>4</v>
      </c>
      <c r="K16" t="n">
        <v>7</v>
      </c>
      <c r="L16" t="n">
        <v>1</v>
      </c>
      <c r="M16" t="n">
        <v>0</v>
      </c>
      <c r="N16" t="n">
        <v>0</v>
      </c>
      <c r="O16" t="n">
        <v>12</v>
      </c>
      <c r="P16" t="n">
        <v>8</v>
      </c>
      <c r="Q16" t="n">
        <v>15</v>
      </c>
      <c r="R16" s="2" t="inlineStr">
        <is>
          <t>Ryl
Duvspindling
Granrotsspindling
Gulsträngad fagerspindling
Läderdoftande fingersvamp
Svartgrön spindling
Tallkejsarspindling
Violettrandad spindling
Denisespindling
Odörspindling
Röd skogslilja
Säfferot
Anisspindling
Murgröna
Nästrot</t>
        </is>
      </c>
      <c r="S16">
        <f>HYPERLINK("https://klasma.github.io/Logging_0980/artfynd/A 61697-2023 artfynd.xlsx", "A 61697-2023")</f>
        <v/>
      </c>
      <c r="T16">
        <f>HYPERLINK("https://klasma.github.io/Logging_0980/kartor/A 61697-2023 karta.png", "A 61697-2023")</f>
        <v/>
      </c>
      <c r="V16">
        <f>HYPERLINK("https://klasma.github.io/Logging_0980/klagomål/A 61697-2023 FSC-klagomål.docx", "A 61697-2023")</f>
        <v/>
      </c>
      <c r="W16">
        <f>HYPERLINK("https://klasma.github.io/Logging_0980/klagomålsmail/A 61697-2023 FSC-klagomål mail.docx", "A 61697-2023")</f>
        <v/>
      </c>
      <c r="X16">
        <f>HYPERLINK("https://klasma.github.io/Logging_0980/tillsyn/A 61697-2023 tillsynsbegäran.docx", "A 61697-2023")</f>
        <v/>
      </c>
      <c r="Y16">
        <f>HYPERLINK("https://klasma.github.io/Logging_0980/tillsynsmail/A 61697-2023 tillsynsbegäran mail.docx", "A 61697-2023")</f>
        <v/>
      </c>
    </row>
    <row r="17" ht="15" customHeight="1">
      <c r="A17" t="inlineStr">
        <is>
          <t>A 15629-2024</t>
        </is>
      </c>
      <c r="B17" s="1" t="n">
        <v>45402.78372685185</v>
      </c>
      <c r="C17" s="1" t="n">
        <v>45907</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6913-2025</t>
        </is>
      </c>
      <c r="B18" s="1" t="n">
        <v>45701.43809027778</v>
      </c>
      <c r="C18" s="1" t="n">
        <v>45907</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17762-2024</t>
        </is>
      </c>
      <c r="B19" s="1" t="n">
        <v>45418</v>
      </c>
      <c r="C19" s="1" t="n">
        <v>45907</v>
      </c>
      <c r="D19" t="inlineStr">
        <is>
          <t>GOTLANDS LÄN</t>
        </is>
      </c>
      <c r="E19" t="inlineStr">
        <is>
          <t>GOTLAND</t>
        </is>
      </c>
      <c r="G19" t="n">
        <v>5.8</v>
      </c>
      <c r="H19" t="n">
        <v>2</v>
      </c>
      <c r="I19" t="n">
        <v>2</v>
      </c>
      <c r="J19" t="n">
        <v>8</v>
      </c>
      <c r="K19" t="n">
        <v>1</v>
      </c>
      <c r="L19" t="n">
        <v>1</v>
      </c>
      <c r="M19" t="n">
        <v>1</v>
      </c>
      <c r="N19" t="n">
        <v>0</v>
      </c>
      <c r="O19" t="n">
        <v>11</v>
      </c>
      <c r="P19" t="n">
        <v>3</v>
      </c>
      <c r="Q19" t="n">
        <v>15</v>
      </c>
      <c r="R19" s="2" t="inlineStr">
        <is>
          <t>Järnek
Naveljordstjärna
Gråfingerört
Axveronika
Backstarr
Backtimjan
Crepis tectorum subsp. tectorum
Kalkvaxing
Odörspindling
Solvända
Svinrot
Anisspindling
Mindre märgborre
Sankt pers nycklar
Blåsippa</t>
        </is>
      </c>
      <c r="S19">
        <f>HYPERLINK("https://klasma.github.io/Logging_0980/artfynd/A 17762-2024 artfynd.xlsx", "A 17762-2024")</f>
        <v/>
      </c>
      <c r="T19">
        <f>HYPERLINK("https://klasma.github.io/Logging_0980/kartor/A 17762-2024 karta.png", "A 17762-2024")</f>
        <v/>
      </c>
      <c r="V19">
        <f>HYPERLINK("https://klasma.github.io/Logging_0980/klagomål/A 17762-2024 FSC-klagomål.docx", "A 17762-2024")</f>
        <v/>
      </c>
      <c r="W19">
        <f>HYPERLINK("https://klasma.github.io/Logging_0980/klagomålsmail/A 17762-2024 FSC-klagomål mail.docx", "A 17762-2024")</f>
        <v/>
      </c>
      <c r="X19">
        <f>HYPERLINK("https://klasma.github.io/Logging_0980/tillsyn/A 17762-2024 tillsynsbegäran.docx", "A 17762-2024")</f>
        <v/>
      </c>
      <c r="Y19">
        <f>HYPERLINK("https://klasma.github.io/Logging_0980/tillsynsmail/A 17762-2024 tillsynsbegäran mail.docx", "A 17762-2024")</f>
        <v/>
      </c>
    </row>
    <row r="20" ht="15" customHeight="1">
      <c r="A20" t="inlineStr">
        <is>
          <t>A 62132-2023</t>
        </is>
      </c>
      <c r="B20" s="1" t="n">
        <v>45267</v>
      </c>
      <c r="C20" s="1" t="n">
        <v>45907</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25779-2022</t>
        </is>
      </c>
      <c r="B21" s="1" t="n">
        <v>44733</v>
      </c>
      <c r="C21" s="1" t="n">
        <v>45907</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33728-2025</t>
        </is>
      </c>
      <c r="B22" s="1" t="n">
        <v>45842.29344907407</v>
      </c>
      <c r="C22" s="1" t="n">
        <v>45907</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45907</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569-2023</t>
        </is>
      </c>
      <c r="B24" s="1" t="n">
        <v>44930</v>
      </c>
      <c r="C24" s="1" t="n">
        <v>45907</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35141-2022</t>
        </is>
      </c>
      <c r="B25" s="1" t="n">
        <v>44797.53318287037</v>
      </c>
      <c r="C25" s="1" t="n">
        <v>45907</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45907</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45907</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45907</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45907</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45907</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45907</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45907</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15850-2025</t>
        </is>
      </c>
      <c r="B33" s="1" t="n">
        <v>45748.92798611111</v>
      </c>
      <c r="C33" s="1" t="n">
        <v>45907</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28287-2024</t>
        </is>
      </c>
      <c r="B34" s="1" t="n">
        <v>45477</v>
      </c>
      <c r="C34" s="1" t="n">
        <v>45907</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30542-2025</t>
        </is>
      </c>
      <c r="B35" s="1" t="n">
        <v>45831</v>
      </c>
      <c r="C35" s="1" t="n">
        <v>45907</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15068-2025</t>
        </is>
      </c>
      <c r="B36" s="1" t="n">
        <v>45743</v>
      </c>
      <c r="C36" s="1" t="n">
        <v>45907</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45907</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45907</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45907</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584-2023</t>
        </is>
      </c>
      <c r="B40" s="1" t="n">
        <v>44930</v>
      </c>
      <c r="C40" s="1" t="n">
        <v>45907</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22404-2024</t>
        </is>
      </c>
      <c r="B41" s="1" t="n">
        <v>45446</v>
      </c>
      <c r="C41" s="1" t="n">
        <v>45907</v>
      </c>
      <c r="D41" t="inlineStr">
        <is>
          <t>GOTLANDS LÄN</t>
        </is>
      </c>
      <c r="E41" t="inlineStr">
        <is>
          <t>GOTLAND</t>
        </is>
      </c>
      <c r="G41" t="n">
        <v>11.4</v>
      </c>
      <c r="H41" t="n">
        <v>3</v>
      </c>
      <c r="I41" t="n">
        <v>7</v>
      </c>
      <c r="J41" t="n">
        <v>0</v>
      </c>
      <c r="K41" t="n">
        <v>3</v>
      </c>
      <c r="L41" t="n">
        <v>0</v>
      </c>
      <c r="M41" t="n">
        <v>0</v>
      </c>
      <c r="N41" t="n">
        <v>0</v>
      </c>
      <c r="O41" t="n">
        <v>3</v>
      </c>
      <c r="P41" t="n">
        <v>3</v>
      </c>
      <c r="Q41" t="n">
        <v>10</v>
      </c>
      <c r="R41" s="2" t="inlineStr">
        <is>
          <t>Blåfotad fagerspindling
Bullspindling
Vit taggsvamp
Barrfagerspindling
Blå slemspindling
Flugblomster
Purpurknipprot
Rödgul trumpetsvamp
Svavelriska
Tvåblad</t>
        </is>
      </c>
      <c r="S41">
        <f>HYPERLINK("https://klasma.github.io/Logging_0980/artfynd/A 22404-2024 artfynd.xlsx", "A 22404-2024")</f>
        <v/>
      </c>
      <c r="T41">
        <f>HYPERLINK("https://klasma.github.io/Logging_0980/kartor/A 22404-2024 karta.png", "A 22404-2024")</f>
        <v/>
      </c>
      <c r="V41">
        <f>HYPERLINK("https://klasma.github.io/Logging_0980/klagomål/A 22404-2024 FSC-klagomål.docx", "A 22404-2024")</f>
        <v/>
      </c>
      <c r="W41">
        <f>HYPERLINK("https://klasma.github.io/Logging_0980/klagomålsmail/A 22404-2024 FSC-klagomål mail.docx", "A 22404-2024")</f>
        <v/>
      </c>
      <c r="X41">
        <f>HYPERLINK("https://klasma.github.io/Logging_0980/tillsyn/A 22404-2024 tillsynsbegäran.docx", "A 22404-2024")</f>
        <v/>
      </c>
      <c r="Y41">
        <f>HYPERLINK("https://klasma.github.io/Logging_0980/tillsynsmail/A 22404-2024 tillsynsbegäran mail.docx", "A 22404-2024")</f>
        <v/>
      </c>
    </row>
    <row r="42" ht="15" customHeight="1">
      <c r="A42" t="inlineStr">
        <is>
          <t>A 1719-2025</t>
        </is>
      </c>
      <c r="B42" s="1" t="n">
        <v>45671</v>
      </c>
      <c r="C42" s="1" t="n">
        <v>45907</v>
      </c>
      <c r="D42" t="inlineStr">
        <is>
          <t>GOTLANDS LÄN</t>
        </is>
      </c>
      <c r="E42" t="inlineStr">
        <is>
          <t>GOTLAND</t>
        </is>
      </c>
      <c r="G42" t="n">
        <v>6</v>
      </c>
      <c r="H42" t="n">
        <v>3</v>
      </c>
      <c r="I42" t="n">
        <v>2</v>
      </c>
      <c r="J42" t="n">
        <v>3</v>
      </c>
      <c r="K42" t="n">
        <v>3</v>
      </c>
      <c r="L42" t="n">
        <v>1</v>
      </c>
      <c r="M42" t="n">
        <v>0</v>
      </c>
      <c r="N42" t="n">
        <v>0</v>
      </c>
      <c r="O42" t="n">
        <v>7</v>
      </c>
      <c r="P42" t="n">
        <v>4</v>
      </c>
      <c r="Q42" t="n">
        <v>10</v>
      </c>
      <c r="R42" s="2" t="inlineStr">
        <is>
          <t>Ask
Gulsträngad fagerspindling
Skogskorn
Vit taggsvamp
Backtimjan
Doftskinn
Spillkråka
Besk kastanjemusseron
Skogsknipprot
Blåsippa</t>
        </is>
      </c>
      <c r="S42">
        <f>HYPERLINK("https://klasma.github.io/Logging_0980/artfynd/A 1719-2025 artfynd.xlsx", "A 1719-2025")</f>
        <v/>
      </c>
      <c r="T42">
        <f>HYPERLINK("https://klasma.github.io/Logging_0980/kartor/A 1719-2025 karta.png", "A 1719-2025")</f>
        <v/>
      </c>
      <c r="V42">
        <f>HYPERLINK("https://klasma.github.io/Logging_0980/klagomål/A 1719-2025 FSC-klagomål.docx", "A 1719-2025")</f>
        <v/>
      </c>
      <c r="W42">
        <f>HYPERLINK("https://klasma.github.io/Logging_0980/klagomålsmail/A 1719-2025 FSC-klagomål mail.docx", "A 1719-2025")</f>
        <v/>
      </c>
      <c r="X42">
        <f>HYPERLINK("https://klasma.github.io/Logging_0980/tillsyn/A 1719-2025 tillsynsbegäran.docx", "A 1719-2025")</f>
        <v/>
      </c>
      <c r="Y42">
        <f>HYPERLINK("https://klasma.github.io/Logging_0980/tillsynsmail/A 1719-2025 tillsynsbegäran mail.docx", "A 1719-2025")</f>
        <v/>
      </c>
      <c r="Z42">
        <f>HYPERLINK("https://klasma.github.io/Logging_0980/fåglar/A 1719-2025 prioriterade fågelarter.docx", "A 1719-2025")</f>
        <v/>
      </c>
    </row>
    <row r="43" ht="15" customHeight="1">
      <c r="A43" t="inlineStr">
        <is>
          <t>A 14354-2024</t>
        </is>
      </c>
      <c r="B43" s="1" t="n">
        <v>45393</v>
      </c>
      <c r="C43" s="1" t="n">
        <v>45907</v>
      </c>
      <c r="D43" t="inlineStr">
        <is>
          <t>GOTLANDS LÄN</t>
        </is>
      </c>
      <c r="E43" t="inlineStr">
        <is>
          <t>GOTLAND</t>
        </is>
      </c>
      <c r="G43" t="n">
        <v>2.4</v>
      </c>
      <c r="H43" t="n">
        <v>6</v>
      </c>
      <c r="I43" t="n">
        <v>4</v>
      </c>
      <c r="J43" t="n">
        <v>4</v>
      </c>
      <c r="K43" t="n">
        <v>0</v>
      </c>
      <c r="L43" t="n">
        <v>0</v>
      </c>
      <c r="M43" t="n">
        <v>0</v>
      </c>
      <c r="N43" t="n">
        <v>0</v>
      </c>
      <c r="O43" t="n">
        <v>4</v>
      </c>
      <c r="P43" t="n">
        <v>0</v>
      </c>
      <c r="Q43" t="n">
        <v>10</v>
      </c>
      <c r="R43" s="2" t="inlineStr">
        <is>
          <t>Dårgräsfjäril
Smedbock
Svinrot
Ängsskära
Blåmossa
Nästrot
Skogsknipprot
Tvåblad
Fläcknycklar
Nattviol</t>
        </is>
      </c>
      <c r="S43">
        <f>HYPERLINK("https://klasma.github.io/Logging_0980/artfynd/A 14354-2024 artfynd.xlsx", "A 14354-2024")</f>
        <v/>
      </c>
      <c r="T43">
        <f>HYPERLINK("https://klasma.github.io/Logging_0980/kartor/A 14354-2024 karta.png", "A 14354-2024")</f>
        <v/>
      </c>
      <c r="V43">
        <f>HYPERLINK("https://klasma.github.io/Logging_0980/klagomål/A 14354-2024 FSC-klagomål.docx", "A 14354-2024")</f>
        <v/>
      </c>
      <c r="W43">
        <f>HYPERLINK("https://klasma.github.io/Logging_0980/klagomålsmail/A 14354-2024 FSC-klagomål mail.docx", "A 14354-2024")</f>
        <v/>
      </c>
      <c r="X43">
        <f>HYPERLINK("https://klasma.github.io/Logging_0980/tillsyn/A 14354-2024 tillsynsbegäran.docx", "A 14354-2024")</f>
        <v/>
      </c>
      <c r="Y43">
        <f>HYPERLINK("https://klasma.github.io/Logging_0980/tillsynsmail/A 14354-2024 tillsynsbegäran mail.docx", "A 14354-2024")</f>
        <v/>
      </c>
    </row>
    <row r="44" ht="15" customHeight="1">
      <c r="A44" t="inlineStr">
        <is>
          <t>A 33153-2024</t>
        </is>
      </c>
      <c r="B44" s="1" t="n">
        <v>45518</v>
      </c>
      <c r="C44" s="1" t="n">
        <v>45907</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45907</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45907</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45907</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45907</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21467-2024</t>
        </is>
      </c>
      <c r="B49" s="1" t="n">
        <v>45441</v>
      </c>
      <c r="C49" s="1" t="n">
        <v>45907</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7039-2023</t>
        </is>
      </c>
      <c r="B50" s="1" t="n">
        <v>44968</v>
      </c>
      <c r="C50" s="1" t="n">
        <v>45907</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45907</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10419-2025</t>
        </is>
      </c>
      <c r="B52" s="1" t="n">
        <v>45720</v>
      </c>
      <c r="C52" s="1" t="n">
        <v>45907</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6960-2025</t>
        </is>
      </c>
      <c r="B53" s="1" t="n">
        <v>45701.49409722222</v>
      </c>
      <c r="C53" s="1" t="n">
        <v>45907</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27280-2023</t>
        </is>
      </c>
      <c r="B54" s="1" t="n">
        <v>45096</v>
      </c>
      <c r="C54" s="1" t="n">
        <v>45907</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16353-2025</t>
        </is>
      </c>
      <c r="B55" s="1" t="n">
        <v>45751</v>
      </c>
      <c r="C55" s="1" t="n">
        <v>45907</v>
      </c>
      <c r="D55" t="inlineStr">
        <is>
          <t>GOTLANDS LÄN</t>
        </is>
      </c>
      <c r="E55" t="inlineStr">
        <is>
          <t>GOTLAND</t>
        </is>
      </c>
      <c r="G55" t="n">
        <v>8.800000000000001</v>
      </c>
      <c r="H55" t="n">
        <v>0</v>
      </c>
      <c r="I55" t="n">
        <v>6</v>
      </c>
      <c r="J55" t="n">
        <v>1</v>
      </c>
      <c r="K55" t="n">
        <v>0</v>
      </c>
      <c r="L55" t="n">
        <v>0</v>
      </c>
      <c r="M55" t="n">
        <v>0</v>
      </c>
      <c r="N55" t="n">
        <v>0</v>
      </c>
      <c r="O55" t="n">
        <v>1</v>
      </c>
      <c r="P55" t="n">
        <v>0</v>
      </c>
      <c r="Q55" t="n">
        <v>7</v>
      </c>
      <c r="R55" s="2" t="inlineStr">
        <is>
          <t>Flattoppad klubbsvamp
Anisspindling
Fjällig taggsvamp s.str.
Guldkremla
Kryddspindling
Rödgul trumpetsvamp
Svavelriska</t>
        </is>
      </c>
      <c r="S55">
        <f>HYPERLINK("https://klasma.github.io/Logging_0980/artfynd/A 16353-2025 artfynd.xlsx", "A 16353-2025")</f>
        <v/>
      </c>
      <c r="T55">
        <f>HYPERLINK("https://klasma.github.io/Logging_0980/kartor/A 16353-2025 karta.png", "A 16353-2025")</f>
        <v/>
      </c>
      <c r="V55">
        <f>HYPERLINK("https://klasma.github.io/Logging_0980/klagomål/A 16353-2025 FSC-klagomål.docx", "A 16353-2025")</f>
        <v/>
      </c>
      <c r="W55">
        <f>HYPERLINK("https://klasma.github.io/Logging_0980/klagomålsmail/A 16353-2025 FSC-klagomål mail.docx", "A 16353-2025")</f>
        <v/>
      </c>
      <c r="X55">
        <f>HYPERLINK("https://klasma.github.io/Logging_0980/tillsyn/A 16353-2025 tillsynsbegäran.docx", "A 16353-2025")</f>
        <v/>
      </c>
      <c r="Y55">
        <f>HYPERLINK("https://klasma.github.io/Logging_0980/tillsynsmail/A 16353-2025 tillsynsbegäran mail.docx", "A 16353-2025")</f>
        <v/>
      </c>
    </row>
    <row r="56" ht="15" customHeight="1">
      <c r="A56" t="inlineStr">
        <is>
          <t>A 18541-2024</t>
        </is>
      </c>
      <c r="B56" s="1" t="n">
        <v>45425</v>
      </c>
      <c r="C56" s="1" t="n">
        <v>45907</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4984-2025</t>
        </is>
      </c>
      <c r="B57" s="1" t="n">
        <v>45691.29891203704</v>
      </c>
      <c r="C57" s="1" t="n">
        <v>45907</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25205-2021</t>
        </is>
      </c>
      <c r="B58" s="1" t="n">
        <v>44342</v>
      </c>
      <c r="C58" s="1" t="n">
        <v>45907</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45248-2024</t>
        </is>
      </c>
      <c r="B59" s="1" t="n">
        <v>45576</v>
      </c>
      <c r="C59" s="1" t="n">
        <v>45907</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2085-2023</t>
        </is>
      </c>
      <c r="B60" s="1" t="n">
        <v>44939</v>
      </c>
      <c r="C60" s="1" t="n">
        <v>45907</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54527-2023</t>
        </is>
      </c>
      <c r="B61" s="1" t="n">
        <v>45233</v>
      </c>
      <c r="C61" s="1" t="n">
        <v>45907</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16823-2024</t>
        </is>
      </c>
      <c r="B62" s="1" t="n">
        <v>45411</v>
      </c>
      <c r="C62" s="1" t="n">
        <v>45907</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65819-2020</t>
        </is>
      </c>
      <c r="B63" s="1" t="n">
        <v>44174</v>
      </c>
      <c r="C63" s="1" t="n">
        <v>45907</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45907</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446-2023</t>
        </is>
      </c>
      <c r="B65" s="1" t="n">
        <v>44929</v>
      </c>
      <c r="C65" s="1" t="n">
        <v>45907</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45907</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45907</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45907</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45907</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35293-2025</t>
        </is>
      </c>
      <c r="B70" s="1" t="n">
        <v>45854.39438657407</v>
      </c>
      <c r="C70" s="1" t="n">
        <v>45907</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54055-2022</t>
        </is>
      </c>
      <c r="B71" s="1" t="n">
        <v>44881</v>
      </c>
      <c r="C71" s="1" t="n">
        <v>45907</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32326-2024</t>
        </is>
      </c>
      <c r="B72" s="1" t="n">
        <v>45512</v>
      </c>
      <c r="C72" s="1" t="n">
        <v>45907</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45907</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1971-2023</t>
        </is>
      </c>
      <c r="B74" s="1" t="n">
        <v>44939</v>
      </c>
      <c r="C74" s="1" t="n">
        <v>45907</v>
      </c>
      <c r="D74" t="inlineStr">
        <is>
          <t>GOTLANDS LÄN</t>
        </is>
      </c>
      <c r="E74" t="inlineStr">
        <is>
          <t>GOTLAND</t>
        </is>
      </c>
      <c r="G74" t="n">
        <v>5.5</v>
      </c>
      <c r="H74" t="n">
        <v>0</v>
      </c>
      <c r="I74" t="n">
        <v>2</v>
      </c>
      <c r="J74" t="n">
        <v>1</v>
      </c>
      <c r="K74" t="n">
        <v>1</v>
      </c>
      <c r="L74" t="n">
        <v>0</v>
      </c>
      <c r="M74" t="n">
        <v>0</v>
      </c>
      <c r="N74" t="n">
        <v>0</v>
      </c>
      <c r="O74" t="n">
        <v>2</v>
      </c>
      <c r="P74" t="n">
        <v>1</v>
      </c>
      <c r="Q74" t="n">
        <v>4</v>
      </c>
      <c r="R74" s="2" t="inlineStr">
        <is>
          <t>Gulsträngad fagerspindling
Svinrot
Fjällig taggsvamp s.str.
Olivspindling</t>
        </is>
      </c>
      <c r="S74">
        <f>HYPERLINK("https://klasma.github.io/Logging_0980/artfynd/A 1971-2023 artfynd.xlsx", "A 1971-2023")</f>
        <v/>
      </c>
      <c r="T74">
        <f>HYPERLINK("https://klasma.github.io/Logging_0980/kartor/A 1971-2023 karta.png", "A 1971-2023")</f>
        <v/>
      </c>
      <c r="V74">
        <f>HYPERLINK("https://klasma.github.io/Logging_0980/klagomål/A 1971-2023 FSC-klagomål.docx", "A 1971-2023")</f>
        <v/>
      </c>
      <c r="W74">
        <f>HYPERLINK("https://klasma.github.io/Logging_0980/klagomålsmail/A 1971-2023 FSC-klagomål mail.docx", "A 1971-2023")</f>
        <v/>
      </c>
      <c r="X74">
        <f>HYPERLINK("https://klasma.github.io/Logging_0980/tillsyn/A 1971-2023 tillsynsbegäran.docx", "A 1971-2023")</f>
        <v/>
      </c>
      <c r="Y74">
        <f>HYPERLINK("https://klasma.github.io/Logging_0980/tillsynsmail/A 1971-2023 tillsynsbegäran mail.docx", "A 1971-2023")</f>
        <v/>
      </c>
    </row>
    <row r="75" ht="15" customHeight="1">
      <c r="A75" t="inlineStr">
        <is>
          <t>A 186-2023</t>
        </is>
      </c>
      <c r="B75" s="1" t="n">
        <v>44928</v>
      </c>
      <c r="C75" s="1" t="n">
        <v>45907</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45907</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20833-2024</t>
        </is>
      </c>
      <c r="B77" s="1" t="n">
        <v>45439</v>
      </c>
      <c r="C77" s="1" t="n">
        <v>45907</v>
      </c>
      <c r="D77" t="inlineStr">
        <is>
          <t>GOTLANDS LÄN</t>
        </is>
      </c>
      <c r="E77" t="inlineStr">
        <is>
          <t>GOTLAND</t>
        </is>
      </c>
      <c r="G77" t="n">
        <v>0.9</v>
      </c>
      <c r="H77" t="n">
        <v>3</v>
      </c>
      <c r="I77" t="n">
        <v>1</v>
      </c>
      <c r="J77" t="n">
        <v>3</v>
      </c>
      <c r="K77" t="n">
        <v>0</v>
      </c>
      <c r="L77" t="n">
        <v>0</v>
      </c>
      <c r="M77" t="n">
        <v>0</v>
      </c>
      <c r="N77" t="n">
        <v>0</v>
      </c>
      <c r="O77" t="n">
        <v>3</v>
      </c>
      <c r="P77" t="n">
        <v>0</v>
      </c>
      <c r="Q77" t="n">
        <v>4</v>
      </c>
      <c r="R77" s="2" t="inlineStr">
        <is>
          <t>Dårgräsfjäril
Spillkråka
Svinrot
Skogsknipprot</t>
        </is>
      </c>
      <c r="S77">
        <f>HYPERLINK("https://klasma.github.io/Logging_0980/artfynd/A 20833-2024 artfynd.xlsx", "A 20833-2024")</f>
        <v/>
      </c>
      <c r="T77">
        <f>HYPERLINK("https://klasma.github.io/Logging_0980/kartor/A 20833-2024 karta.png", "A 20833-2024")</f>
        <v/>
      </c>
      <c r="V77">
        <f>HYPERLINK("https://klasma.github.io/Logging_0980/klagomål/A 20833-2024 FSC-klagomål.docx", "A 20833-2024")</f>
        <v/>
      </c>
      <c r="W77">
        <f>HYPERLINK("https://klasma.github.io/Logging_0980/klagomålsmail/A 20833-2024 FSC-klagomål mail.docx", "A 20833-2024")</f>
        <v/>
      </c>
      <c r="X77">
        <f>HYPERLINK("https://klasma.github.io/Logging_0980/tillsyn/A 20833-2024 tillsynsbegäran.docx", "A 20833-2024")</f>
        <v/>
      </c>
      <c r="Y77">
        <f>HYPERLINK("https://klasma.github.io/Logging_0980/tillsynsmail/A 20833-2024 tillsynsbegäran mail.docx", "A 20833-2024")</f>
        <v/>
      </c>
      <c r="Z77">
        <f>HYPERLINK("https://klasma.github.io/Logging_0980/fåglar/A 20833-2024 prioriterade fågelarter.docx", "A 20833-2024")</f>
        <v/>
      </c>
    </row>
    <row r="78" ht="15" customHeight="1">
      <c r="A78" t="inlineStr">
        <is>
          <t>A 40099-2025</t>
        </is>
      </c>
      <c r="B78" s="1" t="n">
        <v>45894.48462962963</v>
      </c>
      <c r="C78" s="1" t="n">
        <v>45907</v>
      </c>
      <c r="D78" t="inlineStr">
        <is>
          <t>GOTLANDS LÄN</t>
        </is>
      </c>
      <c r="E78" t="inlineStr">
        <is>
          <t>GOTLAND</t>
        </is>
      </c>
      <c r="G78" t="n">
        <v>6.5</v>
      </c>
      <c r="H78" t="n">
        <v>0</v>
      </c>
      <c r="I78" t="n">
        <v>3</v>
      </c>
      <c r="J78" t="n">
        <v>0</v>
      </c>
      <c r="K78" t="n">
        <v>1</v>
      </c>
      <c r="L78" t="n">
        <v>0</v>
      </c>
      <c r="M78" t="n">
        <v>0</v>
      </c>
      <c r="N78" t="n">
        <v>0</v>
      </c>
      <c r="O78" t="n">
        <v>1</v>
      </c>
      <c r="P78" t="n">
        <v>1</v>
      </c>
      <c r="Q78" t="n">
        <v>4</v>
      </c>
      <c r="R78" s="2" t="inlineStr">
        <is>
          <t>Mörkfjällig olivspindling
Fjällig taggsvamp s.str.
Olivspindling
Svavelriska</t>
        </is>
      </c>
      <c r="S78">
        <f>HYPERLINK("https://klasma.github.io/Logging_0980/artfynd/A 40099-2025 artfynd.xlsx", "A 40099-2025")</f>
        <v/>
      </c>
      <c r="T78">
        <f>HYPERLINK("https://klasma.github.io/Logging_0980/kartor/A 40099-2025 karta.png", "A 40099-2025")</f>
        <v/>
      </c>
      <c r="V78">
        <f>HYPERLINK("https://klasma.github.io/Logging_0980/klagomål/A 40099-2025 FSC-klagomål.docx", "A 40099-2025")</f>
        <v/>
      </c>
      <c r="W78">
        <f>HYPERLINK("https://klasma.github.io/Logging_0980/klagomålsmail/A 40099-2025 FSC-klagomål mail.docx", "A 40099-2025")</f>
        <v/>
      </c>
      <c r="X78">
        <f>HYPERLINK("https://klasma.github.io/Logging_0980/tillsyn/A 40099-2025 tillsynsbegäran.docx", "A 40099-2025")</f>
        <v/>
      </c>
      <c r="Y78">
        <f>HYPERLINK("https://klasma.github.io/Logging_0980/tillsynsmail/A 40099-2025 tillsynsbegäran mail.docx", "A 40099-2025")</f>
        <v/>
      </c>
    </row>
    <row r="79" ht="15" customHeight="1">
      <c r="A79" t="inlineStr">
        <is>
          <t>A 54523-2023</t>
        </is>
      </c>
      <c r="B79" s="1" t="n">
        <v>45233</v>
      </c>
      <c r="C79" s="1" t="n">
        <v>45907</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45907</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8265-2023</t>
        </is>
      </c>
      <c r="B81" s="1" t="n">
        <v>44974</v>
      </c>
      <c r="C81" s="1" t="n">
        <v>45907</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6159-2023</t>
        </is>
      </c>
      <c r="B82" s="1" t="n">
        <v>44964</v>
      </c>
      <c r="C82" s="1" t="n">
        <v>45907</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45907</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44933-2022</t>
        </is>
      </c>
      <c r="B84" s="1" t="n">
        <v>44841</v>
      </c>
      <c r="C84" s="1" t="n">
        <v>45907</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5904-2024</t>
        </is>
      </c>
      <c r="B85" s="1" t="n">
        <v>45335</v>
      </c>
      <c r="C85" s="1" t="n">
        <v>45907</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64378-2020</t>
        </is>
      </c>
      <c r="B86" s="1" t="n">
        <v>44168</v>
      </c>
      <c r="C86" s="1" t="n">
        <v>45907</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55029-2020</t>
        </is>
      </c>
      <c r="B87" s="1" t="n">
        <v>44130</v>
      </c>
      <c r="C87" s="1" t="n">
        <v>45907</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45907</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45907</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45907</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45907</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45907</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32718-2021</t>
        </is>
      </c>
      <c r="B93" s="1" t="n">
        <v>44375</v>
      </c>
      <c r="C93" s="1" t="n">
        <v>45907</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17982-2023</t>
        </is>
      </c>
      <c r="B94" s="1" t="n">
        <v>45040</v>
      </c>
      <c r="C94" s="1" t="n">
        <v>45907</v>
      </c>
      <c r="D94" t="inlineStr">
        <is>
          <t>GOTLANDS LÄN</t>
        </is>
      </c>
      <c r="E94" t="inlineStr">
        <is>
          <t>GOTLAND</t>
        </is>
      </c>
      <c r="G94" t="n">
        <v>2.2</v>
      </c>
      <c r="H94" t="n">
        <v>0</v>
      </c>
      <c r="I94" t="n">
        <v>0</v>
      </c>
      <c r="J94" t="n">
        <v>2</v>
      </c>
      <c r="K94" t="n">
        <v>0</v>
      </c>
      <c r="L94" t="n">
        <v>0</v>
      </c>
      <c r="M94" t="n">
        <v>1</v>
      </c>
      <c r="N94" t="n">
        <v>0</v>
      </c>
      <c r="O94" t="n">
        <v>3</v>
      </c>
      <c r="P94" t="n">
        <v>1</v>
      </c>
      <c r="Q94" t="n">
        <v>3</v>
      </c>
      <c r="R94" s="2" t="inlineStr">
        <is>
          <t>Lundalm
Krusfrö
Ängsskära</t>
        </is>
      </c>
      <c r="S94">
        <f>HYPERLINK("https://klasma.github.io/Logging_0980/artfynd/A 17982-2023 artfynd.xlsx", "A 17982-2023")</f>
        <v/>
      </c>
      <c r="T94">
        <f>HYPERLINK("https://klasma.github.io/Logging_0980/kartor/A 17982-2023 karta.png", "A 17982-2023")</f>
        <v/>
      </c>
      <c r="V94">
        <f>HYPERLINK("https://klasma.github.io/Logging_0980/klagomål/A 17982-2023 FSC-klagomål.docx", "A 17982-2023")</f>
        <v/>
      </c>
      <c r="W94">
        <f>HYPERLINK("https://klasma.github.io/Logging_0980/klagomålsmail/A 17982-2023 FSC-klagomål mail.docx", "A 17982-2023")</f>
        <v/>
      </c>
      <c r="X94">
        <f>HYPERLINK("https://klasma.github.io/Logging_0980/tillsyn/A 17982-2023 tillsynsbegäran.docx", "A 17982-2023")</f>
        <v/>
      </c>
      <c r="Y94">
        <f>HYPERLINK("https://klasma.github.io/Logging_0980/tillsynsmail/A 17982-2023 tillsynsbegäran mail.docx", "A 17982-2023")</f>
        <v/>
      </c>
    </row>
    <row r="95" ht="15" customHeight="1">
      <c r="A95" t="inlineStr">
        <is>
          <t>A 13499-2022</t>
        </is>
      </c>
      <c r="B95" s="1" t="n">
        <v>44647.79203703703</v>
      </c>
      <c r="C95" s="1" t="n">
        <v>45907</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5235-2025</t>
        </is>
      </c>
      <c r="B96" s="1" t="n">
        <v>45692.26797453704</v>
      </c>
      <c r="C96" s="1" t="n">
        <v>45907</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53552-2021</t>
        </is>
      </c>
      <c r="B97" s="1" t="n">
        <v>44468</v>
      </c>
      <c r="C97" s="1" t="n">
        <v>45907</v>
      </c>
      <c r="D97" t="inlineStr">
        <is>
          <t>GOTLANDS LÄN</t>
        </is>
      </c>
      <c r="E97" t="inlineStr">
        <is>
          <t>GOTLAND</t>
        </is>
      </c>
      <c r="G97" t="n">
        <v>6.2</v>
      </c>
      <c r="H97" t="n">
        <v>2</v>
      </c>
      <c r="I97" t="n">
        <v>0</v>
      </c>
      <c r="J97" t="n">
        <v>1</v>
      </c>
      <c r="K97" t="n">
        <v>0</v>
      </c>
      <c r="L97" t="n">
        <v>0</v>
      </c>
      <c r="M97" t="n">
        <v>0</v>
      </c>
      <c r="N97" t="n">
        <v>0</v>
      </c>
      <c r="O97" t="n">
        <v>1</v>
      </c>
      <c r="P97" t="n">
        <v>0</v>
      </c>
      <c r="Q97" t="n">
        <v>3</v>
      </c>
      <c r="R97" s="2" t="inlineStr">
        <is>
          <t>Bredbrämad bastardsvärmare
Grönvit nattviol
Gullviva</t>
        </is>
      </c>
      <c r="S97">
        <f>HYPERLINK("https://klasma.github.io/Logging_0980/artfynd/A 53552-2021 artfynd.xlsx", "A 53552-2021")</f>
        <v/>
      </c>
      <c r="T97">
        <f>HYPERLINK("https://klasma.github.io/Logging_0980/kartor/A 53552-2021 karta.png", "A 53552-2021")</f>
        <v/>
      </c>
      <c r="V97">
        <f>HYPERLINK("https://klasma.github.io/Logging_0980/klagomål/A 53552-2021 FSC-klagomål.docx", "A 53552-2021")</f>
        <v/>
      </c>
      <c r="W97">
        <f>HYPERLINK("https://klasma.github.io/Logging_0980/klagomålsmail/A 53552-2021 FSC-klagomål mail.docx", "A 53552-2021")</f>
        <v/>
      </c>
      <c r="X97">
        <f>HYPERLINK("https://klasma.github.io/Logging_0980/tillsyn/A 53552-2021 tillsynsbegäran.docx", "A 53552-2021")</f>
        <v/>
      </c>
      <c r="Y97">
        <f>HYPERLINK("https://klasma.github.io/Logging_0980/tillsynsmail/A 53552-2021 tillsynsbegäran mail.docx", "A 53552-2021")</f>
        <v/>
      </c>
    </row>
    <row r="98" ht="15" customHeight="1">
      <c r="A98" t="inlineStr">
        <is>
          <t>A 12315-2024</t>
        </is>
      </c>
      <c r="B98" s="1" t="n">
        <v>45378.6434837963</v>
      </c>
      <c r="C98" s="1" t="n">
        <v>45907</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30490-2025</t>
        </is>
      </c>
      <c r="B99" s="1" t="n">
        <v>45830</v>
      </c>
      <c r="C99" s="1" t="n">
        <v>45907</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20831-2024</t>
        </is>
      </c>
      <c r="B100" s="1" t="n">
        <v>45439</v>
      </c>
      <c r="C100" s="1" t="n">
        <v>45907</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17975-2024</t>
        </is>
      </c>
      <c r="B101" s="1" t="n">
        <v>45419.85546296297</v>
      </c>
      <c r="C101" s="1" t="n">
        <v>45907</v>
      </c>
      <c r="D101" t="inlineStr">
        <is>
          <t>GOTLANDS LÄN</t>
        </is>
      </c>
      <c r="E101" t="inlineStr">
        <is>
          <t>GOTLAND</t>
        </is>
      </c>
      <c r="G101" t="n">
        <v>7.9</v>
      </c>
      <c r="H101" t="n">
        <v>0</v>
      </c>
      <c r="I101" t="n">
        <v>1</v>
      </c>
      <c r="J101" t="n">
        <v>1</v>
      </c>
      <c r="K101" t="n">
        <v>0</v>
      </c>
      <c r="L101" t="n">
        <v>1</v>
      </c>
      <c r="M101" t="n">
        <v>0</v>
      </c>
      <c r="N101" t="n">
        <v>0</v>
      </c>
      <c r="O101" t="n">
        <v>2</v>
      </c>
      <c r="P101" t="n">
        <v>1</v>
      </c>
      <c r="Q101" t="n">
        <v>3</v>
      </c>
      <c r="R101" s="2" t="inlineStr">
        <is>
          <t>Ask
Skugglosta
Strävlosta</t>
        </is>
      </c>
      <c r="S101">
        <f>HYPERLINK("https://klasma.github.io/Logging_0980/artfynd/A 17975-2024 artfynd.xlsx", "A 17975-2024")</f>
        <v/>
      </c>
      <c r="T101">
        <f>HYPERLINK("https://klasma.github.io/Logging_0980/kartor/A 17975-2024 karta.png", "A 17975-2024")</f>
        <v/>
      </c>
      <c r="V101">
        <f>HYPERLINK("https://klasma.github.io/Logging_0980/klagomål/A 17975-2024 FSC-klagomål.docx", "A 17975-2024")</f>
        <v/>
      </c>
      <c r="W101">
        <f>HYPERLINK("https://klasma.github.io/Logging_0980/klagomålsmail/A 17975-2024 FSC-klagomål mail.docx", "A 17975-2024")</f>
        <v/>
      </c>
      <c r="X101">
        <f>HYPERLINK("https://klasma.github.io/Logging_0980/tillsyn/A 17975-2024 tillsynsbegäran.docx", "A 17975-2024")</f>
        <v/>
      </c>
      <c r="Y101">
        <f>HYPERLINK("https://klasma.github.io/Logging_0980/tillsynsmail/A 17975-2024 tillsynsbegäran mail.docx", "A 17975-2024")</f>
        <v/>
      </c>
    </row>
    <row r="102" ht="15" customHeight="1">
      <c r="A102" t="inlineStr">
        <is>
          <t>A 62326-2020</t>
        </is>
      </c>
      <c r="B102" s="1" t="n">
        <v>44160</v>
      </c>
      <c r="C102" s="1" t="n">
        <v>45907</v>
      </c>
      <c r="D102" t="inlineStr">
        <is>
          <t>GOTLANDS LÄN</t>
        </is>
      </c>
      <c r="E102" t="inlineStr">
        <is>
          <t>GOTLAND</t>
        </is>
      </c>
      <c r="G102" t="n">
        <v>7.4</v>
      </c>
      <c r="H102" t="n">
        <v>1</v>
      </c>
      <c r="I102" t="n">
        <v>3</v>
      </c>
      <c r="J102" t="n">
        <v>0</v>
      </c>
      <c r="K102" t="n">
        <v>0</v>
      </c>
      <c r="L102" t="n">
        <v>0</v>
      </c>
      <c r="M102" t="n">
        <v>0</v>
      </c>
      <c r="N102" t="n">
        <v>0</v>
      </c>
      <c r="O102" t="n">
        <v>0</v>
      </c>
      <c r="P102" t="n">
        <v>0</v>
      </c>
      <c r="Q102" t="n">
        <v>3</v>
      </c>
      <c r="R102" s="2" t="inlineStr">
        <is>
          <t>Anisspindling
Blåmossa
Skogsknipprot</t>
        </is>
      </c>
      <c r="S102">
        <f>HYPERLINK("https://klasma.github.io/Logging_0980/artfynd/A 62326-2020 artfynd.xlsx", "A 62326-2020")</f>
        <v/>
      </c>
      <c r="T102">
        <f>HYPERLINK("https://klasma.github.io/Logging_0980/kartor/A 62326-2020 karta.png", "A 62326-2020")</f>
        <v/>
      </c>
      <c r="V102">
        <f>HYPERLINK("https://klasma.github.io/Logging_0980/klagomål/A 62326-2020 FSC-klagomål.docx", "A 62326-2020")</f>
        <v/>
      </c>
      <c r="W102">
        <f>HYPERLINK("https://klasma.github.io/Logging_0980/klagomålsmail/A 62326-2020 FSC-klagomål mail.docx", "A 62326-2020")</f>
        <v/>
      </c>
      <c r="X102">
        <f>HYPERLINK("https://klasma.github.io/Logging_0980/tillsyn/A 62326-2020 tillsynsbegäran.docx", "A 62326-2020")</f>
        <v/>
      </c>
      <c r="Y102">
        <f>HYPERLINK("https://klasma.github.io/Logging_0980/tillsynsmail/A 62326-2020 tillsynsbegäran mail.docx", "A 62326-2020")</f>
        <v/>
      </c>
    </row>
    <row r="103" ht="15" customHeight="1">
      <c r="A103" t="inlineStr">
        <is>
          <t>A 29870-2021</t>
        </is>
      </c>
      <c r="B103" s="1" t="n">
        <v>44362</v>
      </c>
      <c r="C103" s="1" t="n">
        <v>45907</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45907</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45907</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45907</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45907</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45907</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55649-2024</t>
        </is>
      </c>
      <c r="B109" s="1" t="n">
        <v>45622.63053240741</v>
      </c>
      <c r="C109" s="1" t="n">
        <v>45907</v>
      </c>
      <c r="D109" t="inlineStr">
        <is>
          <t>GOTLANDS LÄN</t>
        </is>
      </c>
      <c r="E109" t="inlineStr">
        <is>
          <t>GOTLAND</t>
        </is>
      </c>
      <c r="G109" t="n">
        <v>4.6</v>
      </c>
      <c r="H109" t="n">
        <v>2</v>
      </c>
      <c r="I109" t="n">
        <v>0</v>
      </c>
      <c r="J109" t="n">
        <v>0</v>
      </c>
      <c r="K109" t="n">
        <v>0</v>
      </c>
      <c r="L109" t="n">
        <v>0</v>
      </c>
      <c r="M109" t="n">
        <v>0</v>
      </c>
      <c r="N109" t="n">
        <v>0</v>
      </c>
      <c r="O109" t="n">
        <v>0</v>
      </c>
      <c r="P109" t="n">
        <v>0</v>
      </c>
      <c r="Q109" t="n">
        <v>2</v>
      </c>
      <c r="R109" s="2" t="inlineStr">
        <is>
          <t>Sankt pers nycklar
Blåsippa</t>
        </is>
      </c>
      <c r="S109">
        <f>HYPERLINK("https://klasma.github.io/Logging_0980/artfynd/A 55649-2024 artfynd.xlsx", "A 55649-2024")</f>
        <v/>
      </c>
      <c r="T109">
        <f>HYPERLINK("https://klasma.github.io/Logging_0980/kartor/A 55649-2024 karta.png", "A 55649-2024")</f>
        <v/>
      </c>
      <c r="V109">
        <f>HYPERLINK("https://klasma.github.io/Logging_0980/klagomål/A 55649-2024 FSC-klagomål.docx", "A 55649-2024")</f>
        <v/>
      </c>
      <c r="W109">
        <f>HYPERLINK("https://klasma.github.io/Logging_0980/klagomålsmail/A 55649-2024 FSC-klagomål mail.docx", "A 55649-2024")</f>
        <v/>
      </c>
      <c r="X109">
        <f>HYPERLINK("https://klasma.github.io/Logging_0980/tillsyn/A 55649-2024 tillsynsbegäran.docx", "A 55649-2024")</f>
        <v/>
      </c>
      <c r="Y109">
        <f>HYPERLINK("https://klasma.github.io/Logging_0980/tillsynsmail/A 55649-2024 tillsynsbegäran mail.docx", "A 55649-2024")</f>
        <v/>
      </c>
    </row>
    <row r="110" ht="15" customHeight="1">
      <c r="A110" t="inlineStr">
        <is>
          <t>A 28261-2024</t>
        </is>
      </c>
      <c r="B110" s="1" t="n">
        <v>45477</v>
      </c>
      <c r="C110" s="1" t="n">
        <v>45907</v>
      </c>
      <c r="D110" t="inlineStr">
        <is>
          <t>GOTLANDS LÄN</t>
        </is>
      </c>
      <c r="E110" t="inlineStr">
        <is>
          <t>GOTLAND</t>
        </is>
      </c>
      <c r="G110" t="n">
        <v>22.8</v>
      </c>
      <c r="H110" t="n">
        <v>0</v>
      </c>
      <c r="I110" t="n">
        <v>0</v>
      </c>
      <c r="J110" t="n">
        <v>2</v>
      </c>
      <c r="K110" t="n">
        <v>0</v>
      </c>
      <c r="L110" t="n">
        <v>0</v>
      </c>
      <c r="M110" t="n">
        <v>0</v>
      </c>
      <c r="N110" t="n">
        <v>0</v>
      </c>
      <c r="O110" t="n">
        <v>2</v>
      </c>
      <c r="P110" t="n">
        <v>0</v>
      </c>
      <c r="Q110" t="n">
        <v>2</v>
      </c>
      <c r="R110" s="2" t="inlineStr">
        <is>
          <t>Grådådra
Åkerkulla</t>
        </is>
      </c>
      <c r="S110">
        <f>HYPERLINK("https://klasma.github.io/Logging_0980/artfynd/A 28261-2024 artfynd.xlsx", "A 28261-2024")</f>
        <v/>
      </c>
      <c r="T110">
        <f>HYPERLINK("https://klasma.github.io/Logging_0980/kartor/A 28261-2024 karta.png", "A 28261-2024")</f>
        <v/>
      </c>
      <c r="V110">
        <f>HYPERLINK("https://klasma.github.io/Logging_0980/klagomål/A 28261-2024 FSC-klagomål.docx", "A 28261-2024")</f>
        <v/>
      </c>
      <c r="W110">
        <f>HYPERLINK("https://klasma.github.io/Logging_0980/klagomålsmail/A 28261-2024 FSC-klagomål mail.docx", "A 28261-2024")</f>
        <v/>
      </c>
      <c r="X110">
        <f>HYPERLINK("https://klasma.github.io/Logging_0980/tillsyn/A 28261-2024 tillsynsbegäran.docx", "A 28261-2024")</f>
        <v/>
      </c>
      <c r="Y110">
        <f>HYPERLINK("https://klasma.github.io/Logging_0980/tillsynsmail/A 28261-2024 tillsynsbegäran mail.docx", "A 28261-2024")</f>
        <v/>
      </c>
    </row>
    <row r="111" ht="15" customHeight="1">
      <c r="A111" t="inlineStr">
        <is>
          <t>A 21879-2025</t>
        </is>
      </c>
      <c r="B111" s="1" t="n">
        <v>45784.40533564815</v>
      </c>
      <c r="C111" s="1" t="n">
        <v>45907</v>
      </c>
      <c r="D111" t="inlineStr">
        <is>
          <t>GOTLANDS LÄN</t>
        </is>
      </c>
      <c r="E111" t="inlineStr">
        <is>
          <t>GOTLAND</t>
        </is>
      </c>
      <c r="G111" t="n">
        <v>11.1</v>
      </c>
      <c r="H111" t="n">
        <v>0</v>
      </c>
      <c r="I111" t="n">
        <v>1</v>
      </c>
      <c r="J111" t="n">
        <v>0</v>
      </c>
      <c r="K111" t="n">
        <v>0</v>
      </c>
      <c r="L111" t="n">
        <v>1</v>
      </c>
      <c r="M111" t="n">
        <v>0</v>
      </c>
      <c r="N111" t="n">
        <v>0</v>
      </c>
      <c r="O111" t="n">
        <v>1</v>
      </c>
      <c r="P111" t="n">
        <v>1</v>
      </c>
      <c r="Q111" t="n">
        <v>2</v>
      </c>
      <c r="R111" s="2" t="inlineStr">
        <is>
          <t>Ask
Murgröna</t>
        </is>
      </c>
      <c r="S111">
        <f>HYPERLINK("https://klasma.github.io/Logging_0980/artfynd/A 21879-2025 artfynd.xlsx", "A 21879-2025")</f>
        <v/>
      </c>
      <c r="T111">
        <f>HYPERLINK("https://klasma.github.io/Logging_0980/kartor/A 21879-2025 karta.png", "A 21879-2025")</f>
        <v/>
      </c>
      <c r="V111">
        <f>HYPERLINK("https://klasma.github.io/Logging_0980/klagomål/A 21879-2025 FSC-klagomål.docx", "A 21879-2025")</f>
        <v/>
      </c>
      <c r="W111">
        <f>HYPERLINK("https://klasma.github.io/Logging_0980/klagomålsmail/A 21879-2025 FSC-klagomål mail.docx", "A 21879-2025")</f>
        <v/>
      </c>
      <c r="X111">
        <f>HYPERLINK("https://klasma.github.io/Logging_0980/tillsyn/A 21879-2025 tillsynsbegäran.docx", "A 21879-2025")</f>
        <v/>
      </c>
      <c r="Y111">
        <f>HYPERLINK("https://klasma.github.io/Logging_0980/tillsynsmail/A 21879-2025 tillsynsbegäran mail.docx", "A 21879-2025")</f>
        <v/>
      </c>
    </row>
    <row r="112" ht="15" customHeight="1">
      <c r="A112" t="inlineStr">
        <is>
          <t>A 73144-2021</t>
        </is>
      </c>
      <c r="B112" s="1" t="n">
        <v>44550</v>
      </c>
      <c r="C112" s="1" t="n">
        <v>45907</v>
      </c>
      <c r="D112" t="inlineStr">
        <is>
          <t>GOTLANDS LÄN</t>
        </is>
      </c>
      <c r="E112" t="inlineStr">
        <is>
          <t>GOTLAND</t>
        </is>
      </c>
      <c r="G112" t="n">
        <v>1.9</v>
      </c>
      <c r="H112" t="n">
        <v>0</v>
      </c>
      <c r="I112" t="n">
        <v>1</v>
      </c>
      <c r="J112" t="n">
        <v>0</v>
      </c>
      <c r="K112" t="n">
        <v>1</v>
      </c>
      <c r="L112" t="n">
        <v>0</v>
      </c>
      <c r="M112" t="n">
        <v>0</v>
      </c>
      <c r="N112" t="n">
        <v>0</v>
      </c>
      <c r="O112" t="n">
        <v>1</v>
      </c>
      <c r="P112" t="n">
        <v>1</v>
      </c>
      <c r="Q112" t="n">
        <v>2</v>
      </c>
      <c r="R112" s="2" t="inlineStr">
        <is>
          <t>Skogskorn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43321-2020</t>
        </is>
      </c>
      <c r="B113" s="1" t="n">
        <v>44081</v>
      </c>
      <c r="C113" s="1" t="n">
        <v>45907</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45907</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45907</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45907</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45907</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41238-2025</t>
        </is>
      </c>
      <c r="B118" s="1" t="n">
        <v>45898</v>
      </c>
      <c r="C118" s="1" t="n">
        <v>45907</v>
      </c>
      <c r="D118" t="inlineStr">
        <is>
          <t>GOTLANDS LÄN</t>
        </is>
      </c>
      <c r="E118" t="inlineStr">
        <is>
          <t>GOTLAND</t>
        </is>
      </c>
      <c r="G118" t="n">
        <v>7.1</v>
      </c>
      <c r="H118" t="n">
        <v>1</v>
      </c>
      <c r="I118" t="n">
        <v>2</v>
      </c>
      <c r="J118" t="n">
        <v>0</v>
      </c>
      <c r="K118" t="n">
        <v>0</v>
      </c>
      <c r="L118" t="n">
        <v>0</v>
      </c>
      <c r="M118" t="n">
        <v>0</v>
      </c>
      <c r="N118" t="n">
        <v>0</v>
      </c>
      <c r="O118" t="n">
        <v>0</v>
      </c>
      <c r="P118" t="n">
        <v>0</v>
      </c>
      <c r="Q118" t="n">
        <v>2</v>
      </c>
      <c r="R118" s="2" t="inlineStr">
        <is>
          <t>Granbarkgnagare
Skogsknipprot</t>
        </is>
      </c>
      <c r="S118">
        <f>HYPERLINK("https://klasma.github.io/Logging_0980/artfynd/A 41238-2025 artfynd.xlsx", "A 41238-2025")</f>
        <v/>
      </c>
      <c r="T118">
        <f>HYPERLINK("https://klasma.github.io/Logging_0980/kartor/A 41238-2025 karta.png", "A 41238-2025")</f>
        <v/>
      </c>
      <c r="V118">
        <f>HYPERLINK("https://klasma.github.io/Logging_0980/klagomål/A 41238-2025 FSC-klagomål.docx", "A 41238-2025")</f>
        <v/>
      </c>
      <c r="W118">
        <f>HYPERLINK("https://klasma.github.io/Logging_0980/klagomålsmail/A 41238-2025 FSC-klagomål mail.docx", "A 41238-2025")</f>
        <v/>
      </c>
      <c r="X118">
        <f>HYPERLINK("https://klasma.github.io/Logging_0980/tillsyn/A 41238-2025 tillsynsbegäran.docx", "A 41238-2025")</f>
        <v/>
      </c>
      <c r="Y118">
        <f>HYPERLINK("https://klasma.github.io/Logging_0980/tillsynsmail/A 41238-2025 tillsynsbegäran mail.docx", "A 41238-2025")</f>
        <v/>
      </c>
    </row>
    <row r="119" ht="15" customHeight="1">
      <c r="A119" t="inlineStr">
        <is>
          <t>A 64263-2020</t>
        </is>
      </c>
      <c r="B119" s="1" t="n">
        <v>44168</v>
      </c>
      <c r="C119" s="1" t="n">
        <v>45907</v>
      </c>
      <c r="D119" t="inlineStr">
        <is>
          <t>GOTLANDS LÄN</t>
        </is>
      </c>
      <c r="E119" t="inlineStr">
        <is>
          <t>GOTLAND</t>
        </is>
      </c>
      <c r="G119" t="n">
        <v>10.9</v>
      </c>
      <c r="H119" t="n">
        <v>1</v>
      </c>
      <c r="I119" t="n">
        <v>0</v>
      </c>
      <c r="J119" t="n">
        <v>2</v>
      </c>
      <c r="K119" t="n">
        <v>0</v>
      </c>
      <c r="L119" t="n">
        <v>0</v>
      </c>
      <c r="M119" t="n">
        <v>0</v>
      </c>
      <c r="N119" t="n">
        <v>0</v>
      </c>
      <c r="O119" t="n">
        <v>2</v>
      </c>
      <c r="P119" t="n">
        <v>0</v>
      </c>
      <c r="Q119" t="n">
        <v>2</v>
      </c>
      <c r="R119" s="2" t="inlineStr">
        <is>
          <t>Mindre hackspett
Ullticka</t>
        </is>
      </c>
      <c r="S119">
        <f>HYPERLINK("https://klasma.github.io/Logging_0980/artfynd/A 64263-2020 artfynd.xlsx", "A 64263-2020")</f>
        <v/>
      </c>
      <c r="T119">
        <f>HYPERLINK("https://klasma.github.io/Logging_0980/kartor/A 64263-2020 karta.png", "A 64263-2020")</f>
        <v/>
      </c>
      <c r="V119">
        <f>HYPERLINK("https://klasma.github.io/Logging_0980/klagomål/A 64263-2020 FSC-klagomål.docx", "A 64263-2020")</f>
        <v/>
      </c>
      <c r="W119">
        <f>HYPERLINK("https://klasma.github.io/Logging_0980/klagomålsmail/A 64263-2020 FSC-klagomål mail.docx", "A 64263-2020")</f>
        <v/>
      </c>
      <c r="X119">
        <f>HYPERLINK("https://klasma.github.io/Logging_0980/tillsyn/A 64263-2020 tillsynsbegäran.docx", "A 64263-2020")</f>
        <v/>
      </c>
      <c r="Y119">
        <f>HYPERLINK("https://klasma.github.io/Logging_0980/tillsynsmail/A 64263-2020 tillsynsbegäran mail.docx", "A 64263-2020")</f>
        <v/>
      </c>
      <c r="Z119">
        <f>HYPERLINK("https://klasma.github.io/Logging_0980/fåglar/A 64263-2020 prioriterade fågelarter.docx", "A 64263-2020")</f>
        <v/>
      </c>
    </row>
    <row r="120" ht="15" customHeight="1">
      <c r="A120" t="inlineStr">
        <is>
          <t>A 12914-2025</t>
        </is>
      </c>
      <c r="B120" s="1" t="n">
        <v>45733</v>
      </c>
      <c r="C120" s="1" t="n">
        <v>45907</v>
      </c>
      <c r="D120" t="inlineStr">
        <is>
          <t>GOTLANDS LÄN</t>
        </is>
      </c>
      <c r="E120" t="inlineStr">
        <is>
          <t>GOTLAND</t>
        </is>
      </c>
      <c r="G120" t="n">
        <v>24.8</v>
      </c>
      <c r="H120" t="n">
        <v>2</v>
      </c>
      <c r="I120" t="n">
        <v>1</v>
      </c>
      <c r="J120" t="n">
        <v>0</v>
      </c>
      <c r="K120" t="n">
        <v>0</v>
      </c>
      <c r="L120" t="n">
        <v>0</v>
      </c>
      <c r="M120" t="n">
        <v>0</v>
      </c>
      <c r="N120" t="n">
        <v>0</v>
      </c>
      <c r="O120" t="n">
        <v>0</v>
      </c>
      <c r="P120" t="n">
        <v>0</v>
      </c>
      <c r="Q120" t="n">
        <v>2</v>
      </c>
      <c r="R120" s="2" t="inlineStr">
        <is>
          <t>Purpurknipprot
Brudsporre</t>
        </is>
      </c>
      <c r="S120">
        <f>HYPERLINK("https://klasma.github.io/Logging_0980/artfynd/A 12914-2025 artfynd.xlsx", "A 12914-2025")</f>
        <v/>
      </c>
      <c r="T120">
        <f>HYPERLINK("https://klasma.github.io/Logging_0980/kartor/A 12914-2025 karta.png", "A 12914-2025")</f>
        <v/>
      </c>
      <c r="V120">
        <f>HYPERLINK("https://klasma.github.io/Logging_0980/klagomål/A 12914-2025 FSC-klagomål.docx", "A 12914-2025")</f>
        <v/>
      </c>
      <c r="W120">
        <f>HYPERLINK("https://klasma.github.io/Logging_0980/klagomålsmail/A 12914-2025 FSC-klagomål mail.docx", "A 12914-2025")</f>
        <v/>
      </c>
      <c r="X120">
        <f>HYPERLINK("https://klasma.github.io/Logging_0980/tillsyn/A 12914-2025 tillsynsbegäran.docx", "A 12914-2025")</f>
        <v/>
      </c>
      <c r="Y120">
        <f>HYPERLINK("https://klasma.github.io/Logging_0980/tillsynsmail/A 12914-2025 tillsynsbegäran mail.docx", "A 12914-2025")</f>
        <v/>
      </c>
    </row>
    <row r="121" ht="15" customHeight="1">
      <c r="A121" t="inlineStr">
        <is>
          <t>A 54357-2024</t>
        </is>
      </c>
      <c r="B121" s="1" t="n">
        <v>45617.40662037037</v>
      </c>
      <c r="C121" s="1" t="n">
        <v>45907</v>
      </c>
      <c r="D121" t="inlineStr">
        <is>
          <t>GOTLANDS LÄN</t>
        </is>
      </c>
      <c r="E121" t="inlineStr">
        <is>
          <t>GOTLAND</t>
        </is>
      </c>
      <c r="G121" t="n">
        <v>1.5</v>
      </c>
      <c r="H121" t="n">
        <v>1</v>
      </c>
      <c r="I121" t="n">
        <v>0</v>
      </c>
      <c r="J121" t="n">
        <v>1</v>
      </c>
      <c r="K121" t="n">
        <v>0</v>
      </c>
      <c r="L121" t="n">
        <v>0</v>
      </c>
      <c r="M121" t="n">
        <v>0</v>
      </c>
      <c r="N121" t="n">
        <v>0</v>
      </c>
      <c r="O121" t="n">
        <v>1</v>
      </c>
      <c r="P121" t="n">
        <v>0</v>
      </c>
      <c r="Q121" t="n">
        <v>2</v>
      </c>
      <c r="R121" s="2" t="inlineStr">
        <is>
          <t>Loppstarr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28276-2024</t>
        </is>
      </c>
      <c r="B122" s="1" t="n">
        <v>45477</v>
      </c>
      <c r="C122" s="1" t="n">
        <v>45907</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20838-2024</t>
        </is>
      </c>
      <c r="B123" s="1" t="n">
        <v>45439</v>
      </c>
      <c r="C123" s="1" t="n">
        <v>45907</v>
      </c>
      <c r="D123" t="inlineStr">
        <is>
          <t>GOTLANDS LÄN</t>
        </is>
      </c>
      <c r="E123" t="inlineStr">
        <is>
          <t>GOTLAND</t>
        </is>
      </c>
      <c r="G123" t="n">
        <v>0.7</v>
      </c>
      <c r="H123" t="n">
        <v>2</v>
      </c>
      <c r="I123" t="n">
        <v>1</v>
      </c>
      <c r="J123" t="n">
        <v>1</v>
      </c>
      <c r="K123" t="n">
        <v>0</v>
      </c>
      <c r="L123" t="n">
        <v>0</v>
      </c>
      <c r="M123" t="n">
        <v>0</v>
      </c>
      <c r="N123" t="n">
        <v>0</v>
      </c>
      <c r="O123" t="n">
        <v>1</v>
      </c>
      <c r="P123" t="n">
        <v>0</v>
      </c>
      <c r="Q123" t="n">
        <v>2</v>
      </c>
      <c r="R123" s="2" t="inlineStr">
        <is>
          <t>Spillkråka
Skogsknipprot</t>
        </is>
      </c>
      <c r="S123">
        <f>HYPERLINK("https://klasma.github.io/Logging_0980/artfynd/A 20838-2024 artfynd.xlsx", "A 20838-2024")</f>
        <v/>
      </c>
      <c r="T123">
        <f>HYPERLINK("https://klasma.github.io/Logging_0980/kartor/A 20838-2024 karta.png", "A 20838-2024")</f>
        <v/>
      </c>
      <c r="V123">
        <f>HYPERLINK("https://klasma.github.io/Logging_0980/klagomål/A 20838-2024 FSC-klagomål.docx", "A 20838-2024")</f>
        <v/>
      </c>
      <c r="W123">
        <f>HYPERLINK("https://klasma.github.io/Logging_0980/klagomålsmail/A 20838-2024 FSC-klagomål mail.docx", "A 20838-2024")</f>
        <v/>
      </c>
      <c r="X123">
        <f>HYPERLINK("https://klasma.github.io/Logging_0980/tillsyn/A 20838-2024 tillsynsbegäran.docx", "A 20838-2024")</f>
        <v/>
      </c>
      <c r="Y123">
        <f>HYPERLINK("https://klasma.github.io/Logging_0980/tillsynsmail/A 20838-2024 tillsynsbegäran mail.docx", "A 20838-2024")</f>
        <v/>
      </c>
      <c r="Z123">
        <f>HYPERLINK("https://klasma.github.io/Logging_0980/fåglar/A 20838-2024 prioriterade fågelarter.docx", "A 20838-2024")</f>
        <v/>
      </c>
    </row>
    <row r="124" ht="15" customHeight="1">
      <c r="A124" t="inlineStr">
        <is>
          <t>A 24-2021</t>
        </is>
      </c>
      <c r="B124" s="1" t="n">
        <v>44197</v>
      </c>
      <c r="C124" s="1" t="n">
        <v>45907</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45907</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45907</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45907</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45907</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45907</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24245-2022</t>
        </is>
      </c>
      <c r="B130" s="1" t="n">
        <v>44725</v>
      </c>
      <c r="C130" s="1" t="n">
        <v>45907</v>
      </c>
      <c r="D130" t="inlineStr">
        <is>
          <t>GOTLANDS LÄN</t>
        </is>
      </c>
      <c r="E130" t="inlineStr">
        <is>
          <t>GOTLAND</t>
        </is>
      </c>
      <c r="G130" t="n">
        <v>4.9</v>
      </c>
      <c r="H130" t="n">
        <v>0</v>
      </c>
      <c r="I130" t="n">
        <v>0</v>
      </c>
      <c r="J130" t="n">
        <v>0</v>
      </c>
      <c r="K130" t="n">
        <v>0</v>
      </c>
      <c r="L130" t="n">
        <v>1</v>
      </c>
      <c r="M130" t="n">
        <v>0</v>
      </c>
      <c r="N130" t="n">
        <v>0</v>
      </c>
      <c r="O130" t="n">
        <v>1</v>
      </c>
      <c r="P130" t="n">
        <v>1</v>
      </c>
      <c r="Q130" t="n">
        <v>1</v>
      </c>
      <c r="R130" s="2" t="inlineStr">
        <is>
          <t>Slät taggsvamp</t>
        </is>
      </c>
      <c r="S130">
        <f>HYPERLINK("https://klasma.github.io/Logging_0980/artfynd/A 24245-2022 artfynd.xlsx", "A 24245-2022")</f>
        <v/>
      </c>
      <c r="T130">
        <f>HYPERLINK("https://klasma.github.io/Logging_0980/kartor/A 24245-2022 karta.png", "A 24245-2022")</f>
        <v/>
      </c>
      <c r="V130">
        <f>HYPERLINK("https://klasma.github.io/Logging_0980/klagomål/A 24245-2022 FSC-klagomål.docx", "A 24245-2022")</f>
        <v/>
      </c>
      <c r="W130">
        <f>HYPERLINK("https://klasma.github.io/Logging_0980/klagomålsmail/A 24245-2022 FSC-klagomål mail.docx", "A 24245-2022")</f>
        <v/>
      </c>
      <c r="X130">
        <f>HYPERLINK("https://klasma.github.io/Logging_0980/tillsyn/A 24245-2022 tillsynsbegäran.docx", "A 24245-2022")</f>
        <v/>
      </c>
      <c r="Y130">
        <f>HYPERLINK("https://klasma.github.io/Logging_0980/tillsynsmail/A 24245-2022 tillsynsbegäran mail.docx", "A 24245-2022")</f>
        <v/>
      </c>
    </row>
    <row r="131" ht="15" customHeight="1">
      <c r="A131" t="inlineStr">
        <is>
          <t>A 63576-2021</t>
        </is>
      </c>
      <c r="B131" s="1" t="n">
        <v>44508</v>
      </c>
      <c r="C131" s="1" t="n">
        <v>45907</v>
      </c>
      <c r="D131" t="inlineStr">
        <is>
          <t>GOTLANDS LÄN</t>
        </is>
      </c>
      <c r="E131" t="inlineStr">
        <is>
          <t>GOTLAND</t>
        </is>
      </c>
      <c r="F131" t="inlineStr">
        <is>
          <t>Kyrkan</t>
        </is>
      </c>
      <c r="G131" t="n">
        <v>4.1</v>
      </c>
      <c r="H131" t="n">
        <v>1</v>
      </c>
      <c r="I131" t="n">
        <v>0</v>
      </c>
      <c r="J131" t="n">
        <v>1</v>
      </c>
      <c r="K131" t="n">
        <v>0</v>
      </c>
      <c r="L131" t="n">
        <v>0</v>
      </c>
      <c r="M131" t="n">
        <v>0</v>
      </c>
      <c r="N131" t="n">
        <v>0</v>
      </c>
      <c r="O131" t="n">
        <v>1</v>
      </c>
      <c r="P131" t="n">
        <v>0</v>
      </c>
      <c r="Q131" t="n">
        <v>1</v>
      </c>
      <c r="R131" s="2" t="inlineStr">
        <is>
          <t>Dårgräsfjäril</t>
        </is>
      </c>
      <c r="S131">
        <f>HYPERLINK("https://klasma.github.io/Logging_0980/artfynd/A 63576-2021 artfynd.xlsx", "A 63576-2021")</f>
        <v/>
      </c>
      <c r="T131">
        <f>HYPERLINK("https://klasma.github.io/Logging_0980/kartor/A 63576-2021 karta.png", "A 63576-2021")</f>
        <v/>
      </c>
      <c r="V131">
        <f>HYPERLINK("https://klasma.github.io/Logging_0980/klagomål/A 63576-2021 FSC-klagomål.docx", "A 63576-2021")</f>
        <v/>
      </c>
      <c r="W131">
        <f>HYPERLINK("https://klasma.github.io/Logging_0980/klagomålsmail/A 63576-2021 FSC-klagomål mail.docx", "A 63576-2021")</f>
        <v/>
      </c>
      <c r="X131">
        <f>HYPERLINK("https://klasma.github.io/Logging_0980/tillsyn/A 63576-2021 tillsynsbegäran.docx", "A 63576-2021")</f>
        <v/>
      </c>
      <c r="Y131">
        <f>HYPERLINK("https://klasma.github.io/Logging_0980/tillsynsmail/A 63576-2021 tillsynsbegäran mail.docx", "A 63576-2021")</f>
        <v/>
      </c>
    </row>
    <row r="132" ht="15" customHeight="1">
      <c r="A132" t="inlineStr">
        <is>
          <t>A 21466-2025</t>
        </is>
      </c>
      <c r="B132" s="1" t="n">
        <v>45782</v>
      </c>
      <c r="C132" s="1" t="n">
        <v>45907</v>
      </c>
      <c r="D132" t="inlineStr">
        <is>
          <t>GOTLANDS LÄN</t>
        </is>
      </c>
      <c r="E132" t="inlineStr">
        <is>
          <t>GOTLAND</t>
        </is>
      </c>
      <c r="F132" t="inlineStr">
        <is>
          <t>Övriga statliga verk och myndigheter</t>
        </is>
      </c>
      <c r="G132" t="n">
        <v>1.7</v>
      </c>
      <c r="H132" t="n">
        <v>1</v>
      </c>
      <c r="I132" t="n">
        <v>0</v>
      </c>
      <c r="J132" t="n">
        <v>0</v>
      </c>
      <c r="K132" t="n">
        <v>0</v>
      </c>
      <c r="L132" t="n">
        <v>0</v>
      </c>
      <c r="M132" t="n">
        <v>0</v>
      </c>
      <c r="N132" t="n">
        <v>0</v>
      </c>
      <c r="O132" t="n">
        <v>0</v>
      </c>
      <c r="P132" t="n">
        <v>0</v>
      </c>
      <c r="Q132" t="n">
        <v>1</v>
      </c>
      <c r="R132" s="2" t="inlineStr">
        <is>
          <t>Blåsippa</t>
        </is>
      </c>
      <c r="S132">
        <f>HYPERLINK("https://klasma.github.io/Logging_0980/artfynd/A 21466-2025 artfynd.xlsx", "A 21466-2025")</f>
        <v/>
      </c>
      <c r="T132">
        <f>HYPERLINK("https://klasma.github.io/Logging_0980/kartor/A 21466-2025 karta.png", "A 21466-2025")</f>
        <v/>
      </c>
      <c r="V132">
        <f>HYPERLINK("https://klasma.github.io/Logging_0980/klagomål/A 21466-2025 FSC-klagomål.docx", "A 21466-2025")</f>
        <v/>
      </c>
      <c r="W132">
        <f>HYPERLINK("https://klasma.github.io/Logging_0980/klagomålsmail/A 21466-2025 FSC-klagomål mail.docx", "A 21466-2025")</f>
        <v/>
      </c>
      <c r="X132">
        <f>HYPERLINK("https://klasma.github.io/Logging_0980/tillsyn/A 21466-2025 tillsynsbegäran.docx", "A 21466-2025")</f>
        <v/>
      </c>
      <c r="Y132">
        <f>HYPERLINK("https://klasma.github.io/Logging_0980/tillsynsmail/A 21466-2025 tillsynsbegäran mail.docx", "A 21466-2025")</f>
        <v/>
      </c>
    </row>
    <row r="133" ht="15" customHeight="1">
      <c r="A133" t="inlineStr">
        <is>
          <t>A 49304-2024</t>
        </is>
      </c>
      <c r="B133" s="1" t="n">
        <v>45595.54996527778</v>
      </c>
      <c r="C133" s="1" t="n">
        <v>45907</v>
      </c>
      <c r="D133" t="inlineStr">
        <is>
          <t>GOTLANDS LÄN</t>
        </is>
      </c>
      <c r="E133" t="inlineStr">
        <is>
          <t>GOTLAND</t>
        </is>
      </c>
      <c r="G133" t="n">
        <v>10.8</v>
      </c>
      <c r="H133" t="n">
        <v>0</v>
      </c>
      <c r="I133" t="n">
        <v>0</v>
      </c>
      <c r="J133" t="n">
        <v>1</v>
      </c>
      <c r="K133" t="n">
        <v>0</v>
      </c>
      <c r="L133" t="n">
        <v>0</v>
      </c>
      <c r="M133" t="n">
        <v>0</v>
      </c>
      <c r="N133" t="n">
        <v>0</v>
      </c>
      <c r="O133" t="n">
        <v>1</v>
      </c>
      <c r="P133" t="n">
        <v>0</v>
      </c>
      <c r="Q133" t="n">
        <v>1</v>
      </c>
      <c r="R133" s="2" t="inlineStr">
        <is>
          <t>Åkerranunkel</t>
        </is>
      </c>
      <c r="S133">
        <f>HYPERLINK("https://klasma.github.io/Logging_0980/artfynd/A 49304-2024 artfynd.xlsx", "A 49304-2024")</f>
        <v/>
      </c>
      <c r="T133">
        <f>HYPERLINK("https://klasma.github.io/Logging_0980/kartor/A 49304-2024 karta.png", "A 49304-2024")</f>
        <v/>
      </c>
      <c r="V133">
        <f>HYPERLINK("https://klasma.github.io/Logging_0980/klagomål/A 49304-2024 FSC-klagomål.docx", "A 49304-2024")</f>
        <v/>
      </c>
      <c r="W133">
        <f>HYPERLINK("https://klasma.github.io/Logging_0980/klagomålsmail/A 49304-2024 FSC-klagomål mail.docx", "A 49304-2024")</f>
        <v/>
      </c>
      <c r="X133">
        <f>HYPERLINK("https://klasma.github.io/Logging_0980/tillsyn/A 49304-2024 tillsynsbegäran.docx", "A 49304-2024")</f>
        <v/>
      </c>
      <c r="Y133">
        <f>HYPERLINK("https://klasma.github.io/Logging_0980/tillsynsmail/A 49304-2024 tillsynsbegäran mail.docx", "A 49304-2024")</f>
        <v/>
      </c>
    </row>
    <row r="134" ht="15" customHeight="1">
      <c r="A134" t="inlineStr">
        <is>
          <t>A 22782-2023</t>
        </is>
      </c>
      <c r="B134" s="1" t="n">
        <v>45072</v>
      </c>
      <c r="C134" s="1" t="n">
        <v>45907</v>
      </c>
      <c r="D134" t="inlineStr">
        <is>
          <t>GOTLANDS LÄN</t>
        </is>
      </c>
      <c r="E134" t="inlineStr">
        <is>
          <t>GOTLAND</t>
        </is>
      </c>
      <c r="F134" t="inlineStr">
        <is>
          <t>Kyrkan</t>
        </is>
      </c>
      <c r="G134" t="n">
        <v>3.1</v>
      </c>
      <c r="H134" t="n">
        <v>1</v>
      </c>
      <c r="I134" t="n">
        <v>0</v>
      </c>
      <c r="J134" t="n">
        <v>0</v>
      </c>
      <c r="K134" t="n">
        <v>0</v>
      </c>
      <c r="L134" t="n">
        <v>0</v>
      </c>
      <c r="M134" t="n">
        <v>0</v>
      </c>
      <c r="N134" t="n">
        <v>0</v>
      </c>
      <c r="O134" t="n">
        <v>0</v>
      </c>
      <c r="P134" t="n">
        <v>0</v>
      </c>
      <c r="Q134" t="n">
        <v>1</v>
      </c>
      <c r="R134" s="2" t="inlineStr">
        <is>
          <t>Ängsnycklar × skogsnycklar</t>
        </is>
      </c>
      <c r="S134">
        <f>HYPERLINK("https://klasma.github.io/Logging_0980/artfynd/A 22782-2023 artfynd.xlsx", "A 22782-2023")</f>
        <v/>
      </c>
      <c r="T134">
        <f>HYPERLINK("https://klasma.github.io/Logging_0980/kartor/A 22782-2023 karta.png", "A 22782-2023")</f>
        <v/>
      </c>
      <c r="V134">
        <f>HYPERLINK("https://klasma.github.io/Logging_0980/klagomål/A 22782-2023 FSC-klagomål.docx", "A 22782-2023")</f>
        <v/>
      </c>
      <c r="W134">
        <f>HYPERLINK("https://klasma.github.io/Logging_0980/klagomålsmail/A 22782-2023 FSC-klagomål mail.docx", "A 22782-2023")</f>
        <v/>
      </c>
      <c r="X134">
        <f>HYPERLINK("https://klasma.github.io/Logging_0980/tillsyn/A 22782-2023 tillsynsbegäran.docx", "A 22782-2023")</f>
        <v/>
      </c>
      <c r="Y134">
        <f>HYPERLINK("https://klasma.github.io/Logging_0980/tillsynsmail/A 22782-2023 tillsynsbegäran mail.docx", "A 22782-2023")</f>
        <v/>
      </c>
    </row>
    <row r="135" ht="15" customHeight="1">
      <c r="A135" t="inlineStr">
        <is>
          <t>A 10440-2024</t>
        </is>
      </c>
      <c r="B135" s="1" t="n">
        <v>45366.32818287037</v>
      </c>
      <c r="C135" s="1" t="n">
        <v>45907</v>
      </c>
      <c r="D135" t="inlineStr">
        <is>
          <t>GOTLANDS LÄN</t>
        </is>
      </c>
      <c r="E135" t="inlineStr">
        <is>
          <t>GOTLAND</t>
        </is>
      </c>
      <c r="G135" t="n">
        <v>2.5</v>
      </c>
      <c r="H135" t="n">
        <v>1</v>
      </c>
      <c r="I135" t="n">
        <v>0</v>
      </c>
      <c r="J135" t="n">
        <v>1</v>
      </c>
      <c r="K135" t="n">
        <v>0</v>
      </c>
      <c r="L135" t="n">
        <v>0</v>
      </c>
      <c r="M135" t="n">
        <v>0</v>
      </c>
      <c r="N135" t="n">
        <v>0</v>
      </c>
      <c r="O135" t="n">
        <v>1</v>
      </c>
      <c r="P135" t="n">
        <v>0</v>
      </c>
      <c r="Q135" t="n">
        <v>1</v>
      </c>
      <c r="R135" s="2" t="inlineStr">
        <is>
          <t>Mindre hackspett</t>
        </is>
      </c>
      <c r="S135">
        <f>HYPERLINK("https://klasma.github.io/Logging_0980/artfynd/A 10440-2024 artfynd.xlsx", "A 10440-2024")</f>
        <v/>
      </c>
      <c r="T135">
        <f>HYPERLINK("https://klasma.github.io/Logging_0980/kartor/A 10440-2024 karta.png", "A 10440-2024")</f>
        <v/>
      </c>
      <c r="V135">
        <f>HYPERLINK("https://klasma.github.io/Logging_0980/klagomål/A 10440-2024 FSC-klagomål.docx", "A 10440-2024")</f>
        <v/>
      </c>
      <c r="W135">
        <f>HYPERLINK("https://klasma.github.io/Logging_0980/klagomålsmail/A 10440-2024 FSC-klagomål mail.docx", "A 10440-2024")</f>
        <v/>
      </c>
      <c r="X135">
        <f>HYPERLINK("https://klasma.github.io/Logging_0980/tillsyn/A 10440-2024 tillsynsbegäran.docx", "A 10440-2024")</f>
        <v/>
      </c>
      <c r="Y135">
        <f>HYPERLINK("https://klasma.github.io/Logging_0980/tillsynsmail/A 10440-2024 tillsynsbegäran mail.docx", "A 10440-2024")</f>
        <v/>
      </c>
      <c r="Z135">
        <f>HYPERLINK("https://klasma.github.io/Logging_0980/fåglar/A 10440-2024 prioriterade fågelarter.docx", "A 10440-2024")</f>
        <v/>
      </c>
    </row>
    <row r="136" ht="15" customHeight="1">
      <c r="A136" t="inlineStr">
        <is>
          <t>A 44088-2022</t>
        </is>
      </c>
      <c r="B136" s="1" t="n">
        <v>44839</v>
      </c>
      <c r="C136" s="1" t="n">
        <v>45907</v>
      </c>
      <c r="D136" t="inlineStr">
        <is>
          <t>GOTLANDS LÄN</t>
        </is>
      </c>
      <c r="E136" t="inlineStr">
        <is>
          <t>GOTLAND</t>
        </is>
      </c>
      <c r="G136" t="n">
        <v>1.5</v>
      </c>
      <c r="H136" t="n">
        <v>0</v>
      </c>
      <c r="I136" t="n">
        <v>1</v>
      </c>
      <c r="J136" t="n">
        <v>0</v>
      </c>
      <c r="K136" t="n">
        <v>0</v>
      </c>
      <c r="L136" t="n">
        <v>0</v>
      </c>
      <c r="M136" t="n">
        <v>0</v>
      </c>
      <c r="N136" t="n">
        <v>0</v>
      </c>
      <c r="O136" t="n">
        <v>0</v>
      </c>
      <c r="P136" t="n">
        <v>0</v>
      </c>
      <c r="Q136" t="n">
        <v>1</v>
      </c>
      <c r="R136" s="2" t="inlineStr">
        <is>
          <t>Strävlosta</t>
        </is>
      </c>
      <c r="S136">
        <f>HYPERLINK("https://klasma.github.io/Logging_0980/artfynd/A 44088-2022 artfynd.xlsx", "A 44088-2022")</f>
        <v/>
      </c>
      <c r="T136">
        <f>HYPERLINK("https://klasma.github.io/Logging_0980/kartor/A 44088-2022 karta.png", "A 44088-2022")</f>
        <v/>
      </c>
      <c r="V136">
        <f>HYPERLINK("https://klasma.github.io/Logging_0980/klagomål/A 44088-2022 FSC-klagomål.docx", "A 44088-2022")</f>
        <v/>
      </c>
      <c r="W136">
        <f>HYPERLINK("https://klasma.github.io/Logging_0980/klagomålsmail/A 44088-2022 FSC-klagomål mail.docx", "A 44088-2022")</f>
        <v/>
      </c>
      <c r="X136">
        <f>HYPERLINK("https://klasma.github.io/Logging_0980/tillsyn/A 44088-2022 tillsynsbegäran.docx", "A 44088-2022")</f>
        <v/>
      </c>
      <c r="Y136">
        <f>HYPERLINK("https://klasma.github.io/Logging_0980/tillsynsmail/A 44088-2022 tillsynsbegäran mail.docx", "A 44088-2022")</f>
        <v/>
      </c>
    </row>
    <row r="137" ht="15" customHeight="1">
      <c r="A137" t="inlineStr">
        <is>
          <t>A 2213-2023</t>
        </is>
      </c>
      <c r="B137" s="1" t="n">
        <v>44942</v>
      </c>
      <c r="C137" s="1" t="n">
        <v>45907</v>
      </c>
      <c r="D137" t="inlineStr">
        <is>
          <t>GOTLANDS LÄN</t>
        </is>
      </c>
      <c r="E137" t="inlineStr">
        <is>
          <t>GOTLAND</t>
        </is>
      </c>
      <c r="G137" t="n">
        <v>2.7</v>
      </c>
      <c r="H137" t="n">
        <v>0</v>
      </c>
      <c r="I137" t="n">
        <v>0</v>
      </c>
      <c r="J137" t="n">
        <v>1</v>
      </c>
      <c r="K137" t="n">
        <v>0</v>
      </c>
      <c r="L137" t="n">
        <v>0</v>
      </c>
      <c r="M137" t="n">
        <v>0</v>
      </c>
      <c r="N137" t="n">
        <v>0</v>
      </c>
      <c r="O137" t="n">
        <v>1</v>
      </c>
      <c r="P137" t="n">
        <v>0</v>
      </c>
      <c r="Q137" t="n">
        <v>1</v>
      </c>
      <c r="R137" s="2" t="inlineStr">
        <is>
          <t>Odörspindling</t>
        </is>
      </c>
      <c r="S137">
        <f>HYPERLINK("https://klasma.github.io/Logging_0980/artfynd/A 2213-2023 artfynd.xlsx", "A 2213-2023")</f>
        <v/>
      </c>
      <c r="T137">
        <f>HYPERLINK("https://klasma.github.io/Logging_0980/kartor/A 2213-2023 karta.png", "A 2213-2023")</f>
        <v/>
      </c>
      <c r="V137">
        <f>HYPERLINK("https://klasma.github.io/Logging_0980/klagomål/A 2213-2023 FSC-klagomål.docx", "A 2213-2023")</f>
        <v/>
      </c>
      <c r="W137">
        <f>HYPERLINK("https://klasma.github.io/Logging_0980/klagomålsmail/A 2213-2023 FSC-klagomål mail.docx", "A 2213-2023")</f>
        <v/>
      </c>
      <c r="X137">
        <f>HYPERLINK("https://klasma.github.io/Logging_0980/tillsyn/A 2213-2023 tillsynsbegäran.docx", "A 2213-2023")</f>
        <v/>
      </c>
      <c r="Y137">
        <f>HYPERLINK("https://klasma.github.io/Logging_0980/tillsynsmail/A 2213-2023 tillsynsbegäran mail.docx", "A 2213-2023")</f>
        <v/>
      </c>
    </row>
    <row r="138" ht="15" customHeight="1">
      <c r="A138" t="inlineStr">
        <is>
          <t>A 44308-2021</t>
        </is>
      </c>
      <c r="B138" s="1" t="n">
        <v>44434</v>
      </c>
      <c r="C138" s="1" t="n">
        <v>45907</v>
      </c>
      <c r="D138" t="inlineStr">
        <is>
          <t>GOTLANDS LÄN</t>
        </is>
      </c>
      <c r="E138" t="inlineStr">
        <is>
          <t>GOTLAND</t>
        </is>
      </c>
      <c r="G138" t="n">
        <v>5.9</v>
      </c>
      <c r="H138" t="n">
        <v>0</v>
      </c>
      <c r="I138" t="n">
        <v>1</v>
      </c>
      <c r="J138" t="n">
        <v>0</v>
      </c>
      <c r="K138" t="n">
        <v>0</v>
      </c>
      <c r="L138" t="n">
        <v>0</v>
      </c>
      <c r="M138" t="n">
        <v>0</v>
      </c>
      <c r="N138" t="n">
        <v>0</v>
      </c>
      <c r="O138" t="n">
        <v>0</v>
      </c>
      <c r="P138" t="n">
        <v>0</v>
      </c>
      <c r="Q138" t="n">
        <v>1</v>
      </c>
      <c r="R138" s="2" t="inlineStr">
        <is>
          <t>Svavelriska</t>
        </is>
      </c>
      <c r="S138">
        <f>HYPERLINK("https://klasma.github.io/Logging_0980/artfynd/A 44308-2021 artfynd.xlsx", "A 44308-2021")</f>
        <v/>
      </c>
      <c r="T138">
        <f>HYPERLINK("https://klasma.github.io/Logging_0980/kartor/A 44308-2021 karta.png", "A 44308-2021")</f>
        <v/>
      </c>
      <c r="V138">
        <f>HYPERLINK("https://klasma.github.io/Logging_0980/klagomål/A 44308-2021 FSC-klagomål.docx", "A 44308-2021")</f>
        <v/>
      </c>
      <c r="W138">
        <f>HYPERLINK("https://klasma.github.io/Logging_0980/klagomålsmail/A 44308-2021 FSC-klagomål mail.docx", "A 44308-2021")</f>
        <v/>
      </c>
      <c r="X138">
        <f>HYPERLINK("https://klasma.github.io/Logging_0980/tillsyn/A 44308-2021 tillsynsbegäran.docx", "A 44308-2021")</f>
        <v/>
      </c>
      <c r="Y138">
        <f>HYPERLINK("https://klasma.github.io/Logging_0980/tillsynsmail/A 44308-2021 tillsynsbegäran mail.docx", "A 44308-2021")</f>
        <v/>
      </c>
    </row>
    <row r="139" ht="15" customHeight="1">
      <c r="A139" t="inlineStr">
        <is>
          <t>A 12924-2025</t>
        </is>
      </c>
      <c r="B139" s="1" t="n">
        <v>45734</v>
      </c>
      <c r="C139" s="1" t="n">
        <v>45907</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46527-2023</t>
        </is>
      </c>
      <c r="B140" s="1" t="n">
        <v>45197</v>
      </c>
      <c r="C140" s="1" t="n">
        <v>45907</v>
      </c>
      <c r="D140" t="inlineStr">
        <is>
          <t>GOTLANDS LÄN</t>
        </is>
      </c>
      <c r="E140" t="inlineStr">
        <is>
          <t>GOTLAND</t>
        </is>
      </c>
      <c r="G140" t="n">
        <v>0.9</v>
      </c>
      <c r="H140" t="n">
        <v>0</v>
      </c>
      <c r="I140" t="n">
        <v>0</v>
      </c>
      <c r="J140" t="n">
        <v>1</v>
      </c>
      <c r="K140" t="n">
        <v>0</v>
      </c>
      <c r="L140" t="n">
        <v>0</v>
      </c>
      <c r="M140" t="n">
        <v>0</v>
      </c>
      <c r="N140" t="n">
        <v>0</v>
      </c>
      <c r="O140" t="n">
        <v>1</v>
      </c>
      <c r="P140" t="n">
        <v>0</v>
      </c>
      <c r="Q140" t="n">
        <v>1</v>
      </c>
      <c r="R140" s="2" t="inlineStr">
        <is>
          <t>Guldgräshoppa</t>
        </is>
      </c>
      <c r="S140">
        <f>HYPERLINK("https://klasma.github.io/Logging_0980/artfynd/A 46527-2023 artfynd.xlsx", "A 46527-2023")</f>
        <v/>
      </c>
      <c r="T140">
        <f>HYPERLINK("https://klasma.github.io/Logging_0980/kartor/A 46527-2023 karta.png", "A 46527-2023")</f>
        <v/>
      </c>
      <c r="V140">
        <f>HYPERLINK("https://klasma.github.io/Logging_0980/klagomål/A 46527-2023 FSC-klagomål.docx", "A 46527-2023")</f>
        <v/>
      </c>
      <c r="W140">
        <f>HYPERLINK("https://klasma.github.io/Logging_0980/klagomålsmail/A 46527-2023 FSC-klagomål mail.docx", "A 46527-2023")</f>
        <v/>
      </c>
      <c r="X140">
        <f>HYPERLINK("https://klasma.github.io/Logging_0980/tillsyn/A 46527-2023 tillsynsbegäran.docx", "A 46527-2023")</f>
        <v/>
      </c>
      <c r="Y140">
        <f>HYPERLINK("https://klasma.github.io/Logging_0980/tillsynsmail/A 46527-2023 tillsynsbegäran mail.docx", "A 46527-2023")</f>
        <v/>
      </c>
    </row>
    <row r="141" ht="15" customHeight="1">
      <c r="A141" t="inlineStr">
        <is>
          <t>A 8725-2025</t>
        </is>
      </c>
      <c r="B141" s="1" t="n">
        <v>45712</v>
      </c>
      <c r="C141" s="1" t="n">
        <v>45907</v>
      </c>
      <c r="D141" t="inlineStr">
        <is>
          <t>GOTLANDS LÄN</t>
        </is>
      </c>
      <c r="E141" t="inlineStr">
        <is>
          <t>GOTLAND</t>
        </is>
      </c>
      <c r="G141" t="n">
        <v>4.4</v>
      </c>
      <c r="H141" t="n">
        <v>1</v>
      </c>
      <c r="I141" t="n">
        <v>0</v>
      </c>
      <c r="J141" t="n">
        <v>1</v>
      </c>
      <c r="K141" t="n">
        <v>0</v>
      </c>
      <c r="L141" t="n">
        <v>0</v>
      </c>
      <c r="M141" t="n">
        <v>0</v>
      </c>
      <c r="N141" t="n">
        <v>0</v>
      </c>
      <c r="O141" t="n">
        <v>1</v>
      </c>
      <c r="P141" t="n">
        <v>0</v>
      </c>
      <c r="Q141" t="n">
        <v>1</v>
      </c>
      <c r="R141" s="2" t="inlineStr">
        <is>
          <t>Spillkråka</t>
        </is>
      </c>
      <c r="S141">
        <f>HYPERLINK("https://klasma.github.io/Logging_0980/artfynd/A 8725-2025 artfynd.xlsx", "A 8725-2025")</f>
        <v/>
      </c>
      <c r="T141">
        <f>HYPERLINK("https://klasma.github.io/Logging_0980/kartor/A 8725-2025 karta.png", "A 8725-2025")</f>
        <v/>
      </c>
      <c r="V141">
        <f>HYPERLINK("https://klasma.github.io/Logging_0980/klagomål/A 8725-2025 FSC-klagomål.docx", "A 8725-2025")</f>
        <v/>
      </c>
      <c r="W141">
        <f>HYPERLINK("https://klasma.github.io/Logging_0980/klagomålsmail/A 8725-2025 FSC-klagomål mail.docx", "A 8725-2025")</f>
        <v/>
      </c>
      <c r="X141">
        <f>HYPERLINK("https://klasma.github.io/Logging_0980/tillsyn/A 8725-2025 tillsynsbegäran.docx", "A 8725-2025")</f>
        <v/>
      </c>
      <c r="Y141">
        <f>HYPERLINK("https://klasma.github.io/Logging_0980/tillsynsmail/A 8725-2025 tillsynsbegäran mail.docx", "A 8725-2025")</f>
        <v/>
      </c>
      <c r="Z141">
        <f>HYPERLINK("https://klasma.github.io/Logging_0980/fåglar/A 8725-2025 prioriterade fågelarter.docx", "A 8725-2025")</f>
        <v/>
      </c>
    </row>
    <row r="142" ht="15" customHeight="1">
      <c r="A142" t="inlineStr">
        <is>
          <t>A 26461-2025</t>
        </is>
      </c>
      <c r="B142" s="1" t="n">
        <v>45807.43337962963</v>
      </c>
      <c r="C142" s="1" t="n">
        <v>45907</v>
      </c>
      <c r="D142" t="inlineStr">
        <is>
          <t>GOTLANDS LÄN</t>
        </is>
      </c>
      <c r="E142" t="inlineStr">
        <is>
          <t>GOTLAND</t>
        </is>
      </c>
      <c r="G142" t="n">
        <v>4.1</v>
      </c>
      <c r="H142" t="n">
        <v>0</v>
      </c>
      <c r="I142" t="n">
        <v>0</v>
      </c>
      <c r="J142" t="n">
        <v>0</v>
      </c>
      <c r="K142" t="n">
        <v>1</v>
      </c>
      <c r="L142" t="n">
        <v>0</v>
      </c>
      <c r="M142" t="n">
        <v>0</v>
      </c>
      <c r="N142" t="n">
        <v>0</v>
      </c>
      <c r="O142" t="n">
        <v>1</v>
      </c>
      <c r="P142" t="n">
        <v>1</v>
      </c>
      <c r="Q142" t="n">
        <v>1</v>
      </c>
      <c r="R142" s="2" t="inlineStr">
        <is>
          <t>Gotlandsmåra</t>
        </is>
      </c>
      <c r="S142">
        <f>HYPERLINK("https://klasma.github.io/Logging_0980/artfynd/A 26461-2025 artfynd.xlsx", "A 26461-2025")</f>
        <v/>
      </c>
      <c r="T142">
        <f>HYPERLINK("https://klasma.github.io/Logging_0980/kartor/A 26461-2025 karta.png", "A 26461-2025")</f>
        <v/>
      </c>
      <c r="V142">
        <f>HYPERLINK("https://klasma.github.io/Logging_0980/klagomål/A 26461-2025 FSC-klagomål.docx", "A 26461-2025")</f>
        <v/>
      </c>
      <c r="W142">
        <f>HYPERLINK("https://klasma.github.io/Logging_0980/klagomålsmail/A 26461-2025 FSC-klagomål mail.docx", "A 26461-2025")</f>
        <v/>
      </c>
      <c r="X142">
        <f>HYPERLINK("https://klasma.github.io/Logging_0980/tillsyn/A 26461-2025 tillsynsbegäran.docx", "A 26461-2025")</f>
        <v/>
      </c>
      <c r="Y142">
        <f>HYPERLINK("https://klasma.github.io/Logging_0980/tillsynsmail/A 26461-2025 tillsynsbegäran mail.docx", "A 26461-2025")</f>
        <v/>
      </c>
    </row>
    <row r="143" ht="15" customHeight="1">
      <c r="A143" t="inlineStr">
        <is>
          <t>A 17723-2021</t>
        </is>
      </c>
      <c r="B143" s="1" t="n">
        <v>44300</v>
      </c>
      <c r="C143" s="1" t="n">
        <v>45907</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6303-2024</t>
        </is>
      </c>
      <c r="B144" s="1" t="n">
        <v>45338.35376157407</v>
      </c>
      <c r="C144" s="1" t="n">
        <v>45907</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62552-2022</t>
        </is>
      </c>
      <c r="B145" s="1" t="n">
        <v>44924</v>
      </c>
      <c r="C145" s="1" t="n">
        <v>45907</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7637-2025</t>
        </is>
      </c>
      <c r="B146" s="1" t="n">
        <v>45705.77181712963</v>
      </c>
      <c r="C146" s="1" t="n">
        <v>45907</v>
      </c>
      <c r="D146" t="inlineStr">
        <is>
          <t>GOTLANDS LÄN</t>
        </is>
      </c>
      <c r="E146" t="inlineStr">
        <is>
          <t>GOTLAND</t>
        </is>
      </c>
      <c r="G146" t="n">
        <v>3.7</v>
      </c>
      <c r="H146" t="n">
        <v>0</v>
      </c>
      <c r="I146" t="n">
        <v>0</v>
      </c>
      <c r="J146" t="n">
        <v>0</v>
      </c>
      <c r="K146" t="n">
        <v>0</v>
      </c>
      <c r="L146" t="n">
        <v>0</v>
      </c>
      <c r="M146" t="n">
        <v>1</v>
      </c>
      <c r="N146" t="n">
        <v>0</v>
      </c>
      <c r="O146" t="n">
        <v>1</v>
      </c>
      <c r="P146" t="n">
        <v>1</v>
      </c>
      <c r="Q146" t="n">
        <v>1</v>
      </c>
      <c r="R146" s="2" t="inlineStr">
        <is>
          <t>Skogsalm</t>
        </is>
      </c>
      <c r="S146">
        <f>HYPERLINK("https://klasma.github.io/Logging_0980/artfynd/A 7637-2025 artfynd.xlsx", "A 7637-2025")</f>
        <v/>
      </c>
      <c r="T146">
        <f>HYPERLINK("https://klasma.github.io/Logging_0980/kartor/A 7637-2025 karta.png", "A 7637-2025")</f>
        <v/>
      </c>
      <c r="V146">
        <f>HYPERLINK("https://klasma.github.io/Logging_0980/klagomål/A 7637-2025 FSC-klagomål.docx", "A 7637-2025")</f>
        <v/>
      </c>
      <c r="W146">
        <f>HYPERLINK("https://klasma.github.io/Logging_0980/klagomålsmail/A 7637-2025 FSC-klagomål mail.docx", "A 7637-2025")</f>
        <v/>
      </c>
      <c r="X146">
        <f>HYPERLINK("https://klasma.github.io/Logging_0980/tillsyn/A 7637-2025 tillsynsbegäran.docx", "A 7637-2025")</f>
        <v/>
      </c>
      <c r="Y146">
        <f>HYPERLINK("https://klasma.github.io/Logging_0980/tillsynsmail/A 7637-2025 tillsynsbegäran mail.docx", "A 7637-2025")</f>
        <v/>
      </c>
    </row>
    <row r="147" ht="15" customHeight="1">
      <c r="A147" t="inlineStr">
        <is>
          <t>A 27168-2022</t>
        </is>
      </c>
      <c r="B147" s="1" t="n">
        <v>44741</v>
      </c>
      <c r="C147" s="1" t="n">
        <v>45907</v>
      </c>
      <c r="D147" t="inlineStr">
        <is>
          <t>GOTLANDS LÄN</t>
        </is>
      </c>
      <c r="E147" t="inlineStr">
        <is>
          <t>GOTLAND</t>
        </is>
      </c>
      <c r="G147" t="n">
        <v>2.2</v>
      </c>
      <c r="H147" t="n">
        <v>1</v>
      </c>
      <c r="I147" t="n">
        <v>1</v>
      </c>
      <c r="J147" t="n">
        <v>0</v>
      </c>
      <c r="K147" t="n">
        <v>0</v>
      </c>
      <c r="L147" t="n">
        <v>0</v>
      </c>
      <c r="M147" t="n">
        <v>0</v>
      </c>
      <c r="N147" t="n">
        <v>0</v>
      </c>
      <c r="O147" t="n">
        <v>0</v>
      </c>
      <c r="P147" t="n">
        <v>0</v>
      </c>
      <c r="Q147" t="n">
        <v>1</v>
      </c>
      <c r="R147" s="2" t="inlineStr">
        <is>
          <t>Purpurknipprot</t>
        </is>
      </c>
      <c r="S147">
        <f>HYPERLINK("https://klasma.github.io/Logging_0980/artfynd/A 27168-2022 artfynd.xlsx", "A 27168-2022")</f>
        <v/>
      </c>
      <c r="T147">
        <f>HYPERLINK("https://klasma.github.io/Logging_0980/kartor/A 27168-2022 karta.png", "A 27168-2022")</f>
        <v/>
      </c>
      <c r="V147">
        <f>HYPERLINK("https://klasma.github.io/Logging_0980/klagomål/A 27168-2022 FSC-klagomål.docx", "A 27168-2022")</f>
        <v/>
      </c>
      <c r="W147">
        <f>HYPERLINK("https://klasma.github.io/Logging_0980/klagomålsmail/A 27168-2022 FSC-klagomål mail.docx", "A 27168-2022")</f>
        <v/>
      </c>
      <c r="X147">
        <f>HYPERLINK("https://klasma.github.io/Logging_0980/tillsyn/A 27168-2022 tillsynsbegäran.docx", "A 27168-2022")</f>
        <v/>
      </c>
      <c r="Y147">
        <f>HYPERLINK("https://klasma.github.io/Logging_0980/tillsynsmail/A 27168-2022 tillsynsbegäran mail.docx", "A 27168-2022")</f>
        <v/>
      </c>
    </row>
    <row r="148" ht="15" customHeight="1">
      <c r="A148" t="inlineStr">
        <is>
          <t>A 25977-2024</t>
        </is>
      </c>
      <c r="B148" s="1" t="n">
        <v>45467.69356481481</v>
      </c>
      <c r="C148" s="1" t="n">
        <v>45907</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27589-2023</t>
        </is>
      </c>
      <c r="B149" s="1" t="n">
        <v>45097</v>
      </c>
      <c r="C149" s="1" t="n">
        <v>45907</v>
      </c>
      <c r="D149" t="inlineStr">
        <is>
          <t>GOTLANDS LÄN</t>
        </is>
      </c>
      <c r="E149" t="inlineStr">
        <is>
          <t>GOTLAND</t>
        </is>
      </c>
      <c r="G149" t="n">
        <v>5.4</v>
      </c>
      <c r="H149" t="n">
        <v>0</v>
      </c>
      <c r="I149" t="n">
        <v>0</v>
      </c>
      <c r="J149" t="n">
        <v>0</v>
      </c>
      <c r="K149" t="n">
        <v>0</v>
      </c>
      <c r="L149" t="n">
        <v>0</v>
      </c>
      <c r="M149" t="n">
        <v>1</v>
      </c>
      <c r="N149" t="n">
        <v>0</v>
      </c>
      <c r="O149" t="n">
        <v>1</v>
      </c>
      <c r="P149" t="n">
        <v>1</v>
      </c>
      <c r="Q149" t="n">
        <v>1</v>
      </c>
      <c r="R149" s="2" t="inlineStr">
        <is>
          <t>Skogsalm</t>
        </is>
      </c>
      <c r="S149">
        <f>HYPERLINK("https://klasma.github.io/Logging_0980/artfynd/A 27589-2023 artfynd.xlsx", "A 27589-2023")</f>
        <v/>
      </c>
      <c r="T149">
        <f>HYPERLINK("https://klasma.github.io/Logging_0980/kartor/A 27589-2023 karta.png", "A 27589-2023")</f>
        <v/>
      </c>
      <c r="V149">
        <f>HYPERLINK("https://klasma.github.io/Logging_0980/klagomål/A 27589-2023 FSC-klagomål.docx", "A 27589-2023")</f>
        <v/>
      </c>
      <c r="W149">
        <f>HYPERLINK("https://klasma.github.io/Logging_0980/klagomålsmail/A 27589-2023 FSC-klagomål mail.docx", "A 27589-2023")</f>
        <v/>
      </c>
      <c r="X149">
        <f>HYPERLINK("https://klasma.github.io/Logging_0980/tillsyn/A 27589-2023 tillsynsbegäran.docx", "A 27589-2023")</f>
        <v/>
      </c>
      <c r="Y149">
        <f>HYPERLINK("https://klasma.github.io/Logging_0980/tillsynsmail/A 27589-2023 tillsynsbegäran mail.docx", "A 27589-2023")</f>
        <v/>
      </c>
    </row>
    <row r="150" ht="15" customHeight="1">
      <c r="A150" t="inlineStr">
        <is>
          <t>A 9862-2024</t>
        </is>
      </c>
      <c r="B150" s="1" t="n">
        <v>45363</v>
      </c>
      <c r="C150" s="1" t="n">
        <v>45907</v>
      </c>
      <c r="D150" t="inlineStr">
        <is>
          <t>GOTLANDS LÄN</t>
        </is>
      </c>
      <c r="E150" t="inlineStr">
        <is>
          <t>GOTLAND</t>
        </is>
      </c>
      <c r="G150" t="n">
        <v>3.5</v>
      </c>
      <c r="H150" t="n">
        <v>1</v>
      </c>
      <c r="I150" t="n">
        <v>0</v>
      </c>
      <c r="J150" t="n">
        <v>0</v>
      </c>
      <c r="K150" t="n">
        <v>0</v>
      </c>
      <c r="L150" t="n">
        <v>0</v>
      </c>
      <c r="M150" t="n">
        <v>0</v>
      </c>
      <c r="N150" t="n">
        <v>0</v>
      </c>
      <c r="O150" t="n">
        <v>0</v>
      </c>
      <c r="P150" t="n">
        <v>0</v>
      </c>
      <c r="Q150" t="n">
        <v>1</v>
      </c>
      <c r="R150" s="2" t="inlineStr">
        <is>
          <t>Nattviol</t>
        </is>
      </c>
      <c r="S150">
        <f>HYPERLINK("https://klasma.github.io/Logging_0980/artfynd/A 9862-2024 artfynd.xlsx", "A 9862-2024")</f>
        <v/>
      </c>
      <c r="T150">
        <f>HYPERLINK("https://klasma.github.io/Logging_0980/kartor/A 9862-2024 karta.png", "A 9862-2024")</f>
        <v/>
      </c>
      <c r="V150">
        <f>HYPERLINK("https://klasma.github.io/Logging_0980/klagomål/A 9862-2024 FSC-klagomål.docx", "A 9862-2024")</f>
        <v/>
      </c>
      <c r="W150">
        <f>HYPERLINK("https://klasma.github.io/Logging_0980/klagomålsmail/A 9862-2024 FSC-klagomål mail.docx", "A 9862-2024")</f>
        <v/>
      </c>
      <c r="X150">
        <f>HYPERLINK("https://klasma.github.io/Logging_0980/tillsyn/A 9862-2024 tillsynsbegäran.docx", "A 9862-2024")</f>
        <v/>
      </c>
      <c r="Y150">
        <f>HYPERLINK("https://klasma.github.io/Logging_0980/tillsynsmail/A 9862-2024 tillsynsbegäran mail.docx", "A 9862-2024")</f>
        <v/>
      </c>
    </row>
    <row r="151" ht="15" customHeight="1">
      <c r="A151" t="inlineStr">
        <is>
          <t>A 34141-2024</t>
        </is>
      </c>
      <c r="B151" s="1" t="n">
        <v>45524.36229166666</v>
      </c>
      <c r="C151" s="1" t="n">
        <v>45907</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39812-2025</t>
        </is>
      </c>
      <c r="B152" s="1" t="n">
        <v>45891</v>
      </c>
      <c r="C152" s="1" t="n">
        <v>45907</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61796-2022</t>
        </is>
      </c>
      <c r="B153" s="1" t="n">
        <v>44917</v>
      </c>
      <c r="C153" s="1" t="n">
        <v>45907</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44468-2024</t>
        </is>
      </c>
      <c r="B154" s="1" t="n">
        <v>45574.36651620371</v>
      </c>
      <c r="C154" s="1" t="n">
        <v>45907</v>
      </c>
      <c r="D154" t="inlineStr">
        <is>
          <t>GOTLANDS LÄN</t>
        </is>
      </c>
      <c r="E154" t="inlineStr">
        <is>
          <t>GOTLAND</t>
        </is>
      </c>
      <c r="G154" t="n">
        <v>7</v>
      </c>
      <c r="H154" t="n">
        <v>0</v>
      </c>
      <c r="I154" t="n">
        <v>0</v>
      </c>
      <c r="J154" t="n">
        <v>0</v>
      </c>
      <c r="K154" t="n">
        <v>0</v>
      </c>
      <c r="L154" t="n">
        <v>0</v>
      </c>
      <c r="M154" t="n">
        <v>1</v>
      </c>
      <c r="N154" t="n">
        <v>0</v>
      </c>
      <c r="O154" t="n">
        <v>1</v>
      </c>
      <c r="P154" t="n">
        <v>1</v>
      </c>
      <c r="Q154" t="n">
        <v>1</v>
      </c>
      <c r="R154" s="2" t="inlineStr">
        <is>
          <t>Skogsalm</t>
        </is>
      </c>
      <c r="S154">
        <f>HYPERLINK("https://klasma.github.io/Logging_0980/artfynd/A 44468-2024 artfynd.xlsx", "A 44468-2024")</f>
        <v/>
      </c>
      <c r="T154">
        <f>HYPERLINK("https://klasma.github.io/Logging_0980/kartor/A 44468-2024 karta.png", "A 44468-2024")</f>
        <v/>
      </c>
      <c r="V154">
        <f>HYPERLINK("https://klasma.github.io/Logging_0980/klagomål/A 44468-2024 FSC-klagomål.docx", "A 44468-2024")</f>
        <v/>
      </c>
      <c r="W154">
        <f>HYPERLINK("https://klasma.github.io/Logging_0980/klagomålsmail/A 44468-2024 FSC-klagomål mail.docx", "A 44468-2024")</f>
        <v/>
      </c>
      <c r="X154">
        <f>HYPERLINK("https://klasma.github.io/Logging_0980/tillsyn/A 44468-2024 tillsynsbegäran.docx", "A 44468-2024")</f>
        <v/>
      </c>
      <c r="Y154">
        <f>HYPERLINK("https://klasma.github.io/Logging_0980/tillsynsmail/A 44468-2024 tillsynsbegäran mail.docx", "A 44468-2024")</f>
        <v/>
      </c>
    </row>
    <row r="155" ht="15" customHeight="1">
      <c r="A155" t="inlineStr">
        <is>
          <t>A 10218-2025</t>
        </is>
      </c>
      <c r="B155" s="1" t="n">
        <v>45720</v>
      </c>
      <c r="C155" s="1" t="n">
        <v>45907</v>
      </c>
      <c r="D155" t="inlineStr">
        <is>
          <t>GOTLANDS LÄN</t>
        </is>
      </c>
      <c r="E155" t="inlineStr">
        <is>
          <t>GOTLAND</t>
        </is>
      </c>
      <c r="G155" t="n">
        <v>8.1</v>
      </c>
      <c r="H155" t="n">
        <v>0</v>
      </c>
      <c r="I155" t="n">
        <v>1</v>
      </c>
      <c r="J155" t="n">
        <v>0</v>
      </c>
      <c r="K155" t="n">
        <v>0</v>
      </c>
      <c r="L155" t="n">
        <v>0</v>
      </c>
      <c r="M155" t="n">
        <v>0</v>
      </c>
      <c r="N155" t="n">
        <v>0</v>
      </c>
      <c r="O155" t="n">
        <v>0</v>
      </c>
      <c r="P155" t="n">
        <v>0</v>
      </c>
      <c r="Q155" t="n">
        <v>1</v>
      </c>
      <c r="R155" s="2" t="inlineStr">
        <is>
          <t>Kalktallört</t>
        </is>
      </c>
      <c r="S155">
        <f>HYPERLINK("https://klasma.github.io/Logging_0980/artfynd/A 10218-2025 artfynd.xlsx", "A 10218-2025")</f>
        <v/>
      </c>
      <c r="T155">
        <f>HYPERLINK("https://klasma.github.io/Logging_0980/kartor/A 10218-2025 karta.png", "A 10218-2025")</f>
        <v/>
      </c>
      <c r="V155">
        <f>HYPERLINK("https://klasma.github.io/Logging_0980/klagomål/A 10218-2025 FSC-klagomål.docx", "A 10218-2025")</f>
        <v/>
      </c>
      <c r="W155">
        <f>HYPERLINK("https://klasma.github.io/Logging_0980/klagomålsmail/A 10218-2025 FSC-klagomål mail.docx", "A 10218-2025")</f>
        <v/>
      </c>
      <c r="X155">
        <f>HYPERLINK("https://klasma.github.io/Logging_0980/tillsyn/A 10218-2025 tillsynsbegäran.docx", "A 10218-2025")</f>
        <v/>
      </c>
      <c r="Y155">
        <f>HYPERLINK("https://klasma.github.io/Logging_0980/tillsynsmail/A 10218-2025 tillsynsbegäran mail.docx", "A 10218-2025")</f>
        <v/>
      </c>
    </row>
    <row r="156" ht="15" customHeight="1">
      <c r="A156" t="inlineStr">
        <is>
          <t>A 12379-2024</t>
        </is>
      </c>
      <c r="B156" s="1" t="n">
        <v>45379.28155092592</v>
      </c>
      <c r="C156" s="1" t="n">
        <v>45907</v>
      </c>
      <c r="D156" t="inlineStr">
        <is>
          <t>GOTLANDS LÄN</t>
        </is>
      </c>
      <c r="E156" t="inlineStr">
        <is>
          <t>GOTLAND</t>
        </is>
      </c>
      <c r="G156" t="n">
        <v>4.4</v>
      </c>
      <c r="H156" t="n">
        <v>0</v>
      </c>
      <c r="I156" t="n">
        <v>0</v>
      </c>
      <c r="J156" t="n">
        <v>1</v>
      </c>
      <c r="K156" t="n">
        <v>0</v>
      </c>
      <c r="L156" t="n">
        <v>0</v>
      </c>
      <c r="M156" t="n">
        <v>0</v>
      </c>
      <c r="N156" t="n">
        <v>0</v>
      </c>
      <c r="O156" t="n">
        <v>1</v>
      </c>
      <c r="P156" t="n">
        <v>0</v>
      </c>
      <c r="Q156" t="n">
        <v>1</v>
      </c>
      <c r="R156" s="2" t="inlineStr">
        <is>
          <t>Svinrot</t>
        </is>
      </c>
      <c r="S156">
        <f>HYPERLINK("https://klasma.github.io/Logging_0980/artfynd/A 12379-2024 artfynd.xlsx", "A 12379-2024")</f>
        <v/>
      </c>
      <c r="T156">
        <f>HYPERLINK("https://klasma.github.io/Logging_0980/kartor/A 12379-2024 karta.png", "A 12379-2024")</f>
        <v/>
      </c>
      <c r="V156">
        <f>HYPERLINK("https://klasma.github.io/Logging_0980/klagomål/A 12379-2024 FSC-klagomål.docx", "A 12379-2024")</f>
        <v/>
      </c>
      <c r="W156">
        <f>HYPERLINK("https://klasma.github.io/Logging_0980/klagomålsmail/A 12379-2024 FSC-klagomål mail.docx", "A 12379-2024")</f>
        <v/>
      </c>
      <c r="X156">
        <f>HYPERLINK("https://klasma.github.io/Logging_0980/tillsyn/A 12379-2024 tillsynsbegäran.docx", "A 12379-2024")</f>
        <v/>
      </c>
      <c r="Y156">
        <f>HYPERLINK("https://klasma.github.io/Logging_0980/tillsynsmail/A 12379-2024 tillsynsbegäran mail.docx", "A 12379-2024")</f>
        <v/>
      </c>
    </row>
    <row r="157" ht="15" customHeight="1">
      <c r="A157" t="inlineStr">
        <is>
          <t>A 65927-2021</t>
        </is>
      </c>
      <c r="B157" s="1" t="n">
        <v>44516</v>
      </c>
      <c r="C157" s="1" t="n">
        <v>45907</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45907</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64700-2021</t>
        </is>
      </c>
      <c r="B159" s="1" t="n">
        <v>44511</v>
      </c>
      <c r="C159" s="1" t="n">
        <v>45907</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35574-2024</t>
        </is>
      </c>
      <c r="B160" s="1" t="n">
        <v>45531</v>
      </c>
      <c r="C160" s="1" t="n">
        <v>45907</v>
      </c>
      <c r="D160" t="inlineStr">
        <is>
          <t>GOTLANDS LÄN</t>
        </is>
      </c>
      <c r="E160" t="inlineStr">
        <is>
          <t>GOTLAND</t>
        </is>
      </c>
      <c r="G160" t="n">
        <v>5.7</v>
      </c>
      <c r="H160" t="n">
        <v>0</v>
      </c>
      <c r="I160" t="n">
        <v>1</v>
      </c>
      <c r="J160" t="n">
        <v>0</v>
      </c>
      <c r="K160" t="n">
        <v>0</v>
      </c>
      <c r="L160" t="n">
        <v>0</v>
      </c>
      <c r="M160" t="n">
        <v>0</v>
      </c>
      <c r="N160" t="n">
        <v>0</v>
      </c>
      <c r="O160" t="n">
        <v>0</v>
      </c>
      <c r="P160" t="n">
        <v>0</v>
      </c>
      <c r="Q160" t="n">
        <v>1</v>
      </c>
      <c r="R160" s="2" t="inlineStr">
        <is>
          <t>Murgröna</t>
        </is>
      </c>
      <c r="S160">
        <f>HYPERLINK("https://klasma.github.io/Logging_0980/artfynd/A 35574-2024 artfynd.xlsx", "A 35574-2024")</f>
        <v/>
      </c>
      <c r="T160">
        <f>HYPERLINK("https://klasma.github.io/Logging_0980/kartor/A 35574-2024 karta.png", "A 35574-2024")</f>
        <v/>
      </c>
      <c r="V160">
        <f>HYPERLINK("https://klasma.github.io/Logging_0980/klagomål/A 35574-2024 FSC-klagomål.docx", "A 35574-2024")</f>
        <v/>
      </c>
      <c r="W160">
        <f>HYPERLINK("https://klasma.github.io/Logging_0980/klagomålsmail/A 35574-2024 FSC-klagomål mail.docx", "A 35574-2024")</f>
        <v/>
      </c>
      <c r="X160">
        <f>HYPERLINK("https://klasma.github.io/Logging_0980/tillsyn/A 35574-2024 tillsynsbegäran.docx", "A 35574-2024")</f>
        <v/>
      </c>
      <c r="Y160">
        <f>HYPERLINK("https://klasma.github.io/Logging_0980/tillsynsmail/A 35574-2024 tillsynsbegäran mail.docx", "A 35574-2024")</f>
        <v/>
      </c>
    </row>
    <row r="161" ht="15" customHeight="1">
      <c r="A161" t="inlineStr">
        <is>
          <t>A 15637-2024</t>
        </is>
      </c>
      <c r="B161" s="1" t="n">
        <v>45403.6684837963</v>
      </c>
      <c r="C161" s="1" t="n">
        <v>45907</v>
      </c>
      <c r="D161" t="inlineStr">
        <is>
          <t>GOTLANDS LÄN</t>
        </is>
      </c>
      <c r="E161" t="inlineStr">
        <is>
          <t>GOTLAND</t>
        </is>
      </c>
      <c r="G161" t="n">
        <v>4.1</v>
      </c>
      <c r="H161" t="n">
        <v>1</v>
      </c>
      <c r="I161" t="n">
        <v>0</v>
      </c>
      <c r="J161" t="n">
        <v>0</v>
      </c>
      <c r="K161" t="n">
        <v>0</v>
      </c>
      <c r="L161" t="n">
        <v>0</v>
      </c>
      <c r="M161" t="n">
        <v>0</v>
      </c>
      <c r="N161" t="n">
        <v>0</v>
      </c>
      <c r="O161" t="n">
        <v>0</v>
      </c>
      <c r="P161" t="n">
        <v>0</v>
      </c>
      <c r="Q161" t="n">
        <v>1</v>
      </c>
      <c r="R161" s="2" t="inlineStr">
        <is>
          <t>Blåsippa</t>
        </is>
      </c>
      <c r="S161">
        <f>HYPERLINK("https://klasma.github.io/Logging_0980/artfynd/A 15637-2024 artfynd.xlsx", "A 15637-2024")</f>
        <v/>
      </c>
      <c r="T161">
        <f>HYPERLINK("https://klasma.github.io/Logging_0980/kartor/A 15637-2024 karta.png", "A 15637-2024")</f>
        <v/>
      </c>
      <c r="V161">
        <f>HYPERLINK("https://klasma.github.io/Logging_0980/klagomål/A 15637-2024 FSC-klagomål.docx", "A 15637-2024")</f>
        <v/>
      </c>
      <c r="W161">
        <f>HYPERLINK("https://klasma.github.io/Logging_0980/klagomålsmail/A 15637-2024 FSC-klagomål mail.docx", "A 15637-2024")</f>
        <v/>
      </c>
      <c r="X161">
        <f>HYPERLINK("https://klasma.github.io/Logging_0980/tillsyn/A 15637-2024 tillsynsbegäran.docx", "A 15637-2024")</f>
        <v/>
      </c>
      <c r="Y161">
        <f>HYPERLINK("https://klasma.github.io/Logging_0980/tillsynsmail/A 15637-2024 tillsynsbegäran mail.docx", "A 15637-2024")</f>
        <v/>
      </c>
    </row>
    <row r="162" ht="15" customHeight="1">
      <c r="A162" t="inlineStr">
        <is>
          <t>A 61561-2023</t>
        </is>
      </c>
      <c r="B162" s="1" t="n">
        <v>45265</v>
      </c>
      <c r="C162" s="1" t="n">
        <v>45907</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43219-2023</t>
        </is>
      </c>
      <c r="B163" s="1" t="n">
        <v>45183</v>
      </c>
      <c r="C163" s="1" t="n">
        <v>45907</v>
      </c>
      <c r="D163" t="inlineStr">
        <is>
          <t>GOTLANDS LÄN</t>
        </is>
      </c>
      <c r="E163" t="inlineStr">
        <is>
          <t>GOTLAND</t>
        </is>
      </c>
      <c r="G163" t="n">
        <v>3.6</v>
      </c>
      <c r="H163" t="n">
        <v>1</v>
      </c>
      <c r="I163" t="n">
        <v>0</v>
      </c>
      <c r="J163" t="n">
        <v>0</v>
      </c>
      <c r="K163" t="n">
        <v>0</v>
      </c>
      <c r="L163" t="n">
        <v>0</v>
      </c>
      <c r="M163" t="n">
        <v>0</v>
      </c>
      <c r="N163" t="n">
        <v>0</v>
      </c>
      <c r="O163" t="n">
        <v>0</v>
      </c>
      <c r="P163" t="n">
        <v>0</v>
      </c>
      <c r="Q163" t="n">
        <v>1</v>
      </c>
      <c r="R163" s="2" t="inlineStr">
        <is>
          <t>Skogsduva</t>
        </is>
      </c>
      <c r="S163">
        <f>HYPERLINK("https://klasma.github.io/Logging_0980/artfynd/A 43219-2023 artfynd.xlsx", "A 43219-2023")</f>
        <v/>
      </c>
      <c r="T163">
        <f>HYPERLINK("https://klasma.github.io/Logging_0980/kartor/A 43219-2023 karta.png", "A 43219-2023")</f>
        <v/>
      </c>
      <c r="V163">
        <f>HYPERLINK("https://klasma.github.io/Logging_0980/klagomål/A 43219-2023 FSC-klagomål.docx", "A 43219-2023")</f>
        <v/>
      </c>
      <c r="W163">
        <f>HYPERLINK("https://klasma.github.io/Logging_0980/klagomålsmail/A 43219-2023 FSC-klagomål mail.docx", "A 43219-2023")</f>
        <v/>
      </c>
      <c r="X163">
        <f>HYPERLINK("https://klasma.github.io/Logging_0980/tillsyn/A 43219-2023 tillsynsbegäran.docx", "A 43219-2023")</f>
        <v/>
      </c>
      <c r="Y163">
        <f>HYPERLINK("https://klasma.github.io/Logging_0980/tillsynsmail/A 43219-2023 tillsynsbegäran mail.docx", "A 43219-2023")</f>
        <v/>
      </c>
      <c r="Z163">
        <f>HYPERLINK("https://klasma.github.io/Logging_0980/fåglar/A 43219-2023 prioriterade fågelarter.docx", "A 43219-2023")</f>
        <v/>
      </c>
    </row>
    <row r="164" ht="15" customHeight="1">
      <c r="A164" t="inlineStr">
        <is>
          <t>A 63299-2020</t>
        </is>
      </c>
      <c r="B164" s="1" t="n">
        <v>44165</v>
      </c>
      <c r="C164" s="1" t="n">
        <v>45907</v>
      </c>
      <c r="D164" t="inlineStr">
        <is>
          <t>GOTLANDS LÄN</t>
        </is>
      </c>
      <c r="E164" t="inlineStr">
        <is>
          <t>GOTLAND</t>
        </is>
      </c>
      <c r="G164" t="n">
        <v>12.9</v>
      </c>
      <c r="H164" t="n">
        <v>1</v>
      </c>
      <c r="I164" t="n">
        <v>0</v>
      </c>
      <c r="J164" t="n">
        <v>1</v>
      </c>
      <c r="K164" t="n">
        <v>0</v>
      </c>
      <c r="L164" t="n">
        <v>0</v>
      </c>
      <c r="M164" t="n">
        <v>0</v>
      </c>
      <c r="N164" t="n">
        <v>0</v>
      </c>
      <c r="O164" t="n">
        <v>1</v>
      </c>
      <c r="P164" t="n">
        <v>0</v>
      </c>
      <c r="Q164" t="n">
        <v>1</v>
      </c>
      <c r="R164" s="2" t="inlineStr">
        <is>
          <t>Svartfläckig blåvinge</t>
        </is>
      </c>
      <c r="S164">
        <f>HYPERLINK("https://klasma.github.io/Logging_0980/artfynd/A 63299-2020 artfynd.xlsx", "A 63299-2020")</f>
        <v/>
      </c>
      <c r="T164">
        <f>HYPERLINK("https://klasma.github.io/Logging_0980/kartor/A 63299-2020 karta.png", "A 63299-2020")</f>
        <v/>
      </c>
      <c r="V164">
        <f>HYPERLINK("https://klasma.github.io/Logging_0980/klagomål/A 63299-2020 FSC-klagomål.docx", "A 63299-2020")</f>
        <v/>
      </c>
      <c r="W164">
        <f>HYPERLINK("https://klasma.github.io/Logging_0980/klagomålsmail/A 63299-2020 FSC-klagomål mail.docx", "A 63299-2020")</f>
        <v/>
      </c>
      <c r="X164">
        <f>HYPERLINK("https://klasma.github.io/Logging_0980/tillsyn/A 63299-2020 tillsynsbegäran.docx", "A 63299-2020")</f>
        <v/>
      </c>
      <c r="Y164">
        <f>HYPERLINK("https://klasma.github.io/Logging_0980/tillsynsmail/A 63299-2020 tillsynsbegäran mail.docx", "A 63299-2020")</f>
        <v/>
      </c>
    </row>
    <row r="165" ht="15" customHeight="1">
      <c r="A165" t="inlineStr">
        <is>
          <t>A 12324-2025</t>
        </is>
      </c>
      <c r="B165" s="1" t="n">
        <v>45730</v>
      </c>
      <c r="C165" s="1" t="n">
        <v>45907</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44958-2020</t>
        </is>
      </c>
      <c r="B166" s="1" t="n">
        <v>44088</v>
      </c>
      <c r="C166" s="1" t="n">
        <v>45907</v>
      </c>
      <c r="D166" t="inlineStr">
        <is>
          <t>GOTLANDS LÄN</t>
        </is>
      </c>
      <c r="E166" t="inlineStr">
        <is>
          <t>GOTLAND</t>
        </is>
      </c>
      <c r="G166" t="n">
        <v>0.6</v>
      </c>
      <c r="H166" t="n">
        <v>1</v>
      </c>
      <c r="I166" t="n">
        <v>0</v>
      </c>
      <c r="J166" t="n">
        <v>1</v>
      </c>
      <c r="K166" t="n">
        <v>0</v>
      </c>
      <c r="L166" t="n">
        <v>0</v>
      </c>
      <c r="M166" t="n">
        <v>0</v>
      </c>
      <c r="N166" t="n">
        <v>0</v>
      </c>
      <c r="O166" t="n">
        <v>1</v>
      </c>
      <c r="P166" t="n">
        <v>0</v>
      </c>
      <c r="Q166" t="n">
        <v>1</v>
      </c>
      <c r="R166" s="2" t="inlineStr">
        <is>
          <t>Hornuggla</t>
        </is>
      </c>
      <c r="S166">
        <f>HYPERLINK("https://klasma.github.io/Logging_0980/artfynd/A 44958-2020 artfynd.xlsx", "A 44958-2020")</f>
        <v/>
      </c>
      <c r="T166">
        <f>HYPERLINK("https://klasma.github.io/Logging_0980/kartor/A 44958-2020 karta.png", "A 44958-2020")</f>
        <v/>
      </c>
      <c r="V166">
        <f>HYPERLINK("https://klasma.github.io/Logging_0980/klagomål/A 44958-2020 FSC-klagomål.docx", "A 44958-2020")</f>
        <v/>
      </c>
      <c r="W166">
        <f>HYPERLINK("https://klasma.github.io/Logging_0980/klagomålsmail/A 44958-2020 FSC-klagomål mail.docx", "A 44958-2020")</f>
        <v/>
      </c>
      <c r="X166">
        <f>HYPERLINK("https://klasma.github.io/Logging_0980/tillsyn/A 44958-2020 tillsynsbegäran.docx", "A 44958-2020")</f>
        <v/>
      </c>
      <c r="Y166">
        <f>HYPERLINK("https://klasma.github.io/Logging_0980/tillsynsmail/A 44958-2020 tillsynsbegäran mail.docx", "A 44958-2020")</f>
        <v/>
      </c>
      <c r="Z166">
        <f>HYPERLINK("https://klasma.github.io/Logging_0980/fåglar/A 44958-2020 prioriterade fågelarter.docx", "A 44958-2020")</f>
        <v/>
      </c>
    </row>
    <row r="167" ht="15" customHeight="1">
      <c r="A167" t="inlineStr">
        <is>
          <t>A 49847-2023</t>
        </is>
      </c>
      <c r="B167" s="1" t="n">
        <v>45212</v>
      </c>
      <c r="C167" s="1" t="n">
        <v>45907</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20429-2025</t>
        </is>
      </c>
      <c r="B168" s="1" t="n">
        <v>45775.47728009259</v>
      </c>
      <c r="C168" s="1" t="n">
        <v>45907</v>
      </c>
      <c r="D168" t="inlineStr">
        <is>
          <t>GOTLANDS LÄN</t>
        </is>
      </c>
      <c r="E168" t="inlineStr">
        <is>
          <t>GOTLAND</t>
        </is>
      </c>
      <c r="G168" t="n">
        <v>1.4</v>
      </c>
      <c r="H168" t="n">
        <v>1</v>
      </c>
      <c r="I168" t="n">
        <v>0</v>
      </c>
      <c r="J168" t="n">
        <v>0</v>
      </c>
      <c r="K168" t="n">
        <v>0</v>
      </c>
      <c r="L168" t="n">
        <v>0</v>
      </c>
      <c r="M168" t="n">
        <v>0</v>
      </c>
      <c r="N168" t="n">
        <v>0</v>
      </c>
      <c r="O168" t="n">
        <v>0</v>
      </c>
      <c r="P168" t="n">
        <v>0</v>
      </c>
      <c r="Q168" t="n">
        <v>1</v>
      </c>
      <c r="R168" s="2" t="inlineStr">
        <is>
          <t>Äkta lopplummer</t>
        </is>
      </c>
      <c r="S168">
        <f>HYPERLINK("https://klasma.github.io/Logging_0980/artfynd/A 20429-2025 artfynd.xlsx", "A 20429-2025")</f>
        <v/>
      </c>
      <c r="T168">
        <f>HYPERLINK("https://klasma.github.io/Logging_0980/kartor/A 20429-2025 karta.png", "A 20429-2025")</f>
        <v/>
      </c>
      <c r="V168">
        <f>HYPERLINK("https://klasma.github.io/Logging_0980/klagomål/A 20429-2025 FSC-klagomål.docx", "A 20429-2025")</f>
        <v/>
      </c>
      <c r="W168">
        <f>HYPERLINK("https://klasma.github.io/Logging_0980/klagomålsmail/A 20429-2025 FSC-klagomål mail.docx", "A 20429-2025")</f>
        <v/>
      </c>
      <c r="X168">
        <f>HYPERLINK("https://klasma.github.io/Logging_0980/tillsyn/A 20429-2025 tillsynsbegäran.docx", "A 20429-2025")</f>
        <v/>
      </c>
      <c r="Y168">
        <f>HYPERLINK("https://klasma.github.io/Logging_0980/tillsynsmail/A 20429-2025 tillsynsbegäran mail.docx", "A 20429-2025")</f>
        <v/>
      </c>
    </row>
    <row r="169" ht="15" customHeight="1">
      <c r="A169" t="inlineStr">
        <is>
          <t>A 2476-2025</t>
        </is>
      </c>
      <c r="B169" s="1" t="n">
        <v>45673</v>
      </c>
      <c r="C169" s="1" t="n">
        <v>45907</v>
      </c>
      <c r="D169" t="inlineStr">
        <is>
          <t>GOTLANDS LÄN</t>
        </is>
      </c>
      <c r="E169" t="inlineStr">
        <is>
          <t>GOTLAND</t>
        </is>
      </c>
      <c r="G169" t="n">
        <v>3.1</v>
      </c>
      <c r="H169" t="n">
        <v>0</v>
      </c>
      <c r="I169" t="n">
        <v>1</v>
      </c>
      <c r="J169" t="n">
        <v>0</v>
      </c>
      <c r="K169" t="n">
        <v>0</v>
      </c>
      <c r="L169" t="n">
        <v>0</v>
      </c>
      <c r="M169" t="n">
        <v>0</v>
      </c>
      <c r="N169" t="n">
        <v>0</v>
      </c>
      <c r="O169" t="n">
        <v>0</v>
      </c>
      <c r="P169" t="n">
        <v>0</v>
      </c>
      <c r="Q169" t="n">
        <v>1</v>
      </c>
      <c r="R169" s="2" t="inlineStr">
        <is>
          <t>Kryddspindling</t>
        </is>
      </c>
      <c r="S169">
        <f>HYPERLINK("https://klasma.github.io/Logging_0980/artfynd/A 2476-2025 artfynd.xlsx", "A 2476-2025")</f>
        <v/>
      </c>
      <c r="T169">
        <f>HYPERLINK("https://klasma.github.io/Logging_0980/kartor/A 2476-2025 karta.png", "A 2476-2025")</f>
        <v/>
      </c>
      <c r="V169">
        <f>HYPERLINK("https://klasma.github.io/Logging_0980/klagomål/A 2476-2025 FSC-klagomål.docx", "A 2476-2025")</f>
        <v/>
      </c>
      <c r="W169">
        <f>HYPERLINK("https://klasma.github.io/Logging_0980/klagomålsmail/A 2476-2025 FSC-klagomål mail.docx", "A 2476-2025")</f>
        <v/>
      </c>
      <c r="X169">
        <f>HYPERLINK("https://klasma.github.io/Logging_0980/tillsyn/A 2476-2025 tillsynsbegäran.docx", "A 2476-2025")</f>
        <v/>
      </c>
      <c r="Y169">
        <f>HYPERLINK("https://klasma.github.io/Logging_0980/tillsynsmail/A 2476-2025 tillsynsbegäran mail.docx", "A 2476-2025")</f>
        <v/>
      </c>
    </row>
    <row r="170" ht="15" customHeight="1">
      <c r="A170" t="inlineStr">
        <is>
          <t>A 447-2023</t>
        </is>
      </c>
      <c r="B170" s="1" t="n">
        <v>44929</v>
      </c>
      <c r="C170" s="1" t="n">
        <v>45907</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10995-2023</t>
        </is>
      </c>
      <c r="B171" s="1" t="n">
        <v>44986</v>
      </c>
      <c r="C171" s="1" t="n">
        <v>45907</v>
      </c>
      <c r="D171" t="inlineStr">
        <is>
          <t>GOTLANDS LÄN</t>
        </is>
      </c>
      <c r="E171" t="inlineStr">
        <is>
          <t>GOTLAND</t>
        </is>
      </c>
      <c r="G171" t="n">
        <v>2.8</v>
      </c>
      <c r="H171" t="n">
        <v>0</v>
      </c>
      <c r="I171" t="n">
        <v>0</v>
      </c>
      <c r="J171" t="n">
        <v>0</v>
      </c>
      <c r="K171" t="n">
        <v>1</v>
      </c>
      <c r="L171" t="n">
        <v>0</v>
      </c>
      <c r="M171" t="n">
        <v>0</v>
      </c>
      <c r="N171" t="n">
        <v>0</v>
      </c>
      <c r="O171" t="n">
        <v>1</v>
      </c>
      <c r="P171" t="n">
        <v>1</v>
      </c>
      <c r="Q171" t="n">
        <v>1</v>
      </c>
      <c r="R171" s="2" t="inlineStr">
        <is>
          <t>Violettfläckig spindling</t>
        </is>
      </c>
      <c r="S171">
        <f>HYPERLINK("https://klasma.github.io/Logging_0980/artfynd/A 10995-2023 artfynd.xlsx", "A 10995-2023")</f>
        <v/>
      </c>
      <c r="T171">
        <f>HYPERLINK("https://klasma.github.io/Logging_0980/kartor/A 10995-2023 karta.png", "A 10995-2023")</f>
        <v/>
      </c>
      <c r="V171">
        <f>HYPERLINK("https://klasma.github.io/Logging_0980/klagomål/A 10995-2023 FSC-klagomål.docx", "A 10995-2023")</f>
        <v/>
      </c>
      <c r="W171">
        <f>HYPERLINK("https://klasma.github.io/Logging_0980/klagomålsmail/A 10995-2023 FSC-klagomål mail.docx", "A 10995-2023")</f>
        <v/>
      </c>
      <c r="X171">
        <f>HYPERLINK("https://klasma.github.io/Logging_0980/tillsyn/A 10995-2023 tillsynsbegäran.docx", "A 10995-2023")</f>
        <v/>
      </c>
      <c r="Y171">
        <f>HYPERLINK("https://klasma.github.io/Logging_0980/tillsynsmail/A 10995-2023 tillsynsbegäran mail.docx", "A 10995-2023")</f>
        <v/>
      </c>
    </row>
    <row r="172" ht="15" customHeight="1">
      <c r="A172" t="inlineStr">
        <is>
          <t>A 34809-2024</t>
        </is>
      </c>
      <c r="B172" s="1" t="n">
        <v>45526</v>
      </c>
      <c r="C172" s="1" t="n">
        <v>45907</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19901-2021</t>
        </is>
      </c>
      <c r="B173" s="1" t="n">
        <v>44312</v>
      </c>
      <c r="C173" s="1" t="n">
        <v>45907</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18038-2021</t>
        </is>
      </c>
      <c r="B174" s="1" t="n">
        <v>44302</v>
      </c>
      <c r="C174" s="1" t="n">
        <v>45907</v>
      </c>
      <c r="D174" t="inlineStr">
        <is>
          <t>GOTLANDS LÄN</t>
        </is>
      </c>
      <c r="E174" t="inlineStr">
        <is>
          <t>GOTLAND</t>
        </is>
      </c>
      <c r="G174" t="n">
        <v>1.7</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45907</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45907</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45907</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45907</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65537-2020</t>
        </is>
      </c>
      <c r="B179" s="1" t="n">
        <v>44173</v>
      </c>
      <c r="C179" s="1" t="n">
        <v>45907</v>
      </c>
      <c r="D179" t="inlineStr">
        <is>
          <t>GOTLANDS LÄN</t>
        </is>
      </c>
      <c r="E179" t="inlineStr">
        <is>
          <t>GOTLAND</t>
        </is>
      </c>
      <c r="G179" t="n">
        <v>1.6</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45907</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17199-2021</t>
        </is>
      </c>
      <c r="B181" s="1" t="n">
        <v>44298</v>
      </c>
      <c r="C181" s="1" t="n">
        <v>45907</v>
      </c>
      <c r="D181" t="inlineStr">
        <is>
          <t>GOTLANDS LÄN</t>
        </is>
      </c>
      <c r="E181" t="inlineStr">
        <is>
          <t>GOTLAND</t>
        </is>
      </c>
      <c r="G181" t="n">
        <v>9.6</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45907</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17585-2021</t>
        </is>
      </c>
      <c r="B183" s="1" t="n">
        <v>44299</v>
      </c>
      <c r="C183" s="1" t="n">
        <v>45907</v>
      </c>
      <c r="D183" t="inlineStr">
        <is>
          <t>GOTLANDS LÄN</t>
        </is>
      </c>
      <c r="E183" t="inlineStr">
        <is>
          <t>GOTLAND</t>
        </is>
      </c>
      <c r="G183" t="n">
        <v>5.4</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45907</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45907</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45907</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45907</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45907</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45907</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45907</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45907</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45907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45907</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45907</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45907</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45907</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45907</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60356-2020</t>
        </is>
      </c>
      <c r="B198" s="1" t="n">
        <v>44152.71583333334</v>
      </c>
      <c r="C198" s="1" t="n">
        <v>45907</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45907</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45907</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45907</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45907</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45907</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45907</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42688-2021</t>
        </is>
      </c>
      <c r="B205" s="1" t="n">
        <v>44428</v>
      </c>
      <c r="C205" s="1" t="n">
        <v>45907</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45907</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45907</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45907</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45907</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45907</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45907</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45907</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45907</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45907</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45907</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45907</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45907</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45907</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45907</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45907</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45907</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45907</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45907</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45907</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45907</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21507-2021</t>
        </is>
      </c>
      <c r="B226" s="1" t="n">
        <v>44321</v>
      </c>
      <c r="C226" s="1" t="n">
        <v>45907</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45907</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45907</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45907</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45907</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45907</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45907</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61596-2023</t>
        </is>
      </c>
      <c r="B233" s="1" t="n">
        <v>45265</v>
      </c>
      <c r="C233" s="1" t="n">
        <v>45907</v>
      </c>
      <c r="D233" t="inlineStr">
        <is>
          <t>GOTLANDS LÄN</t>
        </is>
      </c>
      <c r="E233" t="inlineStr">
        <is>
          <t>GOTLAND</t>
        </is>
      </c>
      <c r="G233" t="n">
        <v>1.7</v>
      </c>
      <c r="H233" t="n">
        <v>0</v>
      </c>
      <c r="I233" t="n">
        <v>0</v>
      </c>
      <c r="J233" t="n">
        <v>0</v>
      </c>
      <c r="K233" t="n">
        <v>0</v>
      </c>
      <c r="L233" t="n">
        <v>0</v>
      </c>
      <c r="M233" t="n">
        <v>0</v>
      </c>
      <c r="N233" t="n">
        <v>0</v>
      </c>
      <c r="O233" t="n">
        <v>0</v>
      </c>
      <c r="P233" t="n">
        <v>0</v>
      </c>
      <c r="Q233" t="n">
        <v>0</v>
      </c>
      <c r="R233" s="2" t="inlineStr"/>
    </row>
    <row r="234" ht="15" customHeight="1">
      <c r="A234" t="inlineStr">
        <is>
          <t>A 873-2024</t>
        </is>
      </c>
      <c r="B234" s="1" t="n">
        <v>45301</v>
      </c>
      <c r="C234" s="1" t="n">
        <v>45907</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44228-2022</t>
        </is>
      </c>
      <c r="B235" s="1" t="n">
        <v>44839.51599537037</v>
      </c>
      <c r="C235" s="1" t="n">
        <v>45907</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45907</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37037-2021</t>
        </is>
      </c>
      <c r="B237" s="1" t="n">
        <v>44393.84688657407</v>
      </c>
      <c r="C237" s="1" t="n">
        <v>45907</v>
      </c>
      <c r="D237" t="inlineStr">
        <is>
          <t>GOTLANDS LÄN</t>
        </is>
      </c>
      <c r="E237" t="inlineStr">
        <is>
          <t>GOTLAND</t>
        </is>
      </c>
      <c r="G237" t="n">
        <v>10.2</v>
      </c>
      <c r="H237" t="n">
        <v>0</v>
      </c>
      <c r="I237" t="n">
        <v>0</v>
      </c>
      <c r="J237" t="n">
        <v>0</v>
      </c>
      <c r="K237" t="n">
        <v>0</v>
      </c>
      <c r="L237" t="n">
        <v>0</v>
      </c>
      <c r="M237" t="n">
        <v>0</v>
      </c>
      <c r="N237" t="n">
        <v>0</v>
      </c>
      <c r="O237" t="n">
        <v>0</v>
      </c>
      <c r="P237" t="n">
        <v>0</v>
      </c>
      <c r="Q237" t="n">
        <v>0</v>
      </c>
      <c r="R237" s="2" t="inlineStr"/>
    </row>
    <row r="238" ht="15" customHeight="1">
      <c r="A238" t="inlineStr">
        <is>
          <t>A 61386-2023</t>
        </is>
      </c>
      <c r="B238" s="1" t="n">
        <v>45264</v>
      </c>
      <c r="C238" s="1" t="n">
        <v>45907</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22883-2024</t>
        </is>
      </c>
      <c r="B239" s="1" t="n">
        <v>45448.66368055555</v>
      </c>
      <c r="C239" s="1" t="n">
        <v>45907</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6108-2025</t>
        </is>
      </c>
      <c r="B240" s="1" t="n">
        <v>45698.29880787037</v>
      </c>
      <c r="C240" s="1" t="n">
        <v>45907</v>
      </c>
      <c r="D240" t="inlineStr">
        <is>
          <t>GOTLANDS LÄN</t>
        </is>
      </c>
      <c r="E240" t="inlineStr">
        <is>
          <t>GOTLAND</t>
        </is>
      </c>
      <c r="G240" t="n">
        <v>2.8</v>
      </c>
      <c r="H240" t="n">
        <v>0</v>
      </c>
      <c r="I240" t="n">
        <v>0</v>
      </c>
      <c r="J240" t="n">
        <v>0</v>
      </c>
      <c r="K240" t="n">
        <v>0</v>
      </c>
      <c r="L240" t="n">
        <v>0</v>
      </c>
      <c r="M240" t="n">
        <v>0</v>
      </c>
      <c r="N240" t="n">
        <v>0</v>
      </c>
      <c r="O240" t="n">
        <v>0</v>
      </c>
      <c r="P240" t="n">
        <v>0</v>
      </c>
      <c r="Q240" t="n">
        <v>0</v>
      </c>
      <c r="R240" s="2" t="inlineStr"/>
    </row>
    <row r="241" ht="15" customHeight="1">
      <c r="A241" t="inlineStr">
        <is>
          <t>A 27593-2023</t>
        </is>
      </c>
      <c r="B241" s="1" t="n">
        <v>45097</v>
      </c>
      <c r="C241" s="1" t="n">
        <v>45907</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45907</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45907</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44942-2022</t>
        </is>
      </c>
      <c r="B244" s="1" t="n">
        <v>44841</v>
      </c>
      <c r="C244" s="1" t="n">
        <v>45907</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27095-2022</t>
        </is>
      </c>
      <c r="B245" s="1" t="n">
        <v>44741</v>
      </c>
      <c r="C245" s="1" t="n">
        <v>45907</v>
      </c>
      <c r="D245" t="inlineStr">
        <is>
          <t>GOTLANDS LÄN</t>
        </is>
      </c>
      <c r="E245" t="inlineStr">
        <is>
          <t>GOTLAND</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458-2023</t>
        </is>
      </c>
      <c r="B246" s="1" t="n">
        <v>44929</v>
      </c>
      <c r="C246" s="1" t="n">
        <v>45907</v>
      </c>
      <c r="D246" t="inlineStr">
        <is>
          <t>GOTLANDS LÄN</t>
        </is>
      </c>
      <c r="E246" t="inlineStr">
        <is>
          <t>GOTLAND</t>
        </is>
      </c>
      <c r="G246" t="n">
        <v>3.6</v>
      </c>
      <c r="H246" t="n">
        <v>0</v>
      </c>
      <c r="I246" t="n">
        <v>0</v>
      </c>
      <c r="J246" t="n">
        <v>0</v>
      </c>
      <c r="K246" t="n">
        <v>0</v>
      </c>
      <c r="L246" t="n">
        <v>0</v>
      </c>
      <c r="M246" t="n">
        <v>0</v>
      </c>
      <c r="N246" t="n">
        <v>0</v>
      </c>
      <c r="O246" t="n">
        <v>0</v>
      </c>
      <c r="P246" t="n">
        <v>0</v>
      </c>
      <c r="Q246" t="n">
        <v>0</v>
      </c>
      <c r="R246" s="2" t="inlineStr"/>
    </row>
    <row r="247" ht="15" customHeight="1">
      <c r="A247" t="inlineStr">
        <is>
          <t>A 1291-2023</t>
        </is>
      </c>
      <c r="B247" s="1" t="n">
        <v>44936.47561342592</v>
      </c>
      <c r="C247" s="1" t="n">
        <v>45907</v>
      </c>
      <c r="D247" t="inlineStr">
        <is>
          <t>GOTLANDS LÄN</t>
        </is>
      </c>
      <c r="E247" t="inlineStr">
        <is>
          <t>GOTLAND</t>
        </is>
      </c>
      <c r="G247" t="n">
        <v>7.4</v>
      </c>
      <c r="H247" t="n">
        <v>0</v>
      </c>
      <c r="I247" t="n">
        <v>0</v>
      </c>
      <c r="J247" t="n">
        <v>0</v>
      </c>
      <c r="K247" t="n">
        <v>0</v>
      </c>
      <c r="L247" t="n">
        <v>0</v>
      </c>
      <c r="M247" t="n">
        <v>0</v>
      </c>
      <c r="N247" t="n">
        <v>0</v>
      </c>
      <c r="O247" t="n">
        <v>0</v>
      </c>
      <c r="P247" t="n">
        <v>0</v>
      </c>
      <c r="Q247" t="n">
        <v>0</v>
      </c>
      <c r="R247" s="2" t="inlineStr"/>
    </row>
    <row r="248" ht="15" customHeight="1">
      <c r="A248" t="inlineStr">
        <is>
          <t>A 53225-2022</t>
        </is>
      </c>
      <c r="B248" s="1" t="n">
        <v>44876</v>
      </c>
      <c r="C248" s="1" t="n">
        <v>45907</v>
      </c>
      <c r="D248" t="inlineStr">
        <is>
          <t>GOTLANDS LÄN</t>
        </is>
      </c>
      <c r="E248" t="inlineStr">
        <is>
          <t>GOTLAND</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45907</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44204-2022</t>
        </is>
      </c>
      <c r="B250" s="1" t="n">
        <v>44839</v>
      </c>
      <c r="C250" s="1" t="n">
        <v>45907</v>
      </c>
      <c r="D250" t="inlineStr">
        <is>
          <t>GOTLANDS LÄN</t>
        </is>
      </c>
      <c r="E250" t="inlineStr">
        <is>
          <t>GOTLAND</t>
        </is>
      </c>
      <c r="G250" t="n">
        <v>2.3</v>
      </c>
      <c r="H250" t="n">
        <v>0</v>
      </c>
      <c r="I250" t="n">
        <v>0</v>
      </c>
      <c r="J250" t="n">
        <v>0</v>
      </c>
      <c r="K250" t="n">
        <v>0</v>
      </c>
      <c r="L250" t="n">
        <v>0</v>
      </c>
      <c r="M250" t="n">
        <v>0</v>
      </c>
      <c r="N250" t="n">
        <v>0</v>
      </c>
      <c r="O250" t="n">
        <v>0</v>
      </c>
      <c r="P250" t="n">
        <v>0</v>
      </c>
      <c r="Q250" t="n">
        <v>0</v>
      </c>
      <c r="R250" s="2" t="inlineStr"/>
    </row>
    <row r="251" ht="15" customHeight="1">
      <c r="A251" t="inlineStr">
        <is>
          <t>A 21164-2024</t>
        </is>
      </c>
      <c r="B251" s="1" t="n">
        <v>45440</v>
      </c>
      <c r="C251" s="1" t="n">
        <v>45907</v>
      </c>
      <c r="D251" t="inlineStr">
        <is>
          <t>GOTLANDS LÄN</t>
        </is>
      </c>
      <c r="E251" t="inlineStr">
        <is>
          <t>GOTLAND</t>
        </is>
      </c>
      <c r="G251" t="n">
        <v>6.3</v>
      </c>
      <c r="H251" t="n">
        <v>0</v>
      </c>
      <c r="I251" t="n">
        <v>0</v>
      </c>
      <c r="J251" t="n">
        <v>0</v>
      </c>
      <c r="K251" t="n">
        <v>0</v>
      </c>
      <c r="L251" t="n">
        <v>0</v>
      </c>
      <c r="M251" t="n">
        <v>0</v>
      </c>
      <c r="N251" t="n">
        <v>0</v>
      </c>
      <c r="O251" t="n">
        <v>0</v>
      </c>
      <c r="P251" t="n">
        <v>0</v>
      </c>
      <c r="Q251" t="n">
        <v>0</v>
      </c>
      <c r="R251" s="2" t="inlineStr"/>
    </row>
    <row r="252" ht="15" customHeight="1">
      <c r="A252" t="inlineStr">
        <is>
          <t>A 17541-2024</t>
        </is>
      </c>
      <c r="B252" s="1" t="n">
        <v>45415</v>
      </c>
      <c r="C252" s="1" t="n">
        <v>45907</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883-2025</t>
        </is>
      </c>
      <c r="B253" s="1" t="n">
        <v>45665</v>
      </c>
      <c r="C253" s="1" t="n">
        <v>45907</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13910-2025</t>
        </is>
      </c>
      <c r="B254" s="1" t="n">
        <v>45737</v>
      </c>
      <c r="C254" s="1" t="n">
        <v>45907</v>
      </c>
      <c r="D254" t="inlineStr">
        <is>
          <t>GOTLANDS LÄN</t>
        </is>
      </c>
      <c r="E254" t="inlineStr">
        <is>
          <t>GOTLAND</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456-2023</t>
        </is>
      </c>
      <c r="B255" s="1" t="n">
        <v>44929.87122685185</v>
      </c>
      <c r="C255" s="1" t="n">
        <v>45907</v>
      </c>
      <c r="D255" t="inlineStr">
        <is>
          <t>GOTLANDS LÄN</t>
        </is>
      </c>
      <c r="E255" t="inlineStr">
        <is>
          <t>GOTLAND</t>
        </is>
      </c>
      <c r="G255" t="n">
        <v>3.2</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45907</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5891-2025</t>
        </is>
      </c>
      <c r="B257" s="1" t="n">
        <v>45695.38327546296</v>
      </c>
      <c r="C257" s="1" t="n">
        <v>45907</v>
      </c>
      <c r="D257" t="inlineStr">
        <is>
          <t>GOTLANDS LÄN</t>
        </is>
      </c>
      <c r="E257" t="inlineStr">
        <is>
          <t>GOTLAND</t>
        </is>
      </c>
      <c r="G257" t="n">
        <v>0.8</v>
      </c>
      <c r="H257" t="n">
        <v>0</v>
      </c>
      <c r="I257" t="n">
        <v>0</v>
      </c>
      <c r="J257" t="n">
        <v>0</v>
      </c>
      <c r="K257" t="n">
        <v>0</v>
      </c>
      <c r="L257" t="n">
        <v>0</v>
      </c>
      <c r="M257" t="n">
        <v>0</v>
      </c>
      <c r="N257" t="n">
        <v>0</v>
      </c>
      <c r="O257" t="n">
        <v>0</v>
      </c>
      <c r="P257" t="n">
        <v>0</v>
      </c>
      <c r="Q257" t="n">
        <v>0</v>
      </c>
      <c r="R257" s="2" t="inlineStr"/>
    </row>
    <row r="258" ht="15" customHeight="1">
      <c r="A258" t="inlineStr">
        <is>
          <t>A 20794-2025</t>
        </is>
      </c>
      <c r="B258" s="1" t="n">
        <v>45776</v>
      </c>
      <c r="C258" s="1" t="n">
        <v>45907</v>
      </c>
      <c r="D258" t="inlineStr">
        <is>
          <t>GOTLANDS LÄN</t>
        </is>
      </c>
      <c r="E258" t="inlineStr">
        <is>
          <t>GOTLAND</t>
        </is>
      </c>
      <c r="G258" t="n">
        <v>6</v>
      </c>
      <c r="H258" t="n">
        <v>0</v>
      </c>
      <c r="I258" t="n">
        <v>0</v>
      </c>
      <c r="J258" t="n">
        <v>0</v>
      </c>
      <c r="K258" t="n">
        <v>0</v>
      </c>
      <c r="L258" t="n">
        <v>0</v>
      </c>
      <c r="M258" t="n">
        <v>0</v>
      </c>
      <c r="N258" t="n">
        <v>0</v>
      </c>
      <c r="O258" t="n">
        <v>0</v>
      </c>
      <c r="P258" t="n">
        <v>0</v>
      </c>
      <c r="Q258" t="n">
        <v>0</v>
      </c>
      <c r="R258" s="2" t="inlineStr"/>
    </row>
    <row r="259" ht="15" customHeight="1">
      <c r="A259" t="inlineStr">
        <is>
          <t>A 20812-2025</t>
        </is>
      </c>
      <c r="B259" s="1" t="n">
        <v>45776</v>
      </c>
      <c r="C259" s="1" t="n">
        <v>45907</v>
      </c>
      <c r="D259" t="inlineStr">
        <is>
          <t>GOTLANDS LÄN</t>
        </is>
      </c>
      <c r="E259" t="inlineStr">
        <is>
          <t>GOTLAND</t>
        </is>
      </c>
      <c r="G259" t="n">
        <v>3</v>
      </c>
      <c r="H259" t="n">
        <v>0</v>
      </c>
      <c r="I259" t="n">
        <v>0</v>
      </c>
      <c r="J259" t="n">
        <v>0</v>
      </c>
      <c r="K259" t="n">
        <v>0</v>
      </c>
      <c r="L259" t="n">
        <v>0</v>
      </c>
      <c r="M259" t="n">
        <v>0</v>
      </c>
      <c r="N259" t="n">
        <v>0</v>
      </c>
      <c r="O259" t="n">
        <v>0</v>
      </c>
      <c r="P259" t="n">
        <v>0</v>
      </c>
      <c r="Q259" t="n">
        <v>0</v>
      </c>
      <c r="R259" s="2" t="inlineStr"/>
    </row>
    <row r="260" ht="15" customHeight="1">
      <c r="A260" t="inlineStr">
        <is>
          <t>A 10497-2025</t>
        </is>
      </c>
      <c r="B260" s="1" t="n">
        <v>45721</v>
      </c>
      <c r="C260" s="1" t="n">
        <v>45907</v>
      </c>
      <c r="D260" t="inlineStr">
        <is>
          <t>GOTLANDS LÄN</t>
        </is>
      </c>
      <c r="E260" t="inlineStr">
        <is>
          <t>GOTLAND</t>
        </is>
      </c>
      <c r="G260" t="n">
        <v>0.9</v>
      </c>
      <c r="H260" t="n">
        <v>0</v>
      </c>
      <c r="I260" t="n">
        <v>0</v>
      </c>
      <c r="J260" t="n">
        <v>0</v>
      </c>
      <c r="K260" t="n">
        <v>0</v>
      </c>
      <c r="L260" t="n">
        <v>0</v>
      </c>
      <c r="M260" t="n">
        <v>0</v>
      </c>
      <c r="N260" t="n">
        <v>0</v>
      </c>
      <c r="O260" t="n">
        <v>0</v>
      </c>
      <c r="P260" t="n">
        <v>0</v>
      </c>
      <c r="Q260" t="n">
        <v>0</v>
      </c>
      <c r="R260" s="2" t="inlineStr"/>
    </row>
    <row r="261" ht="15" customHeight="1">
      <c r="A261" t="inlineStr">
        <is>
          <t>A 20805-2025</t>
        </is>
      </c>
      <c r="B261" s="1" t="n">
        <v>45776</v>
      </c>
      <c r="C261" s="1" t="n">
        <v>45907</v>
      </c>
      <c r="D261" t="inlineStr">
        <is>
          <t>GOTLANDS LÄN</t>
        </is>
      </c>
      <c r="E261" t="inlineStr">
        <is>
          <t>GOTLAND</t>
        </is>
      </c>
      <c r="G261" t="n">
        <v>3.1</v>
      </c>
      <c r="H261" t="n">
        <v>0</v>
      </c>
      <c r="I261" t="n">
        <v>0</v>
      </c>
      <c r="J261" t="n">
        <v>0</v>
      </c>
      <c r="K261" t="n">
        <v>0</v>
      </c>
      <c r="L261" t="n">
        <v>0</v>
      </c>
      <c r="M261" t="n">
        <v>0</v>
      </c>
      <c r="N261" t="n">
        <v>0</v>
      </c>
      <c r="O261" t="n">
        <v>0</v>
      </c>
      <c r="P261" t="n">
        <v>0</v>
      </c>
      <c r="Q261" t="n">
        <v>0</v>
      </c>
      <c r="R261" s="2" t="inlineStr"/>
    </row>
    <row r="262" ht="15" customHeight="1">
      <c r="A262" t="inlineStr">
        <is>
          <t>A 14804-2021</t>
        </is>
      </c>
      <c r="B262" s="1" t="n">
        <v>44280</v>
      </c>
      <c r="C262" s="1" t="n">
        <v>45907</v>
      </c>
      <c r="D262" t="inlineStr">
        <is>
          <t>GOTLANDS LÄN</t>
        </is>
      </c>
      <c r="E262" t="inlineStr">
        <is>
          <t>GOTLAND</t>
        </is>
      </c>
      <c r="G262" t="n">
        <v>2.2</v>
      </c>
      <c r="H262" t="n">
        <v>0</v>
      </c>
      <c r="I262" t="n">
        <v>0</v>
      </c>
      <c r="J262" t="n">
        <v>0</v>
      </c>
      <c r="K262" t="n">
        <v>0</v>
      </c>
      <c r="L262" t="n">
        <v>0</v>
      </c>
      <c r="M262" t="n">
        <v>0</v>
      </c>
      <c r="N262" t="n">
        <v>0</v>
      </c>
      <c r="O262" t="n">
        <v>0</v>
      </c>
      <c r="P262" t="n">
        <v>0</v>
      </c>
      <c r="Q262" t="n">
        <v>0</v>
      </c>
      <c r="R262" s="2" t="inlineStr"/>
    </row>
    <row r="263" ht="15" customHeight="1">
      <c r="A263" t="inlineStr">
        <is>
          <t>A 21389-2025</t>
        </is>
      </c>
      <c r="B263" s="1" t="n">
        <v>45782</v>
      </c>
      <c r="C263" s="1" t="n">
        <v>45907</v>
      </c>
      <c r="D263" t="inlineStr">
        <is>
          <t>GOTLANDS LÄN</t>
        </is>
      </c>
      <c r="E263" t="inlineStr">
        <is>
          <t>GOTLAND</t>
        </is>
      </c>
      <c r="G263" t="n">
        <v>4.1</v>
      </c>
      <c r="H263" t="n">
        <v>0</v>
      </c>
      <c r="I263" t="n">
        <v>0</v>
      </c>
      <c r="J263" t="n">
        <v>0</v>
      </c>
      <c r="K263" t="n">
        <v>0</v>
      </c>
      <c r="L263" t="n">
        <v>0</v>
      </c>
      <c r="M263" t="n">
        <v>0</v>
      </c>
      <c r="N263" t="n">
        <v>0</v>
      </c>
      <c r="O263" t="n">
        <v>0</v>
      </c>
      <c r="P263" t="n">
        <v>0</v>
      </c>
      <c r="Q263" t="n">
        <v>0</v>
      </c>
      <c r="R263" s="2" t="inlineStr"/>
    </row>
    <row r="264" ht="15" customHeight="1">
      <c r="A264" t="inlineStr">
        <is>
          <t>A 21142-2025</t>
        </is>
      </c>
      <c r="B264" s="1" t="n">
        <v>45779</v>
      </c>
      <c r="C264" s="1" t="n">
        <v>45907</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2035-2025</t>
        </is>
      </c>
      <c r="B265" s="1" t="n">
        <v>45672</v>
      </c>
      <c r="C265" s="1" t="n">
        <v>45907</v>
      </c>
      <c r="D265" t="inlineStr">
        <is>
          <t>GOTLANDS LÄN</t>
        </is>
      </c>
      <c r="E265" t="inlineStr">
        <is>
          <t>GOTLAND</t>
        </is>
      </c>
      <c r="G265" t="n">
        <v>7.5</v>
      </c>
      <c r="H265" t="n">
        <v>0</v>
      </c>
      <c r="I265" t="n">
        <v>0</v>
      </c>
      <c r="J265" t="n">
        <v>0</v>
      </c>
      <c r="K265" t="n">
        <v>0</v>
      </c>
      <c r="L265" t="n">
        <v>0</v>
      </c>
      <c r="M265" t="n">
        <v>0</v>
      </c>
      <c r="N265" t="n">
        <v>0</v>
      </c>
      <c r="O265" t="n">
        <v>0</v>
      </c>
      <c r="P265" t="n">
        <v>0</v>
      </c>
      <c r="Q265" t="n">
        <v>0</v>
      </c>
      <c r="R265" s="2" t="inlineStr"/>
    </row>
    <row r="266" ht="15" customHeight="1">
      <c r="A266" t="inlineStr">
        <is>
          <t>A 19002-2025</t>
        </is>
      </c>
      <c r="B266" s="1" t="n">
        <v>45764</v>
      </c>
      <c r="C266" s="1" t="n">
        <v>45907</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2719-2023</t>
        </is>
      </c>
      <c r="B267" s="1" t="n">
        <v>44944.55361111111</v>
      </c>
      <c r="C267" s="1" t="n">
        <v>45907</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17144-2025</t>
        </is>
      </c>
      <c r="B268" s="1" t="n">
        <v>45755.9499537037</v>
      </c>
      <c r="C268" s="1" t="n">
        <v>45907</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49314-2024</t>
        </is>
      </c>
      <c r="B269" s="1" t="n">
        <v>45595.55893518519</v>
      </c>
      <c r="C269" s="1" t="n">
        <v>45907</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9875-2025</t>
        </is>
      </c>
      <c r="B270" s="1" t="n">
        <v>45716</v>
      </c>
      <c r="C270" s="1" t="n">
        <v>45907</v>
      </c>
      <c r="D270" t="inlineStr">
        <is>
          <t>GOTLANDS LÄN</t>
        </is>
      </c>
      <c r="E270" t="inlineStr">
        <is>
          <t>GOTLAND</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21651-2025</t>
        </is>
      </c>
      <c r="B271" s="1" t="n">
        <v>45783</v>
      </c>
      <c r="C271" s="1" t="n">
        <v>45907</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29809-2022</t>
        </is>
      </c>
      <c r="B272" s="1" t="n">
        <v>44755.8713425926</v>
      </c>
      <c r="C272" s="1" t="n">
        <v>45907</v>
      </c>
      <c r="D272" t="inlineStr">
        <is>
          <t>GOTLANDS LÄN</t>
        </is>
      </c>
      <c r="E272" t="inlineStr">
        <is>
          <t>GOTLAND</t>
        </is>
      </c>
      <c r="G272" t="n">
        <v>11.5</v>
      </c>
      <c r="H272" t="n">
        <v>0</v>
      </c>
      <c r="I272" t="n">
        <v>0</v>
      </c>
      <c r="J272" t="n">
        <v>0</v>
      </c>
      <c r="K272" t="n">
        <v>0</v>
      </c>
      <c r="L272" t="n">
        <v>0</v>
      </c>
      <c r="M272" t="n">
        <v>0</v>
      </c>
      <c r="N272" t="n">
        <v>0</v>
      </c>
      <c r="O272" t="n">
        <v>0</v>
      </c>
      <c r="P272" t="n">
        <v>0</v>
      </c>
      <c r="Q272" t="n">
        <v>0</v>
      </c>
      <c r="R272" s="2" t="inlineStr"/>
    </row>
    <row r="273" ht="15" customHeight="1">
      <c r="A273" t="inlineStr">
        <is>
          <t>A 56009-2024</t>
        </is>
      </c>
      <c r="B273" s="1" t="n">
        <v>45623.80864583333</v>
      </c>
      <c r="C273" s="1" t="n">
        <v>45907</v>
      </c>
      <c r="D273" t="inlineStr">
        <is>
          <t>GOTLANDS LÄN</t>
        </is>
      </c>
      <c r="E273" t="inlineStr">
        <is>
          <t>GOTLAND</t>
        </is>
      </c>
      <c r="G273" t="n">
        <v>2.8</v>
      </c>
      <c r="H273" t="n">
        <v>0</v>
      </c>
      <c r="I273" t="n">
        <v>0</v>
      </c>
      <c r="J273" t="n">
        <v>0</v>
      </c>
      <c r="K273" t="n">
        <v>0</v>
      </c>
      <c r="L273" t="n">
        <v>0</v>
      </c>
      <c r="M273" t="n">
        <v>0</v>
      </c>
      <c r="N273" t="n">
        <v>0</v>
      </c>
      <c r="O273" t="n">
        <v>0</v>
      </c>
      <c r="P273" t="n">
        <v>0</v>
      </c>
      <c r="Q273" t="n">
        <v>0</v>
      </c>
      <c r="R273" s="2" t="inlineStr"/>
    </row>
    <row r="274" ht="15" customHeight="1">
      <c r="A274" t="inlineStr">
        <is>
          <t>A 54073-2022</t>
        </is>
      </c>
      <c r="B274" s="1" t="n">
        <v>44881.50380787037</v>
      </c>
      <c r="C274" s="1" t="n">
        <v>45907</v>
      </c>
      <c r="D274" t="inlineStr">
        <is>
          <t>GOTLANDS LÄN</t>
        </is>
      </c>
      <c r="E274" t="inlineStr">
        <is>
          <t>GOTLAND</t>
        </is>
      </c>
      <c r="G274" t="n">
        <v>3.8</v>
      </c>
      <c r="H274" t="n">
        <v>0</v>
      </c>
      <c r="I274" t="n">
        <v>0</v>
      </c>
      <c r="J274" t="n">
        <v>0</v>
      </c>
      <c r="K274" t="n">
        <v>0</v>
      </c>
      <c r="L274" t="n">
        <v>0</v>
      </c>
      <c r="M274" t="n">
        <v>0</v>
      </c>
      <c r="N274" t="n">
        <v>0</v>
      </c>
      <c r="O274" t="n">
        <v>0</v>
      </c>
      <c r="P274" t="n">
        <v>0</v>
      </c>
      <c r="Q274" t="n">
        <v>0</v>
      </c>
      <c r="R274" s="2" t="inlineStr"/>
    </row>
    <row r="275" ht="15" customHeight="1">
      <c r="A275" t="inlineStr">
        <is>
          <t>A 3964-2024</t>
        </is>
      </c>
      <c r="B275" s="1" t="n">
        <v>45322</v>
      </c>
      <c r="C275" s="1" t="n">
        <v>45907</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16361-2024</t>
        </is>
      </c>
      <c r="B276" s="1" t="n">
        <v>45407</v>
      </c>
      <c r="C276" s="1" t="n">
        <v>45907</v>
      </c>
      <c r="D276" t="inlineStr">
        <is>
          <t>GOTLANDS LÄN</t>
        </is>
      </c>
      <c r="E276" t="inlineStr">
        <is>
          <t>GOTLAND</t>
        </is>
      </c>
      <c r="G276" t="n">
        <v>6</v>
      </c>
      <c r="H276" t="n">
        <v>0</v>
      </c>
      <c r="I276" t="n">
        <v>0</v>
      </c>
      <c r="J276" t="n">
        <v>0</v>
      </c>
      <c r="K276" t="n">
        <v>0</v>
      </c>
      <c r="L276" t="n">
        <v>0</v>
      </c>
      <c r="M276" t="n">
        <v>0</v>
      </c>
      <c r="N276" t="n">
        <v>0</v>
      </c>
      <c r="O276" t="n">
        <v>0</v>
      </c>
      <c r="P276" t="n">
        <v>0</v>
      </c>
      <c r="Q276" t="n">
        <v>0</v>
      </c>
      <c r="R276" s="2" t="inlineStr"/>
    </row>
    <row r="277" ht="15" customHeight="1">
      <c r="A277" t="inlineStr">
        <is>
          <t>A 6153-2024</t>
        </is>
      </c>
      <c r="B277" s="1" t="n">
        <v>45337</v>
      </c>
      <c r="C277" s="1" t="n">
        <v>45907</v>
      </c>
      <c r="D277" t="inlineStr">
        <is>
          <t>GOTLANDS LÄN</t>
        </is>
      </c>
      <c r="E277" t="inlineStr">
        <is>
          <t>GOTLAND</t>
        </is>
      </c>
      <c r="G277" t="n">
        <v>14.2</v>
      </c>
      <c r="H277" t="n">
        <v>0</v>
      </c>
      <c r="I277" t="n">
        <v>0</v>
      </c>
      <c r="J277" t="n">
        <v>0</v>
      </c>
      <c r="K277" t="n">
        <v>0</v>
      </c>
      <c r="L277" t="n">
        <v>0</v>
      </c>
      <c r="M277" t="n">
        <v>0</v>
      </c>
      <c r="N277" t="n">
        <v>0</v>
      </c>
      <c r="O277" t="n">
        <v>0</v>
      </c>
      <c r="P277" t="n">
        <v>0</v>
      </c>
      <c r="Q277" t="n">
        <v>0</v>
      </c>
      <c r="R277" s="2" t="inlineStr"/>
    </row>
    <row r="278" ht="15" customHeight="1">
      <c r="A278" t="inlineStr">
        <is>
          <t>A 45106-2024</t>
        </is>
      </c>
      <c r="B278" s="1" t="n">
        <v>45575</v>
      </c>
      <c r="C278" s="1" t="n">
        <v>45907</v>
      </c>
      <c r="D278" t="inlineStr">
        <is>
          <t>GOTLANDS LÄN</t>
        </is>
      </c>
      <c r="E278" t="inlineStr">
        <is>
          <t>GOTLAND</t>
        </is>
      </c>
      <c r="G278" t="n">
        <v>10</v>
      </c>
      <c r="H278" t="n">
        <v>0</v>
      </c>
      <c r="I278" t="n">
        <v>0</v>
      </c>
      <c r="J278" t="n">
        <v>0</v>
      </c>
      <c r="K278" t="n">
        <v>0</v>
      </c>
      <c r="L278" t="n">
        <v>0</v>
      </c>
      <c r="M278" t="n">
        <v>0</v>
      </c>
      <c r="N278" t="n">
        <v>0</v>
      </c>
      <c r="O278" t="n">
        <v>0</v>
      </c>
      <c r="P278" t="n">
        <v>0</v>
      </c>
      <c r="Q278" t="n">
        <v>0</v>
      </c>
      <c r="R278" s="2" t="inlineStr"/>
    </row>
    <row r="279" ht="15" customHeight="1">
      <c r="A279" t="inlineStr">
        <is>
          <t>A 45112-2024</t>
        </is>
      </c>
      <c r="B279" s="1" t="n">
        <v>45575</v>
      </c>
      <c r="C279" s="1" t="n">
        <v>45907</v>
      </c>
      <c r="D279" t="inlineStr">
        <is>
          <t>GOTLANDS LÄN</t>
        </is>
      </c>
      <c r="E279" t="inlineStr">
        <is>
          <t>GOTLAND</t>
        </is>
      </c>
      <c r="G279" t="n">
        <v>5.1</v>
      </c>
      <c r="H279" t="n">
        <v>0</v>
      </c>
      <c r="I279" t="n">
        <v>0</v>
      </c>
      <c r="J279" t="n">
        <v>0</v>
      </c>
      <c r="K279" t="n">
        <v>0</v>
      </c>
      <c r="L279" t="n">
        <v>0</v>
      </c>
      <c r="M279" t="n">
        <v>0</v>
      </c>
      <c r="N279" t="n">
        <v>0</v>
      </c>
      <c r="O279" t="n">
        <v>0</v>
      </c>
      <c r="P279" t="n">
        <v>0</v>
      </c>
      <c r="Q279" t="n">
        <v>0</v>
      </c>
      <c r="R279" s="2" t="inlineStr"/>
    </row>
    <row r="280" ht="15" customHeight="1">
      <c r="A280" t="inlineStr">
        <is>
          <t>A 43081-2022</t>
        </is>
      </c>
      <c r="B280" s="1" t="n">
        <v>44833</v>
      </c>
      <c r="C280" s="1" t="n">
        <v>45907</v>
      </c>
      <c r="D280" t="inlineStr">
        <is>
          <t>GOTLANDS LÄN</t>
        </is>
      </c>
      <c r="E280" t="inlineStr">
        <is>
          <t>GOTLAND</t>
        </is>
      </c>
      <c r="G280" t="n">
        <v>6.8</v>
      </c>
      <c r="H280" t="n">
        <v>0</v>
      </c>
      <c r="I280" t="n">
        <v>0</v>
      </c>
      <c r="J280" t="n">
        <v>0</v>
      </c>
      <c r="K280" t="n">
        <v>0</v>
      </c>
      <c r="L280" t="n">
        <v>0</v>
      </c>
      <c r="M280" t="n">
        <v>0</v>
      </c>
      <c r="N280" t="n">
        <v>0</v>
      </c>
      <c r="O280" t="n">
        <v>0</v>
      </c>
      <c r="P280" t="n">
        <v>0</v>
      </c>
      <c r="Q280" t="n">
        <v>0</v>
      </c>
      <c r="R280" s="2" t="inlineStr"/>
    </row>
    <row r="281" ht="15" customHeight="1">
      <c r="A281" t="inlineStr">
        <is>
          <t>A 7026-2023</t>
        </is>
      </c>
      <c r="B281" s="1" t="n">
        <v>44968.30340277778</v>
      </c>
      <c r="C281" s="1" t="n">
        <v>45907</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1175-2025</t>
        </is>
      </c>
      <c r="B282" s="1" t="n">
        <v>45667.34449074074</v>
      </c>
      <c r="C282" s="1" t="n">
        <v>45907</v>
      </c>
      <c r="D282" t="inlineStr">
        <is>
          <t>GOTLANDS LÄN</t>
        </is>
      </c>
      <c r="E282" t="inlineStr">
        <is>
          <t>GOTLAND</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42201-2023</t>
        </is>
      </c>
      <c r="B283" s="1" t="n">
        <v>45179</v>
      </c>
      <c r="C283" s="1" t="n">
        <v>45907</v>
      </c>
      <c r="D283" t="inlineStr">
        <is>
          <t>GOTLANDS LÄN</t>
        </is>
      </c>
      <c r="E283" t="inlineStr">
        <is>
          <t>GOTLAND</t>
        </is>
      </c>
      <c r="G283" t="n">
        <v>11.9</v>
      </c>
      <c r="H283" t="n">
        <v>0</v>
      </c>
      <c r="I283" t="n">
        <v>0</v>
      </c>
      <c r="J283" t="n">
        <v>0</v>
      </c>
      <c r="K283" t="n">
        <v>0</v>
      </c>
      <c r="L283" t="n">
        <v>0</v>
      </c>
      <c r="M283" t="n">
        <v>0</v>
      </c>
      <c r="N283" t="n">
        <v>0</v>
      </c>
      <c r="O283" t="n">
        <v>0</v>
      </c>
      <c r="P283" t="n">
        <v>0</v>
      </c>
      <c r="Q283" t="n">
        <v>0</v>
      </c>
      <c r="R283" s="2" t="inlineStr"/>
    </row>
    <row r="284" ht="15" customHeight="1">
      <c r="A284" t="inlineStr">
        <is>
          <t>A 58476-2022</t>
        </is>
      </c>
      <c r="B284" s="1" t="n">
        <v>44902</v>
      </c>
      <c r="C284" s="1" t="n">
        <v>45907</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3150-2025</t>
        </is>
      </c>
      <c r="B285" s="1" t="n">
        <v>45679.28974537037</v>
      </c>
      <c r="C285" s="1" t="n">
        <v>45907</v>
      </c>
      <c r="D285" t="inlineStr">
        <is>
          <t>GOTLANDS LÄN</t>
        </is>
      </c>
      <c r="E285" t="inlineStr">
        <is>
          <t>GOTLAND</t>
        </is>
      </c>
      <c r="G285" t="n">
        <v>2.5</v>
      </c>
      <c r="H285" t="n">
        <v>0</v>
      </c>
      <c r="I285" t="n">
        <v>0</v>
      </c>
      <c r="J285" t="n">
        <v>0</v>
      </c>
      <c r="K285" t="n">
        <v>0</v>
      </c>
      <c r="L285" t="n">
        <v>0</v>
      </c>
      <c r="M285" t="n">
        <v>0</v>
      </c>
      <c r="N285" t="n">
        <v>0</v>
      </c>
      <c r="O285" t="n">
        <v>0</v>
      </c>
      <c r="P285" t="n">
        <v>0</v>
      </c>
      <c r="Q285" t="n">
        <v>0</v>
      </c>
      <c r="R285" s="2" t="inlineStr"/>
    </row>
    <row r="286" ht="15" customHeight="1">
      <c r="A286" t="inlineStr">
        <is>
          <t>A 52892-2021</t>
        </is>
      </c>
      <c r="B286" s="1" t="n">
        <v>44467.49048611111</v>
      </c>
      <c r="C286" s="1" t="n">
        <v>45907</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21420-2024</t>
        </is>
      </c>
      <c r="B287" s="1" t="n">
        <v>45441.38293981482</v>
      </c>
      <c r="C287" s="1" t="n">
        <v>45907</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45907</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1351-2025</t>
        </is>
      </c>
      <c r="B289" s="1" t="n">
        <v>45667.62246527777</v>
      </c>
      <c r="C289" s="1" t="n">
        <v>45907</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57356-2023</t>
        </is>
      </c>
      <c r="B290" s="1" t="n">
        <v>45240</v>
      </c>
      <c r="C290" s="1" t="n">
        <v>45907</v>
      </c>
      <c r="D290" t="inlineStr">
        <is>
          <t>GOTLANDS LÄN</t>
        </is>
      </c>
      <c r="E290" t="inlineStr">
        <is>
          <t>GOTLAND</t>
        </is>
      </c>
      <c r="G290" t="n">
        <v>6.4</v>
      </c>
      <c r="H290" t="n">
        <v>0</v>
      </c>
      <c r="I290" t="n">
        <v>0</v>
      </c>
      <c r="J290" t="n">
        <v>0</v>
      </c>
      <c r="K290" t="n">
        <v>0</v>
      </c>
      <c r="L290" t="n">
        <v>0</v>
      </c>
      <c r="M290" t="n">
        <v>0</v>
      </c>
      <c r="N290" t="n">
        <v>0</v>
      </c>
      <c r="O290" t="n">
        <v>0</v>
      </c>
      <c r="P290" t="n">
        <v>0</v>
      </c>
      <c r="Q290" t="n">
        <v>0</v>
      </c>
      <c r="R290" s="2" t="inlineStr"/>
    </row>
    <row r="291" ht="15" customHeight="1">
      <c r="A291" t="inlineStr">
        <is>
          <t>A 42041-2024</t>
        </is>
      </c>
      <c r="B291" s="1" t="n">
        <v>45561</v>
      </c>
      <c r="C291" s="1" t="n">
        <v>45907</v>
      </c>
      <c r="D291" t="inlineStr">
        <is>
          <t>GOTLANDS LÄN</t>
        </is>
      </c>
      <c r="E291" t="inlineStr">
        <is>
          <t>GOTLAND</t>
        </is>
      </c>
      <c r="G291" t="n">
        <v>3.2</v>
      </c>
      <c r="H291" t="n">
        <v>0</v>
      </c>
      <c r="I291" t="n">
        <v>0</v>
      </c>
      <c r="J291" t="n">
        <v>0</v>
      </c>
      <c r="K291" t="n">
        <v>0</v>
      </c>
      <c r="L291" t="n">
        <v>0</v>
      </c>
      <c r="M291" t="n">
        <v>0</v>
      </c>
      <c r="N291" t="n">
        <v>0</v>
      </c>
      <c r="O291" t="n">
        <v>0</v>
      </c>
      <c r="P291" t="n">
        <v>0</v>
      </c>
      <c r="Q291" t="n">
        <v>0</v>
      </c>
      <c r="R291" s="2" t="inlineStr"/>
    </row>
    <row r="292" ht="15" customHeight="1">
      <c r="A292" t="inlineStr">
        <is>
          <t>A 28506-2023</t>
        </is>
      </c>
      <c r="B292" s="1" t="n">
        <v>45103</v>
      </c>
      <c r="C292" s="1" t="n">
        <v>45907</v>
      </c>
      <c r="D292" t="inlineStr">
        <is>
          <t>GOTLANDS LÄN</t>
        </is>
      </c>
      <c r="E292" t="inlineStr">
        <is>
          <t>GOTLAND</t>
        </is>
      </c>
      <c r="G292" t="n">
        <v>3.2</v>
      </c>
      <c r="H292" t="n">
        <v>0</v>
      </c>
      <c r="I292" t="n">
        <v>0</v>
      </c>
      <c r="J292" t="n">
        <v>0</v>
      </c>
      <c r="K292" t="n">
        <v>0</v>
      </c>
      <c r="L292" t="n">
        <v>0</v>
      </c>
      <c r="M292" t="n">
        <v>0</v>
      </c>
      <c r="N292" t="n">
        <v>0</v>
      </c>
      <c r="O292" t="n">
        <v>0</v>
      </c>
      <c r="P292" t="n">
        <v>0</v>
      </c>
      <c r="Q292" t="n">
        <v>0</v>
      </c>
      <c r="R292" s="2" t="inlineStr"/>
    </row>
    <row r="293" ht="15" customHeight="1">
      <c r="A293" t="inlineStr">
        <is>
          <t>A 49874-2024</t>
        </is>
      </c>
      <c r="B293" s="1" t="n">
        <v>45597.49274305555</v>
      </c>
      <c r="C293" s="1" t="n">
        <v>45907</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23188-2025</t>
        </is>
      </c>
      <c r="B294" s="1" t="n">
        <v>45791</v>
      </c>
      <c r="C294" s="1" t="n">
        <v>45907</v>
      </c>
      <c r="D294" t="inlineStr">
        <is>
          <t>GOTLANDS LÄN</t>
        </is>
      </c>
      <c r="E294" t="inlineStr">
        <is>
          <t>GOTLAND</t>
        </is>
      </c>
      <c r="G294" t="n">
        <v>6.2</v>
      </c>
      <c r="H294" t="n">
        <v>0</v>
      </c>
      <c r="I294" t="n">
        <v>0</v>
      </c>
      <c r="J294" t="n">
        <v>0</v>
      </c>
      <c r="K294" t="n">
        <v>0</v>
      </c>
      <c r="L294" t="n">
        <v>0</v>
      </c>
      <c r="M294" t="n">
        <v>0</v>
      </c>
      <c r="N294" t="n">
        <v>0</v>
      </c>
      <c r="O294" t="n">
        <v>0</v>
      </c>
      <c r="P294" t="n">
        <v>0</v>
      </c>
      <c r="Q294" t="n">
        <v>0</v>
      </c>
      <c r="R294" s="2" t="inlineStr"/>
    </row>
    <row r="295" ht="15" customHeight="1">
      <c r="A295" t="inlineStr">
        <is>
          <t>A 63229-2021</t>
        </is>
      </c>
      <c r="B295" s="1" t="n">
        <v>44508.34518518519</v>
      </c>
      <c r="C295" s="1" t="n">
        <v>45907</v>
      </c>
      <c r="D295" t="inlineStr">
        <is>
          <t>GOTLANDS LÄN</t>
        </is>
      </c>
      <c r="E295" t="inlineStr">
        <is>
          <t>GOTLAND</t>
        </is>
      </c>
      <c r="F295" t="inlineStr">
        <is>
          <t>Kyrkan</t>
        </is>
      </c>
      <c r="G295" t="n">
        <v>3.8</v>
      </c>
      <c r="H295" t="n">
        <v>0</v>
      </c>
      <c r="I295" t="n">
        <v>0</v>
      </c>
      <c r="J295" t="n">
        <v>0</v>
      </c>
      <c r="K295" t="n">
        <v>0</v>
      </c>
      <c r="L295" t="n">
        <v>0</v>
      </c>
      <c r="M295" t="n">
        <v>0</v>
      </c>
      <c r="N295" t="n">
        <v>0</v>
      </c>
      <c r="O295" t="n">
        <v>0</v>
      </c>
      <c r="P295" t="n">
        <v>0</v>
      </c>
      <c r="Q295" t="n">
        <v>0</v>
      </c>
      <c r="R295" s="2" t="inlineStr"/>
    </row>
    <row r="296" ht="15" customHeight="1">
      <c r="A296" t="inlineStr">
        <is>
          <t>A 18993-2025</t>
        </is>
      </c>
      <c r="B296" s="1" t="n">
        <v>45764</v>
      </c>
      <c r="C296" s="1" t="n">
        <v>45907</v>
      </c>
      <c r="D296" t="inlineStr">
        <is>
          <t>GOTLANDS LÄN</t>
        </is>
      </c>
      <c r="E296" t="inlineStr">
        <is>
          <t>GOTLAND</t>
        </is>
      </c>
      <c r="G296" t="n">
        <v>3</v>
      </c>
      <c r="H296" t="n">
        <v>0</v>
      </c>
      <c r="I296" t="n">
        <v>0</v>
      </c>
      <c r="J296" t="n">
        <v>0</v>
      </c>
      <c r="K296" t="n">
        <v>0</v>
      </c>
      <c r="L296" t="n">
        <v>0</v>
      </c>
      <c r="M296" t="n">
        <v>0</v>
      </c>
      <c r="N296" t="n">
        <v>0</v>
      </c>
      <c r="O296" t="n">
        <v>0</v>
      </c>
      <c r="P296" t="n">
        <v>0</v>
      </c>
      <c r="Q296" t="n">
        <v>0</v>
      </c>
      <c r="R296" s="2" t="inlineStr"/>
    </row>
    <row r="297" ht="15" customHeight="1">
      <c r="A297" t="inlineStr">
        <is>
          <t>A 15436-2025</t>
        </is>
      </c>
      <c r="B297" s="1" t="n">
        <v>45747.47462962963</v>
      </c>
      <c r="C297" s="1" t="n">
        <v>45907</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51782-2023</t>
        </is>
      </c>
      <c r="B298" s="1" t="n">
        <v>45222.80952546297</v>
      </c>
      <c r="C298" s="1" t="n">
        <v>45907</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45907</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23856-2025</t>
        </is>
      </c>
      <c r="B300" s="1" t="n">
        <v>45793</v>
      </c>
      <c r="C300" s="1" t="n">
        <v>45907</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23473-2025</t>
        </is>
      </c>
      <c r="B301" s="1" t="n">
        <v>45792</v>
      </c>
      <c r="C301" s="1" t="n">
        <v>45907</v>
      </c>
      <c r="D301" t="inlineStr">
        <is>
          <t>GOTLANDS LÄN</t>
        </is>
      </c>
      <c r="E301" t="inlineStr">
        <is>
          <t>GOTLAND</t>
        </is>
      </c>
      <c r="G301" t="n">
        <v>3.6</v>
      </c>
      <c r="H301" t="n">
        <v>0</v>
      </c>
      <c r="I301" t="n">
        <v>0</v>
      </c>
      <c r="J301" t="n">
        <v>0</v>
      </c>
      <c r="K301" t="n">
        <v>0</v>
      </c>
      <c r="L301" t="n">
        <v>0</v>
      </c>
      <c r="M301" t="n">
        <v>0</v>
      </c>
      <c r="N301" t="n">
        <v>0</v>
      </c>
      <c r="O301" t="n">
        <v>0</v>
      </c>
      <c r="P301" t="n">
        <v>0</v>
      </c>
      <c r="Q301" t="n">
        <v>0</v>
      </c>
      <c r="R301" s="2" t="inlineStr"/>
    </row>
    <row r="302" ht="15" customHeight="1">
      <c r="A302" t="inlineStr">
        <is>
          <t>A 21247-2022</t>
        </is>
      </c>
      <c r="B302" s="1" t="n">
        <v>44705.38832175926</v>
      </c>
      <c r="C302" s="1" t="n">
        <v>45907</v>
      </c>
      <c r="D302" t="inlineStr">
        <is>
          <t>GOTLANDS LÄN</t>
        </is>
      </c>
      <c r="E302" t="inlineStr">
        <is>
          <t>GOTLAND</t>
        </is>
      </c>
      <c r="G302" t="n">
        <v>16.2</v>
      </c>
      <c r="H302" t="n">
        <v>0</v>
      </c>
      <c r="I302" t="n">
        <v>0</v>
      </c>
      <c r="J302" t="n">
        <v>0</v>
      </c>
      <c r="K302" t="n">
        <v>0</v>
      </c>
      <c r="L302" t="n">
        <v>0</v>
      </c>
      <c r="M302" t="n">
        <v>0</v>
      </c>
      <c r="N302" t="n">
        <v>0</v>
      </c>
      <c r="O302" t="n">
        <v>0</v>
      </c>
      <c r="P302" t="n">
        <v>0</v>
      </c>
      <c r="Q302" t="n">
        <v>0</v>
      </c>
      <c r="R302" s="2" t="inlineStr"/>
    </row>
    <row r="303" ht="15" customHeight="1">
      <c r="A303" t="inlineStr">
        <is>
          <t>A 5217-2023</t>
        </is>
      </c>
      <c r="B303" s="1" t="n">
        <v>44959.39582175926</v>
      </c>
      <c r="C303" s="1" t="n">
        <v>45907</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23698-2025</t>
        </is>
      </c>
      <c r="B304" s="1" t="n">
        <v>45793</v>
      </c>
      <c r="C304" s="1" t="n">
        <v>45907</v>
      </c>
      <c r="D304" t="inlineStr">
        <is>
          <t>GOTLANDS LÄN</t>
        </is>
      </c>
      <c r="E304" t="inlineStr">
        <is>
          <t>GOTLAND</t>
        </is>
      </c>
      <c r="G304" t="n">
        <v>0.8</v>
      </c>
      <c r="H304" t="n">
        <v>0</v>
      </c>
      <c r="I304" t="n">
        <v>0</v>
      </c>
      <c r="J304" t="n">
        <v>0</v>
      </c>
      <c r="K304" t="n">
        <v>0</v>
      </c>
      <c r="L304" t="n">
        <v>0</v>
      </c>
      <c r="M304" t="n">
        <v>0</v>
      </c>
      <c r="N304" t="n">
        <v>0</v>
      </c>
      <c r="O304" t="n">
        <v>0</v>
      </c>
      <c r="P304" t="n">
        <v>0</v>
      </c>
      <c r="Q304" t="n">
        <v>0</v>
      </c>
      <c r="R304" s="2" t="inlineStr"/>
    </row>
    <row r="305" ht="15" customHeight="1">
      <c r="A305" t="inlineStr">
        <is>
          <t>A 14638-2025</t>
        </is>
      </c>
      <c r="B305" s="1" t="n">
        <v>45742</v>
      </c>
      <c r="C305" s="1" t="n">
        <v>45907</v>
      </c>
      <c r="D305" t="inlineStr">
        <is>
          <t>GOTLANDS LÄN</t>
        </is>
      </c>
      <c r="E305" t="inlineStr">
        <is>
          <t>GOTLAND</t>
        </is>
      </c>
      <c r="G305" t="n">
        <v>13.4</v>
      </c>
      <c r="H305" t="n">
        <v>0</v>
      </c>
      <c r="I305" t="n">
        <v>0</v>
      </c>
      <c r="J305" t="n">
        <v>0</v>
      </c>
      <c r="K305" t="n">
        <v>0</v>
      </c>
      <c r="L305" t="n">
        <v>0</v>
      </c>
      <c r="M305" t="n">
        <v>0</v>
      </c>
      <c r="N305" t="n">
        <v>0</v>
      </c>
      <c r="O305" t="n">
        <v>0</v>
      </c>
      <c r="P305" t="n">
        <v>0</v>
      </c>
      <c r="Q305" t="n">
        <v>0</v>
      </c>
      <c r="R305" s="2" t="inlineStr"/>
    </row>
    <row r="306" ht="15" customHeight="1">
      <c r="A306" t="inlineStr">
        <is>
          <t>A 4421-2024</t>
        </is>
      </c>
      <c r="B306" s="1" t="n">
        <v>45327.45173611111</v>
      </c>
      <c r="C306" s="1" t="n">
        <v>45907</v>
      </c>
      <c r="D306" t="inlineStr">
        <is>
          <t>GOTLANDS LÄN</t>
        </is>
      </c>
      <c r="E306" t="inlineStr">
        <is>
          <t>GOTLAND</t>
        </is>
      </c>
      <c r="G306" t="n">
        <v>5.1</v>
      </c>
      <c r="H306" t="n">
        <v>0</v>
      </c>
      <c r="I306" t="n">
        <v>0</v>
      </c>
      <c r="J306" t="n">
        <v>0</v>
      </c>
      <c r="K306" t="n">
        <v>0</v>
      </c>
      <c r="L306" t="n">
        <v>0</v>
      </c>
      <c r="M306" t="n">
        <v>0</v>
      </c>
      <c r="N306" t="n">
        <v>0</v>
      </c>
      <c r="O306" t="n">
        <v>0</v>
      </c>
      <c r="P306" t="n">
        <v>0</v>
      </c>
      <c r="Q306" t="n">
        <v>0</v>
      </c>
      <c r="R306" s="2" t="inlineStr"/>
    </row>
    <row r="307" ht="15" customHeight="1">
      <c r="A307" t="inlineStr">
        <is>
          <t>A 23700-2025</t>
        </is>
      </c>
      <c r="B307" s="1" t="n">
        <v>45793</v>
      </c>
      <c r="C307" s="1" t="n">
        <v>45907</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15073-2025</t>
        </is>
      </c>
      <c r="B308" s="1" t="n">
        <v>45743</v>
      </c>
      <c r="C308" s="1" t="n">
        <v>45907</v>
      </c>
      <c r="D308" t="inlineStr">
        <is>
          <t>GOTLANDS LÄN</t>
        </is>
      </c>
      <c r="E308" t="inlineStr">
        <is>
          <t>GOTLAND</t>
        </is>
      </c>
      <c r="G308" t="n">
        <v>12.1</v>
      </c>
      <c r="H308" t="n">
        <v>0</v>
      </c>
      <c r="I308" t="n">
        <v>0</v>
      </c>
      <c r="J308" t="n">
        <v>0</v>
      </c>
      <c r="K308" t="n">
        <v>0</v>
      </c>
      <c r="L308" t="n">
        <v>0</v>
      </c>
      <c r="M308" t="n">
        <v>0</v>
      </c>
      <c r="N308" t="n">
        <v>0</v>
      </c>
      <c r="O308" t="n">
        <v>0</v>
      </c>
      <c r="P308" t="n">
        <v>0</v>
      </c>
      <c r="Q308" t="n">
        <v>0</v>
      </c>
      <c r="R308" s="2" t="inlineStr"/>
    </row>
    <row r="309" ht="15" customHeight="1">
      <c r="A309" t="inlineStr">
        <is>
          <t>A 15075-2025</t>
        </is>
      </c>
      <c r="B309" s="1" t="n">
        <v>45743</v>
      </c>
      <c r="C309" s="1" t="n">
        <v>45907</v>
      </c>
      <c r="D309" t="inlineStr">
        <is>
          <t>GOTLANDS LÄN</t>
        </is>
      </c>
      <c r="E309" t="inlineStr">
        <is>
          <t>GOTLAND</t>
        </is>
      </c>
      <c r="G309" t="n">
        <v>20.9</v>
      </c>
      <c r="H309" t="n">
        <v>0</v>
      </c>
      <c r="I309" t="n">
        <v>0</v>
      </c>
      <c r="J309" t="n">
        <v>0</v>
      </c>
      <c r="K309" t="n">
        <v>0</v>
      </c>
      <c r="L309" t="n">
        <v>0</v>
      </c>
      <c r="M309" t="n">
        <v>0</v>
      </c>
      <c r="N309" t="n">
        <v>0</v>
      </c>
      <c r="O309" t="n">
        <v>0</v>
      </c>
      <c r="P309" t="n">
        <v>0</v>
      </c>
      <c r="Q309" t="n">
        <v>0</v>
      </c>
      <c r="R309" s="2" t="inlineStr"/>
    </row>
    <row r="310" ht="15" customHeight="1">
      <c r="A310" t="inlineStr">
        <is>
          <t>A 18914-2025</t>
        </is>
      </c>
      <c r="B310" s="1" t="n">
        <v>45764.46783564815</v>
      </c>
      <c r="C310" s="1" t="n">
        <v>45907</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17780-2022</t>
        </is>
      </c>
      <c r="B311" s="1" t="n">
        <v>44682.82622685185</v>
      </c>
      <c r="C311" s="1" t="n">
        <v>45907</v>
      </c>
      <c r="D311" t="inlineStr">
        <is>
          <t>GOTLANDS LÄN</t>
        </is>
      </c>
      <c r="E311" t="inlineStr">
        <is>
          <t>GOTLAND</t>
        </is>
      </c>
      <c r="G311" t="n">
        <v>2.2</v>
      </c>
      <c r="H311" t="n">
        <v>0</v>
      </c>
      <c r="I311" t="n">
        <v>0</v>
      </c>
      <c r="J311" t="n">
        <v>0</v>
      </c>
      <c r="K311" t="n">
        <v>0</v>
      </c>
      <c r="L311" t="n">
        <v>0</v>
      </c>
      <c r="M311" t="n">
        <v>0</v>
      </c>
      <c r="N311" t="n">
        <v>0</v>
      </c>
      <c r="O311" t="n">
        <v>0</v>
      </c>
      <c r="P311" t="n">
        <v>0</v>
      </c>
      <c r="Q311" t="n">
        <v>0</v>
      </c>
      <c r="R311" s="2" t="inlineStr"/>
    </row>
    <row r="312" ht="15" customHeight="1">
      <c r="A312" t="inlineStr">
        <is>
          <t>A 63516-2023</t>
        </is>
      </c>
      <c r="B312" s="1" t="n">
        <v>45274</v>
      </c>
      <c r="C312" s="1" t="n">
        <v>45907</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20165-2022</t>
        </is>
      </c>
      <c r="B313" s="1" t="n">
        <v>44698.49854166667</v>
      </c>
      <c r="C313" s="1" t="n">
        <v>45907</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31264-2021</t>
        </is>
      </c>
      <c r="B314" s="1" t="n">
        <v>44368</v>
      </c>
      <c r="C314" s="1" t="n">
        <v>45907</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53935-2024</t>
        </is>
      </c>
      <c r="B315" s="1" t="n">
        <v>45615</v>
      </c>
      <c r="C315" s="1" t="n">
        <v>45907</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18938-2025</t>
        </is>
      </c>
      <c r="B316" s="1" t="n">
        <v>45764.49172453704</v>
      </c>
      <c r="C316" s="1" t="n">
        <v>45907</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33876-2024</t>
        </is>
      </c>
      <c r="B317" s="1" t="n">
        <v>45521.87988425926</v>
      </c>
      <c r="C317" s="1" t="n">
        <v>45907</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69112-2021</t>
        </is>
      </c>
      <c r="B318" s="1" t="n">
        <v>44530</v>
      </c>
      <c r="C318" s="1" t="n">
        <v>45907</v>
      </c>
      <c r="D318" t="inlineStr">
        <is>
          <t>GOTLANDS LÄN</t>
        </is>
      </c>
      <c r="E318" t="inlineStr">
        <is>
          <t>GOTLAND</t>
        </is>
      </c>
      <c r="G318" t="n">
        <v>4.2</v>
      </c>
      <c r="H318" t="n">
        <v>0</v>
      </c>
      <c r="I318" t="n">
        <v>0</v>
      </c>
      <c r="J318" t="n">
        <v>0</v>
      </c>
      <c r="K318" t="n">
        <v>0</v>
      </c>
      <c r="L318" t="n">
        <v>0</v>
      </c>
      <c r="M318" t="n">
        <v>0</v>
      </c>
      <c r="N318" t="n">
        <v>0</v>
      </c>
      <c r="O318" t="n">
        <v>0</v>
      </c>
      <c r="P318" t="n">
        <v>0</v>
      </c>
      <c r="Q318" t="n">
        <v>0</v>
      </c>
      <c r="R318" s="2" t="inlineStr"/>
    </row>
    <row r="319" ht="15" customHeight="1">
      <c r="A319" t="inlineStr">
        <is>
          <t>A 6749-2025</t>
        </is>
      </c>
      <c r="B319" s="1" t="n">
        <v>45700</v>
      </c>
      <c r="C319" s="1" t="n">
        <v>45907</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48734-2022</t>
        </is>
      </c>
      <c r="B320" s="1" t="n">
        <v>44855</v>
      </c>
      <c r="C320" s="1" t="n">
        <v>45907</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23516-2023</t>
        </is>
      </c>
      <c r="B321" s="1" t="n">
        <v>45076.93391203704</v>
      </c>
      <c r="C321" s="1" t="n">
        <v>45907</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43223-2023</t>
        </is>
      </c>
      <c r="B322" s="1" t="n">
        <v>45183.45642361111</v>
      </c>
      <c r="C322" s="1" t="n">
        <v>45907</v>
      </c>
      <c r="D322" t="inlineStr">
        <is>
          <t>GOTLANDS LÄN</t>
        </is>
      </c>
      <c r="E322" t="inlineStr">
        <is>
          <t>GOTLAND</t>
        </is>
      </c>
      <c r="G322" t="n">
        <v>1.8</v>
      </c>
      <c r="H322" t="n">
        <v>0</v>
      </c>
      <c r="I322" t="n">
        <v>0</v>
      </c>
      <c r="J322" t="n">
        <v>0</v>
      </c>
      <c r="K322" t="n">
        <v>0</v>
      </c>
      <c r="L322" t="n">
        <v>0</v>
      </c>
      <c r="M322" t="n">
        <v>0</v>
      </c>
      <c r="N322" t="n">
        <v>0</v>
      </c>
      <c r="O322" t="n">
        <v>0</v>
      </c>
      <c r="P322" t="n">
        <v>0</v>
      </c>
      <c r="Q322" t="n">
        <v>0</v>
      </c>
      <c r="R322" s="2" t="inlineStr"/>
    </row>
    <row r="323" ht="15" customHeight="1">
      <c r="A323" t="inlineStr">
        <is>
          <t>A 43231-2023</t>
        </is>
      </c>
      <c r="B323" s="1" t="n">
        <v>45183.47025462963</v>
      </c>
      <c r="C323" s="1" t="n">
        <v>45907</v>
      </c>
      <c r="D323" t="inlineStr">
        <is>
          <t>GOTLANDS LÄN</t>
        </is>
      </c>
      <c r="E323" t="inlineStr">
        <is>
          <t>GOTLAND</t>
        </is>
      </c>
      <c r="G323" t="n">
        <v>3.6</v>
      </c>
      <c r="H323" t="n">
        <v>0</v>
      </c>
      <c r="I323" t="n">
        <v>0</v>
      </c>
      <c r="J323" t="n">
        <v>0</v>
      </c>
      <c r="K323" t="n">
        <v>0</v>
      </c>
      <c r="L323" t="n">
        <v>0</v>
      </c>
      <c r="M323" t="n">
        <v>0</v>
      </c>
      <c r="N323" t="n">
        <v>0</v>
      </c>
      <c r="O323" t="n">
        <v>0</v>
      </c>
      <c r="P323" t="n">
        <v>0</v>
      </c>
      <c r="Q323" t="n">
        <v>0</v>
      </c>
      <c r="R323" s="2" t="inlineStr"/>
    </row>
    <row r="324" ht="15" customHeight="1">
      <c r="A324" t="inlineStr">
        <is>
          <t>A 61962-2024</t>
        </is>
      </c>
      <c r="B324" s="1" t="n">
        <v>45653.54340277778</v>
      </c>
      <c r="C324" s="1" t="n">
        <v>45907</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27930-2021</t>
        </is>
      </c>
      <c r="B325" s="1" t="n">
        <v>44354</v>
      </c>
      <c r="C325" s="1" t="n">
        <v>45907</v>
      </c>
      <c r="D325" t="inlineStr">
        <is>
          <t>GOTLANDS LÄN</t>
        </is>
      </c>
      <c r="E325" t="inlineStr">
        <is>
          <t>GOTLAND</t>
        </is>
      </c>
      <c r="G325" t="n">
        <v>2.5</v>
      </c>
      <c r="H325" t="n">
        <v>0</v>
      </c>
      <c r="I325" t="n">
        <v>0</v>
      </c>
      <c r="J325" t="n">
        <v>0</v>
      </c>
      <c r="K325" t="n">
        <v>0</v>
      </c>
      <c r="L325" t="n">
        <v>0</v>
      </c>
      <c r="M325" t="n">
        <v>0</v>
      </c>
      <c r="N325" t="n">
        <v>0</v>
      </c>
      <c r="O325" t="n">
        <v>0</v>
      </c>
      <c r="P325" t="n">
        <v>0</v>
      </c>
      <c r="Q325" t="n">
        <v>0</v>
      </c>
      <c r="R325" s="2" t="inlineStr"/>
    </row>
    <row r="326" ht="15" customHeight="1">
      <c r="A326" t="inlineStr">
        <is>
          <t>A 59469-2024</t>
        </is>
      </c>
      <c r="B326" s="1" t="n">
        <v>45638</v>
      </c>
      <c r="C326" s="1" t="n">
        <v>45907</v>
      </c>
      <c r="D326" t="inlineStr">
        <is>
          <t>GOTLANDS LÄN</t>
        </is>
      </c>
      <c r="E326" t="inlineStr">
        <is>
          <t>GOTLAND</t>
        </is>
      </c>
      <c r="G326" t="n">
        <v>0.4</v>
      </c>
      <c r="H326" t="n">
        <v>0</v>
      </c>
      <c r="I326" t="n">
        <v>0</v>
      </c>
      <c r="J326" t="n">
        <v>0</v>
      </c>
      <c r="K326" t="n">
        <v>0</v>
      </c>
      <c r="L326" t="n">
        <v>0</v>
      </c>
      <c r="M326" t="n">
        <v>0</v>
      </c>
      <c r="N326" t="n">
        <v>0</v>
      </c>
      <c r="O326" t="n">
        <v>0</v>
      </c>
      <c r="P326" t="n">
        <v>0</v>
      </c>
      <c r="Q326" t="n">
        <v>0</v>
      </c>
      <c r="R326" s="2" t="inlineStr"/>
    </row>
    <row r="327" ht="15" customHeight="1">
      <c r="A327" t="inlineStr">
        <is>
          <t>A 58230-2024</t>
        </is>
      </c>
      <c r="B327" s="1" t="n">
        <v>45632.51625</v>
      </c>
      <c r="C327" s="1" t="n">
        <v>45907</v>
      </c>
      <c r="D327" t="inlineStr">
        <is>
          <t>GOTLANDS LÄN</t>
        </is>
      </c>
      <c r="E327" t="inlineStr">
        <is>
          <t>GOTLAND</t>
        </is>
      </c>
      <c r="G327" t="n">
        <v>7.3</v>
      </c>
      <c r="H327" t="n">
        <v>0</v>
      </c>
      <c r="I327" t="n">
        <v>0</v>
      </c>
      <c r="J327" t="n">
        <v>0</v>
      </c>
      <c r="K327" t="n">
        <v>0</v>
      </c>
      <c r="L327" t="n">
        <v>0</v>
      </c>
      <c r="M327" t="n">
        <v>0</v>
      </c>
      <c r="N327" t="n">
        <v>0</v>
      </c>
      <c r="O327" t="n">
        <v>0</v>
      </c>
      <c r="P327" t="n">
        <v>0</v>
      </c>
      <c r="Q327" t="n">
        <v>0</v>
      </c>
      <c r="R327" s="2" t="inlineStr"/>
    </row>
    <row r="328" ht="15" customHeight="1">
      <c r="A328" t="inlineStr">
        <is>
          <t>A 64555-2023</t>
        </is>
      </c>
      <c r="B328" s="1" t="n">
        <v>45281</v>
      </c>
      <c r="C328" s="1" t="n">
        <v>45907</v>
      </c>
      <c r="D328" t="inlineStr">
        <is>
          <t>GOTLANDS LÄN</t>
        </is>
      </c>
      <c r="E328" t="inlineStr">
        <is>
          <t>GOTLAND</t>
        </is>
      </c>
      <c r="G328" t="n">
        <v>3.5</v>
      </c>
      <c r="H328" t="n">
        <v>0</v>
      </c>
      <c r="I328" t="n">
        <v>0</v>
      </c>
      <c r="J328" t="n">
        <v>0</v>
      </c>
      <c r="K328" t="n">
        <v>0</v>
      </c>
      <c r="L328" t="n">
        <v>0</v>
      </c>
      <c r="M328" t="n">
        <v>0</v>
      </c>
      <c r="N328" t="n">
        <v>0</v>
      </c>
      <c r="O328" t="n">
        <v>0</v>
      </c>
      <c r="P328" t="n">
        <v>0</v>
      </c>
      <c r="Q328" t="n">
        <v>0</v>
      </c>
      <c r="R328" s="2" t="inlineStr"/>
    </row>
    <row r="329" ht="15" customHeight="1">
      <c r="A329" t="inlineStr">
        <is>
          <t>A 457-2023</t>
        </is>
      </c>
      <c r="B329" s="1" t="n">
        <v>44929.87238425926</v>
      </c>
      <c r="C329" s="1" t="n">
        <v>45907</v>
      </c>
      <c r="D329" t="inlineStr">
        <is>
          <t>GOTLANDS LÄN</t>
        </is>
      </c>
      <c r="E329" t="inlineStr">
        <is>
          <t>GOTLAND</t>
        </is>
      </c>
      <c r="G329" t="n">
        <v>2.4</v>
      </c>
      <c r="H329" t="n">
        <v>0</v>
      </c>
      <c r="I329" t="n">
        <v>0</v>
      </c>
      <c r="J329" t="n">
        <v>0</v>
      </c>
      <c r="K329" t="n">
        <v>0</v>
      </c>
      <c r="L329" t="n">
        <v>0</v>
      </c>
      <c r="M329" t="n">
        <v>0</v>
      </c>
      <c r="N329" t="n">
        <v>0</v>
      </c>
      <c r="O329" t="n">
        <v>0</v>
      </c>
      <c r="P329" t="n">
        <v>0</v>
      </c>
      <c r="Q329" t="n">
        <v>0</v>
      </c>
      <c r="R329" s="2" t="inlineStr"/>
    </row>
    <row r="330" ht="15" customHeight="1">
      <c r="A330" t="inlineStr">
        <is>
          <t>A 459-2023</t>
        </is>
      </c>
      <c r="B330" s="1" t="n">
        <v>44929.87423611111</v>
      </c>
      <c r="C330" s="1" t="n">
        <v>45907</v>
      </c>
      <c r="D330" t="inlineStr">
        <is>
          <t>GOTLANDS LÄN</t>
        </is>
      </c>
      <c r="E330" t="inlineStr">
        <is>
          <t>GOTLAND</t>
        </is>
      </c>
      <c r="G330" t="n">
        <v>4.2</v>
      </c>
      <c r="H330" t="n">
        <v>0</v>
      </c>
      <c r="I330" t="n">
        <v>0</v>
      </c>
      <c r="J330" t="n">
        <v>0</v>
      </c>
      <c r="K330" t="n">
        <v>0</v>
      </c>
      <c r="L330" t="n">
        <v>0</v>
      </c>
      <c r="M330" t="n">
        <v>0</v>
      </c>
      <c r="N330" t="n">
        <v>0</v>
      </c>
      <c r="O330" t="n">
        <v>0</v>
      </c>
      <c r="P330" t="n">
        <v>0</v>
      </c>
      <c r="Q330" t="n">
        <v>0</v>
      </c>
      <c r="R330" s="2" t="inlineStr"/>
    </row>
    <row r="331" ht="15" customHeight="1">
      <c r="A331" t="inlineStr">
        <is>
          <t>A 5462-2025</t>
        </is>
      </c>
      <c r="B331" s="1" t="n">
        <v>45693.29331018519</v>
      </c>
      <c r="C331" s="1" t="n">
        <v>45907</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6796-2025</t>
        </is>
      </c>
      <c r="B332" s="1" t="n">
        <v>45700.66559027778</v>
      </c>
      <c r="C332" s="1" t="n">
        <v>45907</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5751-2024</t>
        </is>
      </c>
      <c r="B333" s="1" t="n">
        <v>45335.32702546296</v>
      </c>
      <c r="C333" s="1" t="n">
        <v>45907</v>
      </c>
      <c r="D333" t="inlineStr">
        <is>
          <t>GOTLANDS LÄN</t>
        </is>
      </c>
      <c r="E333" t="inlineStr">
        <is>
          <t>GOTLAND</t>
        </is>
      </c>
      <c r="G333" t="n">
        <v>4.2</v>
      </c>
      <c r="H333" t="n">
        <v>0</v>
      </c>
      <c r="I333" t="n">
        <v>0</v>
      </c>
      <c r="J333" t="n">
        <v>0</v>
      </c>
      <c r="K333" t="n">
        <v>0</v>
      </c>
      <c r="L333" t="n">
        <v>0</v>
      </c>
      <c r="M333" t="n">
        <v>0</v>
      </c>
      <c r="N333" t="n">
        <v>0</v>
      </c>
      <c r="O333" t="n">
        <v>0</v>
      </c>
      <c r="P333" t="n">
        <v>0</v>
      </c>
      <c r="Q333" t="n">
        <v>0</v>
      </c>
      <c r="R333" s="2" t="inlineStr"/>
    </row>
    <row r="334" ht="15" customHeight="1">
      <c r="A334" t="inlineStr">
        <is>
          <t>A 6696-2023</t>
        </is>
      </c>
      <c r="B334" s="1" t="n">
        <v>44966.66425925926</v>
      </c>
      <c r="C334" s="1" t="n">
        <v>45907</v>
      </c>
      <c r="D334" t="inlineStr">
        <is>
          <t>GOTLANDS LÄN</t>
        </is>
      </c>
      <c r="E334" t="inlineStr">
        <is>
          <t>GOTLAND</t>
        </is>
      </c>
      <c r="G334" t="n">
        <v>1.5</v>
      </c>
      <c r="H334" t="n">
        <v>0</v>
      </c>
      <c r="I334" t="n">
        <v>0</v>
      </c>
      <c r="J334" t="n">
        <v>0</v>
      </c>
      <c r="K334" t="n">
        <v>0</v>
      </c>
      <c r="L334" t="n">
        <v>0</v>
      </c>
      <c r="M334" t="n">
        <v>0</v>
      </c>
      <c r="N334" t="n">
        <v>0</v>
      </c>
      <c r="O334" t="n">
        <v>0</v>
      </c>
      <c r="P334" t="n">
        <v>0</v>
      </c>
      <c r="Q334" t="n">
        <v>0</v>
      </c>
      <c r="R334" s="2" t="inlineStr"/>
    </row>
    <row r="335" ht="15" customHeight="1">
      <c r="A335" t="inlineStr">
        <is>
          <t>A 876-2024</t>
        </is>
      </c>
      <c r="B335" s="1" t="n">
        <v>45301</v>
      </c>
      <c r="C335" s="1" t="n">
        <v>45907</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28480-2023</t>
        </is>
      </c>
      <c r="B336" s="1" t="n">
        <v>45103</v>
      </c>
      <c r="C336" s="1" t="n">
        <v>45907</v>
      </c>
      <c r="D336" t="inlineStr">
        <is>
          <t>GOTLANDS LÄN</t>
        </is>
      </c>
      <c r="E336" t="inlineStr">
        <is>
          <t>GOTLAND</t>
        </is>
      </c>
      <c r="G336" t="n">
        <v>5.7</v>
      </c>
      <c r="H336" t="n">
        <v>0</v>
      </c>
      <c r="I336" t="n">
        <v>0</v>
      </c>
      <c r="J336" t="n">
        <v>0</v>
      </c>
      <c r="K336" t="n">
        <v>0</v>
      </c>
      <c r="L336" t="n">
        <v>0</v>
      </c>
      <c r="M336" t="n">
        <v>0</v>
      </c>
      <c r="N336" t="n">
        <v>0</v>
      </c>
      <c r="O336" t="n">
        <v>0</v>
      </c>
      <c r="P336" t="n">
        <v>0</v>
      </c>
      <c r="Q336" t="n">
        <v>0</v>
      </c>
      <c r="R336" s="2" t="inlineStr"/>
    </row>
    <row r="337" ht="15" customHeight="1">
      <c r="A337" t="inlineStr">
        <is>
          <t>A 28485-2023</t>
        </is>
      </c>
      <c r="B337" s="1" t="n">
        <v>45103.43731481482</v>
      </c>
      <c r="C337" s="1" t="n">
        <v>45907</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4990-2025</t>
        </is>
      </c>
      <c r="B338" s="1" t="n">
        <v>45691</v>
      </c>
      <c r="C338" s="1" t="n">
        <v>45907</v>
      </c>
      <c r="D338" t="inlineStr">
        <is>
          <t>GOTLANDS LÄN</t>
        </is>
      </c>
      <c r="E338" t="inlineStr">
        <is>
          <t>GOTLAND</t>
        </is>
      </c>
      <c r="G338" t="n">
        <v>7.7</v>
      </c>
      <c r="H338" t="n">
        <v>0</v>
      </c>
      <c r="I338" t="n">
        <v>0</v>
      </c>
      <c r="J338" t="n">
        <v>0</v>
      </c>
      <c r="K338" t="n">
        <v>0</v>
      </c>
      <c r="L338" t="n">
        <v>0</v>
      </c>
      <c r="M338" t="n">
        <v>0</v>
      </c>
      <c r="N338" t="n">
        <v>0</v>
      </c>
      <c r="O338" t="n">
        <v>0</v>
      </c>
      <c r="P338" t="n">
        <v>0</v>
      </c>
      <c r="Q338" t="n">
        <v>0</v>
      </c>
      <c r="R338" s="2" t="inlineStr"/>
    </row>
    <row r="339" ht="15" customHeight="1">
      <c r="A339" t="inlineStr">
        <is>
          <t>A 26891-2024</t>
        </is>
      </c>
      <c r="B339" s="1" t="n">
        <v>45470.65540509259</v>
      </c>
      <c r="C339" s="1" t="n">
        <v>45907</v>
      </c>
      <c r="D339" t="inlineStr">
        <is>
          <t>GOTLANDS LÄN</t>
        </is>
      </c>
      <c r="E339" t="inlineStr">
        <is>
          <t>GOTLAND</t>
        </is>
      </c>
      <c r="G339" t="n">
        <v>0.8</v>
      </c>
      <c r="H339" t="n">
        <v>0</v>
      </c>
      <c r="I339" t="n">
        <v>0</v>
      </c>
      <c r="J339" t="n">
        <v>0</v>
      </c>
      <c r="K339" t="n">
        <v>0</v>
      </c>
      <c r="L339" t="n">
        <v>0</v>
      </c>
      <c r="M339" t="n">
        <v>0</v>
      </c>
      <c r="N339" t="n">
        <v>0</v>
      </c>
      <c r="O339" t="n">
        <v>0</v>
      </c>
      <c r="P339" t="n">
        <v>0</v>
      </c>
      <c r="Q339" t="n">
        <v>0</v>
      </c>
      <c r="R339" s="2" t="inlineStr"/>
    </row>
    <row r="340" ht="15" customHeight="1">
      <c r="A340" t="inlineStr">
        <is>
          <t>A 14536-2021</t>
        </is>
      </c>
      <c r="B340" s="1" t="n">
        <v>44279.66168981481</v>
      </c>
      <c r="C340" s="1" t="n">
        <v>45907</v>
      </c>
      <c r="D340" t="inlineStr">
        <is>
          <t>GOTLANDS LÄN</t>
        </is>
      </c>
      <c r="E340" t="inlineStr">
        <is>
          <t>GOTLAND</t>
        </is>
      </c>
      <c r="G340" t="n">
        <v>8.5</v>
      </c>
      <c r="H340" t="n">
        <v>0</v>
      </c>
      <c r="I340" t="n">
        <v>0</v>
      </c>
      <c r="J340" t="n">
        <v>0</v>
      </c>
      <c r="K340" t="n">
        <v>0</v>
      </c>
      <c r="L340" t="n">
        <v>0</v>
      </c>
      <c r="M340" t="n">
        <v>0</v>
      </c>
      <c r="N340" t="n">
        <v>0</v>
      </c>
      <c r="O340" t="n">
        <v>0</v>
      </c>
      <c r="P340" t="n">
        <v>0</v>
      </c>
      <c r="Q340" t="n">
        <v>0</v>
      </c>
      <c r="R340" s="2" t="inlineStr"/>
    </row>
    <row r="341" ht="15" customHeight="1">
      <c r="A341" t="inlineStr">
        <is>
          <t>A 5923-2023</t>
        </is>
      </c>
      <c r="B341" s="1" t="n">
        <v>44963.69503472222</v>
      </c>
      <c r="C341" s="1" t="n">
        <v>45907</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50482-2024</t>
        </is>
      </c>
      <c r="B342" s="1" t="n">
        <v>45601.48114583334</v>
      </c>
      <c r="C342" s="1" t="n">
        <v>45907</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38165-2023</t>
        </is>
      </c>
      <c r="B343" s="1" t="n">
        <v>45161</v>
      </c>
      <c r="C343" s="1" t="n">
        <v>45907</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5943-2024</t>
        </is>
      </c>
      <c r="B344" s="1" t="n">
        <v>45336</v>
      </c>
      <c r="C344" s="1" t="n">
        <v>45907</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38234-2023</t>
        </is>
      </c>
      <c r="B345" s="1" t="n">
        <v>45161.56663194444</v>
      </c>
      <c r="C345" s="1" t="n">
        <v>45907</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25678-2025</t>
        </is>
      </c>
      <c r="B346" s="1" t="n">
        <v>45803.64118055555</v>
      </c>
      <c r="C346" s="1" t="n">
        <v>45907</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15216-2025</t>
        </is>
      </c>
      <c r="B347" s="1" t="n">
        <v>45744</v>
      </c>
      <c r="C347" s="1" t="n">
        <v>45907</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1273-2023</t>
        </is>
      </c>
      <c r="B348" s="1" t="n">
        <v>44936</v>
      </c>
      <c r="C348" s="1" t="n">
        <v>45907</v>
      </c>
      <c r="D348" t="inlineStr">
        <is>
          <t>GOTLANDS LÄN</t>
        </is>
      </c>
      <c r="E348" t="inlineStr">
        <is>
          <t>GOTLAND</t>
        </is>
      </c>
      <c r="G348" t="n">
        <v>4.5</v>
      </c>
      <c r="H348" t="n">
        <v>0</v>
      </c>
      <c r="I348" t="n">
        <v>0</v>
      </c>
      <c r="J348" t="n">
        <v>0</v>
      </c>
      <c r="K348" t="n">
        <v>0</v>
      </c>
      <c r="L348" t="n">
        <v>0</v>
      </c>
      <c r="M348" t="n">
        <v>0</v>
      </c>
      <c r="N348" t="n">
        <v>0</v>
      </c>
      <c r="O348" t="n">
        <v>0</v>
      </c>
      <c r="P348" t="n">
        <v>0</v>
      </c>
      <c r="Q348" t="n">
        <v>0</v>
      </c>
      <c r="R348" s="2" t="inlineStr"/>
    </row>
    <row r="349" ht="15" customHeight="1">
      <c r="A349" t="inlineStr">
        <is>
          <t>A 49693-2023</t>
        </is>
      </c>
      <c r="B349" s="1" t="n">
        <v>45212.38138888889</v>
      </c>
      <c r="C349" s="1" t="n">
        <v>45907</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49697-2023</t>
        </is>
      </c>
      <c r="B350" s="1" t="n">
        <v>45212.38909722222</v>
      </c>
      <c r="C350" s="1" t="n">
        <v>45907</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17724-2024</t>
        </is>
      </c>
      <c r="B351" s="1" t="n">
        <v>45418.55096064815</v>
      </c>
      <c r="C351" s="1" t="n">
        <v>45907</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34312-2024</t>
        </is>
      </c>
      <c r="B352" s="1" t="n">
        <v>45524.69703703704</v>
      </c>
      <c r="C352" s="1" t="n">
        <v>45907</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25796-2025</t>
        </is>
      </c>
      <c r="B353" s="1" t="n">
        <v>45804.39543981481</v>
      </c>
      <c r="C353" s="1" t="n">
        <v>45907</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23978-2023</t>
        </is>
      </c>
      <c r="B354" s="1" t="n">
        <v>45078</v>
      </c>
      <c r="C354" s="1" t="n">
        <v>45907</v>
      </c>
      <c r="D354" t="inlineStr">
        <is>
          <t>GOTLANDS LÄN</t>
        </is>
      </c>
      <c r="E354" t="inlineStr">
        <is>
          <t>GOTLAND</t>
        </is>
      </c>
      <c r="F354" t="inlineStr">
        <is>
          <t>Naturvårdsverket</t>
        </is>
      </c>
      <c r="G354" t="n">
        <v>1.7</v>
      </c>
      <c r="H354" t="n">
        <v>0</v>
      </c>
      <c r="I354" t="n">
        <v>0</v>
      </c>
      <c r="J354" t="n">
        <v>0</v>
      </c>
      <c r="K354" t="n">
        <v>0</v>
      </c>
      <c r="L354" t="n">
        <v>0</v>
      </c>
      <c r="M354" t="n">
        <v>0</v>
      </c>
      <c r="N354" t="n">
        <v>0</v>
      </c>
      <c r="O354" t="n">
        <v>0</v>
      </c>
      <c r="P354" t="n">
        <v>0</v>
      </c>
      <c r="Q354" t="n">
        <v>0</v>
      </c>
      <c r="R354" s="2" t="inlineStr"/>
    </row>
    <row r="355" ht="15" customHeight="1">
      <c r="A355" t="inlineStr">
        <is>
          <t>A 49884-2023</t>
        </is>
      </c>
      <c r="B355" s="1" t="n">
        <v>45213</v>
      </c>
      <c r="C355" s="1" t="n">
        <v>45907</v>
      </c>
      <c r="D355" t="inlineStr">
        <is>
          <t>GOTLANDS LÄN</t>
        </is>
      </c>
      <c r="E355" t="inlineStr">
        <is>
          <t>GOTLAND</t>
        </is>
      </c>
      <c r="G355" t="n">
        <v>8.9</v>
      </c>
      <c r="H355" t="n">
        <v>0</v>
      </c>
      <c r="I355" t="n">
        <v>0</v>
      </c>
      <c r="J355" t="n">
        <v>0</v>
      </c>
      <c r="K355" t="n">
        <v>0</v>
      </c>
      <c r="L355" t="n">
        <v>0</v>
      </c>
      <c r="M355" t="n">
        <v>0</v>
      </c>
      <c r="N355" t="n">
        <v>0</v>
      </c>
      <c r="O355" t="n">
        <v>0</v>
      </c>
      <c r="P355" t="n">
        <v>0</v>
      </c>
      <c r="Q355" t="n">
        <v>0</v>
      </c>
      <c r="R355" s="2" t="inlineStr"/>
    </row>
    <row r="356" ht="15" customHeight="1">
      <c r="A356" t="inlineStr">
        <is>
          <t>A 12846-2025</t>
        </is>
      </c>
      <c r="B356" s="1" t="n">
        <v>45733.65049768519</v>
      </c>
      <c r="C356" s="1" t="n">
        <v>45907</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43200-2023</t>
        </is>
      </c>
      <c r="B357" s="1" t="n">
        <v>45183</v>
      </c>
      <c r="C357" s="1" t="n">
        <v>45907</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48503-2023</t>
        </is>
      </c>
      <c r="B358" s="1" t="n">
        <v>45207</v>
      </c>
      <c r="C358" s="1" t="n">
        <v>45907</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1477-2024</t>
        </is>
      </c>
      <c r="B359" s="1" t="n">
        <v>45305.37987268518</v>
      </c>
      <c r="C359" s="1" t="n">
        <v>45907</v>
      </c>
      <c r="D359" t="inlineStr">
        <is>
          <t>GOTLANDS LÄN</t>
        </is>
      </c>
      <c r="E359" t="inlineStr">
        <is>
          <t>GOTLAND</t>
        </is>
      </c>
      <c r="G359" t="n">
        <v>6.9</v>
      </c>
      <c r="H359" t="n">
        <v>0</v>
      </c>
      <c r="I359" t="n">
        <v>0</v>
      </c>
      <c r="J359" t="n">
        <v>0</v>
      </c>
      <c r="K359" t="n">
        <v>0</v>
      </c>
      <c r="L359" t="n">
        <v>0</v>
      </c>
      <c r="M359" t="n">
        <v>0</v>
      </c>
      <c r="N359" t="n">
        <v>0</v>
      </c>
      <c r="O359" t="n">
        <v>0</v>
      </c>
      <c r="P359" t="n">
        <v>0</v>
      </c>
      <c r="Q359" t="n">
        <v>0</v>
      </c>
      <c r="R359" s="2" t="inlineStr"/>
    </row>
    <row r="360" ht="15" customHeight="1">
      <c r="A360" t="inlineStr">
        <is>
          <t>A 3935-2025</t>
        </is>
      </c>
      <c r="B360" s="1" t="n">
        <v>45684.46070601852</v>
      </c>
      <c r="C360" s="1" t="n">
        <v>45907</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24825-2024</t>
        </is>
      </c>
      <c r="B361" s="1" t="n">
        <v>45461</v>
      </c>
      <c r="C361" s="1" t="n">
        <v>45907</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45907</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26465-2025</t>
        </is>
      </c>
      <c r="B363" s="1" t="n">
        <v>45807.44377314814</v>
      </c>
      <c r="C363" s="1" t="n">
        <v>45907</v>
      </c>
      <c r="D363" t="inlineStr">
        <is>
          <t>GOTLANDS LÄN</t>
        </is>
      </c>
      <c r="E363" t="inlineStr">
        <is>
          <t>GOTLAND</t>
        </is>
      </c>
      <c r="G363" t="n">
        <v>4.5</v>
      </c>
      <c r="H363" t="n">
        <v>0</v>
      </c>
      <c r="I363" t="n">
        <v>0</v>
      </c>
      <c r="J363" t="n">
        <v>0</v>
      </c>
      <c r="K363" t="n">
        <v>0</v>
      </c>
      <c r="L363" t="n">
        <v>0</v>
      </c>
      <c r="M363" t="n">
        <v>0</v>
      </c>
      <c r="N363" t="n">
        <v>0</v>
      </c>
      <c r="O363" t="n">
        <v>0</v>
      </c>
      <c r="P363" t="n">
        <v>0</v>
      </c>
      <c r="Q363" t="n">
        <v>0</v>
      </c>
      <c r="R363" s="2" t="inlineStr"/>
    </row>
    <row r="364" ht="15" customHeight="1">
      <c r="A364" t="inlineStr">
        <is>
          <t>A 21792-2024</t>
        </is>
      </c>
      <c r="B364" s="1" t="n">
        <v>45442.64326388889</v>
      </c>
      <c r="C364" s="1" t="n">
        <v>45907</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26457-2025</t>
        </is>
      </c>
      <c r="B365" s="1" t="n">
        <v>45807.42773148148</v>
      </c>
      <c r="C365" s="1" t="n">
        <v>45907</v>
      </c>
      <c r="D365" t="inlineStr">
        <is>
          <t>GOTLANDS LÄN</t>
        </is>
      </c>
      <c r="E365" t="inlineStr">
        <is>
          <t>GOTLAND</t>
        </is>
      </c>
      <c r="G365" t="n">
        <v>5.7</v>
      </c>
      <c r="H365" t="n">
        <v>0</v>
      </c>
      <c r="I365" t="n">
        <v>0</v>
      </c>
      <c r="J365" t="n">
        <v>0</v>
      </c>
      <c r="K365" t="n">
        <v>0</v>
      </c>
      <c r="L365" t="n">
        <v>0</v>
      </c>
      <c r="M365" t="n">
        <v>0</v>
      </c>
      <c r="N365" t="n">
        <v>0</v>
      </c>
      <c r="O365" t="n">
        <v>0</v>
      </c>
      <c r="P365" t="n">
        <v>0</v>
      </c>
      <c r="Q365" t="n">
        <v>0</v>
      </c>
      <c r="R365" s="2" t="inlineStr"/>
    </row>
    <row r="366" ht="15" customHeight="1">
      <c r="A366" t="inlineStr">
        <is>
          <t>A 26467-2025</t>
        </is>
      </c>
      <c r="B366" s="1" t="n">
        <v>45807.44640046296</v>
      </c>
      <c r="C366" s="1" t="n">
        <v>45907</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22031-2024</t>
        </is>
      </c>
      <c r="B367" s="1" t="n">
        <v>45443.60075231481</v>
      </c>
      <c r="C367" s="1" t="n">
        <v>45907</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17688-2024</t>
        </is>
      </c>
      <c r="B368" s="1" t="n">
        <v>45418.43575231481</v>
      </c>
      <c r="C368" s="1" t="n">
        <v>45907</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48843-2024</t>
        </is>
      </c>
      <c r="B369" s="1" t="n">
        <v>45593</v>
      </c>
      <c r="C369" s="1" t="n">
        <v>45907</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26660-2025</t>
        </is>
      </c>
      <c r="B370" s="1" t="n">
        <v>45810.39737268518</v>
      </c>
      <c r="C370" s="1" t="n">
        <v>45907</v>
      </c>
      <c r="D370" t="inlineStr">
        <is>
          <t>GOTLANDS LÄN</t>
        </is>
      </c>
      <c r="E370" t="inlineStr">
        <is>
          <t>GOTLAND</t>
        </is>
      </c>
      <c r="G370" t="n">
        <v>1.8</v>
      </c>
      <c r="H370" t="n">
        <v>0</v>
      </c>
      <c r="I370" t="n">
        <v>0</v>
      </c>
      <c r="J370" t="n">
        <v>0</v>
      </c>
      <c r="K370" t="n">
        <v>0</v>
      </c>
      <c r="L370" t="n">
        <v>0</v>
      </c>
      <c r="M370" t="n">
        <v>0</v>
      </c>
      <c r="N370" t="n">
        <v>0</v>
      </c>
      <c r="O370" t="n">
        <v>0</v>
      </c>
      <c r="P370" t="n">
        <v>0</v>
      </c>
      <c r="Q370" t="n">
        <v>0</v>
      </c>
      <c r="R370" s="2" t="inlineStr"/>
    </row>
    <row r="371" ht="15" customHeight="1">
      <c r="A371" t="inlineStr">
        <is>
          <t>A 10158-2025</t>
        </is>
      </c>
      <c r="B371" s="1" t="n">
        <v>45719</v>
      </c>
      <c r="C371" s="1" t="n">
        <v>45907</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27694-2024</t>
        </is>
      </c>
      <c r="B372" s="1" t="n">
        <v>45475</v>
      </c>
      <c r="C372" s="1" t="n">
        <v>45907</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10653-2023</t>
        </is>
      </c>
      <c r="B373" s="1" t="n">
        <v>44988.48859953704</v>
      </c>
      <c r="C373" s="1" t="n">
        <v>45907</v>
      </c>
      <c r="D373" t="inlineStr">
        <is>
          <t>GOTLANDS LÄN</t>
        </is>
      </c>
      <c r="E373" t="inlineStr">
        <is>
          <t>GOTLAND</t>
        </is>
      </c>
      <c r="F373" t="inlineStr">
        <is>
          <t>Kyrkan</t>
        </is>
      </c>
      <c r="G373" t="n">
        <v>3</v>
      </c>
      <c r="H373" t="n">
        <v>0</v>
      </c>
      <c r="I373" t="n">
        <v>0</v>
      </c>
      <c r="J373" t="n">
        <v>0</v>
      </c>
      <c r="K373" t="n">
        <v>0</v>
      </c>
      <c r="L373" t="n">
        <v>0</v>
      </c>
      <c r="M373" t="n">
        <v>0</v>
      </c>
      <c r="N373" t="n">
        <v>0</v>
      </c>
      <c r="O373" t="n">
        <v>0</v>
      </c>
      <c r="P373" t="n">
        <v>0</v>
      </c>
      <c r="Q373" t="n">
        <v>0</v>
      </c>
      <c r="R373" s="2" t="inlineStr"/>
    </row>
    <row r="374" ht="15" customHeight="1">
      <c r="A374" t="inlineStr">
        <is>
          <t>A 39764-2022</t>
        </is>
      </c>
      <c r="B374" s="1" t="n">
        <v>44819</v>
      </c>
      <c r="C374" s="1" t="n">
        <v>45907</v>
      </c>
      <c r="D374" t="inlineStr">
        <is>
          <t>GOTLANDS LÄN</t>
        </is>
      </c>
      <c r="E374" t="inlineStr">
        <is>
          <t>GOTLAND</t>
        </is>
      </c>
      <c r="F374" t="inlineStr">
        <is>
          <t>Kyrkan</t>
        </is>
      </c>
      <c r="G374" t="n">
        <v>3.7</v>
      </c>
      <c r="H374" t="n">
        <v>0</v>
      </c>
      <c r="I374" t="n">
        <v>0</v>
      </c>
      <c r="J374" t="n">
        <v>0</v>
      </c>
      <c r="K374" t="n">
        <v>0</v>
      </c>
      <c r="L374" t="n">
        <v>0</v>
      </c>
      <c r="M374" t="n">
        <v>0</v>
      </c>
      <c r="N374" t="n">
        <v>0</v>
      </c>
      <c r="O374" t="n">
        <v>0</v>
      </c>
      <c r="P374" t="n">
        <v>0</v>
      </c>
      <c r="Q374" t="n">
        <v>0</v>
      </c>
      <c r="R374" s="2" t="inlineStr"/>
    </row>
    <row r="375" ht="15" customHeight="1">
      <c r="A375" t="inlineStr">
        <is>
          <t>A 6099-2024</t>
        </is>
      </c>
      <c r="B375" s="1" t="n">
        <v>45337</v>
      </c>
      <c r="C375" s="1" t="n">
        <v>45907</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8260-2023</t>
        </is>
      </c>
      <c r="B376" s="1" t="n">
        <v>44974.61608796296</v>
      </c>
      <c r="C376" s="1" t="n">
        <v>45907</v>
      </c>
      <c r="D376" t="inlineStr">
        <is>
          <t>GOTLANDS LÄN</t>
        </is>
      </c>
      <c r="E376" t="inlineStr">
        <is>
          <t>GOTLAND</t>
        </is>
      </c>
      <c r="G376" t="n">
        <v>2.9</v>
      </c>
      <c r="H376" t="n">
        <v>0</v>
      </c>
      <c r="I376" t="n">
        <v>0</v>
      </c>
      <c r="J376" t="n">
        <v>0</v>
      </c>
      <c r="K376" t="n">
        <v>0</v>
      </c>
      <c r="L376" t="n">
        <v>0</v>
      </c>
      <c r="M376" t="n">
        <v>0</v>
      </c>
      <c r="N376" t="n">
        <v>0</v>
      </c>
      <c r="O376" t="n">
        <v>0</v>
      </c>
      <c r="P376" t="n">
        <v>0</v>
      </c>
      <c r="Q376" t="n">
        <v>0</v>
      </c>
      <c r="R376" s="2" t="inlineStr"/>
    </row>
    <row r="377" ht="15" customHeight="1">
      <c r="A377" t="inlineStr">
        <is>
          <t>A 27355-2025</t>
        </is>
      </c>
      <c r="B377" s="1" t="n">
        <v>45812</v>
      </c>
      <c r="C377" s="1" t="n">
        <v>45907</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35512-2023</t>
        </is>
      </c>
      <c r="B378" s="1" t="n">
        <v>45147.25623842593</v>
      </c>
      <c r="C378" s="1" t="n">
        <v>45907</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27348-2025</t>
        </is>
      </c>
      <c r="B379" s="1" t="n">
        <v>45812.62451388889</v>
      </c>
      <c r="C379" s="1" t="n">
        <v>45907</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27371-2025</t>
        </is>
      </c>
      <c r="B380" s="1" t="n">
        <v>45812</v>
      </c>
      <c r="C380" s="1" t="n">
        <v>45907</v>
      </c>
      <c r="D380" t="inlineStr">
        <is>
          <t>GOTLANDS LÄN</t>
        </is>
      </c>
      <c r="E380" t="inlineStr">
        <is>
          <t>GOTLAND</t>
        </is>
      </c>
      <c r="G380" t="n">
        <v>8</v>
      </c>
      <c r="H380" t="n">
        <v>0</v>
      </c>
      <c r="I380" t="n">
        <v>0</v>
      </c>
      <c r="J380" t="n">
        <v>0</v>
      </c>
      <c r="K380" t="n">
        <v>0</v>
      </c>
      <c r="L380" t="n">
        <v>0</v>
      </c>
      <c r="M380" t="n">
        <v>0</v>
      </c>
      <c r="N380" t="n">
        <v>0</v>
      </c>
      <c r="O380" t="n">
        <v>0</v>
      </c>
      <c r="P380" t="n">
        <v>0</v>
      </c>
      <c r="Q380" t="n">
        <v>0</v>
      </c>
      <c r="R380" s="2" t="inlineStr"/>
    </row>
    <row r="381" ht="15" customHeight="1">
      <c r="A381" t="inlineStr">
        <is>
          <t>A 11874-2024</t>
        </is>
      </c>
      <c r="B381" s="1" t="n">
        <v>45376.46956018519</v>
      </c>
      <c r="C381" s="1" t="n">
        <v>45907</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20225-2025</t>
        </is>
      </c>
      <c r="B382" s="1" t="n">
        <v>45772.65802083333</v>
      </c>
      <c r="C382" s="1" t="n">
        <v>45907</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22287-2022</t>
        </is>
      </c>
      <c r="B383" s="1" t="n">
        <v>44712</v>
      </c>
      <c r="C383" s="1" t="n">
        <v>45907</v>
      </c>
      <c r="D383" t="inlineStr">
        <is>
          <t>GOTLANDS LÄN</t>
        </is>
      </c>
      <c r="E383" t="inlineStr">
        <is>
          <t>GOTLAND</t>
        </is>
      </c>
      <c r="G383" t="n">
        <v>6.1</v>
      </c>
      <c r="H383" t="n">
        <v>0</v>
      </c>
      <c r="I383" t="n">
        <v>0</v>
      </c>
      <c r="J383" t="n">
        <v>0</v>
      </c>
      <c r="K383" t="n">
        <v>0</v>
      </c>
      <c r="L383" t="n">
        <v>0</v>
      </c>
      <c r="M383" t="n">
        <v>0</v>
      </c>
      <c r="N383" t="n">
        <v>0</v>
      </c>
      <c r="O383" t="n">
        <v>0</v>
      </c>
      <c r="P383" t="n">
        <v>0</v>
      </c>
      <c r="Q383" t="n">
        <v>0</v>
      </c>
      <c r="R383" s="2" t="inlineStr"/>
    </row>
    <row r="384" ht="15" customHeight="1">
      <c r="A384" t="inlineStr">
        <is>
          <t>A 1677-2023</t>
        </is>
      </c>
      <c r="B384" s="1" t="n">
        <v>44938</v>
      </c>
      <c r="C384" s="1" t="n">
        <v>45907</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17343-2025</t>
        </is>
      </c>
      <c r="B385" s="1" t="n">
        <v>45756.6687037037</v>
      </c>
      <c r="C385" s="1" t="n">
        <v>45907</v>
      </c>
      <c r="D385" t="inlineStr">
        <is>
          <t>GOTLANDS LÄN</t>
        </is>
      </c>
      <c r="E385" t="inlineStr">
        <is>
          <t>GOTLAND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7850-2025</t>
        </is>
      </c>
      <c r="B386" s="1" t="n">
        <v>45706</v>
      </c>
      <c r="C386" s="1" t="n">
        <v>45907</v>
      </c>
      <c r="D386" t="inlineStr">
        <is>
          <t>GOTLANDS LÄN</t>
        </is>
      </c>
      <c r="E386" t="inlineStr">
        <is>
          <t>GOTLAND</t>
        </is>
      </c>
      <c r="G386" t="n">
        <v>0.5</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45907</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6739-2025</t>
        </is>
      </c>
      <c r="B388" s="1" t="n">
        <v>45700</v>
      </c>
      <c r="C388" s="1" t="n">
        <v>45907</v>
      </c>
      <c r="D388" t="inlineStr">
        <is>
          <t>GOTLANDS LÄN</t>
        </is>
      </c>
      <c r="E388" t="inlineStr">
        <is>
          <t>GOTLAND</t>
        </is>
      </c>
      <c r="G388" t="n">
        <v>4.5</v>
      </c>
      <c r="H388" t="n">
        <v>0</v>
      </c>
      <c r="I388" t="n">
        <v>0</v>
      </c>
      <c r="J388" t="n">
        <v>0</v>
      </c>
      <c r="K388" t="n">
        <v>0</v>
      </c>
      <c r="L388" t="n">
        <v>0</v>
      </c>
      <c r="M388" t="n">
        <v>0</v>
      </c>
      <c r="N388" t="n">
        <v>0</v>
      </c>
      <c r="O388" t="n">
        <v>0</v>
      </c>
      <c r="P388" t="n">
        <v>0</v>
      </c>
      <c r="Q388" t="n">
        <v>0</v>
      </c>
      <c r="R388" s="2" t="inlineStr"/>
    </row>
    <row r="389" ht="15" customHeight="1">
      <c r="A389" t="inlineStr">
        <is>
          <t>A 64831-2023</t>
        </is>
      </c>
      <c r="B389" s="1" t="n">
        <v>45282.44924768519</v>
      </c>
      <c r="C389" s="1" t="n">
        <v>45907</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8444-2025</t>
        </is>
      </c>
      <c r="B390" s="1" t="n">
        <v>45709</v>
      </c>
      <c r="C390" s="1" t="n">
        <v>45907</v>
      </c>
      <c r="D390" t="inlineStr">
        <is>
          <t>GOTLANDS LÄN</t>
        </is>
      </c>
      <c r="E390" t="inlineStr">
        <is>
          <t>GOTLAND</t>
        </is>
      </c>
      <c r="G390" t="n">
        <v>5.2</v>
      </c>
      <c r="H390" t="n">
        <v>0</v>
      </c>
      <c r="I390" t="n">
        <v>0</v>
      </c>
      <c r="J390" t="n">
        <v>0</v>
      </c>
      <c r="K390" t="n">
        <v>0</v>
      </c>
      <c r="L390" t="n">
        <v>0</v>
      </c>
      <c r="M390" t="n">
        <v>0</v>
      </c>
      <c r="N390" t="n">
        <v>0</v>
      </c>
      <c r="O390" t="n">
        <v>0</v>
      </c>
      <c r="P390" t="n">
        <v>0</v>
      </c>
      <c r="Q390" t="n">
        <v>0</v>
      </c>
      <c r="R390" s="2" t="inlineStr"/>
    </row>
    <row r="391" ht="15" customHeight="1">
      <c r="A391" t="inlineStr">
        <is>
          <t>A 19905-2025</t>
        </is>
      </c>
      <c r="B391" s="1" t="n">
        <v>45771</v>
      </c>
      <c r="C391" s="1" t="n">
        <v>45907</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8036-2022</t>
        </is>
      </c>
      <c r="B392" s="1" t="n">
        <v>44609.44362268518</v>
      </c>
      <c r="C392" s="1" t="n">
        <v>45907</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46375-2024</t>
        </is>
      </c>
      <c r="B393" s="1" t="n">
        <v>45582</v>
      </c>
      <c r="C393" s="1" t="n">
        <v>45907</v>
      </c>
      <c r="D393" t="inlineStr">
        <is>
          <t>GOTLANDS LÄN</t>
        </is>
      </c>
      <c r="E393" t="inlineStr">
        <is>
          <t>GOTLAND</t>
        </is>
      </c>
      <c r="G393" t="n">
        <v>3</v>
      </c>
      <c r="H393" t="n">
        <v>0</v>
      </c>
      <c r="I393" t="n">
        <v>0</v>
      </c>
      <c r="J393" t="n">
        <v>0</v>
      </c>
      <c r="K393" t="n">
        <v>0</v>
      </c>
      <c r="L393" t="n">
        <v>0</v>
      </c>
      <c r="M393" t="n">
        <v>0</v>
      </c>
      <c r="N393" t="n">
        <v>0</v>
      </c>
      <c r="O393" t="n">
        <v>0</v>
      </c>
      <c r="P393" t="n">
        <v>0</v>
      </c>
      <c r="Q393" t="n">
        <v>0</v>
      </c>
      <c r="R393" s="2" t="inlineStr"/>
    </row>
    <row r="394" ht="15" customHeight="1">
      <c r="A394" t="inlineStr">
        <is>
          <t>A 62915-2021</t>
        </is>
      </c>
      <c r="B394" s="1" t="n">
        <v>44504</v>
      </c>
      <c r="C394" s="1" t="n">
        <v>45907</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29207-2025</t>
        </is>
      </c>
      <c r="B395" s="1" t="n">
        <v>45823</v>
      </c>
      <c r="C395" s="1" t="n">
        <v>45907</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7638-2025</t>
        </is>
      </c>
      <c r="B396" s="1" t="n">
        <v>45705.77306712963</v>
      </c>
      <c r="C396" s="1" t="n">
        <v>45907</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29196-2025</t>
        </is>
      </c>
      <c r="B397" s="1" t="n">
        <v>45822</v>
      </c>
      <c r="C397" s="1" t="n">
        <v>45907</v>
      </c>
      <c r="D397" t="inlineStr">
        <is>
          <t>GOTLANDS LÄN</t>
        </is>
      </c>
      <c r="E397" t="inlineStr">
        <is>
          <t>GOTLAND</t>
        </is>
      </c>
      <c r="G397" t="n">
        <v>0.5</v>
      </c>
      <c r="H397" t="n">
        <v>0</v>
      </c>
      <c r="I397" t="n">
        <v>0</v>
      </c>
      <c r="J397" t="n">
        <v>0</v>
      </c>
      <c r="K397" t="n">
        <v>0</v>
      </c>
      <c r="L397" t="n">
        <v>0</v>
      </c>
      <c r="M397" t="n">
        <v>0</v>
      </c>
      <c r="N397" t="n">
        <v>0</v>
      </c>
      <c r="O397" t="n">
        <v>0</v>
      </c>
      <c r="P397" t="n">
        <v>0</v>
      </c>
      <c r="Q397" t="n">
        <v>0</v>
      </c>
      <c r="R397" s="2" t="inlineStr"/>
    </row>
    <row r="398" ht="15" customHeight="1">
      <c r="A398" t="inlineStr">
        <is>
          <t>A 64660-2023</t>
        </is>
      </c>
      <c r="B398" s="1" t="n">
        <v>45281.60122685185</v>
      </c>
      <c r="C398" s="1" t="n">
        <v>45907</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30061-2025</t>
        </is>
      </c>
      <c r="B399" s="1" t="n">
        <v>45826.61488425926</v>
      </c>
      <c r="C399" s="1" t="n">
        <v>45907</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30157-2025</t>
        </is>
      </c>
      <c r="B400" s="1" t="n">
        <v>45826</v>
      </c>
      <c r="C400" s="1" t="n">
        <v>45907</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30488-2025</t>
        </is>
      </c>
      <c r="B401" s="1" t="n">
        <v>45830</v>
      </c>
      <c r="C401" s="1" t="n">
        <v>45907</v>
      </c>
      <c r="D401" t="inlineStr">
        <is>
          <t>GOTLANDS LÄN</t>
        </is>
      </c>
      <c r="E401" t="inlineStr">
        <is>
          <t>GOTLAND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30489-2025</t>
        </is>
      </c>
      <c r="B402" s="1" t="n">
        <v>45830</v>
      </c>
      <c r="C402" s="1" t="n">
        <v>45907</v>
      </c>
      <c r="D402" t="inlineStr">
        <is>
          <t>GOTLANDS LÄN</t>
        </is>
      </c>
      <c r="E402" t="inlineStr">
        <is>
          <t>GOTLAND</t>
        </is>
      </c>
      <c r="G402" t="n">
        <v>4.6</v>
      </c>
      <c r="H402" t="n">
        <v>0</v>
      </c>
      <c r="I402" t="n">
        <v>0</v>
      </c>
      <c r="J402" t="n">
        <v>0</v>
      </c>
      <c r="K402" t="n">
        <v>0</v>
      </c>
      <c r="L402" t="n">
        <v>0</v>
      </c>
      <c r="M402" t="n">
        <v>0</v>
      </c>
      <c r="N402" t="n">
        <v>0</v>
      </c>
      <c r="O402" t="n">
        <v>0</v>
      </c>
      <c r="P402" t="n">
        <v>0</v>
      </c>
      <c r="Q402" t="n">
        <v>0</v>
      </c>
      <c r="R402" s="2" t="inlineStr"/>
    </row>
    <row r="403" ht="15" customHeight="1">
      <c r="A403" t="inlineStr">
        <is>
          <t>A 4377-2023</t>
        </is>
      </c>
      <c r="B403" s="1" t="n">
        <v>44955.5502662037</v>
      </c>
      <c r="C403" s="1" t="n">
        <v>45907</v>
      </c>
      <c r="D403" t="inlineStr">
        <is>
          <t>GOTLANDS LÄN</t>
        </is>
      </c>
      <c r="E403" t="inlineStr">
        <is>
          <t>GOTLAND</t>
        </is>
      </c>
      <c r="F403" t="inlineStr">
        <is>
          <t>Kyrkan</t>
        </is>
      </c>
      <c r="G403" t="n">
        <v>0.6</v>
      </c>
      <c r="H403" t="n">
        <v>0</v>
      </c>
      <c r="I403" t="n">
        <v>0</v>
      </c>
      <c r="J403" t="n">
        <v>0</v>
      </c>
      <c r="K403" t="n">
        <v>0</v>
      </c>
      <c r="L403" t="n">
        <v>0</v>
      </c>
      <c r="M403" t="n">
        <v>0</v>
      </c>
      <c r="N403" t="n">
        <v>0</v>
      </c>
      <c r="O403" t="n">
        <v>0</v>
      </c>
      <c r="P403" t="n">
        <v>0</v>
      </c>
      <c r="Q403" t="n">
        <v>0</v>
      </c>
      <c r="R403" s="2" t="inlineStr"/>
    </row>
    <row r="404" ht="15" customHeight="1">
      <c r="A404" t="inlineStr">
        <is>
          <t>A 58160-2024</t>
        </is>
      </c>
      <c r="B404" s="1" t="n">
        <v>45632.44927083333</v>
      </c>
      <c r="C404" s="1" t="n">
        <v>45907</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30135-2025</t>
        </is>
      </c>
      <c r="B405" s="1" t="n">
        <v>45826</v>
      </c>
      <c r="C405" s="1" t="n">
        <v>45907</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16109-2025</t>
        </is>
      </c>
      <c r="B406" s="1" t="n">
        <v>45750</v>
      </c>
      <c r="C406" s="1" t="n">
        <v>45907</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32467-2025</t>
        </is>
      </c>
      <c r="B407" s="1" t="n">
        <v>45838.42111111111</v>
      </c>
      <c r="C407" s="1" t="n">
        <v>45907</v>
      </c>
      <c r="D407" t="inlineStr">
        <is>
          <t>GOTLANDS LÄN</t>
        </is>
      </c>
      <c r="E407" t="inlineStr">
        <is>
          <t>GOTLAND</t>
        </is>
      </c>
      <c r="G407" t="n">
        <v>4.3</v>
      </c>
      <c r="H407" t="n">
        <v>0</v>
      </c>
      <c r="I407" t="n">
        <v>0</v>
      </c>
      <c r="J407" t="n">
        <v>0</v>
      </c>
      <c r="K407" t="n">
        <v>0</v>
      </c>
      <c r="L407" t="n">
        <v>0</v>
      </c>
      <c r="M407" t="n">
        <v>0</v>
      </c>
      <c r="N407" t="n">
        <v>0</v>
      </c>
      <c r="O407" t="n">
        <v>0</v>
      </c>
      <c r="P407" t="n">
        <v>0</v>
      </c>
      <c r="Q407" t="n">
        <v>0</v>
      </c>
      <c r="R407" s="2" t="inlineStr"/>
    </row>
    <row r="408" ht="15" customHeight="1">
      <c r="A408" t="inlineStr">
        <is>
          <t>A 32378-2025</t>
        </is>
      </c>
      <c r="B408" s="1" t="n">
        <v>45837</v>
      </c>
      <c r="C408" s="1" t="n">
        <v>45907</v>
      </c>
      <c r="D408" t="inlineStr">
        <is>
          <t>GOTLANDS LÄN</t>
        </is>
      </c>
      <c r="E408" t="inlineStr">
        <is>
          <t>GOTLAND</t>
        </is>
      </c>
      <c r="G408" t="n">
        <v>4.1</v>
      </c>
      <c r="H408" t="n">
        <v>0</v>
      </c>
      <c r="I408" t="n">
        <v>0</v>
      </c>
      <c r="J408" t="n">
        <v>0</v>
      </c>
      <c r="K408" t="n">
        <v>0</v>
      </c>
      <c r="L408" t="n">
        <v>0</v>
      </c>
      <c r="M408" t="n">
        <v>0</v>
      </c>
      <c r="N408" t="n">
        <v>0</v>
      </c>
      <c r="O408" t="n">
        <v>0</v>
      </c>
      <c r="P408" t="n">
        <v>0</v>
      </c>
      <c r="Q408" t="n">
        <v>0</v>
      </c>
      <c r="R408" s="2" t="inlineStr"/>
    </row>
    <row r="409" ht="15" customHeight="1">
      <c r="A409" t="inlineStr">
        <is>
          <t>A 43901-2023</t>
        </is>
      </c>
      <c r="B409" s="1" t="n">
        <v>45187</v>
      </c>
      <c r="C409" s="1" t="n">
        <v>45907</v>
      </c>
      <c r="D409" t="inlineStr">
        <is>
          <t>GOTLANDS LÄN</t>
        </is>
      </c>
      <c r="E409" t="inlineStr">
        <is>
          <t>GOTLAND</t>
        </is>
      </c>
      <c r="G409" t="n">
        <v>5.4</v>
      </c>
      <c r="H409" t="n">
        <v>0</v>
      </c>
      <c r="I409" t="n">
        <v>0</v>
      </c>
      <c r="J409" t="n">
        <v>0</v>
      </c>
      <c r="K409" t="n">
        <v>0</v>
      </c>
      <c r="L409" t="n">
        <v>0</v>
      </c>
      <c r="M409" t="n">
        <v>0</v>
      </c>
      <c r="N409" t="n">
        <v>0</v>
      </c>
      <c r="O409" t="n">
        <v>0</v>
      </c>
      <c r="P409" t="n">
        <v>0</v>
      </c>
      <c r="Q409" t="n">
        <v>0</v>
      </c>
      <c r="R409" s="2" t="inlineStr"/>
    </row>
    <row r="410" ht="15" customHeight="1">
      <c r="A410" t="inlineStr">
        <is>
          <t>A 17532-2024</t>
        </is>
      </c>
      <c r="B410" s="1" t="n">
        <v>45415</v>
      </c>
      <c r="C410" s="1" t="n">
        <v>45907</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45692-2023</t>
        </is>
      </c>
      <c r="B411" s="1" t="n">
        <v>45195</v>
      </c>
      <c r="C411" s="1" t="n">
        <v>45907</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32686-2025</t>
        </is>
      </c>
      <c r="B412" s="1" t="n">
        <v>45838</v>
      </c>
      <c r="C412" s="1" t="n">
        <v>45907</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20660-2025</t>
        </is>
      </c>
      <c r="B413" s="1" t="n">
        <v>45776</v>
      </c>
      <c r="C413" s="1" t="n">
        <v>45907</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45907</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33078-2025</t>
        </is>
      </c>
      <c r="B415" s="1" t="n">
        <v>45840</v>
      </c>
      <c r="C415" s="1" t="n">
        <v>45907</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33007-2025</t>
        </is>
      </c>
      <c r="B416" s="1" t="n">
        <v>45840</v>
      </c>
      <c r="C416" s="1" t="n">
        <v>45907</v>
      </c>
      <c r="D416" t="inlineStr">
        <is>
          <t>GOTLANDS LÄN</t>
        </is>
      </c>
      <c r="E416" t="inlineStr">
        <is>
          <t>GOTLAND</t>
        </is>
      </c>
      <c r="G416" t="n">
        <v>4.9</v>
      </c>
      <c r="H416" t="n">
        <v>0</v>
      </c>
      <c r="I416" t="n">
        <v>0</v>
      </c>
      <c r="J416" t="n">
        <v>0</v>
      </c>
      <c r="K416" t="n">
        <v>0</v>
      </c>
      <c r="L416" t="n">
        <v>0</v>
      </c>
      <c r="M416" t="n">
        <v>0</v>
      </c>
      <c r="N416" t="n">
        <v>0</v>
      </c>
      <c r="O416" t="n">
        <v>0</v>
      </c>
      <c r="P416" t="n">
        <v>0</v>
      </c>
      <c r="Q416" t="n">
        <v>0</v>
      </c>
      <c r="R416" s="2" t="inlineStr"/>
    </row>
    <row r="417" ht="15" customHeight="1">
      <c r="A417" t="inlineStr">
        <is>
          <t>A 33011-2025</t>
        </is>
      </c>
      <c r="B417" s="1" t="n">
        <v>45840</v>
      </c>
      <c r="C417" s="1" t="n">
        <v>45907</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20855-2023</t>
        </is>
      </c>
      <c r="B418" s="1" t="n">
        <v>45058.82172453704</v>
      </c>
      <c r="C418" s="1" t="n">
        <v>45907</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38649-2025</t>
        </is>
      </c>
      <c r="B419" s="1" t="n">
        <v>45884</v>
      </c>
      <c r="C419" s="1" t="n">
        <v>45907</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45907</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39278-2025</t>
        </is>
      </c>
      <c r="B421" s="1" t="n">
        <v>45889</v>
      </c>
      <c r="C421" s="1" t="n">
        <v>45907</v>
      </c>
      <c r="D421" t="inlineStr">
        <is>
          <t>GOTLANDS LÄN</t>
        </is>
      </c>
      <c r="E421" t="inlineStr">
        <is>
          <t>GOTLAND</t>
        </is>
      </c>
      <c r="G421" t="n">
        <v>3.7</v>
      </c>
      <c r="H421" t="n">
        <v>0</v>
      </c>
      <c r="I421" t="n">
        <v>0</v>
      </c>
      <c r="J421" t="n">
        <v>0</v>
      </c>
      <c r="K421" t="n">
        <v>0</v>
      </c>
      <c r="L421" t="n">
        <v>0</v>
      </c>
      <c r="M421" t="n">
        <v>0</v>
      </c>
      <c r="N421" t="n">
        <v>0</v>
      </c>
      <c r="O421" t="n">
        <v>0</v>
      </c>
      <c r="P421" t="n">
        <v>0</v>
      </c>
      <c r="Q421" t="n">
        <v>0</v>
      </c>
      <c r="R421" s="2" t="inlineStr"/>
    </row>
    <row r="422" ht="15" customHeight="1">
      <c r="A422" t="inlineStr">
        <is>
          <t>A 46396-2023</t>
        </is>
      </c>
      <c r="B422" s="1" t="n">
        <v>45197</v>
      </c>
      <c r="C422" s="1" t="n">
        <v>45907</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58388-2022</t>
        </is>
      </c>
      <c r="B423" s="1" t="n">
        <v>44894</v>
      </c>
      <c r="C423" s="1" t="n">
        <v>45907</v>
      </c>
      <c r="D423" t="inlineStr">
        <is>
          <t>GOTLANDS LÄN</t>
        </is>
      </c>
      <c r="E423" t="inlineStr">
        <is>
          <t>GOTLAND</t>
        </is>
      </c>
      <c r="F423" t="inlineStr">
        <is>
          <t>Övriga statliga verk och myndigheter</t>
        </is>
      </c>
      <c r="G423" t="n">
        <v>3.1</v>
      </c>
      <c r="H423" t="n">
        <v>0</v>
      </c>
      <c r="I423" t="n">
        <v>0</v>
      </c>
      <c r="J423" t="n">
        <v>0</v>
      </c>
      <c r="K423" t="n">
        <v>0</v>
      </c>
      <c r="L423" t="n">
        <v>0</v>
      </c>
      <c r="M423" t="n">
        <v>0</v>
      </c>
      <c r="N423" t="n">
        <v>0</v>
      </c>
      <c r="O423" t="n">
        <v>0</v>
      </c>
      <c r="P423" t="n">
        <v>0</v>
      </c>
      <c r="Q423" t="n">
        <v>0</v>
      </c>
      <c r="R423" s="2" t="inlineStr"/>
    </row>
    <row r="424" ht="15" customHeight="1">
      <c r="A424" t="inlineStr">
        <is>
          <t>A 60709-2023</t>
        </is>
      </c>
      <c r="B424" s="1" t="n">
        <v>45260</v>
      </c>
      <c r="C424" s="1" t="n">
        <v>45907</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39814-2025</t>
        </is>
      </c>
      <c r="B425" s="1" t="n">
        <v>45891.52694444444</v>
      </c>
      <c r="C425" s="1" t="n">
        <v>45907</v>
      </c>
      <c r="D425" t="inlineStr">
        <is>
          <t>GOTLANDS LÄN</t>
        </is>
      </c>
      <c r="E425" t="inlineStr">
        <is>
          <t>GOTLAND</t>
        </is>
      </c>
      <c r="G425" t="n">
        <v>4.5</v>
      </c>
      <c r="H425" t="n">
        <v>0</v>
      </c>
      <c r="I425" t="n">
        <v>0</v>
      </c>
      <c r="J425" t="n">
        <v>0</v>
      </c>
      <c r="K425" t="n">
        <v>0</v>
      </c>
      <c r="L425" t="n">
        <v>0</v>
      </c>
      <c r="M425" t="n">
        <v>0</v>
      </c>
      <c r="N425" t="n">
        <v>0</v>
      </c>
      <c r="O425" t="n">
        <v>0</v>
      </c>
      <c r="P425" t="n">
        <v>0</v>
      </c>
      <c r="Q425" t="n">
        <v>0</v>
      </c>
      <c r="R425" s="2" t="inlineStr"/>
    </row>
    <row r="426" ht="15" customHeight="1">
      <c r="A426" t="inlineStr">
        <is>
          <t>A 1000-2024</t>
        </is>
      </c>
      <c r="B426" s="1" t="n">
        <v>45301.63371527778</v>
      </c>
      <c r="C426" s="1" t="n">
        <v>45907</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1010-2024</t>
        </is>
      </c>
      <c r="B427" s="1" t="n">
        <v>45301</v>
      </c>
      <c r="C427" s="1" t="n">
        <v>45907</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39849-2025</t>
        </is>
      </c>
      <c r="B428" s="1" t="n">
        <v>45891.58502314815</v>
      </c>
      <c r="C428" s="1" t="n">
        <v>45907</v>
      </c>
      <c r="D428" t="inlineStr">
        <is>
          <t>GOTLANDS LÄN</t>
        </is>
      </c>
      <c r="E428" t="inlineStr">
        <is>
          <t>GOTLAND</t>
        </is>
      </c>
      <c r="G428" t="n">
        <v>6.1</v>
      </c>
      <c r="H428" t="n">
        <v>0</v>
      </c>
      <c r="I428" t="n">
        <v>0</v>
      </c>
      <c r="J428" t="n">
        <v>0</v>
      </c>
      <c r="K428" t="n">
        <v>0</v>
      </c>
      <c r="L428" t="n">
        <v>0</v>
      </c>
      <c r="M428" t="n">
        <v>0</v>
      </c>
      <c r="N428" t="n">
        <v>0</v>
      </c>
      <c r="O428" t="n">
        <v>0</v>
      </c>
      <c r="P428" t="n">
        <v>0</v>
      </c>
      <c r="Q428" t="n">
        <v>0</v>
      </c>
      <c r="R428" s="2" t="inlineStr"/>
    </row>
    <row r="429" ht="15" customHeight="1">
      <c r="A429" t="inlineStr">
        <is>
          <t>A 65249-2023</t>
        </is>
      </c>
      <c r="B429" s="1" t="n">
        <v>45290</v>
      </c>
      <c r="C429" s="1" t="n">
        <v>45907</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15413-2025</t>
        </is>
      </c>
      <c r="B430" s="1" t="n">
        <v>45747.451875</v>
      </c>
      <c r="C430" s="1" t="n">
        <v>45907</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39819-2025</t>
        </is>
      </c>
      <c r="B431" s="1" t="n">
        <v>45891.53418981482</v>
      </c>
      <c r="C431" s="1" t="n">
        <v>45907</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35096-2025</t>
        </is>
      </c>
      <c r="B432" s="1" t="n">
        <v>45852.54356481481</v>
      </c>
      <c r="C432" s="1" t="n">
        <v>45907</v>
      </c>
      <c r="D432" t="inlineStr">
        <is>
          <t>GOTLANDS LÄN</t>
        </is>
      </c>
      <c r="E432" t="inlineStr">
        <is>
          <t>GOTLAND</t>
        </is>
      </c>
      <c r="F432" t="inlineStr">
        <is>
          <t>Kyrkan</t>
        </is>
      </c>
      <c r="G432" t="n">
        <v>1</v>
      </c>
      <c r="H432" t="n">
        <v>0</v>
      </c>
      <c r="I432" t="n">
        <v>0</v>
      </c>
      <c r="J432" t="n">
        <v>0</v>
      </c>
      <c r="K432" t="n">
        <v>0</v>
      </c>
      <c r="L432" t="n">
        <v>0</v>
      </c>
      <c r="M432" t="n">
        <v>0</v>
      </c>
      <c r="N432" t="n">
        <v>0</v>
      </c>
      <c r="O432" t="n">
        <v>0</v>
      </c>
      <c r="P432" t="n">
        <v>0</v>
      </c>
      <c r="Q432" t="n">
        <v>0</v>
      </c>
      <c r="R432" s="2" t="inlineStr"/>
    </row>
    <row r="433" ht="15" customHeight="1">
      <c r="A433" t="inlineStr">
        <is>
          <t>A 35133-2025</t>
        </is>
      </c>
      <c r="B433" s="1" t="n">
        <v>45852.6363425926</v>
      </c>
      <c r="C433" s="1" t="n">
        <v>45907</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39752-2025</t>
        </is>
      </c>
      <c r="B434" s="1" t="n">
        <v>45891</v>
      </c>
      <c r="C434" s="1" t="n">
        <v>45907</v>
      </c>
      <c r="D434" t="inlineStr">
        <is>
          <t>GOTLANDS LÄN</t>
        </is>
      </c>
      <c r="E434" t="inlineStr">
        <is>
          <t>GOTLAND</t>
        </is>
      </c>
      <c r="G434" t="n">
        <v>5.3</v>
      </c>
      <c r="H434" t="n">
        <v>0</v>
      </c>
      <c r="I434" t="n">
        <v>0</v>
      </c>
      <c r="J434" t="n">
        <v>0</v>
      </c>
      <c r="K434" t="n">
        <v>0</v>
      </c>
      <c r="L434" t="n">
        <v>0</v>
      </c>
      <c r="M434" t="n">
        <v>0</v>
      </c>
      <c r="N434" t="n">
        <v>0</v>
      </c>
      <c r="O434" t="n">
        <v>0</v>
      </c>
      <c r="P434" t="n">
        <v>0</v>
      </c>
      <c r="Q434" t="n">
        <v>0</v>
      </c>
      <c r="R434" s="2" t="inlineStr"/>
    </row>
    <row r="435" ht="15" customHeight="1">
      <c r="A435" t="inlineStr">
        <is>
          <t>A 35123-2025</t>
        </is>
      </c>
      <c r="B435" s="1" t="n">
        <v>45852.614375</v>
      </c>
      <c r="C435" s="1" t="n">
        <v>45907</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35129-2025</t>
        </is>
      </c>
      <c r="B436" s="1" t="n">
        <v>45852.63224537037</v>
      </c>
      <c r="C436" s="1" t="n">
        <v>45907</v>
      </c>
      <c r="D436" t="inlineStr">
        <is>
          <t>GOTLANDS LÄN</t>
        </is>
      </c>
      <c r="E436" t="inlineStr">
        <is>
          <t>GOTLAND</t>
        </is>
      </c>
      <c r="G436" t="n">
        <v>3.2</v>
      </c>
      <c r="H436" t="n">
        <v>0</v>
      </c>
      <c r="I436" t="n">
        <v>0</v>
      </c>
      <c r="J436" t="n">
        <v>0</v>
      </c>
      <c r="K436" t="n">
        <v>0</v>
      </c>
      <c r="L436" t="n">
        <v>0</v>
      </c>
      <c r="M436" t="n">
        <v>0</v>
      </c>
      <c r="N436" t="n">
        <v>0</v>
      </c>
      <c r="O436" t="n">
        <v>0</v>
      </c>
      <c r="P436" t="n">
        <v>0</v>
      </c>
      <c r="Q436" t="n">
        <v>0</v>
      </c>
      <c r="R436" s="2" t="inlineStr"/>
    </row>
    <row r="437" ht="15" customHeight="1">
      <c r="A437" t="inlineStr">
        <is>
          <t>A 35142-2025</t>
        </is>
      </c>
      <c r="B437" s="1" t="n">
        <v>45852.65532407408</v>
      </c>
      <c r="C437" s="1" t="n">
        <v>45907</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35141-2025</t>
        </is>
      </c>
      <c r="B438" s="1" t="n">
        <v>45852.65206018519</v>
      </c>
      <c r="C438" s="1" t="n">
        <v>45907</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30956-2024</t>
        </is>
      </c>
      <c r="B439" s="1" t="n">
        <v>45499.42527777778</v>
      </c>
      <c r="C439" s="1" t="n">
        <v>45907</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40372-2025</t>
        </is>
      </c>
      <c r="B440" s="1" t="n">
        <v>45895.5162037037</v>
      </c>
      <c r="C440" s="1" t="n">
        <v>45907</v>
      </c>
      <c r="D440" t="inlineStr">
        <is>
          <t>GOTLANDS LÄN</t>
        </is>
      </c>
      <c r="E440" t="inlineStr">
        <is>
          <t>GOTLAND</t>
        </is>
      </c>
      <c r="G440" t="n">
        <v>3.3</v>
      </c>
      <c r="H440" t="n">
        <v>0</v>
      </c>
      <c r="I440" t="n">
        <v>0</v>
      </c>
      <c r="J440" t="n">
        <v>0</v>
      </c>
      <c r="K440" t="n">
        <v>0</v>
      </c>
      <c r="L440" t="n">
        <v>0</v>
      </c>
      <c r="M440" t="n">
        <v>0</v>
      </c>
      <c r="N440" t="n">
        <v>0</v>
      </c>
      <c r="O440" t="n">
        <v>0</v>
      </c>
      <c r="P440" t="n">
        <v>0</v>
      </c>
      <c r="Q440" t="n">
        <v>0</v>
      </c>
      <c r="R440" s="2" t="inlineStr"/>
    </row>
    <row r="441" ht="15" customHeight="1">
      <c r="A441" t="inlineStr">
        <is>
          <t>A 40373-2025</t>
        </is>
      </c>
      <c r="B441" s="1" t="n">
        <v>45895.51821759259</v>
      </c>
      <c r="C441" s="1" t="n">
        <v>45907</v>
      </c>
      <c r="D441" t="inlineStr">
        <is>
          <t>GOTLANDS LÄN</t>
        </is>
      </c>
      <c r="E441" t="inlineStr">
        <is>
          <t>GOTLAND</t>
        </is>
      </c>
      <c r="G441" t="n">
        <v>0.6</v>
      </c>
      <c r="H441" t="n">
        <v>0</v>
      </c>
      <c r="I441" t="n">
        <v>0</v>
      </c>
      <c r="J441" t="n">
        <v>0</v>
      </c>
      <c r="K441" t="n">
        <v>0</v>
      </c>
      <c r="L441" t="n">
        <v>0</v>
      </c>
      <c r="M441" t="n">
        <v>0</v>
      </c>
      <c r="N441" t="n">
        <v>0</v>
      </c>
      <c r="O441" t="n">
        <v>0</v>
      </c>
      <c r="P441" t="n">
        <v>0</v>
      </c>
      <c r="Q441" t="n">
        <v>0</v>
      </c>
      <c r="R441" s="2" t="inlineStr"/>
    </row>
    <row r="442" ht="15" customHeight="1">
      <c r="A442" t="inlineStr">
        <is>
          <t>A 40103-2025</t>
        </is>
      </c>
      <c r="B442" s="1" t="n">
        <v>45894.4880324074</v>
      </c>
      <c r="C442" s="1" t="n">
        <v>45907</v>
      </c>
      <c r="D442" t="inlineStr">
        <is>
          <t>GOTLANDS LÄN</t>
        </is>
      </c>
      <c r="E442" t="inlineStr">
        <is>
          <t>GOTLAND</t>
        </is>
      </c>
      <c r="G442" t="n">
        <v>0.9</v>
      </c>
      <c r="H442" t="n">
        <v>0</v>
      </c>
      <c r="I442" t="n">
        <v>0</v>
      </c>
      <c r="J442" t="n">
        <v>0</v>
      </c>
      <c r="K442" t="n">
        <v>0</v>
      </c>
      <c r="L442" t="n">
        <v>0</v>
      </c>
      <c r="M442" t="n">
        <v>0</v>
      </c>
      <c r="N442" t="n">
        <v>0</v>
      </c>
      <c r="O442" t="n">
        <v>0</v>
      </c>
      <c r="P442" t="n">
        <v>0</v>
      </c>
      <c r="Q442" t="n">
        <v>0</v>
      </c>
      <c r="R442" s="2" t="inlineStr"/>
    </row>
    <row r="443" ht="15" customHeight="1">
      <c r="A443" t="inlineStr">
        <is>
          <t>A 39816-2025</t>
        </is>
      </c>
      <c r="B443" s="1" t="n">
        <v>45891</v>
      </c>
      <c r="C443" s="1" t="n">
        <v>45907</v>
      </c>
      <c r="D443" t="inlineStr">
        <is>
          <t>GOTLANDS LÄN</t>
        </is>
      </c>
      <c r="E443" t="inlineStr">
        <is>
          <t>GOTLAND</t>
        </is>
      </c>
      <c r="G443" t="n">
        <v>0.9</v>
      </c>
      <c r="H443" t="n">
        <v>0</v>
      </c>
      <c r="I443" t="n">
        <v>0</v>
      </c>
      <c r="J443" t="n">
        <v>0</v>
      </c>
      <c r="K443" t="n">
        <v>0</v>
      </c>
      <c r="L443" t="n">
        <v>0</v>
      </c>
      <c r="M443" t="n">
        <v>0</v>
      </c>
      <c r="N443" t="n">
        <v>0</v>
      </c>
      <c r="O443" t="n">
        <v>0</v>
      </c>
      <c r="P443" t="n">
        <v>0</v>
      </c>
      <c r="Q443" t="n">
        <v>0</v>
      </c>
      <c r="R443" s="2" t="inlineStr"/>
    </row>
    <row r="444" ht="15" customHeight="1">
      <c r="A444" t="inlineStr">
        <is>
          <t>A 35290-2025</t>
        </is>
      </c>
      <c r="B444" s="1" t="n">
        <v>45854.38502314815</v>
      </c>
      <c r="C444" s="1" t="n">
        <v>45907</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55334-2024</t>
        </is>
      </c>
      <c r="B445" s="1" t="n">
        <v>45621</v>
      </c>
      <c r="C445" s="1" t="n">
        <v>45907</v>
      </c>
      <c r="D445" t="inlineStr">
        <is>
          <t>GOTLANDS LÄN</t>
        </is>
      </c>
      <c r="E445" t="inlineStr">
        <is>
          <t>GOTLAND</t>
        </is>
      </c>
      <c r="G445" t="n">
        <v>21.7</v>
      </c>
      <c r="H445" t="n">
        <v>0</v>
      </c>
      <c r="I445" t="n">
        <v>0</v>
      </c>
      <c r="J445" t="n">
        <v>0</v>
      </c>
      <c r="K445" t="n">
        <v>0</v>
      </c>
      <c r="L445" t="n">
        <v>0</v>
      </c>
      <c r="M445" t="n">
        <v>0</v>
      </c>
      <c r="N445" t="n">
        <v>0</v>
      </c>
      <c r="O445" t="n">
        <v>0</v>
      </c>
      <c r="P445" t="n">
        <v>0</v>
      </c>
      <c r="Q445" t="n">
        <v>0</v>
      </c>
      <c r="R445" s="2" t="inlineStr"/>
    </row>
    <row r="446" ht="15" customHeight="1">
      <c r="A446" t="inlineStr">
        <is>
          <t>A 30104-2025</t>
        </is>
      </c>
      <c r="B446" s="1" t="n">
        <v>45826.68806712963</v>
      </c>
      <c r="C446" s="1" t="n">
        <v>45907</v>
      </c>
      <c r="D446" t="inlineStr">
        <is>
          <t>GOTLANDS LÄN</t>
        </is>
      </c>
      <c r="E446" t="inlineStr">
        <is>
          <t>GOTLAND</t>
        </is>
      </c>
      <c r="G446" t="n">
        <v>15.4</v>
      </c>
      <c r="H446" t="n">
        <v>0</v>
      </c>
      <c r="I446" t="n">
        <v>0</v>
      </c>
      <c r="J446" t="n">
        <v>0</v>
      </c>
      <c r="K446" t="n">
        <v>0</v>
      </c>
      <c r="L446" t="n">
        <v>0</v>
      </c>
      <c r="M446" t="n">
        <v>0</v>
      </c>
      <c r="N446" t="n">
        <v>0</v>
      </c>
      <c r="O446" t="n">
        <v>0</v>
      </c>
      <c r="P446" t="n">
        <v>0</v>
      </c>
      <c r="Q446" t="n">
        <v>0</v>
      </c>
      <c r="R446" s="2" t="inlineStr"/>
    </row>
    <row r="447" ht="15" customHeight="1">
      <c r="A447" t="inlineStr">
        <is>
          <t>A 40499-2025</t>
        </is>
      </c>
      <c r="B447" s="1" t="n">
        <v>45896.32517361111</v>
      </c>
      <c r="C447" s="1" t="n">
        <v>45907</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32669-2024</t>
        </is>
      </c>
      <c r="B448" s="1" t="n">
        <v>45514</v>
      </c>
      <c r="C448" s="1" t="n">
        <v>45907</v>
      </c>
      <c r="D448" t="inlineStr">
        <is>
          <t>GOTLANDS LÄN</t>
        </is>
      </c>
      <c r="E448" t="inlineStr">
        <is>
          <t>GOTLAND</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12596-2023</t>
        </is>
      </c>
      <c r="B449" s="1" t="n">
        <v>45000.43310185185</v>
      </c>
      <c r="C449" s="1" t="n">
        <v>45907</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41551-2025</t>
        </is>
      </c>
      <c r="B450" s="1" t="n">
        <v>45901.58854166666</v>
      </c>
      <c r="C450" s="1" t="n">
        <v>45907</v>
      </c>
      <c r="D450" t="inlineStr">
        <is>
          <t>GOTLANDS LÄN</t>
        </is>
      </c>
      <c r="E450" t="inlineStr">
        <is>
          <t>GOTLAND</t>
        </is>
      </c>
      <c r="G450" t="n">
        <v>5.6</v>
      </c>
      <c r="H450" t="n">
        <v>0</v>
      </c>
      <c r="I450" t="n">
        <v>0</v>
      </c>
      <c r="J450" t="n">
        <v>0</v>
      </c>
      <c r="K450" t="n">
        <v>0</v>
      </c>
      <c r="L450" t="n">
        <v>0</v>
      </c>
      <c r="M450" t="n">
        <v>0</v>
      </c>
      <c r="N450" t="n">
        <v>0</v>
      </c>
      <c r="O450" t="n">
        <v>0</v>
      </c>
      <c r="P450" t="n">
        <v>0</v>
      </c>
      <c r="Q450" t="n">
        <v>0</v>
      </c>
      <c r="R450" s="2" t="inlineStr"/>
    </row>
    <row r="451" ht="15" customHeight="1">
      <c r="A451" t="inlineStr">
        <is>
          <t>A 35550-2025</t>
        </is>
      </c>
      <c r="B451" s="1" t="n">
        <v>45856.49324074074</v>
      </c>
      <c r="C451" s="1" t="n">
        <v>45907</v>
      </c>
      <c r="D451" t="inlineStr">
        <is>
          <t>GOTLANDS LÄN</t>
        </is>
      </c>
      <c r="E451" t="inlineStr">
        <is>
          <t>GOTLAND</t>
        </is>
      </c>
      <c r="G451" t="n">
        <v>3.2</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45907</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40235-2025</t>
        </is>
      </c>
      <c r="B453" s="1" t="n">
        <v>45894.74005787037</v>
      </c>
      <c r="C453" s="1" t="n">
        <v>45907</v>
      </c>
      <c r="D453" t="inlineStr">
        <is>
          <t>GOTLANDS LÄN</t>
        </is>
      </c>
      <c r="E453" t="inlineStr">
        <is>
          <t>GOTLAND</t>
        </is>
      </c>
      <c r="G453" t="n">
        <v>10.6</v>
      </c>
      <c r="H453" t="n">
        <v>0</v>
      </c>
      <c r="I453" t="n">
        <v>0</v>
      </c>
      <c r="J453" t="n">
        <v>0</v>
      </c>
      <c r="K453" t="n">
        <v>0</v>
      </c>
      <c r="L453" t="n">
        <v>0</v>
      </c>
      <c r="M453" t="n">
        <v>0</v>
      </c>
      <c r="N453" t="n">
        <v>0</v>
      </c>
      <c r="O453" t="n">
        <v>0</v>
      </c>
      <c r="P453" t="n">
        <v>0</v>
      </c>
      <c r="Q453" t="n">
        <v>0</v>
      </c>
      <c r="R453" s="2" t="inlineStr"/>
    </row>
    <row r="454" ht="15" customHeight="1">
      <c r="A454" t="inlineStr">
        <is>
          <t>A 35537-2025</t>
        </is>
      </c>
      <c r="B454" s="1" t="n">
        <v>45856</v>
      </c>
      <c r="C454" s="1" t="n">
        <v>45907</v>
      </c>
      <c r="D454" t="inlineStr">
        <is>
          <t>GOTLANDS LÄN</t>
        </is>
      </c>
      <c r="E454" t="inlineStr">
        <is>
          <t>GOTLAND</t>
        </is>
      </c>
      <c r="G454" t="n">
        <v>16.8</v>
      </c>
      <c r="H454" t="n">
        <v>0</v>
      </c>
      <c r="I454" t="n">
        <v>0</v>
      </c>
      <c r="J454" t="n">
        <v>0</v>
      </c>
      <c r="K454" t="n">
        <v>0</v>
      </c>
      <c r="L454" t="n">
        <v>0</v>
      </c>
      <c r="M454" t="n">
        <v>0</v>
      </c>
      <c r="N454" t="n">
        <v>0</v>
      </c>
      <c r="O454" t="n">
        <v>0</v>
      </c>
      <c r="P454" t="n">
        <v>0</v>
      </c>
      <c r="Q454" t="n">
        <v>0</v>
      </c>
      <c r="R454" s="2" t="inlineStr"/>
    </row>
    <row r="455" ht="15" customHeight="1">
      <c r="A455" t="inlineStr">
        <is>
          <t>A 41435-2025</t>
        </is>
      </c>
      <c r="B455" s="1" t="n">
        <v>45901.39974537037</v>
      </c>
      <c r="C455" s="1" t="n">
        <v>45907</v>
      </c>
      <c r="D455" t="inlineStr">
        <is>
          <t>GOTLANDS LÄN</t>
        </is>
      </c>
      <c r="E455" t="inlineStr">
        <is>
          <t>GOTLAND</t>
        </is>
      </c>
      <c r="G455" t="n">
        <v>4.9</v>
      </c>
      <c r="H455" t="n">
        <v>0</v>
      </c>
      <c r="I455" t="n">
        <v>0</v>
      </c>
      <c r="J455" t="n">
        <v>0</v>
      </c>
      <c r="K455" t="n">
        <v>0</v>
      </c>
      <c r="L455" t="n">
        <v>0</v>
      </c>
      <c r="M455" t="n">
        <v>0</v>
      </c>
      <c r="N455" t="n">
        <v>0</v>
      </c>
      <c r="O455" t="n">
        <v>0</v>
      </c>
      <c r="P455" t="n">
        <v>0</v>
      </c>
      <c r="Q455" t="n">
        <v>0</v>
      </c>
      <c r="R455" s="2" t="inlineStr"/>
    </row>
    <row r="456" ht="15" customHeight="1">
      <c r="A456" t="inlineStr">
        <is>
          <t>A 36319-2025</t>
        </is>
      </c>
      <c r="B456" s="1" t="n">
        <v>45868.38543981482</v>
      </c>
      <c r="C456" s="1" t="n">
        <v>45907</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53934-2024</t>
        </is>
      </c>
      <c r="B457" s="1" t="n">
        <v>45615</v>
      </c>
      <c r="C457" s="1" t="n">
        <v>45907</v>
      </c>
      <c r="D457" t="inlineStr">
        <is>
          <t>GOTLANDS LÄN</t>
        </is>
      </c>
      <c r="E457" t="inlineStr">
        <is>
          <t>GOTLAND</t>
        </is>
      </c>
      <c r="G457" t="n">
        <v>5</v>
      </c>
      <c r="H457" t="n">
        <v>0</v>
      </c>
      <c r="I457" t="n">
        <v>0</v>
      </c>
      <c r="J457" t="n">
        <v>0</v>
      </c>
      <c r="K457" t="n">
        <v>0</v>
      </c>
      <c r="L457" t="n">
        <v>0</v>
      </c>
      <c r="M457" t="n">
        <v>0</v>
      </c>
      <c r="N457" t="n">
        <v>0</v>
      </c>
      <c r="O457" t="n">
        <v>0</v>
      </c>
      <c r="P457" t="n">
        <v>0</v>
      </c>
      <c r="Q457" t="n">
        <v>0</v>
      </c>
      <c r="R457" s="2" t="inlineStr"/>
    </row>
    <row r="458" ht="15" customHeight="1">
      <c r="A458" t="inlineStr">
        <is>
          <t>A 58132-2023</t>
        </is>
      </c>
      <c r="B458" s="1" t="n">
        <v>45250</v>
      </c>
      <c r="C458" s="1" t="n">
        <v>45907</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999-2024</t>
        </is>
      </c>
      <c r="B459" s="1" t="n">
        <v>45301</v>
      </c>
      <c r="C459" s="1" t="n">
        <v>45907</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65901-2021</t>
        </is>
      </c>
      <c r="B460" s="1" t="n">
        <v>44516</v>
      </c>
      <c r="C460" s="1" t="n">
        <v>45907</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22899-2023</t>
        </is>
      </c>
      <c r="B461" s="1" t="n">
        <v>45072</v>
      </c>
      <c r="C461" s="1" t="n">
        <v>45907</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47762-2023</t>
        </is>
      </c>
      <c r="B462" s="1" t="n">
        <v>45203.86256944444</v>
      </c>
      <c r="C462" s="1" t="n">
        <v>45907</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28285-2024</t>
        </is>
      </c>
      <c r="B463" s="1" t="n">
        <v>45477</v>
      </c>
      <c r="C463" s="1" t="n">
        <v>45907</v>
      </c>
      <c r="D463" t="inlineStr">
        <is>
          <t>GOTLANDS LÄN</t>
        </is>
      </c>
      <c r="E463" t="inlineStr">
        <is>
          <t>GOTLAND</t>
        </is>
      </c>
      <c r="G463" t="n">
        <v>1.6</v>
      </c>
      <c r="H463" t="n">
        <v>0</v>
      </c>
      <c r="I463" t="n">
        <v>0</v>
      </c>
      <c r="J463" t="n">
        <v>0</v>
      </c>
      <c r="K463" t="n">
        <v>0</v>
      </c>
      <c r="L463" t="n">
        <v>0</v>
      </c>
      <c r="M463" t="n">
        <v>0</v>
      </c>
      <c r="N463" t="n">
        <v>0</v>
      </c>
      <c r="O463" t="n">
        <v>0</v>
      </c>
      <c r="P463" t="n">
        <v>0</v>
      </c>
      <c r="Q463" t="n">
        <v>0</v>
      </c>
      <c r="R463" s="2" t="inlineStr"/>
    </row>
    <row r="464" ht="15" customHeight="1">
      <c r="A464" t="inlineStr">
        <is>
          <t>A 42607-2025</t>
        </is>
      </c>
      <c r="B464" s="1" t="n">
        <v>45905</v>
      </c>
      <c r="C464" s="1" t="n">
        <v>45907</v>
      </c>
      <c r="D464" t="inlineStr">
        <is>
          <t>GOTLANDS LÄN</t>
        </is>
      </c>
      <c r="E464" t="inlineStr">
        <is>
          <t>GOTLAND</t>
        </is>
      </c>
      <c r="G464" t="n">
        <v>15.8</v>
      </c>
      <c r="H464" t="n">
        <v>0</v>
      </c>
      <c r="I464" t="n">
        <v>0</v>
      </c>
      <c r="J464" t="n">
        <v>0</v>
      </c>
      <c r="K464" t="n">
        <v>0</v>
      </c>
      <c r="L464" t="n">
        <v>0</v>
      </c>
      <c r="M464" t="n">
        <v>0</v>
      </c>
      <c r="N464" t="n">
        <v>0</v>
      </c>
      <c r="O464" t="n">
        <v>0</v>
      </c>
      <c r="P464" t="n">
        <v>0</v>
      </c>
      <c r="Q464" t="n">
        <v>0</v>
      </c>
      <c r="R464" s="2" t="inlineStr"/>
    </row>
    <row r="465" ht="15" customHeight="1">
      <c r="A465" t="inlineStr">
        <is>
          <t>A 42608-2025</t>
        </is>
      </c>
      <c r="B465" s="1" t="n">
        <v>45905</v>
      </c>
      <c r="C465" s="1" t="n">
        <v>45907</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51963-2024</t>
        </is>
      </c>
      <c r="B466" s="1" t="n">
        <v>45607.64833333333</v>
      </c>
      <c r="C466" s="1" t="n">
        <v>45907</v>
      </c>
      <c r="D466" t="inlineStr">
        <is>
          <t>GOTLANDS LÄN</t>
        </is>
      </c>
      <c r="E466" t="inlineStr">
        <is>
          <t>GOTLAND</t>
        </is>
      </c>
      <c r="G466" t="n">
        <v>2.4</v>
      </c>
      <c r="H466" t="n">
        <v>0</v>
      </c>
      <c r="I466" t="n">
        <v>0</v>
      </c>
      <c r="J466" t="n">
        <v>0</v>
      </c>
      <c r="K466" t="n">
        <v>0</v>
      </c>
      <c r="L466" t="n">
        <v>0</v>
      </c>
      <c r="M466" t="n">
        <v>0</v>
      </c>
      <c r="N466" t="n">
        <v>0</v>
      </c>
      <c r="O466" t="n">
        <v>0</v>
      </c>
      <c r="P466" t="n">
        <v>0</v>
      </c>
      <c r="Q466" t="n">
        <v>0</v>
      </c>
      <c r="R466" s="2" t="inlineStr"/>
    </row>
    <row r="467" ht="15" customHeight="1">
      <c r="A467" t="inlineStr">
        <is>
          <t>A 40294-2022</t>
        </is>
      </c>
      <c r="B467" s="1" t="n">
        <v>44821</v>
      </c>
      <c r="C467" s="1" t="n">
        <v>45907</v>
      </c>
      <c r="D467" t="inlineStr">
        <is>
          <t>GOTLANDS LÄN</t>
        </is>
      </c>
      <c r="E467" t="inlineStr">
        <is>
          <t>GOTLAND</t>
        </is>
      </c>
      <c r="G467" t="n">
        <v>1.6</v>
      </c>
      <c r="H467" t="n">
        <v>0</v>
      </c>
      <c r="I467" t="n">
        <v>0</v>
      </c>
      <c r="J467" t="n">
        <v>0</v>
      </c>
      <c r="K467" t="n">
        <v>0</v>
      </c>
      <c r="L467" t="n">
        <v>0</v>
      </c>
      <c r="M467" t="n">
        <v>0</v>
      </c>
      <c r="N467" t="n">
        <v>0</v>
      </c>
      <c r="O467" t="n">
        <v>0</v>
      </c>
      <c r="P467" t="n">
        <v>0</v>
      </c>
      <c r="Q467" t="n">
        <v>0</v>
      </c>
      <c r="R467" s="2" t="inlineStr"/>
    </row>
    <row r="468" ht="15" customHeight="1">
      <c r="A468" t="inlineStr">
        <is>
          <t>A 27602-2023</t>
        </is>
      </c>
      <c r="B468" s="1" t="n">
        <v>45097</v>
      </c>
      <c r="C468" s="1" t="n">
        <v>45907</v>
      </c>
      <c r="D468" t="inlineStr">
        <is>
          <t>GOTLANDS LÄN</t>
        </is>
      </c>
      <c r="E468" t="inlineStr">
        <is>
          <t>GOTLAND</t>
        </is>
      </c>
      <c r="G468" t="n">
        <v>2.7</v>
      </c>
      <c r="H468" t="n">
        <v>0</v>
      </c>
      <c r="I468" t="n">
        <v>0</v>
      </c>
      <c r="J468" t="n">
        <v>0</v>
      </c>
      <c r="K468" t="n">
        <v>0</v>
      </c>
      <c r="L468" t="n">
        <v>0</v>
      </c>
      <c r="M468" t="n">
        <v>0</v>
      </c>
      <c r="N468" t="n">
        <v>0</v>
      </c>
      <c r="O468" t="n">
        <v>0</v>
      </c>
      <c r="P468" t="n">
        <v>0</v>
      </c>
      <c r="Q468" t="n">
        <v>0</v>
      </c>
      <c r="R468" s="2" t="inlineStr"/>
    </row>
    <row r="469" ht="15" customHeight="1">
      <c r="A469" t="inlineStr">
        <is>
          <t>A 58780-2024</t>
        </is>
      </c>
      <c r="B469" s="1" t="n">
        <v>45635.84113425926</v>
      </c>
      <c r="C469" s="1" t="n">
        <v>45907</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12322-2025</t>
        </is>
      </c>
      <c r="B470" s="1" t="n">
        <v>45730</v>
      </c>
      <c r="C470" s="1" t="n">
        <v>45907</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1734-2025</t>
        </is>
      </c>
      <c r="B471" s="1" t="n">
        <v>45671.3840625</v>
      </c>
      <c r="C471" s="1" t="n">
        <v>45907</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30365-2024</t>
        </is>
      </c>
      <c r="B472" s="1" t="n">
        <v>45491.3716087963</v>
      </c>
      <c r="C472" s="1" t="n">
        <v>45907</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46778-2020</t>
        </is>
      </c>
      <c r="B473" s="1" t="n">
        <v>44096</v>
      </c>
      <c r="C473" s="1" t="n">
        <v>45907</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24192-2023</t>
        </is>
      </c>
      <c r="B474" s="1" t="n">
        <v>45079</v>
      </c>
      <c r="C474" s="1" t="n">
        <v>45907</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30282-2022</t>
        </is>
      </c>
      <c r="B475" s="1" t="n">
        <v>44760</v>
      </c>
      <c r="C475" s="1" t="n">
        <v>45907</v>
      </c>
      <c r="D475" t="inlineStr">
        <is>
          <t>GOTLANDS LÄN</t>
        </is>
      </c>
      <c r="E475" t="inlineStr">
        <is>
          <t>GOTLAND</t>
        </is>
      </c>
      <c r="G475" t="n">
        <v>2.6</v>
      </c>
      <c r="H475" t="n">
        <v>0</v>
      </c>
      <c r="I475" t="n">
        <v>0</v>
      </c>
      <c r="J475" t="n">
        <v>0</v>
      </c>
      <c r="K475" t="n">
        <v>0</v>
      </c>
      <c r="L475" t="n">
        <v>0</v>
      </c>
      <c r="M475" t="n">
        <v>0</v>
      </c>
      <c r="N475" t="n">
        <v>0</v>
      </c>
      <c r="O475" t="n">
        <v>0</v>
      </c>
      <c r="P475" t="n">
        <v>0</v>
      </c>
      <c r="Q475" t="n">
        <v>0</v>
      </c>
      <c r="R475" s="2" t="inlineStr"/>
    </row>
    <row r="476" ht="15" customHeight="1">
      <c r="A476" t="inlineStr">
        <is>
          <t>A 2674-2023</t>
        </is>
      </c>
      <c r="B476" s="1" t="n">
        <v>44944</v>
      </c>
      <c r="C476" s="1" t="n">
        <v>45907</v>
      </c>
      <c r="D476" t="inlineStr">
        <is>
          <t>GOTLANDS LÄN</t>
        </is>
      </c>
      <c r="E476" t="inlineStr">
        <is>
          <t>GOTLAND</t>
        </is>
      </c>
      <c r="G476" t="n">
        <v>2.5</v>
      </c>
      <c r="H476" t="n">
        <v>0</v>
      </c>
      <c r="I476" t="n">
        <v>0</v>
      </c>
      <c r="J476" t="n">
        <v>0</v>
      </c>
      <c r="K476" t="n">
        <v>0</v>
      </c>
      <c r="L476" t="n">
        <v>0</v>
      </c>
      <c r="M476" t="n">
        <v>0</v>
      </c>
      <c r="N476" t="n">
        <v>0</v>
      </c>
      <c r="O476" t="n">
        <v>0</v>
      </c>
      <c r="P476" t="n">
        <v>0</v>
      </c>
      <c r="Q476" t="n">
        <v>0</v>
      </c>
      <c r="R476" s="2" t="inlineStr"/>
    </row>
    <row r="477" ht="15" customHeight="1">
      <c r="A477" t="inlineStr">
        <is>
          <t>A 14915-2025</t>
        </is>
      </c>
      <c r="B477" s="1" t="n">
        <v>45743.53121527778</v>
      </c>
      <c r="C477" s="1" t="n">
        <v>45907</v>
      </c>
      <c r="D477" t="inlineStr">
        <is>
          <t>GOTLANDS LÄN</t>
        </is>
      </c>
      <c r="E477" t="inlineStr">
        <is>
          <t>GOTLAND</t>
        </is>
      </c>
      <c r="G477" t="n">
        <v>5.9</v>
      </c>
      <c r="H477" t="n">
        <v>0</v>
      </c>
      <c r="I477" t="n">
        <v>0</v>
      </c>
      <c r="J477" t="n">
        <v>0</v>
      </c>
      <c r="K477" t="n">
        <v>0</v>
      </c>
      <c r="L477" t="n">
        <v>0</v>
      </c>
      <c r="M477" t="n">
        <v>0</v>
      </c>
      <c r="N477" t="n">
        <v>0</v>
      </c>
      <c r="O477" t="n">
        <v>0</v>
      </c>
      <c r="P477" t="n">
        <v>0</v>
      </c>
      <c r="Q477" t="n">
        <v>0</v>
      </c>
      <c r="R477" s="2" t="inlineStr"/>
    </row>
    <row r="478" ht="15" customHeight="1">
      <c r="A478" t="inlineStr">
        <is>
          <t>A 61100-2022</t>
        </is>
      </c>
      <c r="B478" s="1" t="n">
        <v>44915</v>
      </c>
      <c r="C478" s="1" t="n">
        <v>45907</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7835-2024</t>
        </is>
      </c>
      <c r="B479" s="1" t="n">
        <v>45349.83138888889</v>
      </c>
      <c r="C479" s="1" t="n">
        <v>45907</v>
      </c>
      <c r="D479" t="inlineStr">
        <is>
          <t>GOTLANDS LÄN</t>
        </is>
      </c>
      <c r="E479" t="inlineStr">
        <is>
          <t>GOTLAND</t>
        </is>
      </c>
      <c r="G479" t="n">
        <v>3.8</v>
      </c>
      <c r="H479" t="n">
        <v>0</v>
      </c>
      <c r="I479" t="n">
        <v>0</v>
      </c>
      <c r="J479" t="n">
        <v>0</v>
      </c>
      <c r="K479" t="n">
        <v>0</v>
      </c>
      <c r="L479" t="n">
        <v>0</v>
      </c>
      <c r="M479" t="n">
        <v>0</v>
      </c>
      <c r="N479" t="n">
        <v>0</v>
      </c>
      <c r="O479" t="n">
        <v>0</v>
      </c>
      <c r="P479" t="n">
        <v>0</v>
      </c>
      <c r="Q479" t="n">
        <v>0</v>
      </c>
      <c r="R479" s="2" t="inlineStr"/>
    </row>
    <row r="480" ht="15" customHeight="1">
      <c r="A480" t="inlineStr">
        <is>
          <t>A 43785-2024</t>
        </is>
      </c>
      <c r="B480" s="1" t="n">
        <v>45570</v>
      </c>
      <c r="C480" s="1" t="n">
        <v>45907</v>
      </c>
      <c r="D480" t="inlineStr">
        <is>
          <t>GOTLANDS LÄN</t>
        </is>
      </c>
      <c r="E480" t="inlineStr">
        <is>
          <t>GOTLAND</t>
        </is>
      </c>
      <c r="G480" t="n">
        <v>12.6</v>
      </c>
      <c r="H480" t="n">
        <v>0</v>
      </c>
      <c r="I480" t="n">
        <v>0</v>
      </c>
      <c r="J480" t="n">
        <v>0</v>
      </c>
      <c r="K480" t="n">
        <v>0</v>
      </c>
      <c r="L480" t="n">
        <v>0</v>
      </c>
      <c r="M480" t="n">
        <v>0</v>
      </c>
      <c r="N480" t="n">
        <v>0</v>
      </c>
      <c r="O480" t="n">
        <v>0</v>
      </c>
      <c r="P480" t="n">
        <v>0</v>
      </c>
      <c r="Q480" t="n">
        <v>0</v>
      </c>
      <c r="R480" s="2" t="inlineStr"/>
    </row>
    <row r="481" ht="15" customHeight="1">
      <c r="A481" t="inlineStr">
        <is>
          <t>A 43790-2024</t>
        </is>
      </c>
      <c r="B481" s="1" t="n">
        <v>45571</v>
      </c>
      <c r="C481" s="1" t="n">
        <v>45907</v>
      </c>
      <c r="D481" t="inlineStr">
        <is>
          <t>GOTLANDS LÄN</t>
        </is>
      </c>
      <c r="E481" t="inlineStr">
        <is>
          <t>GOTLAND</t>
        </is>
      </c>
      <c r="G481" t="n">
        <v>3.5</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44624.57945601852</v>
      </c>
      <c r="C482" s="1" t="n">
        <v>45907</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581-2023</t>
        </is>
      </c>
      <c r="B483" s="1" t="n">
        <v>44930</v>
      </c>
      <c r="C483" s="1" t="n">
        <v>45907</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26810-2021</t>
        </is>
      </c>
      <c r="B484" s="1" t="n">
        <v>44349.55087962963</v>
      </c>
      <c r="C484" s="1" t="n">
        <v>45907</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10655-2023</t>
        </is>
      </c>
      <c r="B485" s="1" t="n">
        <v>44988.49543981482</v>
      </c>
      <c r="C485" s="1" t="n">
        <v>45907</v>
      </c>
      <c r="D485" t="inlineStr">
        <is>
          <t>GOTLANDS LÄN</t>
        </is>
      </c>
      <c r="E485" t="inlineStr">
        <is>
          <t>GOTLAND</t>
        </is>
      </c>
      <c r="F485" t="inlineStr">
        <is>
          <t>Kyrkan</t>
        </is>
      </c>
      <c r="G485" t="n">
        <v>2</v>
      </c>
      <c r="H485" t="n">
        <v>0</v>
      </c>
      <c r="I485" t="n">
        <v>0</v>
      </c>
      <c r="J485" t="n">
        <v>0</v>
      </c>
      <c r="K485" t="n">
        <v>0</v>
      </c>
      <c r="L485" t="n">
        <v>0</v>
      </c>
      <c r="M485" t="n">
        <v>0</v>
      </c>
      <c r="N485" t="n">
        <v>0</v>
      </c>
      <c r="O485" t="n">
        <v>0</v>
      </c>
      <c r="P485" t="n">
        <v>0</v>
      </c>
      <c r="Q485" t="n">
        <v>0</v>
      </c>
      <c r="R485" s="2" t="inlineStr"/>
    </row>
    <row r="486" ht="15" customHeight="1">
      <c r="A486" t="inlineStr">
        <is>
          <t>A 44649-2021</t>
        </is>
      </c>
      <c r="B486" s="1" t="n">
        <v>44437</v>
      </c>
      <c r="C486" s="1" t="n">
        <v>45907</v>
      </c>
      <c r="D486" t="inlineStr">
        <is>
          <t>GOTLANDS LÄN</t>
        </is>
      </c>
      <c r="E486" t="inlineStr">
        <is>
          <t>GOTLAND</t>
        </is>
      </c>
      <c r="G486" t="n">
        <v>8.1</v>
      </c>
      <c r="H486" t="n">
        <v>0</v>
      </c>
      <c r="I486" t="n">
        <v>0</v>
      </c>
      <c r="J486" t="n">
        <v>0</v>
      </c>
      <c r="K486" t="n">
        <v>0</v>
      </c>
      <c r="L486" t="n">
        <v>0</v>
      </c>
      <c r="M486" t="n">
        <v>0</v>
      </c>
      <c r="N486" t="n">
        <v>0</v>
      </c>
      <c r="O486" t="n">
        <v>0</v>
      </c>
      <c r="P486" t="n">
        <v>0</v>
      </c>
      <c r="Q486" t="n">
        <v>0</v>
      </c>
      <c r="R486" s="2" t="inlineStr"/>
    </row>
    <row r="487" ht="15" customHeight="1">
      <c r="A487" t="inlineStr">
        <is>
          <t>A 28425-2023</t>
        </is>
      </c>
      <c r="B487" s="1" t="n">
        <v>45102</v>
      </c>
      <c r="C487" s="1" t="n">
        <v>45907</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8484-2025</t>
        </is>
      </c>
      <c r="B488" s="1" t="n">
        <v>45709</v>
      </c>
      <c r="C488" s="1" t="n">
        <v>45907</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13037-2025</t>
        </is>
      </c>
      <c r="B489" s="1" t="n">
        <v>45734</v>
      </c>
      <c r="C489" s="1" t="n">
        <v>45907</v>
      </c>
      <c r="D489" t="inlineStr">
        <is>
          <t>GOTLANDS LÄN</t>
        </is>
      </c>
      <c r="E489" t="inlineStr">
        <is>
          <t>GOTLAND</t>
        </is>
      </c>
      <c r="G489" t="n">
        <v>9.5</v>
      </c>
      <c r="H489" t="n">
        <v>0</v>
      </c>
      <c r="I489" t="n">
        <v>0</v>
      </c>
      <c r="J489" t="n">
        <v>0</v>
      </c>
      <c r="K489" t="n">
        <v>0</v>
      </c>
      <c r="L489" t="n">
        <v>0</v>
      </c>
      <c r="M489" t="n">
        <v>0</v>
      </c>
      <c r="N489" t="n">
        <v>0</v>
      </c>
      <c r="O489" t="n">
        <v>0</v>
      </c>
      <c r="P489" t="n">
        <v>0</v>
      </c>
      <c r="Q489" t="n">
        <v>0</v>
      </c>
      <c r="R489" s="2" t="inlineStr"/>
    </row>
    <row r="490" ht="15" customHeight="1">
      <c r="A490" t="inlineStr">
        <is>
          <t>A 49962-2023</t>
        </is>
      </c>
      <c r="B490" s="1" t="n">
        <v>45215.38775462963</v>
      </c>
      <c r="C490" s="1" t="n">
        <v>45907</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37591-2023</t>
        </is>
      </c>
      <c r="B491" s="1" t="n">
        <v>45159</v>
      </c>
      <c r="C491" s="1" t="n">
        <v>45907</v>
      </c>
      <c r="D491" t="inlineStr">
        <is>
          <t>GOTLANDS LÄN</t>
        </is>
      </c>
      <c r="E491" t="inlineStr">
        <is>
          <t>GOTLAND</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10746-2025</t>
        </is>
      </c>
      <c r="B492" s="1" t="n">
        <v>45722.42766203704</v>
      </c>
      <c r="C492" s="1" t="n">
        <v>45907</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50744-2024</t>
        </is>
      </c>
      <c r="B493" s="1" t="n">
        <v>45602.4187037037</v>
      </c>
      <c r="C493" s="1" t="n">
        <v>45907</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43229-2023</t>
        </is>
      </c>
      <c r="B494" s="1" t="n">
        <v>45183.46704861111</v>
      </c>
      <c r="C494" s="1" t="n">
        <v>45907</v>
      </c>
      <c r="D494" t="inlineStr">
        <is>
          <t>GOTLANDS LÄN</t>
        </is>
      </c>
      <c r="E494" t="inlineStr">
        <is>
          <t>GOTLAND</t>
        </is>
      </c>
      <c r="G494" t="n">
        <v>7.1</v>
      </c>
      <c r="H494" t="n">
        <v>0</v>
      </c>
      <c r="I494" t="n">
        <v>0</v>
      </c>
      <c r="J494" t="n">
        <v>0</v>
      </c>
      <c r="K494" t="n">
        <v>0</v>
      </c>
      <c r="L494" t="n">
        <v>0</v>
      </c>
      <c r="M494" t="n">
        <v>0</v>
      </c>
      <c r="N494" t="n">
        <v>0</v>
      </c>
      <c r="O494" t="n">
        <v>0</v>
      </c>
      <c r="P494" t="n">
        <v>0</v>
      </c>
      <c r="Q494" t="n">
        <v>0</v>
      </c>
      <c r="R494" s="2" t="inlineStr"/>
    </row>
    <row r="495" ht="15" customHeight="1">
      <c r="A495" t="inlineStr">
        <is>
          <t>A 3930-2025</t>
        </is>
      </c>
      <c r="B495" s="1" t="n">
        <v>45684.45427083333</v>
      </c>
      <c r="C495" s="1" t="n">
        <v>45907</v>
      </c>
      <c r="D495" t="inlineStr">
        <is>
          <t>GOTLANDS LÄN</t>
        </is>
      </c>
      <c r="E495" t="inlineStr">
        <is>
          <t>GOTLAND</t>
        </is>
      </c>
      <c r="G495" t="n">
        <v>5.2</v>
      </c>
      <c r="H495" t="n">
        <v>0</v>
      </c>
      <c r="I495" t="n">
        <v>0</v>
      </c>
      <c r="J495" t="n">
        <v>0</v>
      </c>
      <c r="K495" t="n">
        <v>0</v>
      </c>
      <c r="L495" t="n">
        <v>0</v>
      </c>
      <c r="M495" t="n">
        <v>0</v>
      </c>
      <c r="N495" t="n">
        <v>0</v>
      </c>
      <c r="O495" t="n">
        <v>0</v>
      </c>
      <c r="P495" t="n">
        <v>0</v>
      </c>
      <c r="Q495" t="n">
        <v>0</v>
      </c>
      <c r="R495" s="2" t="inlineStr"/>
    </row>
    <row r="496" ht="15" customHeight="1">
      <c r="A496" t="inlineStr">
        <is>
          <t>A 41038-2023</t>
        </is>
      </c>
      <c r="B496" s="1" t="n">
        <v>45173.60959490741</v>
      </c>
      <c r="C496" s="1" t="n">
        <v>45907</v>
      </c>
      <c r="D496" t="inlineStr">
        <is>
          <t>GOTLANDS LÄN</t>
        </is>
      </c>
      <c r="E496" t="inlineStr">
        <is>
          <t>GOTLAND</t>
        </is>
      </c>
      <c r="G496" t="n">
        <v>2.7</v>
      </c>
      <c r="H496" t="n">
        <v>0</v>
      </c>
      <c r="I496" t="n">
        <v>0</v>
      </c>
      <c r="J496" t="n">
        <v>0</v>
      </c>
      <c r="K496" t="n">
        <v>0</v>
      </c>
      <c r="L496" t="n">
        <v>0</v>
      </c>
      <c r="M496" t="n">
        <v>0</v>
      </c>
      <c r="N496" t="n">
        <v>0</v>
      </c>
      <c r="O496" t="n">
        <v>0</v>
      </c>
      <c r="P496" t="n">
        <v>0</v>
      </c>
      <c r="Q496" t="n">
        <v>0</v>
      </c>
      <c r="R496" s="2" t="inlineStr"/>
    </row>
    <row r="497" ht="15" customHeight="1">
      <c r="A497" t="inlineStr">
        <is>
          <t>A 45244-2024</t>
        </is>
      </c>
      <c r="B497" s="1" t="n">
        <v>45576</v>
      </c>
      <c r="C497" s="1" t="n">
        <v>45907</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38787-2023</t>
        </is>
      </c>
      <c r="B498" s="1" t="n">
        <v>45163</v>
      </c>
      <c r="C498" s="1" t="n">
        <v>45907</v>
      </c>
      <c r="D498" t="inlineStr">
        <is>
          <t>GOTLANDS LÄN</t>
        </is>
      </c>
      <c r="E498" t="inlineStr">
        <is>
          <t>GOTLAND</t>
        </is>
      </c>
      <c r="G498" t="n">
        <v>0.4</v>
      </c>
      <c r="H498" t="n">
        <v>0</v>
      </c>
      <c r="I498" t="n">
        <v>0</v>
      </c>
      <c r="J498" t="n">
        <v>0</v>
      </c>
      <c r="K498" t="n">
        <v>0</v>
      </c>
      <c r="L498" t="n">
        <v>0</v>
      </c>
      <c r="M498" t="n">
        <v>0</v>
      </c>
      <c r="N498" t="n">
        <v>0</v>
      </c>
      <c r="O498" t="n">
        <v>0</v>
      </c>
      <c r="P498" t="n">
        <v>0</v>
      </c>
      <c r="Q498" t="n">
        <v>0</v>
      </c>
      <c r="R498" s="2" t="inlineStr"/>
    </row>
    <row r="499" ht="15" customHeight="1">
      <c r="A499" t="inlineStr">
        <is>
          <t>A 2714-2023</t>
        </is>
      </c>
      <c r="B499" s="1" t="n">
        <v>44944.54896990741</v>
      </c>
      <c r="C499" s="1" t="n">
        <v>45907</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22897-2023</t>
        </is>
      </c>
      <c r="B500" s="1" t="n">
        <v>45072.55239583334</v>
      </c>
      <c r="C500" s="1" t="n">
        <v>45907</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34142-2024</t>
        </is>
      </c>
      <c r="B501" s="1" t="n">
        <v>45524.36521990741</v>
      </c>
      <c r="C501" s="1" t="n">
        <v>45907</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4568-2025</t>
        </is>
      </c>
      <c r="B502" s="1" t="n">
        <v>45687</v>
      </c>
      <c r="C502" s="1" t="n">
        <v>45907</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1681-2023</t>
        </is>
      </c>
      <c r="B503" s="1" t="n">
        <v>44938.39715277778</v>
      </c>
      <c r="C503" s="1" t="n">
        <v>45907</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1713-2025</t>
        </is>
      </c>
      <c r="B504" s="1" t="n">
        <v>45671.32342592593</v>
      </c>
      <c r="C504" s="1" t="n">
        <v>45907</v>
      </c>
      <c r="D504" t="inlineStr">
        <is>
          <t>GOTLANDS LÄN</t>
        </is>
      </c>
      <c r="E504" t="inlineStr">
        <is>
          <t>GOTLAND</t>
        </is>
      </c>
      <c r="G504" t="n">
        <v>10.1</v>
      </c>
      <c r="H504" t="n">
        <v>0</v>
      </c>
      <c r="I504" t="n">
        <v>0</v>
      </c>
      <c r="J504" t="n">
        <v>0</v>
      </c>
      <c r="K504" t="n">
        <v>0</v>
      </c>
      <c r="L504" t="n">
        <v>0</v>
      </c>
      <c r="M504" t="n">
        <v>0</v>
      </c>
      <c r="N504" t="n">
        <v>0</v>
      </c>
      <c r="O504" t="n">
        <v>0</v>
      </c>
      <c r="P504" t="n">
        <v>0</v>
      </c>
      <c r="Q504" t="n">
        <v>0</v>
      </c>
      <c r="R504" s="2" t="inlineStr"/>
    </row>
    <row r="505" ht="15" customHeight="1">
      <c r="A505" t="inlineStr">
        <is>
          <t>A 42338-2023</t>
        </is>
      </c>
      <c r="B505" s="1" t="n">
        <v>45180</v>
      </c>
      <c r="C505" s="1" t="n">
        <v>45907</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18918-2025</t>
        </is>
      </c>
      <c r="B506" s="1" t="n">
        <v>45764</v>
      </c>
      <c r="C506" s="1" t="n">
        <v>45907</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45907</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24966-2023</t>
        </is>
      </c>
      <c r="B508" s="1" t="n">
        <v>45085</v>
      </c>
      <c r="C508" s="1" t="n">
        <v>45907</v>
      </c>
      <c r="D508" t="inlineStr">
        <is>
          <t>GOTLANDS LÄN</t>
        </is>
      </c>
      <c r="E508" t="inlineStr">
        <is>
          <t>GOTLAND</t>
        </is>
      </c>
      <c r="G508" t="n">
        <v>7</v>
      </c>
      <c r="H508" t="n">
        <v>0</v>
      </c>
      <c r="I508" t="n">
        <v>0</v>
      </c>
      <c r="J508" t="n">
        <v>0</v>
      </c>
      <c r="K508" t="n">
        <v>0</v>
      </c>
      <c r="L508" t="n">
        <v>0</v>
      </c>
      <c r="M508" t="n">
        <v>0</v>
      </c>
      <c r="N508" t="n">
        <v>0</v>
      </c>
      <c r="O508" t="n">
        <v>0</v>
      </c>
      <c r="P508" t="n">
        <v>0</v>
      </c>
      <c r="Q508" t="n">
        <v>0</v>
      </c>
      <c r="R508" s="2" t="inlineStr"/>
    </row>
    <row r="509" ht="15" customHeight="1">
      <c r="A509" t="inlineStr">
        <is>
          <t>A 45084-2024</t>
        </is>
      </c>
      <c r="B509" s="1" t="n">
        <v>45575</v>
      </c>
      <c r="C509" s="1" t="n">
        <v>45907</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57652-2023</t>
        </is>
      </c>
      <c r="B510" s="1" t="n">
        <v>45246</v>
      </c>
      <c r="C510" s="1" t="n">
        <v>45907</v>
      </c>
      <c r="D510" t="inlineStr">
        <is>
          <t>GOTLANDS LÄN</t>
        </is>
      </c>
      <c r="E510" t="inlineStr">
        <is>
          <t>GOTLAND</t>
        </is>
      </c>
      <c r="G510" t="n">
        <v>7.2</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45907</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46189-2022</t>
        </is>
      </c>
      <c r="B512" s="1" t="n">
        <v>44847</v>
      </c>
      <c r="C512" s="1" t="n">
        <v>45907</v>
      </c>
      <c r="D512" t="inlineStr">
        <is>
          <t>GOTLANDS LÄN</t>
        </is>
      </c>
      <c r="E512" t="inlineStr">
        <is>
          <t>GOTLAND</t>
        </is>
      </c>
      <c r="G512" t="n">
        <v>0.4</v>
      </c>
      <c r="H512" t="n">
        <v>0</v>
      </c>
      <c r="I512" t="n">
        <v>0</v>
      </c>
      <c r="J512" t="n">
        <v>0</v>
      </c>
      <c r="K512" t="n">
        <v>0</v>
      </c>
      <c r="L512" t="n">
        <v>0</v>
      </c>
      <c r="M512" t="n">
        <v>0</v>
      </c>
      <c r="N512" t="n">
        <v>0</v>
      </c>
      <c r="O512" t="n">
        <v>0</v>
      </c>
      <c r="P512" t="n">
        <v>0</v>
      </c>
      <c r="Q512" t="n">
        <v>0</v>
      </c>
      <c r="R512" s="2" t="inlineStr"/>
    </row>
    <row r="513" ht="15" customHeight="1">
      <c r="A513" t="inlineStr">
        <is>
          <t>A 4868-2024</t>
        </is>
      </c>
      <c r="B513" s="1" t="n">
        <v>45329</v>
      </c>
      <c r="C513" s="1" t="n">
        <v>45907</v>
      </c>
      <c r="D513" t="inlineStr">
        <is>
          <t>GOTLANDS LÄN</t>
        </is>
      </c>
      <c r="E513" t="inlineStr">
        <is>
          <t>GOTLAND</t>
        </is>
      </c>
      <c r="G513" t="n">
        <v>7.1</v>
      </c>
      <c r="H513" t="n">
        <v>0</v>
      </c>
      <c r="I513" t="n">
        <v>0</v>
      </c>
      <c r="J513" t="n">
        <v>0</v>
      </c>
      <c r="K513" t="n">
        <v>0</v>
      </c>
      <c r="L513" t="n">
        <v>0</v>
      </c>
      <c r="M513" t="n">
        <v>0</v>
      </c>
      <c r="N513" t="n">
        <v>0</v>
      </c>
      <c r="O513" t="n">
        <v>0</v>
      </c>
      <c r="P513" t="n">
        <v>0</v>
      </c>
      <c r="Q513" t="n">
        <v>0</v>
      </c>
      <c r="R513" s="2" t="inlineStr"/>
    </row>
    <row r="514" ht="15" customHeight="1">
      <c r="A514" t="inlineStr">
        <is>
          <t>A 57522-2022</t>
        </is>
      </c>
      <c r="B514" s="1" t="n">
        <v>44896</v>
      </c>
      <c r="C514" s="1" t="n">
        <v>45907</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9613-2025</t>
        </is>
      </c>
      <c r="B515" s="1" t="n">
        <v>45715</v>
      </c>
      <c r="C515" s="1" t="n">
        <v>45907</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14797-2024</t>
        </is>
      </c>
      <c r="B516" s="1" t="n">
        <v>45397.87030092593</v>
      </c>
      <c r="C516" s="1" t="n">
        <v>45907</v>
      </c>
      <c r="D516" t="inlineStr">
        <is>
          <t>GOTLANDS LÄN</t>
        </is>
      </c>
      <c r="E516" t="inlineStr">
        <is>
          <t>GOTLAND</t>
        </is>
      </c>
      <c r="G516" t="n">
        <v>8.1</v>
      </c>
      <c r="H516" t="n">
        <v>0</v>
      </c>
      <c r="I516" t="n">
        <v>0</v>
      </c>
      <c r="J516" t="n">
        <v>0</v>
      </c>
      <c r="K516" t="n">
        <v>0</v>
      </c>
      <c r="L516" t="n">
        <v>0</v>
      </c>
      <c r="M516" t="n">
        <v>0</v>
      </c>
      <c r="N516" t="n">
        <v>0</v>
      </c>
      <c r="O516" t="n">
        <v>0</v>
      </c>
      <c r="P516" t="n">
        <v>0</v>
      </c>
      <c r="Q516" t="n">
        <v>0</v>
      </c>
      <c r="R516" s="2" t="inlineStr"/>
    </row>
    <row r="517" ht="15" customHeight="1">
      <c r="A517" t="inlineStr">
        <is>
          <t>A 5386-2023</t>
        </is>
      </c>
      <c r="B517" s="1" t="n">
        <v>44959</v>
      </c>
      <c r="C517" s="1" t="n">
        <v>45907</v>
      </c>
      <c r="D517" t="inlineStr">
        <is>
          <t>GOTLANDS LÄN</t>
        </is>
      </c>
      <c r="E517" t="inlineStr">
        <is>
          <t>GOTLAND</t>
        </is>
      </c>
      <c r="G517" t="n">
        <v>5.4</v>
      </c>
      <c r="H517" t="n">
        <v>0</v>
      </c>
      <c r="I517" t="n">
        <v>0</v>
      </c>
      <c r="J517" t="n">
        <v>0</v>
      </c>
      <c r="K517" t="n">
        <v>0</v>
      </c>
      <c r="L517" t="n">
        <v>0</v>
      </c>
      <c r="M517" t="n">
        <v>0</v>
      </c>
      <c r="N517" t="n">
        <v>0</v>
      </c>
      <c r="O517" t="n">
        <v>0</v>
      </c>
      <c r="P517" t="n">
        <v>0</v>
      </c>
      <c r="Q517" t="n">
        <v>0</v>
      </c>
      <c r="R517" s="2" t="inlineStr"/>
    </row>
    <row r="518" ht="15" customHeight="1">
      <c r="A518" t="inlineStr">
        <is>
          <t>A 58211-2024</t>
        </is>
      </c>
      <c r="B518" s="1" t="n">
        <v>45632.49292824074</v>
      </c>
      <c r="C518" s="1" t="n">
        <v>45907</v>
      </c>
      <c r="D518" t="inlineStr">
        <is>
          <t>GOTLANDS LÄN</t>
        </is>
      </c>
      <c r="E518" t="inlineStr">
        <is>
          <t>GOTLAND</t>
        </is>
      </c>
      <c r="G518" t="n">
        <v>5.4</v>
      </c>
      <c r="H518" t="n">
        <v>0</v>
      </c>
      <c r="I518" t="n">
        <v>0</v>
      </c>
      <c r="J518" t="n">
        <v>0</v>
      </c>
      <c r="K518" t="n">
        <v>0</v>
      </c>
      <c r="L518" t="n">
        <v>0</v>
      </c>
      <c r="M518" t="n">
        <v>0</v>
      </c>
      <c r="N518" t="n">
        <v>0</v>
      </c>
      <c r="O518" t="n">
        <v>0</v>
      </c>
      <c r="P518" t="n">
        <v>0</v>
      </c>
      <c r="Q518" t="n">
        <v>0</v>
      </c>
      <c r="R518" s="2" t="inlineStr"/>
    </row>
    <row r="519" ht="15" customHeight="1">
      <c r="A519" t="inlineStr">
        <is>
          <t>A 7837-2024</t>
        </is>
      </c>
      <c r="B519" s="1" t="n">
        <v>45349.83787037037</v>
      </c>
      <c r="C519" s="1" t="n">
        <v>45907</v>
      </c>
      <c r="D519" t="inlineStr">
        <is>
          <t>GOTLANDS LÄN</t>
        </is>
      </c>
      <c r="E519" t="inlineStr">
        <is>
          <t>GOTLAND</t>
        </is>
      </c>
      <c r="G519" t="n">
        <v>5</v>
      </c>
      <c r="H519" t="n">
        <v>0</v>
      </c>
      <c r="I519" t="n">
        <v>0</v>
      </c>
      <c r="J519" t="n">
        <v>0</v>
      </c>
      <c r="K519" t="n">
        <v>0</v>
      </c>
      <c r="L519" t="n">
        <v>0</v>
      </c>
      <c r="M519" t="n">
        <v>0</v>
      </c>
      <c r="N519" t="n">
        <v>0</v>
      </c>
      <c r="O519" t="n">
        <v>0</v>
      </c>
      <c r="P519" t="n">
        <v>0</v>
      </c>
      <c r="Q519" t="n">
        <v>0</v>
      </c>
      <c r="R519" s="2" t="inlineStr"/>
    </row>
    <row r="520" ht="15" customHeight="1">
      <c r="A520" t="inlineStr">
        <is>
          <t>A 11634-2024</t>
        </is>
      </c>
      <c r="B520" s="1" t="n">
        <v>45373</v>
      </c>
      <c r="C520" s="1" t="n">
        <v>45907</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5884-2025</t>
        </is>
      </c>
      <c r="B521" s="1" t="n">
        <v>45695.37482638889</v>
      </c>
      <c r="C521" s="1" t="n">
        <v>45907</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5897-2025</t>
        </is>
      </c>
      <c r="B522" s="1" t="n">
        <v>45695.39273148148</v>
      </c>
      <c r="C522" s="1" t="n">
        <v>45907</v>
      </c>
      <c r="D522" t="inlineStr">
        <is>
          <t>GOTLANDS LÄN</t>
        </is>
      </c>
      <c r="E522" t="inlineStr">
        <is>
          <t>GOTLAND</t>
        </is>
      </c>
      <c r="G522" t="n">
        <v>3.7</v>
      </c>
      <c r="H522" t="n">
        <v>0</v>
      </c>
      <c r="I522" t="n">
        <v>0</v>
      </c>
      <c r="J522" t="n">
        <v>0</v>
      </c>
      <c r="K522" t="n">
        <v>0</v>
      </c>
      <c r="L522" t="n">
        <v>0</v>
      </c>
      <c r="M522" t="n">
        <v>0</v>
      </c>
      <c r="N522" t="n">
        <v>0</v>
      </c>
      <c r="O522" t="n">
        <v>0</v>
      </c>
      <c r="P522" t="n">
        <v>0</v>
      </c>
      <c r="Q522" t="n">
        <v>0</v>
      </c>
      <c r="R522" s="2" t="inlineStr"/>
    </row>
    <row r="523" ht="15" customHeight="1">
      <c r="A523" t="inlineStr">
        <is>
          <t>A 5909-2025</t>
        </is>
      </c>
      <c r="B523" s="1" t="n">
        <v>45695.40634259259</v>
      </c>
      <c r="C523" s="1" t="n">
        <v>45907</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1394-2023</t>
        </is>
      </c>
      <c r="B524" s="1" t="n">
        <v>44936.72997685185</v>
      </c>
      <c r="C524" s="1" t="n">
        <v>45907</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2676-2023</t>
        </is>
      </c>
      <c r="B525" s="1" t="n">
        <v>44944</v>
      </c>
      <c r="C525" s="1" t="n">
        <v>45907</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4387-2023</t>
        </is>
      </c>
      <c r="B526" s="1" t="n">
        <v>44955.73359953704</v>
      </c>
      <c r="C526" s="1" t="n">
        <v>45907</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60086-2022</t>
        </is>
      </c>
      <c r="B527" s="1" t="n">
        <v>44909</v>
      </c>
      <c r="C527" s="1" t="n">
        <v>45907</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22704-2023</t>
        </is>
      </c>
      <c r="B528" s="1" t="n">
        <v>45071</v>
      </c>
      <c r="C528" s="1" t="n">
        <v>45907</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49411-2023</t>
        </is>
      </c>
      <c r="B529" s="1" t="n">
        <v>45205</v>
      </c>
      <c r="C529" s="1" t="n">
        <v>45907</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37728-2024</t>
        </is>
      </c>
      <c r="B530" s="1" t="n">
        <v>45541</v>
      </c>
      <c r="C530" s="1" t="n">
        <v>45907</v>
      </c>
      <c r="D530" t="inlineStr">
        <is>
          <t>GOTLANDS LÄN</t>
        </is>
      </c>
      <c r="E530" t="inlineStr">
        <is>
          <t>GOTLAND</t>
        </is>
      </c>
      <c r="G530" t="n">
        <v>0.4</v>
      </c>
      <c r="H530" t="n">
        <v>0</v>
      </c>
      <c r="I530" t="n">
        <v>0</v>
      </c>
      <c r="J530" t="n">
        <v>0</v>
      </c>
      <c r="K530" t="n">
        <v>0</v>
      </c>
      <c r="L530" t="n">
        <v>0</v>
      </c>
      <c r="M530" t="n">
        <v>0</v>
      </c>
      <c r="N530" t="n">
        <v>0</v>
      </c>
      <c r="O530" t="n">
        <v>0</v>
      </c>
      <c r="P530" t="n">
        <v>0</v>
      </c>
      <c r="Q530" t="n">
        <v>0</v>
      </c>
      <c r="R530" s="2" t="inlineStr"/>
    </row>
    <row r="531" ht="15" customHeight="1">
      <c r="A531" t="inlineStr">
        <is>
          <t>A 13627-2023</t>
        </is>
      </c>
      <c r="B531" s="1" t="n">
        <v>45006</v>
      </c>
      <c r="C531" s="1" t="n">
        <v>45907</v>
      </c>
      <c r="D531" t="inlineStr">
        <is>
          <t>GOTLANDS LÄN</t>
        </is>
      </c>
      <c r="E531" t="inlineStr">
        <is>
          <t>GOTLAND</t>
        </is>
      </c>
      <c r="G531" t="n">
        <v>10.7</v>
      </c>
      <c r="H531" t="n">
        <v>0</v>
      </c>
      <c r="I531" t="n">
        <v>0</v>
      </c>
      <c r="J531" t="n">
        <v>0</v>
      </c>
      <c r="K531" t="n">
        <v>0</v>
      </c>
      <c r="L531" t="n">
        <v>0</v>
      </c>
      <c r="M531" t="n">
        <v>0</v>
      </c>
      <c r="N531" t="n">
        <v>0</v>
      </c>
      <c r="O531" t="n">
        <v>0</v>
      </c>
      <c r="P531" t="n">
        <v>0</v>
      </c>
      <c r="Q531" t="n">
        <v>0</v>
      </c>
      <c r="R531" s="2" t="inlineStr"/>
    </row>
    <row r="532" ht="15" customHeight="1">
      <c r="A532" t="inlineStr">
        <is>
          <t>A 2241-2025</t>
        </is>
      </c>
      <c r="B532" s="1" t="n">
        <v>45673.48710648148</v>
      </c>
      <c r="C532" s="1" t="n">
        <v>45907</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16373-2025</t>
        </is>
      </c>
      <c r="B533" s="1" t="n">
        <v>45751</v>
      </c>
      <c r="C533" s="1" t="n">
        <v>45907</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17847-2025</t>
        </is>
      </c>
      <c r="B534" s="1" t="n">
        <v>45758</v>
      </c>
      <c r="C534" s="1" t="n">
        <v>45907</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25866-2022</t>
        </is>
      </c>
      <c r="B535" s="1" t="n">
        <v>44733</v>
      </c>
      <c r="C535" s="1" t="n">
        <v>45907</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15001-2025</t>
        </is>
      </c>
      <c r="B536" s="1" t="n">
        <v>45743</v>
      </c>
      <c r="C536" s="1" t="n">
        <v>45907</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22275-2023</t>
        </is>
      </c>
      <c r="B537" s="1" t="n">
        <v>45070.39875</v>
      </c>
      <c r="C537" s="1" t="n">
        <v>45907</v>
      </c>
      <c r="D537" t="inlineStr">
        <is>
          <t>GOTLANDS LÄN</t>
        </is>
      </c>
      <c r="E537" t="inlineStr">
        <is>
          <t>GOTLAND</t>
        </is>
      </c>
      <c r="G537" t="n">
        <v>7.2</v>
      </c>
      <c r="H537" t="n">
        <v>0</v>
      </c>
      <c r="I537" t="n">
        <v>0</v>
      </c>
      <c r="J537" t="n">
        <v>0</v>
      </c>
      <c r="K537" t="n">
        <v>0</v>
      </c>
      <c r="L537" t="n">
        <v>0</v>
      </c>
      <c r="M537" t="n">
        <v>0</v>
      </c>
      <c r="N537" t="n">
        <v>0</v>
      </c>
      <c r="O537" t="n">
        <v>0</v>
      </c>
      <c r="P537" t="n">
        <v>0</v>
      </c>
      <c r="Q537" t="n">
        <v>0</v>
      </c>
      <c r="R537" s="2" t="inlineStr"/>
    </row>
    <row r="538" ht="15" customHeight="1">
      <c r="A538" t="inlineStr">
        <is>
          <t>A 14635-2023</t>
        </is>
      </c>
      <c r="B538" s="1" t="n">
        <v>45013.69365740741</v>
      </c>
      <c r="C538" s="1" t="n">
        <v>45907</v>
      </c>
      <c r="D538" t="inlineStr">
        <is>
          <t>GOTLANDS LÄN</t>
        </is>
      </c>
      <c r="E538" t="inlineStr">
        <is>
          <t>GOTLAND</t>
        </is>
      </c>
      <c r="G538" t="n">
        <v>3.1</v>
      </c>
      <c r="H538" t="n">
        <v>0</v>
      </c>
      <c r="I538" t="n">
        <v>0</v>
      </c>
      <c r="J538" t="n">
        <v>0</v>
      </c>
      <c r="K538" t="n">
        <v>0</v>
      </c>
      <c r="L538" t="n">
        <v>0</v>
      </c>
      <c r="M538" t="n">
        <v>0</v>
      </c>
      <c r="N538" t="n">
        <v>0</v>
      </c>
      <c r="O538" t="n">
        <v>0</v>
      </c>
      <c r="P538" t="n">
        <v>0</v>
      </c>
      <c r="Q538" t="n">
        <v>0</v>
      </c>
      <c r="R538" s="2" t="inlineStr"/>
    </row>
    <row r="539" ht="15" customHeight="1">
      <c r="A539" t="inlineStr">
        <is>
          <t>A 63763-2023</t>
        </is>
      </c>
      <c r="B539" s="1" t="n">
        <v>45278.33944444444</v>
      </c>
      <c r="C539" s="1" t="n">
        <v>45907</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9887-2025</t>
        </is>
      </c>
      <c r="B540" s="1" t="n">
        <v>45716</v>
      </c>
      <c r="C540" s="1" t="n">
        <v>45907</v>
      </c>
      <c r="D540" t="inlineStr">
        <is>
          <t>GOTLANDS LÄN</t>
        </is>
      </c>
      <c r="E540" t="inlineStr">
        <is>
          <t>GOTLAND</t>
        </is>
      </c>
      <c r="G540" t="n">
        <v>7.5</v>
      </c>
      <c r="H540" t="n">
        <v>0</v>
      </c>
      <c r="I540" t="n">
        <v>0</v>
      </c>
      <c r="J540" t="n">
        <v>0</v>
      </c>
      <c r="K540" t="n">
        <v>0</v>
      </c>
      <c r="L540" t="n">
        <v>0</v>
      </c>
      <c r="M540" t="n">
        <v>0</v>
      </c>
      <c r="N540" t="n">
        <v>0</v>
      </c>
      <c r="O540" t="n">
        <v>0</v>
      </c>
      <c r="P540" t="n">
        <v>0</v>
      </c>
      <c r="Q540" t="n">
        <v>0</v>
      </c>
      <c r="R540" s="2" t="inlineStr"/>
    </row>
    <row r="541" ht="15" customHeight="1">
      <c r="A541" t="inlineStr">
        <is>
          <t>A 12209-2024</t>
        </is>
      </c>
      <c r="B541" s="1" t="n">
        <v>45378</v>
      </c>
      <c r="C541" s="1" t="n">
        <v>45907</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12210-2024</t>
        </is>
      </c>
      <c r="B542" s="1" t="n">
        <v>45378</v>
      </c>
      <c r="C542" s="1" t="n">
        <v>45907</v>
      </c>
      <c r="D542" t="inlineStr">
        <is>
          <t>GOTLANDS LÄN</t>
        </is>
      </c>
      <c r="E542" t="inlineStr">
        <is>
          <t>GOTLAND</t>
        </is>
      </c>
      <c r="G542" t="n">
        <v>4.1</v>
      </c>
      <c r="H542" t="n">
        <v>0</v>
      </c>
      <c r="I542" t="n">
        <v>0</v>
      </c>
      <c r="J542" t="n">
        <v>0</v>
      </c>
      <c r="K542" t="n">
        <v>0</v>
      </c>
      <c r="L542" t="n">
        <v>0</v>
      </c>
      <c r="M542" t="n">
        <v>0</v>
      </c>
      <c r="N542" t="n">
        <v>0</v>
      </c>
      <c r="O542" t="n">
        <v>0</v>
      </c>
      <c r="P542" t="n">
        <v>0</v>
      </c>
      <c r="Q542" t="n">
        <v>0</v>
      </c>
      <c r="R542" s="2" t="inlineStr"/>
    </row>
    <row r="543" ht="15" customHeight="1">
      <c r="A543" t="inlineStr">
        <is>
          <t>A 7635-2025</t>
        </is>
      </c>
      <c r="B543" s="1" t="n">
        <v>45705</v>
      </c>
      <c r="C543" s="1" t="n">
        <v>45907</v>
      </c>
      <c r="D543" t="inlineStr">
        <is>
          <t>GOTLANDS LÄN</t>
        </is>
      </c>
      <c r="E543" t="inlineStr">
        <is>
          <t>GOTLAND</t>
        </is>
      </c>
      <c r="G543" t="n">
        <v>0.9</v>
      </c>
      <c r="H543" t="n">
        <v>0</v>
      </c>
      <c r="I543" t="n">
        <v>0</v>
      </c>
      <c r="J543" t="n">
        <v>0</v>
      </c>
      <c r="K543" t="n">
        <v>0</v>
      </c>
      <c r="L543" t="n">
        <v>0</v>
      </c>
      <c r="M543" t="n">
        <v>0</v>
      </c>
      <c r="N543" t="n">
        <v>0</v>
      </c>
      <c r="O543" t="n">
        <v>0</v>
      </c>
      <c r="P543" t="n">
        <v>0</v>
      </c>
      <c r="Q543" t="n">
        <v>0</v>
      </c>
      <c r="R543" s="2" t="inlineStr"/>
    </row>
    <row r="544" ht="15" customHeight="1">
      <c r="A544" t="inlineStr">
        <is>
          <t>A 7636-2025</t>
        </is>
      </c>
      <c r="B544" s="1" t="n">
        <v>45705.7687962963</v>
      </c>
      <c r="C544" s="1" t="n">
        <v>45907</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7639-2025</t>
        </is>
      </c>
      <c r="B545" s="1" t="n">
        <v>45705.77465277778</v>
      </c>
      <c r="C545" s="1" t="n">
        <v>45907</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59986-2022</t>
        </is>
      </c>
      <c r="B546" s="1" t="n">
        <v>44909</v>
      </c>
      <c r="C546" s="1" t="n">
        <v>45907</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61682-2024</t>
        </is>
      </c>
      <c r="B547" s="1" t="n">
        <v>45647.48824074074</v>
      </c>
      <c r="C547" s="1" t="n">
        <v>45907</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15434-2024</t>
        </is>
      </c>
      <c r="B548" s="1" t="n">
        <v>45401.38836805556</v>
      </c>
      <c r="C548" s="1" t="n">
        <v>45907</v>
      </c>
      <c r="D548" t="inlineStr">
        <is>
          <t>GOTLANDS LÄN</t>
        </is>
      </c>
      <c r="E548" t="inlineStr">
        <is>
          <t>GOTLAND</t>
        </is>
      </c>
      <c r="G548" t="n">
        <v>2.5</v>
      </c>
      <c r="H548" t="n">
        <v>0</v>
      </c>
      <c r="I548" t="n">
        <v>0</v>
      </c>
      <c r="J548" t="n">
        <v>0</v>
      </c>
      <c r="K548" t="n">
        <v>0</v>
      </c>
      <c r="L548" t="n">
        <v>0</v>
      </c>
      <c r="M548" t="n">
        <v>0</v>
      </c>
      <c r="N548" t="n">
        <v>0</v>
      </c>
      <c r="O548" t="n">
        <v>0</v>
      </c>
      <c r="P548" t="n">
        <v>0</v>
      </c>
      <c r="Q548" t="n">
        <v>0</v>
      </c>
      <c r="R548" s="2" t="inlineStr"/>
    </row>
    <row r="549" ht="15" customHeight="1">
      <c r="A549" t="inlineStr">
        <is>
          <t>A 7034-2023</t>
        </is>
      </c>
      <c r="B549" s="1" t="n">
        <v>44968.32108796296</v>
      </c>
      <c r="C549" s="1" t="n">
        <v>45907</v>
      </c>
      <c r="D549" t="inlineStr">
        <is>
          <t>GOTLANDS LÄN</t>
        </is>
      </c>
      <c r="E549" t="inlineStr">
        <is>
          <t>GOTLAND</t>
        </is>
      </c>
      <c r="G549" t="n">
        <v>1.6</v>
      </c>
      <c r="H549" t="n">
        <v>0</v>
      </c>
      <c r="I549" t="n">
        <v>0</v>
      </c>
      <c r="J549" t="n">
        <v>0</v>
      </c>
      <c r="K549" t="n">
        <v>0</v>
      </c>
      <c r="L549" t="n">
        <v>0</v>
      </c>
      <c r="M549" t="n">
        <v>0</v>
      </c>
      <c r="N549" t="n">
        <v>0</v>
      </c>
      <c r="O549" t="n">
        <v>0</v>
      </c>
      <c r="P549" t="n">
        <v>0</v>
      </c>
      <c r="Q549" t="n">
        <v>0</v>
      </c>
      <c r="R549" s="2" t="inlineStr"/>
    </row>
    <row r="550" ht="15" customHeight="1">
      <c r="A550" t="inlineStr">
        <is>
          <t>A 7042-2023</t>
        </is>
      </c>
      <c r="B550" s="1" t="n">
        <v>44968</v>
      </c>
      <c r="C550" s="1" t="n">
        <v>45907</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2180-2025</t>
        </is>
      </c>
      <c r="B551" s="1" t="n">
        <v>45673</v>
      </c>
      <c r="C551" s="1" t="n">
        <v>45907</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31802-2024</t>
        </is>
      </c>
      <c r="B552" s="1" t="n">
        <v>45509</v>
      </c>
      <c r="C552" s="1" t="n">
        <v>45907</v>
      </c>
      <c r="D552" t="inlineStr">
        <is>
          <t>GOTLANDS LÄN</t>
        </is>
      </c>
      <c r="E552" t="inlineStr">
        <is>
          <t>GOTLAND</t>
        </is>
      </c>
      <c r="G552" t="n">
        <v>2.8</v>
      </c>
      <c r="H552" t="n">
        <v>0</v>
      </c>
      <c r="I552" t="n">
        <v>0</v>
      </c>
      <c r="J552" t="n">
        <v>0</v>
      </c>
      <c r="K552" t="n">
        <v>0</v>
      </c>
      <c r="L552" t="n">
        <v>0</v>
      </c>
      <c r="M552" t="n">
        <v>0</v>
      </c>
      <c r="N552" t="n">
        <v>0</v>
      </c>
      <c r="O552" t="n">
        <v>0</v>
      </c>
      <c r="P552" t="n">
        <v>0</v>
      </c>
      <c r="Q552" t="n">
        <v>0</v>
      </c>
      <c r="R552" s="2" t="inlineStr"/>
    </row>
    <row r="553" ht="15" customHeight="1">
      <c r="A553" t="inlineStr">
        <is>
          <t>A 1728-2025</t>
        </is>
      </c>
      <c r="B553" s="1" t="n">
        <v>45671.3565162037</v>
      </c>
      <c r="C553" s="1" t="n">
        <v>45907</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20993-2023</t>
        </is>
      </c>
      <c r="B554" s="1" t="n">
        <v>45056</v>
      </c>
      <c r="C554" s="1" t="n">
        <v>45907</v>
      </c>
      <c r="D554" t="inlineStr">
        <is>
          <t>GOTLANDS LÄN</t>
        </is>
      </c>
      <c r="E554" t="inlineStr">
        <is>
          <t>GOTLAND</t>
        </is>
      </c>
      <c r="G554" t="n">
        <v>7.1</v>
      </c>
      <c r="H554" t="n">
        <v>0</v>
      </c>
      <c r="I554" t="n">
        <v>0</v>
      </c>
      <c r="J554" t="n">
        <v>0</v>
      </c>
      <c r="K554" t="n">
        <v>0</v>
      </c>
      <c r="L554" t="n">
        <v>0</v>
      </c>
      <c r="M554" t="n">
        <v>0</v>
      </c>
      <c r="N554" t="n">
        <v>0</v>
      </c>
      <c r="O554" t="n">
        <v>0</v>
      </c>
      <c r="P554" t="n">
        <v>0</v>
      </c>
      <c r="Q554" t="n">
        <v>0</v>
      </c>
      <c r="R554" s="2" t="inlineStr"/>
    </row>
    <row r="555" ht="15" customHeight="1">
      <c r="A555" t="inlineStr">
        <is>
          <t>A 15042-2025</t>
        </is>
      </c>
      <c r="B555" s="1" t="n">
        <v>45743</v>
      </c>
      <c r="C555" s="1" t="n">
        <v>45907</v>
      </c>
      <c r="D555" t="inlineStr">
        <is>
          <t>GOTLANDS LÄN</t>
        </is>
      </c>
      <c r="E555" t="inlineStr">
        <is>
          <t>GOTLAND</t>
        </is>
      </c>
      <c r="G555" t="n">
        <v>8.5</v>
      </c>
      <c r="H555" t="n">
        <v>0</v>
      </c>
      <c r="I555" t="n">
        <v>0</v>
      </c>
      <c r="J555" t="n">
        <v>0</v>
      </c>
      <c r="K555" t="n">
        <v>0</v>
      </c>
      <c r="L555" t="n">
        <v>0</v>
      </c>
      <c r="M555" t="n">
        <v>0</v>
      </c>
      <c r="N555" t="n">
        <v>0</v>
      </c>
      <c r="O555" t="n">
        <v>0</v>
      </c>
      <c r="P555" t="n">
        <v>0</v>
      </c>
      <c r="Q555" t="n">
        <v>0</v>
      </c>
      <c r="R555" s="2" t="inlineStr"/>
    </row>
    <row r="556" ht="15" customHeight="1">
      <c r="A556" t="inlineStr">
        <is>
          <t>A 54074-2022</t>
        </is>
      </c>
      <c r="B556" s="1" t="n">
        <v>44881</v>
      </c>
      <c r="C556" s="1" t="n">
        <v>45907</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12327-2025</t>
        </is>
      </c>
      <c r="B557" s="1" t="n">
        <v>45730</v>
      </c>
      <c r="C557" s="1" t="n">
        <v>45907</v>
      </c>
      <c r="D557" t="inlineStr">
        <is>
          <t>GOTLANDS LÄN</t>
        </is>
      </c>
      <c r="E557" t="inlineStr">
        <is>
          <t>GOTLAND</t>
        </is>
      </c>
      <c r="G557" t="n">
        <v>1.8</v>
      </c>
      <c r="H557" t="n">
        <v>0</v>
      </c>
      <c r="I557" t="n">
        <v>0</v>
      </c>
      <c r="J557" t="n">
        <v>0</v>
      </c>
      <c r="K557" t="n">
        <v>0</v>
      </c>
      <c r="L557" t="n">
        <v>0</v>
      </c>
      <c r="M557" t="n">
        <v>0</v>
      </c>
      <c r="N557" t="n">
        <v>0</v>
      </c>
      <c r="O557" t="n">
        <v>0</v>
      </c>
      <c r="P557" t="n">
        <v>0</v>
      </c>
      <c r="Q557" t="n">
        <v>0</v>
      </c>
      <c r="R557" s="2" t="inlineStr"/>
    </row>
    <row r="558" ht="15" customHeight="1">
      <c r="A558" t="inlineStr">
        <is>
          <t>A 4420-2025</t>
        </is>
      </c>
      <c r="B558" s="1" t="n">
        <v>45686.47157407407</v>
      </c>
      <c r="C558" s="1" t="n">
        <v>45907</v>
      </c>
      <c r="D558" t="inlineStr">
        <is>
          <t>GOTLANDS LÄN</t>
        </is>
      </c>
      <c r="E558" t="inlineStr">
        <is>
          <t>GOTLAND</t>
        </is>
      </c>
      <c r="G558" t="n">
        <v>1.6</v>
      </c>
      <c r="H558" t="n">
        <v>0</v>
      </c>
      <c r="I558" t="n">
        <v>0</v>
      </c>
      <c r="J558" t="n">
        <v>0</v>
      </c>
      <c r="K558" t="n">
        <v>0</v>
      </c>
      <c r="L558" t="n">
        <v>0</v>
      </c>
      <c r="M558" t="n">
        <v>0</v>
      </c>
      <c r="N558" t="n">
        <v>0</v>
      </c>
      <c r="O558" t="n">
        <v>0</v>
      </c>
      <c r="P558" t="n">
        <v>0</v>
      </c>
      <c r="Q558" t="n">
        <v>0</v>
      </c>
      <c r="R558" s="2" t="inlineStr"/>
    </row>
    <row r="559" ht="15" customHeight="1">
      <c r="A559" t="inlineStr">
        <is>
          <t>A 61694-2023</t>
        </is>
      </c>
      <c r="B559" s="1" t="n">
        <v>45264</v>
      </c>
      <c r="C559" s="1" t="n">
        <v>45907</v>
      </c>
      <c r="D559" t="inlineStr">
        <is>
          <t>GOTLANDS LÄN</t>
        </is>
      </c>
      <c r="E559" t="inlineStr">
        <is>
          <t>GOTLAND</t>
        </is>
      </c>
      <c r="G559" t="n">
        <v>4.6</v>
      </c>
      <c r="H559" t="n">
        <v>0</v>
      </c>
      <c r="I559" t="n">
        <v>0</v>
      </c>
      <c r="J559" t="n">
        <v>0</v>
      </c>
      <c r="K559" t="n">
        <v>0</v>
      </c>
      <c r="L559" t="n">
        <v>0</v>
      </c>
      <c r="M559" t="n">
        <v>0</v>
      </c>
      <c r="N559" t="n">
        <v>0</v>
      </c>
      <c r="O559" t="n">
        <v>0</v>
      </c>
      <c r="P559" t="n">
        <v>0</v>
      </c>
      <c r="Q559" t="n">
        <v>0</v>
      </c>
      <c r="R559" s="2" t="inlineStr"/>
    </row>
    <row r="560" ht="15" customHeight="1">
      <c r="A560" t="inlineStr">
        <is>
          <t>A 14427-2024</t>
        </is>
      </c>
      <c r="B560" s="1" t="n">
        <v>45394</v>
      </c>
      <c r="C560" s="1" t="n">
        <v>45907</v>
      </c>
      <c r="D560" t="inlineStr">
        <is>
          <t>GOTLANDS LÄN</t>
        </is>
      </c>
      <c r="E560" t="inlineStr">
        <is>
          <t>GOTLAND</t>
        </is>
      </c>
      <c r="G560" t="n">
        <v>1.3</v>
      </c>
      <c r="H560" t="n">
        <v>0</v>
      </c>
      <c r="I560" t="n">
        <v>0</v>
      </c>
      <c r="J560" t="n">
        <v>0</v>
      </c>
      <c r="K560" t="n">
        <v>0</v>
      </c>
      <c r="L560" t="n">
        <v>0</v>
      </c>
      <c r="M560" t="n">
        <v>0</v>
      </c>
      <c r="N560" t="n">
        <v>0</v>
      </c>
      <c r="O560" t="n">
        <v>0</v>
      </c>
      <c r="P560" t="n">
        <v>0</v>
      </c>
      <c r="Q560" t="n">
        <v>0</v>
      </c>
      <c r="R560" s="2" t="inlineStr"/>
    </row>
    <row r="561" ht="15" customHeight="1">
      <c r="A561" t="inlineStr">
        <is>
          <t>A 64208-2021</t>
        </is>
      </c>
      <c r="B561" s="1" t="n">
        <v>44510</v>
      </c>
      <c r="C561" s="1" t="n">
        <v>45907</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54268-2022</t>
        </is>
      </c>
      <c r="B562" s="1" t="n">
        <v>44882</v>
      </c>
      <c r="C562" s="1" t="n">
        <v>45907</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1446-2025</t>
        </is>
      </c>
      <c r="B563" s="1" t="n">
        <v>45669.86035879629</v>
      </c>
      <c r="C563" s="1" t="n">
        <v>45907</v>
      </c>
      <c r="D563" t="inlineStr">
        <is>
          <t>GOTLANDS LÄN</t>
        </is>
      </c>
      <c r="E563" t="inlineStr">
        <is>
          <t>GOTLAND</t>
        </is>
      </c>
      <c r="G563" t="n">
        <v>3.1</v>
      </c>
      <c r="H563" t="n">
        <v>0</v>
      </c>
      <c r="I563" t="n">
        <v>0</v>
      </c>
      <c r="J563" t="n">
        <v>0</v>
      </c>
      <c r="K563" t="n">
        <v>0</v>
      </c>
      <c r="L563" t="n">
        <v>0</v>
      </c>
      <c r="M563" t="n">
        <v>0</v>
      </c>
      <c r="N563" t="n">
        <v>0</v>
      </c>
      <c r="O563" t="n">
        <v>0</v>
      </c>
      <c r="P563" t="n">
        <v>0</v>
      </c>
      <c r="Q563" t="n">
        <v>0</v>
      </c>
      <c r="R563" s="2" t="inlineStr"/>
    </row>
    <row r="564" ht="15" customHeight="1">
      <c r="A564" t="inlineStr">
        <is>
          <t>A 1462-2025</t>
        </is>
      </c>
      <c r="B564" s="1" t="n">
        <v>45670.36319444444</v>
      </c>
      <c r="C564" s="1" t="n">
        <v>45907</v>
      </c>
      <c r="D564" t="inlineStr">
        <is>
          <t>GOTLANDS LÄN</t>
        </is>
      </c>
      <c r="E564" t="inlineStr">
        <is>
          <t>GOTLAND</t>
        </is>
      </c>
      <c r="G564" t="n">
        <v>2.8</v>
      </c>
      <c r="H564" t="n">
        <v>0</v>
      </c>
      <c r="I564" t="n">
        <v>0</v>
      </c>
      <c r="J564" t="n">
        <v>0</v>
      </c>
      <c r="K564" t="n">
        <v>0</v>
      </c>
      <c r="L564" t="n">
        <v>0</v>
      </c>
      <c r="M564" t="n">
        <v>0</v>
      </c>
      <c r="N564" t="n">
        <v>0</v>
      </c>
      <c r="O564" t="n">
        <v>0</v>
      </c>
      <c r="P564" t="n">
        <v>0</v>
      </c>
      <c r="Q564" t="n">
        <v>0</v>
      </c>
      <c r="R564" s="2" t="inlineStr"/>
    </row>
    <row r="565" ht="15" customHeight="1">
      <c r="A565" t="inlineStr">
        <is>
          <t>A 57685-2022</t>
        </is>
      </c>
      <c r="B565" s="1" t="n">
        <v>44897.4777662037</v>
      </c>
      <c r="C565" s="1" t="n">
        <v>45907</v>
      </c>
      <c r="D565" t="inlineStr">
        <is>
          <t>GOTLANDS LÄN</t>
        </is>
      </c>
      <c r="E565" t="inlineStr">
        <is>
          <t>GOTLAND</t>
        </is>
      </c>
      <c r="G565" t="n">
        <v>3.7</v>
      </c>
      <c r="H565" t="n">
        <v>0</v>
      </c>
      <c r="I565" t="n">
        <v>0</v>
      </c>
      <c r="J565" t="n">
        <v>0</v>
      </c>
      <c r="K565" t="n">
        <v>0</v>
      </c>
      <c r="L565" t="n">
        <v>0</v>
      </c>
      <c r="M565" t="n">
        <v>0</v>
      </c>
      <c r="N565" t="n">
        <v>0</v>
      </c>
      <c r="O565" t="n">
        <v>0</v>
      </c>
      <c r="P565" t="n">
        <v>0</v>
      </c>
      <c r="Q565" t="n">
        <v>0</v>
      </c>
      <c r="R565" s="2" t="inlineStr"/>
    </row>
    <row r="566" ht="15" customHeight="1">
      <c r="A566" t="inlineStr">
        <is>
          <t>A 811-2023</t>
        </is>
      </c>
      <c r="B566" s="1" t="n">
        <v>44931</v>
      </c>
      <c r="C566" s="1" t="n">
        <v>45907</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49257-2024</t>
        </is>
      </c>
      <c r="B567" s="1" t="n">
        <v>45595.47627314815</v>
      </c>
      <c r="C567" s="1" t="n">
        <v>45907</v>
      </c>
      <c r="D567" t="inlineStr">
        <is>
          <t>GOTLANDS LÄN</t>
        </is>
      </c>
      <c r="E567" t="inlineStr">
        <is>
          <t>GOTLAND</t>
        </is>
      </c>
      <c r="G567" t="n">
        <v>6.3</v>
      </c>
      <c r="H567" t="n">
        <v>0</v>
      </c>
      <c r="I567" t="n">
        <v>0</v>
      </c>
      <c r="J567" t="n">
        <v>0</v>
      </c>
      <c r="K567" t="n">
        <v>0</v>
      </c>
      <c r="L567" t="n">
        <v>0</v>
      </c>
      <c r="M567" t="n">
        <v>0</v>
      </c>
      <c r="N567" t="n">
        <v>0</v>
      </c>
      <c r="O567" t="n">
        <v>0</v>
      </c>
      <c r="P567" t="n">
        <v>0</v>
      </c>
      <c r="Q567" t="n">
        <v>0</v>
      </c>
      <c r="R567" s="2" t="inlineStr"/>
    </row>
    <row r="568" ht="15" customHeight="1">
      <c r="A568" t="inlineStr">
        <is>
          <t>A 49315-2024</t>
        </is>
      </c>
      <c r="B568" s="1" t="n">
        <v>45595</v>
      </c>
      <c r="C568" s="1" t="n">
        <v>45907</v>
      </c>
      <c r="D568" t="inlineStr">
        <is>
          <t>GOTLANDS LÄN</t>
        </is>
      </c>
      <c r="E568" t="inlineStr">
        <is>
          <t>GOTLAND</t>
        </is>
      </c>
      <c r="G568" t="n">
        <v>1.5</v>
      </c>
      <c r="H568" t="n">
        <v>0</v>
      </c>
      <c r="I568" t="n">
        <v>0</v>
      </c>
      <c r="J568" t="n">
        <v>0</v>
      </c>
      <c r="K568" t="n">
        <v>0</v>
      </c>
      <c r="L568" t="n">
        <v>0</v>
      </c>
      <c r="M568" t="n">
        <v>0</v>
      </c>
      <c r="N568" t="n">
        <v>0</v>
      </c>
      <c r="O568" t="n">
        <v>0</v>
      </c>
      <c r="P568" t="n">
        <v>0</v>
      </c>
      <c r="Q568" t="n">
        <v>0</v>
      </c>
      <c r="R568" s="2" t="inlineStr"/>
    </row>
    <row r="569" ht="15" customHeight="1">
      <c r="A569" t="inlineStr">
        <is>
          <t>A 5905-2024</t>
        </is>
      </c>
      <c r="B569" s="1" t="n">
        <v>45335.88993055555</v>
      </c>
      <c r="C569" s="1" t="n">
        <v>45907</v>
      </c>
      <c r="D569" t="inlineStr">
        <is>
          <t>GOTLANDS LÄN</t>
        </is>
      </c>
      <c r="E569" t="inlineStr">
        <is>
          <t>GOTLAND</t>
        </is>
      </c>
      <c r="G569" t="n">
        <v>3</v>
      </c>
      <c r="H569" t="n">
        <v>0</v>
      </c>
      <c r="I569" t="n">
        <v>0</v>
      </c>
      <c r="J569" t="n">
        <v>0</v>
      </c>
      <c r="K569" t="n">
        <v>0</v>
      </c>
      <c r="L569" t="n">
        <v>0</v>
      </c>
      <c r="M569" t="n">
        <v>0</v>
      </c>
      <c r="N569" t="n">
        <v>0</v>
      </c>
      <c r="O569" t="n">
        <v>0</v>
      </c>
      <c r="P569" t="n">
        <v>0</v>
      </c>
      <c r="Q569" t="n">
        <v>0</v>
      </c>
      <c r="R569" s="2" t="inlineStr"/>
    </row>
    <row r="570" ht="15" customHeight="1">
      <c r="A570" t="inlineStr">
        <is>
          <t>A 3431-2025</t>
        </is>
      </c>
      <c r="B570" s="1" t="n">
        <v>45680.42935185185</v>
      </c>
      <c r="C570" s="1" t="n">
        <v>45907</v>
      </c>
      <c r="D570" t="inlineStr">
        <is>
          <t>GOTLANDS LÄN</t>
        </is>
      </c>
      <c r="E570" t="inlineStr">
        <is>
          <t>GOTLAND</t>
        </is>
      </c>
      <c r="G570" t="n">
        <v>4.8</v>
      </c>
      <c r="H570" t="n">
        <v>0</v>
      </c>
      <c r="I570" t="n">
        <v>0</v>
      </c>
      <c r="J570" t="n">
        <v>0</v>
      </c>
      <c r="K570" t="n">
        <v>0</v>
      </c>
      <c r="L570" t="n">
        <v>0</v>
      </c>
      <c r="M570" t="n">
        <v>0</v>
      </c>
      <c r="N570" t="n">
        <v>0</v>
      </c>
      <c r="O570" t="n">
        <v>0</v>
      </c>
      <c r="P570" t="n">
        <v>0</v>
      </c>
      <c r="Q570" t="n">
        <v>0</v>
      </c>
      <c r="R570" s="2" t="inlineStr"/>
    </row>
    <row r="571" ht="15" customHeight="1">
      <c r="A571" t="inlineStr">
        <is>
          <t>A 34407-2023</t>
        </is>
      </c>
      <c r="B571" s="1" t="n">
        <v>45132</v>
      </c>
      <c r="C571" s="1" t="n">
        <v>45907</v>
      </c>
      <c r="D571" t="inlineStr">
        <is>
          <t>GOTLANDS LÄN</t>
        </is>
      </c>
      <c r="E571" t="inlineStr">
        <is>
          <t>GOTLAND</t>
        </is>
      </c>
      <c r="G571" t="n">
        <v>4.4</v>
      </c>
      <c r="H571" t="n">
        <v>0</v>
      </c>
      <c r="I571" t="n">
        <v>0</v>
      </c>
      <c r="J571" t="n">
        <v>0</v>
      </c>
      <c r="K571" t="n">
        <v>0</v>
      </c>
      <c r="L571" t="n">
        <v>0</v>
      </c>
      <c r="M571" t="n">
        <v>0</v>
      </c>
      <c r="N571" t="n">
        <v>0</v>
      </c>
      <c r="O571" t="n">
        <v>0</v>
      </c>
      <c r="P571" t="n">
        <v>0</v>
      </c>
      <c r="Q571" t="n">
        <v>0</v>
      </c>
      <c r="R571" s="2" t="inlineStr"/>
    </row>
    <row r="572" ht="15" customHeight="1">
      <c r="A572" t="inlineStr">
        <is>
          <t>A 30892-2024</t>
        </is>
      </c>
      <c r="B572" s="1" t="n">
        <v>45491</v>
      </c>
      <c r="C572" s="1" t="n">
        <v>45907</v>
      </c>
      <c r="D572" t="inlineStr">
        <is>
          <t>GOTLANDS LÄN</t>
        </is>
      </c>
      <c r="E572" t="inlineStr">
        <is>
          <t>GOTLAND</t>
        </is>
      </c>
      <c r="G572" t="n">
        <v>6.1</v>
      </c>
      <c r="H572" t="n">
        <v>0</v>
      </c>
      <c r="I572" t="n">
        <v>0</v>
      </c>
      <c r="J572" t="n">
        <v>0</v>
      </c>
      <c r="K572" t="n">
        <v>0</v>
      </c>
      <c r="L572" t="n">
        <v>0</v>
      </c>
      <c r="M572" t="n">
        <v>0</v>
      </c>
      <c r="N572" t="n">
        <v>0</v>
      </c>
      <c r="O572" t="n">
        <v>0</v>
      </c>
      <c r="P572" t="n">
        <v>0</v>
      </c>
      <c r="Q572" t="n">
        <v>0</v>
      </c>
      <c r="R572" s="2" t="inlineStr"/>
    </row>
    <row r="573" ht="15" customHeight="1">
      <c r="A573" t="inlineStr">
        <is>
          <t>A 32958-2021</t>
        </is>
      </c>
      <c r="B573" s="1" t="n">
        <v>44376</v>
      </c>
      <c r="C573" s="1" t="n">
        <v>45907</v>
      </c>
      <c r="D573" t="inlineStr">
        <is>
          <t>GOTLANDS LÄN</t>
        </is>
      </c>
      <c r="E573" t="inlineStr">
        <is>
          <t>GOTLAND</t>
        </is>
      </c>
      <c r="G573" t="n">
        <v>2.2</v>
      </c>
      <c r="H573" t="n">
        <v>0</v>
      </c>
      <c r="I573" t="n">
        <v>0</v>
      </c>
      <c r="J573" t="n">
        <v>0</v>
      </c>
      <c r="K573" t="n">
        <v>0</v>
      </c>
      <c r="L573" t="n">
        <v>0</v>
      </c>
      <c r="M573" t="n">
        <v>0</v>
      </c>
      <c r="N573" t="n">
        <v>0</v>
      </c>
      <c r="O573" t="n">
        <v>0</v>
      </c>
      <c r="P573" t="n">
        <v>0</v>
      </c>
      <c r="Q573" t="n">
        <v>0</v>
      </c>
      <c r="R573" s="2" t="inlineStr"/>
    </row>
    <row r="574" ht="15" customHeight="1">
      <c r="A574" t="inlineStr">
        <is>
          <t>A 7858-2025</t>
        </is>
      </c>
      <c r="B574" s="1" t="n">
        <v>45706.68633101852</v>
      </c>
      <c r="C574" s="1" t="n">
        <v>45907</v>
      </c>
      <c r="D574" t="inlineStr">
        <is>
          <t>GOTLANDS LÄN</t>
        </is>
      </c>
      <c r="E574" t="inlineStr">
        <is>
          <t>GOTLAND</t>
        </is>
      </c>
      <c r="G574" t="n">
        <v>3</v>
      </c>
      <c r="H574" t="n">
        <v>0</v>
      </c>
      <c r="I574" t="n">
        <v>0</v>
      </c>
      <c r="J574" t="n">
        <v>0</v>
      </c>
      <c r="K574" t="n">
        <v>0</v>
      </c>
      <c r="L574" t="n">
        <v>0</v>
      </c>
      <c r="M574" t="n">
        <v>0</v>
      </c>
      <c r="N574" t="n">
        <v>0</v>
      </c>
      <c r="O574" t="n">
        <v>0</v>
      </c>
      <c r="P574" t="n">
        <v>0</v>
      </c>
      <c r="Q574" t="n">
        <v>0</v>
      </c>
      <c r="R574" s="2" t="inlineStr"/>
    </row>
    <row r="575" ht="15" customHeight="1">
      <c r="A575" t="inlineStr">
        <is>
          <t>A 46545-2024</t>
        </is>
      </c>
      <c r="B575" s="1" t="n">
        <v>45582.65831018519</v>
      </c>
      <c r="C575" s="1" t="n">
        <v>45907</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999-2023</t>
        </is>
      </c>
      <c r="B576" s="1" t="n">
        <v>44935</v>
      </c>
      <c r="C576" s="1" t="n">
        <v>45907</v>
      </c>
      <c r="D576" t="inlineStr">
        <is>
          <t>GOTLANDS LÄN</t>
        </is>
      </c>
      <c r="E576" t="inlineStr">
        <is>
          <t>GOTLAND</t>
        </is>
      </c>
      <c r="G576" t="n">
        <v>4.7</v>
      </c>
      <c r="H576" t="n">
        <v>0</v>
      </c>
      <c r="I576" t="n">
        <v>0</v>
      </c>
      <c r="J576" t="n">
        <v>0</v>
      </c>
      <c r="K576" t="n">
        <v>0</v>
      </c>
      <c r="L576" t="n">
        <v>0</v>
      </c>
      <c r="M576" t="n">
        <v>0</v>
      </c>
      <c r="N576" t="n">
        <v>0</v>
      </c>
      <c r="O576" t="n">
        <v>0</v>
      </c>
      <c r="P576" t="n">
        <v>0</v>
      </c>
      <c r="Q576" t="n">
        <v>0</v>
      </c>
      <c r="R576" s="2" t="inlineStr"/>
    </row>
    <row r="577" ht="15" customHeight="1">
      <c r="A577" t="inlineStr">
        <is>
          <t>A 1364-2025</t>
        </is>
      </c>
      <c r="B577" s="1" t="n">
        <v>45667.63929398148</v>
      </c>
      <c r="C577" s="1" t="n">
        <v>45907</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2125-2025</t>
        </is>
      </c>
      <c r="B578" s="1" t="n">
        <v>45672.64940972222</v>
      </c>
      <c r="C578" s="1" t="n">
        <v>45907</v>
      </c>
      <c r="D578" t="inlineStr">
        <is>
          <t>GOTLANDS LÄN</t>
        </is>
      </c>
      <c r="E578" t="inlineStr">
        <is>
          <t>GOTLAND</t>
        </is>
      </c>
      <c r="G578" t="n">
        <v>2.3</v>
      </c>
      <c r="H578" t="n">
        <v>0</v>
      </c>
      <c r="I578" t="n">
        <v>0</v>
      </c>
      <c r="J578" t="n">
        <v>0</v>
      </c>
      <c r="K578" t="n">
        <v>0</v>
      </c>
      <c r="L578" t="n">
        <v>0</v>
      </c>
      <c r="M578" t="n">
        <v>0</v>
      </c>
      <c r="N578" t="n">
        <v>0</v>
      </c>
      <c r="O578" t="n">
        <v>0</v>
      </c>
      <c r="P578" t="n">
        <v>0</v>
      </c>
      <c r="Q578" t="n">
        <v>0</v>
      </c>
      <c r="R578" s="2" t="inlineStr"/>
    </row>
    <row r="579" ht="15" customHeight="1">
      <c r="A579" t="inlineStr">
        <is>
          <t>A 8684-2025</t>
        </is>
      </c>
      <c r="B579" s="1" t="n">
        <v>45712.45605324074</v>
      </c>
      <c r="C579" s="1" t="n">
        <v>45907</v>
      </c>
      <c r="D579" t="inlineStr">
        <is>
          <t>GOTLANDS LÄN</t>
        </is>
      </c>
      <c r="E579" t="inlineStr">
        <is>
          <t>GOTLAND</t>
        </is>
      </c>
      <c r="G579" t="n">
        <v>3.5</v>
      </c>
      <c r="H579" t="n">
        <v>0</v>
      </c>
      <c r="I579" t="n">
        <v>0</v>
      </c>
      <c r="J579" t="n">
        <v>0</v>
      </c>
      <c r="K579" t="n">
        <v>0</v>
      </c>
      <c r="L579" t="n">
        <v>0</v>
      </c>
      <c r="M579" t="n">
        <v>0</v>
      </c>
      <c r="N579" t="n">
        <v>0</v>
      </c>
      <c r="O579" t="n">
        <v>0</v>
      </c>
      <c r="P579" t="n">
        <v>0</v>
      </c>
      <c r="Q579" t="n">
        <v>0</v>
      </c>
      <c r="R579" s="2" t="inlineStr"/>
    </row>
    <row r="580" ht="15" customHeight="1">
      <c r="A580" t="inlineStr">
        <is>
          <t>A 27596-2023</t>
        </is>
      </c>
      <c r="B580" s="1" t="n">
        <v>45097</v>
      </c>
      <c r="C580" s="1" t="n">
        <v>45907</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56115-2023</t>
        </is>
      </c>
      <c r="B581" s="1" t="n">
        <v>45236</v>
      </c>
      <c r="C581" s="1" t="n">
        <v>45907</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64969-2023</t>
        </is>
      </c>
      <c r="B582" s="1" t="n">
        <v>45284.54009259259</v>
      </c>
      <c r="C582" s="1" t="n">
        <v>45907</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33853-2024</t>
        </is>
      </c>
      <c r="B583" s="1" t="n">
        <v>45520.64298611111</v>
      </c>
      <c r="C583" s="1" t="n">
        <v>45907</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14141-2024</t>
        </is>
      </c>
      <c r="B584" s="1" t="n">
        <v>45392.85193287037</v>
      </c>
      <c r="C584" s="1" t="n">
        <v>45907</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12155-2023</t>
        </is>
      </c>
      <c r="B585" s="1" t="n">
        <v>44998.49106481481</v>
      </c>
      <c r="C585" s="1" t="n">
        <v>45907</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18223-2025</t>
        </is>
      </c>
      <c r="B586" s="1" t="n">
        <v>45761</v>
      </c>
      <c r="C586" s="1" t="n">
        <v>45907</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46949-2024</t>
        </is>
      </c>
      <c r="B587" s="1" t="n">
        <v>45585</v>
      </c>
      <c r="C587" s="1" t="n">
        <v>45907</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2774-2024</t>
        </is>
      </c>
      <c r="B588" s="1" t="n">
        <v>45314.62375</v>
      </c>
      <c r="C588" s="1" t="n">
        <v>45907</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18742-2025</t>
        </is>
      </c>
      <c r="B589" s="1" t="n">
        <v>45763</v>
      </c>
      <c r="C589" s="1" t="n">
        <v>45907</v>
      </c>
      <c r="D589" t="inlineStr">
        <is>
          <t>GOTLANDS LÄN</t>
        </is>
      </c>
      <c r="E589" t="inlineStr">
        <is>
          <t>GOTLAND</t>
        </is>
      </c>
      <c r="G589" t="n">
        <v>3.4</v>
      </c>
      <c r="H589" t="n">
        <v>0</v>
      </c>
      <c r="I589" t="n">
        <v>0</v>
      </c>
      <c r="J589" t="n">
        <v>0</v>
      </c>
      <c r="K589" t="n">
        <v>0</v>
      </c>
      <c r="L589" t="n">
        <v>0</v>
      </c>
      <c r="M589" t="n">
        <v>0</v>
      </c>
      <c r="N589" t="n">
        <v>0</v>
      </c>
      <c r="O589" t="n">
        <v>0</v>
      </c>
      <c r="P589" t="n">
        <v>0</v>
      </c>
      <c r="Q589" t="n">
        <v>0</v>
      </c>
      <c r="R589" s="2" t="inlineStr"/>
    </row>
    <row r="590" ht="15" customHeight="1">
      <c r="A590" t="inlineStr">
        <is>
          <t>A 9947-2024</t>
        </is>
      </c>
      <c r="B590" s="1" t="n">
        <v>45363</v>
      </c>
      <c r="C590" s="1" t="n">
        <v>45907</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42007-2023</t>
        </is>
      </c>
      <c r="B591" s="1" t="n">
        <v>45177</v>
      </c>
      <c r="C591" s="1" t="n">
        <v>45907</v>
      </c>
      <c r="D591" t="inlineStr">
        <is>
          <t>GOTLANDS LÄN</t>
        </is>
      </c>
      <c r="E591" t="inlineStr">
        <is>
          <t>GOTLAND</t>
        </is>
      </c>
      <c r="G591" t="n">
        <v>0.8</v>
      </c>
      <c r="H591" t="n">
        <v>0</v>
      </c>
      <c r="I591" t="n">
        <v>0</v>
      </c>
      <c r="J591" t="n">
        <v>0</v>
      </c>
      <c r="K591" t="n">
        <v>0</v>
      </c>
      <c r="L591" t="n">
        <v>0</v>
      </c>
      <c r="M591" t="n">
        <v>0</v>
      </c>
      <c r="N591" t="n">
        <v>0</v>
      </c>
      <c r="O591" t="n">
        <v>0</v>
      </c>
      <c r="P591" t="n">
        <v>0</v>
      </c>
      <c r="Q591" t="n">
        <v>0</v>
      </c>
      <c r="R591" s="2" t="inlineStr"/>
    </row>
    <row r="592" ht="15" customHeight="1">
      <c r="A592" t="inlineStr">
        <is>
          <t>A 24001-2021</t>
        </is>
      </c>
      <c r="B592" s="1" t="n">
        <v>44335</v>
      </c>
      <c r="C592" s="1" t="n">
        <v>45907</v>
      </c>
      <c r="D592" t="inlineStr">
        <is>
          <t>GOTLANDS LÄN</t>
        </is>
      </c>
      <c r="E592" t="inlineStr">
        <is>
          <t>GOTLAND</t>
        </is>
      </c>
      <c r="G592" t="n">
        <v>3.4</v>
      </c>
      <c r="H592" t="n">
        <v>0</v>
      </c>
      <c r="I592" t="n">
        <v>0</v>
      </c>
      <c r="J592" t="n">
        <v>0</v>
      </c>
      <c r="K592" t="n">
        <v>0</v>
      </c>
      <c r="L592" t="n">
        <v>0</v>
      </c>
      <c r="M592" t="n">
        <v>0</v>
      </c>
      <c r="N592" t="n">
        <v>0</v>
      </c>
      <c r="O592" t="n">
        <v>0</v>
      </c>
      <c r="P592" t="n">
        <v>0</v>
      </c>
      <c r="Q592" t="n">
        <v>0</v>
      </c>
      <c r="R592" s="2" t="inlineStr"/>
    </row>
    <row r="593" ht="15" customHeight="1">
      <c r="A593" t="inlineStr">
        <is>
          <t>A 2292-2021</t>
        </is>
      </c>
      <c r="B593" s="1" t="n">
        <v>44212</v>
      </c>
      <c r="C593" s="1" t="n">
        <v>45907</v>
      </c>
      <c r="D593" t="inlineStr">
        <is>
          <t>GOTLANDS LÄN</t>
        </is>
      </c>
      <c r="E593" t="inlineStr">
        <is>
          <t>GOTLAND</t>
        </is>
      </c>
      <c r="G593" t="n">
        <v>3</v>
      </c>
      <c r="H593" t="n">
        <v>0</v>
      </c>
      <c r="I593" t="n">
        <v>0</v>
      </c>
      <c r="J593" t="n">
        <v>0</v>
      </c>
      <c r="K593" t="n">
        <v>0</v>
      </c>
      <c r="L593" t="n">
        <v>0</v>
      </c>
      <c r="M593" t="n">
        <v>0</v>
      </c>
      <c r="N593" t="n">
        <v>0</v>
      </c>
      <c r="O593" t="n">
        <v>0</v>
      </c>
      <c r="P593" t="n">
        <v>0</v>
      </c>
      <c r="Q593" t="n">
        <v>0</v>
      </c>
      <c r="R593" s="2" t="inlineStr"/>
    </row>
    <row r="594" ht="15" customHeight="1">
      <c r="A594" t="inlineStr">
        <is>
          <t>A 39479-2022</t>
        </is>
      </c>
      <c r="B594" s="1" t="n">
        <v>44818</v>
      </c>
      <c r="C594" s="1" t="n">
        <v>45907</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39496-2022</t>
        </is>
      </c>
      <c r="B595" s="1" t="n">
        <v>44818</v>
      </c>
      <c r="C595" s="1" t="n">
        <v>45907</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44304-2021</t>
        </is>
      </c>
      <c r="B596" s="1" t="n">
        <v>44434</v>
      </c>
      <c r="C596" s="1" t="n">
        <v>45907</v>
      </c>
      <c r="D596" t="inlineStr">
        <is>
          <t>GOTLANDS LÄN</t>
        </is>
      </c>
      <c r="E596" t="inlineStr">
        <is>
          <t>GOTLAND</t>
        </is>
      </c>
      <c r="G596" t="n">
        <v>5.8</v>
      </c>
      <c r="H596" t="n">
        <v>0</v>
      </c>
      <c r="I596" t="n">
        <v>0</v>
      </c>
      <c r="J596" t="n">
        <v>0</v>
      </c>
      <c r="K596" t="n">
        <v>0</v>
      </c>
      <c r="L596" t="n">
        <v>0</v>
      </c>
      <c r="M596" t="n">
        <v>0</v>
      </c>
      <c r="N596" t="n">
        <v>0</v>
      </c>
      <c r="O596" t="n">
        <v>0</v>
      </c>
      <c r="P596" t="n">
        <v>0</v>
      </c>
      <c r="Q596" t="n">
        <v>0</v>
      </c>
      <c r="R596" s="2" t="inlineStr"/>
    </row>
    <row r="597" ht="15" customHeight="1">
      <c r="A597" t="inlineStr">
        <is>
          <t>A 46389-2021</t>
        </is>
      </c>
      <c r="B597" s="1" t="n">
        <v>44443</v>
      </c>
      <c r="C597" s="1" t="n">
        <v>45907</v>
      </c>
      <c r="D597" t="inlineStr">
        <is>
          <t>GOTLANDS LÄN</t>
        </is>
      </c>
      <c r="E597" t="inlineStr">
        <is>
          <t>GOTLAND</t>
        </is>
      </c>
      <c r="F597" t="inlineStr">
        <is>
          <t>Kyrkan</t>
        </is>
      </c>
      <c r="G597" t="n">
        <v>2.1</v>
      </c>
      <c r="H597" t="n">
        <v>0</v>
      </c>
      <c r="I597" t="n">
        <v>0</v>
      </c>
      <c r="J597" t="n">
        <v>0</v>
      </c>
      <c r="K597" t="n">
        <v>0</v>
      </c>
      <c r="L597" t="n">
        <v>0</v>
      </c>
      <c r="M597" t="n">
        <v>0</v>
      </c>
      <c r="N597" t="n">
        <v>0</v>
      </c>
      <c r="O597" t="n">
        <v>0</v>
      </c>
      <c r="P597" t="n">
        <v>0</v>
      </c>
      <c r="Q597" t="n">
        <v>0</v>
      </c>
      <c r="R597" s="2" t="inlineStr"/>
    </row>
    <row r="598" ht="15" customHeight="1">
      <c r="A598" t="inlineStr">
        <is>
          <t>A 15083-2025</t>
        </is>
      </c>
      <c r="B598" s="1" t="n">
        <v>45743</v>
      </c>
      <c r="C598" s="1" t="n">
        <v>45907</v>
      </c>
      <c r="D598" t="inlineStr">
        <is>
          <t>GOTLANDS LÄN</t>
        </is>
      </c>
      <c r="E598" t="inlineStr">
        <is>
          <t>GOTLAND</t>
        </is>
      </c>
      <c r="G598" t="n">
        <v>2.3</v>
      </c>
      <c r="H598" t="n">
        <v>0</v>
      </c>
      <c r="I598" t="n">
        <v>0</v>
      </c>
      <c r="J598" t="n">
        <v>0</v>
      </c>
      <c r="K598" t="n">
        <v>0</v>
      </c>
      <c r="L598" t="n">
        <v>0</v>
      </c>
      <c r="M598" t="n">
        <v>0</v>
      </c>
      <c r="N598" t="n">
        <v>0</v>
      </c>
      <c r="O598" t="n">
        <v>0</v>
      </c>
      <c r="P598" t="n">
        <v>0</v>
      </c>
      <c r="Q598" t="n">
        <v>0</v>
      </c>
      <c r="R598" s="2" t="inlineStr"/>
    </row>
    <row r="599" ht="15" customHeight="1">
      <c r="A599" t="inlineStr">
        <is>
          <t>A 44949-2023</t>
        </is>
      </c>
      <c r="B599" s="1" t="n">
        <v>45190.69520833333</v>
      </c>
      <c r="C599" s="1" t="n">
        <v>45907</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20307-2025</t>
        </is>
      </c>
      <c r="B600" s="1" t="n">
        <v>45774.95546296296</v>
      </c>
      <c r="C600" s="1" t="n">
        <v>45907</v>
      </c>
      <c r="D600" t="inlineStr">
        <is>
          <t>GOTLANDS LÄN</t>
        </is>
      </c>
      <c r="E600" t="inlineStr">
        <is>
          <t>GOTLAND</t>
        </is>
      </c>
      <c r="G600" t="n">
        <v>6.8</v>
      </c>
      <c r="H600" t="n">
        <v>0</v>
      </c>
      <c r="I600" t="n">
        <v>0</v>
      </c>
      <c r="J600" t="n">
        <v>0</v>
      </c>
      <c r="K600" t="n">
        <v>0</v>
      </c>
      <c r="L600" t="n">
        <v>0</v>
      </c>
      <c r="M600" t="n">
        <v>0</v>
      </c>
      <c r="N600" t="n">
        <v>0</v>
      </c>
      <c r="O600" t="n">
        <v>0</v>
      </c>
      <c r="P600" t="n">
        <v>0</v>
      </c>
      <c r="Q600" t="n">
        <v>0</v>
      </c>
      <c r="R600" s="2" t="inlineStr"/>
    </row>
    <row r="601" ht="15" customHeight="1">
      <c r="A601" t="inlineStr">
        <is>
          <t>A 17682-2024</t>
        </is>
      </c>
      <c r="B601" s="1" t="n">
        <v>45418.42966435185</v>
      </c>
      <c r="C601" s="1" t="n">
        <v>45907</v>
      </c>
      <c r="D601" t="inlineStr">
        <is>
          <t>GOTLANDS LÄN</t>
        </is>
      </c>
      <c r="E601" t="inlineStr">
        <is>
          <t>GOTLAND</t>
        </is>
      </c>
      <c r="G601" t="n">
        <v>2.9</v>
      </c>
      <c r="H601" t="n">
        <v>0</v>
      </c>
      <c r="I601" t="n">
        <v>0</v>
      </c>
      <c r="J601" t="n">
        <v>0</v>
      </c>
      <c r="K601" t="n">
        <v>0</v>
      </c>
      <c r="L601" t="n">
        <v>0</v>
      </c>
      <c r="M601" t="n">
        <v>0</v>
      </c>
      <c r="N601" t="n">
        <v>0</v>
      </c>
      <c r="O601" t="n">
        <v>0</v>
      </c>
      <c r="P601" t="n">
        <v>0</v>
      </c>
      <c r="Q601" t="n">
        <v>0</v>
      </c>
      <c r="R601" s="2" t="inlineStr"/>
    </row>
    <row r="602" ht="15" customHeight="1">
      <c r="A602" t="inlineStr">
        <is>
          <t>A 61897-2024</t>
        </is>
      </c>
      <c r="B602" s="1" t="n">
        <v>45652.75685185185</v>
      </c>
      <c r="C602" s="1" t="n">
        <v>45907</v>
      </c>
      <c r="D602" t="inlineStr">
        <is>
          <t>GOTLANDS LÄN</t>
        </is>
      </c>
      <c r="E602" t="inlineStr">
        <is>
          <t>GOTLAND</t>
        </is>
      </c>
      <c r="G602" t="n">
        <v>6.4</v>
      </c>
      <c r="H602" t="n">
        <v>0</v>
      </c>
      <c r="I602" t="n">
        <v>0</v>
      </c>
      <c r="J602" t="n">
        <v>0</v>
      </c>
      <c r="K602" t="n">
        <v>0</v>
      </c>
      <c r="L602" t="n">
        <v>0</v>
      </c>
      <c r="M602" t="n">
        <v>0</v>
      </c>
      <c r="N602" t="n">
        <v>0</v>
      </c>
      <c r="O602" t="n">
        <v>0</v>
      </c>
      <c r="P602" t="n">
        <v>0</v>
      </c>
      <c r="Q602" t="n">
        <v>0</v>
      </c>
      <c r="R602" s="2" t="inlineStr"/>
    </row>
    <row r="603" ht="15" customHeight="1">
      <c r="A603" t="inlineStr">
        <is>
          <t>A 12032-2025</t>
        </is>
      </c>
      <c r="B603" s="1" t="n">
        <v>45728.64472222222</v>
      </c>
      <c r="C603" s="1" t="n">
        <v>45907</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15595-2024</t>
        </is>
      </c>
      <c r="B604" s="1" t="n">
        <v>45401.81480324074</v>
      </c>
      <c r="C604" s="1" t="n">
        <v>45907</v>
      </c>
      <c r="D604" t="inlineStr">
        <is>
          <t>GOTLANDS LÄN</t>
        </is>
      </c>
      <c r="E604" t="inlineStr">
        <is>
          <t>GOTLAND</t>
        </is>
      </c>
      <c r="G604" t="n">
        <v>6.4</v>
      </c>
      <c r="H604" t="n">
        <v>0</v>
      </c>
      <c r="I604" t="n">
        <v>0</v>
      </c>
      <c r="J604" t="n">
        <v>0</v>
      </c>
      <c r="K604" t="n">
        <v>0</v>
      </c>
      <c r="L604" t="n">
        <v>0</v>
      </c>
      <c r="M604" t="n">
        <v>0</v>
      </c>
      <c r="N604" t="n">
        <v>0</v>
      </c>
      <c r="O604" t="n">
        <v>0</v>
      </c>
      <c r="P604" t="n">
        <v>0</v>
      </c>
      <c r="Q604" t="n">
        <v>0</v>
      </c>
      <c r="R604" s="2" t="inlineStr"/>
    </row>
    <row r="605" ht="15" customHeight="1">
      <c r="A605" t="inlineStr">
        <is>
          <t>A 10652-2025</t>
        </is>
      </c>
      <c r="B605" s="1" t="n">
        <v>45721.68640046296</v>
      </c>
      <c r="C605" s="1" t="n">
        <v>45907</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10813-2025</t>
        </is>
      </c>
      <c r="B606" s="1" t="n">
        <v>45722.54163194444</v>
      </c>
      <c r="C606" s="1" t="n">
        <v>45907</v>
      </c>
      <c r="D606" t="inlineStr">
        <is>
          <t>GOTLANDS LÄN</t>
        </is>
      </c>
      <c r="E606" t="inlineStr">
        <is>
          <t>GOTLAND</t>
        </is>
      </c>
      <c r="G606" t="n">
        <v>1.5</v>
      </c>
      <c r="H606" t="n">
        <v>0</v>
      </c>
      <c r="I606" t="n">
        <v>0</v>
      </c>
      <c r="J606" t="n">
        <v>0</v>
      </c>
      <c r="K606" t="n">
        <v>0</v>
      </c>
      <c r="L606" t="n">
        <v>0</v>
      </c>
      <c r="M606" t="n">
        <v>0</v>
      </c>
      <c r="N606" t="n">
        <v>0</v>
      </c>
      <c r="O606" t="n">
        <v>0</v>
      </c>
      <c r="P606" t="n">
        <v>0</v>
      </c>
      <c r="Q606" t="n">
        <v>0</v>
      </c>
      <c r="R606" s="2" t="inlineStr"/>
    </row>
    <row r="607" ht="15" customHeight="1">
      <c r="A607" t="inlineStr">
        <is>
          <t>A 1066-2024</t>
        </is>
      </c>
      <c r="B607" s="1" t="n">
        <v>45302.285</v>
      </c>
      <c r="C607" s="1" t="n">
        <v>45907</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37202-2024</t>
        </is>
      </c>
      <c r="B608" s="1" t="n">
        <v>45539.67310185185</v>
      </c>
      <c r="C608" s="1" t="n">
        <v>45907</v>
      </c>
      <c r="D608" t="inlineStr">
        <is>
          <t>GOTLANDS LÄN</t>
        </is>
      </c>
      <c r="E608" t="inlineStr">
        <is>
          <t>GOTLAND</t>
        </is>
      </c>
      <c r="G608" t="n">
        <v>0.3</v>
      </c>
      <c r="H608" t="n">
        <v>0</v>
      </c>
      <c r="I608" t="n">
        <v>0</v>
      </c>
      <c r="J608" t="n">
        <v>0</v>
      </c>
      <c r="K608" t="n">
        <v>0</v>
      </c>
      <c r="L608" t="n">
        <v>0</v>
      </c>
      <c r="M608" t="n">
        <v>0</v>
      </c>
      <c r="N608" t="n">
        <v>0</v>
      </c>
      <c r="O608" t="n">
        <v>0</v>
      </c>
      <c r="P608" t="n">
        <v>0</v>
      </c>
      <c r="Q608" t="n">
        <v>0</v>
      </c>
      <c r="R608" s="2" t="inlineStr"/>
    </row>
    <row r="609" ht="15" customHeight="1">
      <c r="A609" t="inlineStr">
        <is>
          <t>A 30815-2023</t>
        </is>
      </c>
      <c r="B609" s="1" t="n">
        <v>45112</v>
      </c>
      <c r="C609" s="1" t="n">
        <v>45907</v>
      </c>
      <c r="D609" t="inlineStr">
        <is>
          <t>GOTLANDS LÄN</t>
        </is>
      </c>
      <c r="E609" t="inlineStr">
        <is>
          <t>GOTLAND</t>
        </is>
      </c>
      <c r="G609" t="n">
        <v>6</v>
      </c>
      <c r="H609" t="n">
        <v>0</v>
      </c>
      <c r="I609" t="n">
        <v>0</v>
      </c>
      <c r="J609" t="n">
        <v>0</v>
      </c>
      <c r="K609" t="n">
        <v>0</v>
      </c>
      <c r="L609" t="n">
        <v>0</v>
      </c>
      <c r="M609" t="n">
        <v>0</v>
      </c>
      <c r="N609" t="n">
        <v>0</v>
      </c>
      <c r="O609" t="n">
        <v>0</v>
      </c>
      <c r="P609" t="n">
        <v>0</v>
      </c>
      <c r="Q609" t="n">
        <v>0</v>
      </c>
      <c r="R609" s="2" t="inlineStr"/>
    </row>
    <row r="610" ht="15" customHeight="1">
      <c r="A610" t="inlineStr">
        <is>
          <t>A 46400-2023</t>
        </is>
      </c>
      <c r="B610" s="1" t="n">
        <v>45197.49290509259</v>
      </c>
      <c r="C610" s="1" t="n">
        <v>45907</v>
      </c>
      <c r="D610" t="inlineStr">
        <is>
          <t>GOTLANDS LÄN</t>
        </is>
      </c>
      <c r="E610" t="inlineStr">
        <is>
          <t>GOTLAND</t>
        </is>
      </c>
      <c r="G610" t="n">
        <v>0.8</v>
      </c>
      <c r="H610" t="n">
        <v>0</v>
      </c>
      <c r="I610" t="n">
        <v>0</v>
      </c>
      <c r="J610" t="n">
        <v>0</v>
      </c>
      <c r="K610" t="n">
        <v>0</v>
      </c>
      <c r="L610" t="n">
        <v>0</v>
      </c>
      <c r="M610" t="n">
        <v>0</v>
      </c>
      <c r="N610" t="n">
        <v>0</v>
      </c>
      <c r="O610" t="n">
        <v>0</v>
      </c>
      <c r="P610" t="n">
        <v>0</v>
      </c>
      <c r="Q610" t="n">
        <v>0</v>
      </c>
      <c r="R610" s="2" t="inlineStr"/>
    </row>
    <row r="611" ht="15" customHeight="1">
      <c r="A611" t="inlineStr">
        <is>
          <t>A 10492-2023</t>
        </is>
      </c>
      <c r="B611" s="1" t="n">
        <v>44987</v>
      </c>
      <c r="C611" s="1" t="n">
        <v>45907</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44919-2022</t>
        </is>
      </c>
      <c r="B612" s="1" t="n">
        <v>44841</v>
      </c>
      <c r="C612" s="1" t="n">
        <v>45907</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c r="A613" t="inlineStr">
        <is>
          <t>A 16501-2023</t>
        </is>
      </c>
      <c r="B613" s="1" t="n">
        <v>45029</v>
      </c>
      <c r="C613" s="1" t="n">
        <v>45907</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2025-09-07T09:02:11Z</dcterms:created>
  <dcterms:modified xmlns:dcterms="http://purl.org/dc/terms/" xmlns:xsi="http://www.w3.org/2001/XMLSchema-instance" xsi:type="dcterms:W3CDTF">2025-09-07T09:02:12Z</dcterms:modified>
</cp:coreProperties>
</file>