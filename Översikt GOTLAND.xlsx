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46136</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46136</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46136</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46136</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46136</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46136</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46136</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46136</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46136</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46136</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46136</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46136</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46136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2222-2024</t>
        </is>
      </c>
      <c r="B29" s="1" t="n">
        <v>45309</v>
      </c>
      <c r="C29" s="1" t="n">
        <v>46136</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46136</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44204-2022</t>
        </is>
      </c>
      <c r="B31" s="1" t="n">
        <v>44839</v>
      </c>
      <c r="C31" s="1" t="n">
        <v>46136</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46136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46136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46136</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46136</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15850-2025</t>
        </is>
      </c>
      <c r="B36" s="1" t="n">
        <v>45748</v>
      </c>
      <c r="C36" s="1" t="n">
        <v>46136</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61664-2023</t>
        </is>
      </c>
      <c r="B37" s="1" t="n">
        <v>45265</v>
      </c>
      <c r="C37" s="1" t="n">
        <v>46136</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63872-2021</t>
        </is>
      </c>
      <c r="B38" s="1" t="n">
        <v>44509</v>
      </c>
      <c r="C38" s="1" t="n">
        <v>46136</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46136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46136</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52223-2025</t>
        </is>
      </c>
      <c r="B41" s="1" t="n">
        <v>45953.44509259259</v>
      </c>
      <c r="C41" s="1" t="n">
        <v>46136</v>
      </c>
      <c r="D41" t="inlineStr">
        <is>
          <t>GOTLANDS LÄN</t>
        </is>
      </c>
      <c r="E41" t="inlineStr">
        <is>
          <t>GOTLAND</t>
        </is>
      </c>
      <c r="F41" t="inlineStr">
        <is>
          <t>Övriga Aktiebolag</t>
        </is>
      </c>
      <c r="G41" t="n">
        <v>5.8</v>
      </c>
      <c r="H41" t="n">
        <v>5</v>
      </c>
      <c r="I41" t="n">
        <v>3</v>
      </c>
      <c r="J41" t="n">
        <v>5</v>
      </c>
      <c r="K41" t="n">
        <v>0</v>
      </c>
      <c r="L41" t="n">
        <v>0</v>
      </c>
      <c r="M41" t="n">
        <v>0</v>
      </c>
      <c r="N41" t="n">
        <v>0</v>
      </c>
      <c r="O41" t="n">
        <v>5</v>
      </c>
      <c r="P41" t="n">
        <v>0</v>
      </c>
      <c r="Q41" t="n">
        <v>11</v>
      </c>
      <c r="R41" s="2" t="inlineStr">
        <is>
          <t>Axveronika
Backtimjan
Solvända
Spillkråka
Ängsstarr
Anisspindling
Murgröna
Skogsknipprot
Brudsporre
Kärrknipprot
Ängsnycklar</t>
        </is>
      </c>
      <c r="S41">
        <f>HYPERLINK("https://klasma.github.io/Logging_0980/artfynd/A 52223-2025 artfynd.xlsx", "A 52223-2025")</f>
        <v/>
      </c>
      <c r="T41">
        <f>HYPERLINK("https://klasma.github.io/Logging_0980/kartor/A 52223-2025 karta.png", "A 52223-2025")</f>
        <v/>
      </c>
      <c r="V41">
        <f>HYPERLINK("https://klasma.github.io/Logging_0980/klagomål/A 52223-2025 FSC-klagomål.docx", "A 52223-2025")</f>
        <v/>
      </c>
      <c r="W41">
        <f>HYPERLINK("https://klasma.github.io/Logging_0980/klagomålsmail/A 52223-2025 FSC-klagomål mail.docx", "A 52223-2025")</f>
        <v/>
      </c>
      <c r="X41">
        <f>HYPERLINK("https://klasma.github.io/Logging_0980/tillsyn/A 52223-2025 tillsynsbegäran.docx", "A 52223-2025")</f>
        <v/>
      </c>
      <c r="Y41">
        <f>HYPERLINK("https://klasma.github.io/Logging_0980/tillsynsmail/A 52223-2025 tillsynsbegäran mail.docx", "A 52223-2025")</f>
        <v/>
      </c>
      <c r="Z41">
        <f>HYPERLINK("https://klasma.github.io/Logging_0980/fåglar/A 52223-2025 prioriterade fågelarter.docx", "A 52223-2025")</f>
        <v/>
      </c>
    </row>
    <row r="42" ht="15" customHeight="1">
      <c r="A42" t="inlineStr">
        <is>
          <t>A 6052-2024</t>
        </is>
      </c>
      <c r="B42" s="1" t="n">
        <v>45336</v>
      </c>
      <c r="C42" s="1" t="n">
        <v>46136</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46136</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46136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14354-2024</t>
        </is>
      </c>
      <c r="B45" s="1" t="n">
        <v>45393</v>
      </c>
      <c r="C45" s="1" t="n">
        <v>46136</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45248-2024</t>
        </is>
      </c>
      <c r="B46" s="1" t="n">
        <v>45576</v>
      </c>
      <c r="C46" s="1" t="n">
        <v>46136</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1719-2025</t>
        </is>
      </c>
      <c r="B47" s="1" t="n">
        <v>45671</v>
      </c>
      <c r="C47" s="1" t="n">
        <v>46136</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27280-2023</t>
        </is>
      </c>
      <c r="B48" s="1" t="n">
        <v>45096</v>
      </c>
      <c r="C48" s="1" t="n">
        <v>46136</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17766-2024</t>
        </is>
      </c>
      <c r="B49" s="1" t="n">
        <v>45418</v>
      </c>
      <c r="C49" s="1" t="n">
        <v>46136</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584-2023</t>
        </is>
      </c>
      <c r="B50" s="1" t="n">
        <v>44930</v>
      </c>
      <c r="C50" s="1" t="n">
        <v>46136</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46136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46136</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46136</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46136</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46136</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46136</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46136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46136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46136</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51737-2021</t>
        </is>
      </c>
      <c r="B60" s="1" t="n">
        <v>44462.57368055556</v>
      </c>
      <c r="C60" s="1" t="n">
        <v>46136</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46136</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46136</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46136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46136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56687-2025</t>
        </is>
      </c>
      <c r="B65" s="1" t="n">
        <v>45975.84065972222</v>
      </c>
      <c r="C65" s="1" t="n">
        <v>46136</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10419-2025</t>
        </is>
      </c>
      <c r="B66" s="1" t="n">
        <v>45720</v>
      </c>
      <c r="C66" s="1" t="n">
        <v>46136</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46136</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46136</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16823-2024</t>
        </is>
      </c>
      <c r="B69" s="1" t="n">
        <v>45411</v>
      </c>
      <c r="C69" s="1" t="n">
        <v>46136</v>
      </c>
      <c r="D69" t="inlineStr">
        <is>
          <t>GOTLANDS LÄN</t>
        </is>
      </c>
      <c r="E69" t="inlineStr">
        <is>
          <t>GOTLAND</t>
        </is>
      </c>
      <c r="G69" t="n">
        <v>25.4</v>
      </c>
      <c r="H69" t="n">
        <v>5</v>
      </c>
      <c r="I69" t="n">
        <v>1</v>
      </c>
      <c r="J69" t="n">
        <v>2</v>
      </c>
      <c r="K69" t="n">
        <v>0</v>
      </c>
      <c r="L69" t="n">
        <v>0</v>
      </c>
      <c r="M69" t="n">
        <v>0</v>
      </c>
      <c r="N69" t="n">
        <v>0</v>
      </c>
      <c r="O69" t="n">
        <v>2</v>
      </c>
      <c r="P69" t="n">
        <v>0</v>
      </c>
      <c r="Q69" t="n">
        <v>6</v>
      </c>
      <c r="R69" s="2" t="inlineStr">
        <is>
          <t>Gulsparv
Jordtistel
Flugblomster
Brudsporre
Johannesnycklar
Sankt pers nycklar</t>
        </is>
      </c>
      <c r="S69">
        <f>HYPERLINK("https://klasma.github.io/Logging_0980/artfynd/A 16823-2024 artfynd.xlsx", "A 16823-2024")</f>
        <v/>
      </c>
      <c r="T69">
        <f>HYPERLINK("https://klasma.github.io/Logging_0980/kartor/A 16823-2024 karta.png", "A 16823-2024")</f>
        <v/>
      </c>
      <c r="V69">
        <f>HYPERLINK("https://klasma.github.io/Logging_0980/klagomål/A 16823-2024 FSC-klagomål.docx", "A 16823-2024")</f>
        <v/>
      </c>
      <c r="W69">
        <f>HYPERLINK("https://klasma.github.io/Logging_0980/klagomålsmail/A 16823-2024 FSC-klagomål mail.docx", "A 16823-2024")</f>
        <v/>
      </c>
      <c r="X69">
        <f>HYPERLINK("https://klasma.github.io/Logging_0980/tillsyn/A 16823-2024 tillsynsbegäran.docx", "A 16823-2024")</f>
        <v/>
      </c>
      <c r="Y69">
        <f>HYPERLINK("https://klasma.github.io/Logging_0980/tillsynsmail/A 16823-2024 tillsynsbegäran mail.docx", "A 16823-2024")</f>
        <v/>
      </c>
      <c r="Z69">
        <f>HYPERLINK("https://klasma.github.io/Logging_0980/fåglar/A 16823-2024 prioriterade fågelarter.docx", "A 16823-2024")</f>
        <v/>
      </c>
    </row>
    <row r="70" ht="15" customHeight="1">
      <c r="A70" t="inlineStr">
        <is>
          <t>A 54527-2023</t>
        </is>
      </c>
      <c r="B70" s="1" t="n">
        <v>45233</v>
      </c>
      <c r="C70" s="1" t="n">
        <v>46136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46136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57773-2025</t>
        </is>
      </c>
      <c r="B72" s="1" t="n">
        <v>45981.56349537037</v>
      </c>
      <c r="C72" s="1" t="n">
        <v>46136</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446-2023</t>
        </is>
      </c>
      <c r="B73" s="1" t="n">
        <v>44929</v>
      </c>
      <c r="C73" s="1" t="n">
        <v>46136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46136</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46136</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66091-2021</t>
        </is>
      </c>
      <c r="B76" s="1" t="n">
        <v>44517</v>
      </c>
      <c r="C76" s="1" t="n">
        <v>46136</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46136</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16375-2025</t>
        </is>
      </c>
      <c r="B78" s="1" t="n">
        <v>45751.41064814815</v>
      </c>
      <c r="C78" s="1" t="n">
        <v>46136</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42936-2024</t>
        </is>
      </c>
      <c r="B79" s="1" t="n">
        <v>45567</v>
      </c>
      <c r="C79" s="1" t="n">
        <v>46136</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46136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6839-2026</t>
        </is>
      </c>
      <c r="B81" s="1" t="n">
        <v>46057.41193287037</v>
      </c>
      <c r="C81" s="1" t="n">
        <v>46136</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35293-2025</t>
        </is>
      </c>
      <c r="B82" s="1" t="n">
        <v>45854.39438657407</v>
      </c>
      <c r="C82" s="1" t="n">
        <v>46136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10274-2026</t>
        </is>
      </c>
      <c r="B83" s="1" t="n">
        <v>46076.58261574074</v>
      </c>
      <c r="C83" s="1" t="n">
        <v>46136</v>
      </c>
      <c r="D83" t="inlineStr">
        <is>
          <t>GOTLANDS LÄN</t>
        </is>
      </c>
      <c r="E83" t="inlineStr">
        <is>
          <t>GOTLAND</t>
        </is>
      </c>
      <c r="G83" t="n">
        <v>9.800000000000001</v>
      </c>
      <c r="H83" t="n">
        <v>2</v>
      </c>
      <c r="I83" t="n">
        <v>2</v>
      </c>
      <c r="J83" t="n">
        <v>1</v>
      </c>
      <c r="K83" t="n">
        <v>1</v>
      </c>
      <c r="L83" t="n">
        <v>0</v>
      </c>
      <c r="M83" t="n">
        <v>0</v>
      </c>
      <c r="N83" t="n">
        <v>0</v>
      </c>
      <c r="O83" t="n">
        <v>2</v>
      </c>
      <c r="P83" t="n">
        <v>1</v>
      </c>
      <c r="Q83" t="n">
        <v>5</v>
      </c>
      <c r="R83" s="2" t="inlineStr">
        <is>
          <t>Gråfingerört
Spillkråka
Axag
Grönpyrola
Alvarstånds</t>
        </is>
      </c>
      <c r="S83">
        <f>HYPERLINK("https://klasma.github.io/Logging_0980/artfynd/A 10274-2026 artfynd.xlsx", "A 10274-2026")</f>
        <v/>
      </c>
      <c r="T83">
        <f>HYPERLINK("https://klasma.github.io/Logging_0980/kartor/A 10274-2026 karta.png", "A 10274-2026")</f>
        <v/>
      </c>
      <c r="V83">
        <f>HYPERLINK("https://klasma.github.io/Logging_0980/klagomål/A 10274-2026 FSC-klagomål.docx", "A 10274-2026")</f>
        <v/>
      </c>
      <c r="W83">
        <f>HYPERLINK("https://klasma.github.io/Logging_0980/klagomålsmail/A 10274-2026 FSC-klagomål mail.docx", "A 10274-2026")</f>
        <v/>
      </c>
      <c r="X83">
        <f>HYPERLINK("https://klasma.github.io/Logging_0980/tillsyn/A 10274-2026 tillsynsbegäran.docx", "A 10274-2026")</f>
        <v/>
      </c>
      <c r="Y83">
        <f>HYPERLINK("https://klasma.github.io/Logging_0980/tillsynsmail/A 10274-2026 tillsynsbegäran mail.docx", "A 10274-2026")</f>
        <v/>
      </c>
      <c r="Z83">
        <f>HYPERLINK("https://klasma.github.io/Logging_0980/fåglar/A 10274-2026 prioriterade fågelarter.docx", "A 10274-2026")</f>
        <v/>
      </c>
    </row>
    <row r="84" ht="15" customHeight="1">
      <c r="A84" t="inlineStr">
        <is>
          <t>A 39425-2023</t>
        </is>
      </c>
      <c r="B84" s="1" t="n">
        <v>45166</v>
      </c>
      <c r="C84" s="1" t="n">
        <v>46136</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46136</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46136</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46136</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46136</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46136</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52250-2025</t>
        </is>
      </c>
      <c r="B90" s="1" t="n">
        <v>45953.48998842593</v>
      </c>
      <c r="C90" s="1" t="n">
        <v>46136</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1971-2023</t>
        </is>
      </c>
      <c r="B91" s="1" t="n">
        <v>44939</v>
      </c>
      <c r="C91" s="1" t="n">
        <v>46136</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5904-2024</t>
        </is>
      </c>
      <c r="B92" s="1" t="n">
        <v>45335</v>
      </c>
      <c r="C92" s="1" t="n">
        <v>46136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6836-2026</t>
        </is>
      </c>
      <c r="B93" s="1" t="n">
        <v>46057.40902777778</v>
      </c>
      <c r="C93" s="1" t="n">
        <v>46136</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40099-2025</t>
        </is>
      </c>
      <c r="B94" s="1" t="n">
        <v>45894.48462962963</v>
      </c>
      <c r="C94" s="1" t="n">
        <v>46136</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46136</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46136</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13203-2026</t>
        </is>
      </c>
      <c r="B97" s="1" t="n">
        <v>46093</v>
      </c>
      <c r="C97" s="1" t="n">
        <v>46136</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44933-2022</t>
        </is>
      </c>
      <c r="B98" s="1" t="n">
        <v>44841</v>
      </c>
      <c r="C98" s="1" t="n">
        <v>46136</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46136</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54523-2023</t>
        </is>
      </c>
      <c r="B100" s="1" t="n">
        <v>45233</v>
      </c>
      <c r="C100" s="1" t="n">
        <v>46136</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8265-2023</t>
        </is>
      </c>
      <c r="B101" s="1" t="n">
        <v>44974</v>
      </c>
      <c r="C101" s="1" t="n">
        <v>46136</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46136</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46136</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46136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46136</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46136</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20831-2024</t>
        </is>
      </c>
      <c r="B109" s="1" t="n">
        <v>45439</v>
      </c>
      <c r="C109" s="1" t="n">
        <v>46136</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43013-2022</t>
        </is>
      </c>
      <c r="B110" s="1" t="n">
        <v>44833</v>
      </c>
      <c r="C110" s="1" t="n">
        <v>46136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46136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46136</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1520-2026</t>
        </is>
      </c>
      <c r="B113" s="1" t="n">
        <v>46034.35891203704</v>
      </c>
      <c r="C113" s="1" t="n">
        <v>46136</v>
      </c>
      <c r="D113" t="inlineStr">
        <is>
          <t>GOTLANDS LÄN</t>
        </is>
      </c>
      <c r="E113" t="inlineStr">
        <is>
          <t>GOTLAND</t>
        </is>
      </c>
      <c r="G113" t="n">
        <v>7.4</v>
      </c>
      <c r="H113" t="n">
        <v>0</v>
      </c>
      <c r="I113" t="n">
        <v>1</v>
      </c>
      <c r="J113" t="n">
        <v>0</v>
      </c>
      <c r="K113" t="n">
        <v>2</v>
      </c>
      <c r="L113" t="n">
        <v>0</v>
      </c>
      <c r="M113" t="n">
        <v>0</v>
      </c>
      <c r="N113" t="n">
        <v>0</v>
      </c>
      <c r="O113" t="n">
        <v>2</v>
      </c>
      <c r="P113" t="n">
        <v>2</v>
      </c>
      <c r="Q113" t="n">
        <v>3</v>
      </c>
      <c r="R113" s="2" t="inlineStr">
        <is>
          <t>Granrotspindling
Gulsträngad fagerspindling
Brandmusseron</t>
        </is>
      </c>
      <c r="S113">
        <f>HYPERLINK("https://klasma.github.io/Logging_0980/artfynd/A 1520-2026 artfynd.xlsx", "A 1520-2026")</f>
        <v/>
      </c>
      <c r="T113">
        <f>HYPERLINK("https://klasma.github.io/Logging_0980/kartor/A 1520-2026 karta.png", "A 1520-2026")</f>
        <v/>
      </c>
      <c r="V113">
        <f>HYPERLINK("https://klasma.github.io/Logging_0980/klagomål/A 1520-2026 FSC-klagomål.docx", "A 1520-2026")</f>
        <v/>
      </c>
      <c r="W113">
        <f>HYPERLINK("https://klasma.github.io/Logging_0980/klagomålsmail/A 1520-2026 FSC-klagomål mail.docx", "A 1520-2026")</f>
        <v/>
      </c>
      <c r="X113">
        <f>HYPERLINK("https://klasma.github.io/Logging_0980/tillsyn/A 1520-2026 tillsynsbegäran.docx", "A 1520-2026")</f>
        <v/>
      </c>
      <c r="Y113">
        <f>HYPERLINK("https://klasma.github.io/Logging_0980/tillsynsmail/A 1520-2026 tillsynsbegäran mail.docx", "A 1520-2026")</f>
        <v/>
      </c>
    </row>
    <row r="114" ht="15" customHeight="1">
      <c r="A114" t="inlineStr">
        <is>
          <t>A 55334-2024</t>
        </is>
      </c>
      <c r="B114" s="1" t="n">
        <v>45621</v>
      </c>
      <c r="C114" s="1" t="n">
        <v>46136</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46136</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17982-2023</t>
        </is>
      </c>
      <c r="B116" s="1" t="n">
        <v>45040</v>
      </c>
      <c r="C116" s="1" t="n">
        <v>46136</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46136</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46136</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46136</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46136</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46136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46136</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46136</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62760-2025</t>
        </is>
      </c>
      <c r="B126" s="1" t="n">
        <v>46008</v>
      </c>
      <c r="C126" s="1" t="n">
        <v>46136</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46136</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16997-2026</t>
        </is>
      </c>
      <c r="B128" s="1" t="n">
        <v>46114.42539351852</v>
      </c>
      <c r="C128" s="1" t="n">
        <v>46136</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20838-2024</t>
        </is>
      </c>
      <c r="B129" s="1" t="n">
        <v>45439</v>
      </c>
      <c r="C129" s="1" t="n">
        <v>46136</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20429-2025</t>
        </is>
      </c>
      <c r="B130" s="1" t="n">
        <v>45775.47728009259</v>
      </c>
      <c r="C130" s="1" t="n">
        <v>46136</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54357-2024</t>
        </is>
      </c>
      <c r="B131" s="1" t="n">
        <v>45617.40662037037</v>
      </c>
      <c r="C131" s="1" t="n">
        <v>46136</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46136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46136</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46136</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46136</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46136</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46136</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46136</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46136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46136</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46136</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46136</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46136</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26461-2025</t>
        </is>
      </c>
      <c r="B144" s="1" t="n">
        <v>45807.43337962963</v>
      </c>
      <c r="C144" s="1" t="n">
        <v>46136</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65927-2021</t>
        </is>
      </c>
      <c r="B145" s="1" t="n">
        <v>44516</v>
      </c>
      <c r="C145" s="1" t="n">
        <v>46136</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46136</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13482-2026</t>
        </is>
      </c>
      <c r="B147" s="1" t="n">
        <v>46094</v>
      </c>
      <c r="C147" s="1" t="n">
        <v>46136</v>
      </c>
      <c r="D147" t="inlineStr">
        <is>
          <t>GOTLANDS LÄN</t>
        </is>
      </c>
      <c r="E147" t="inlineStr">
        <is>
          <t>GOTLAND</t>
        </is>
      </c>
      <c r="G147" t="n">
        <v>1.7</v>
      </c>
      <c r="H147" t="n">
        <v>1</v>
      </c>
      <c r="I147" t="n">
        <v>0</v>
      </c>
      <c r="J147" t="n">
        <v>1</v>
      </c>
      <c r="K147" t="n">
        <v>0</v>
      </c>
      <c r="L147" t="n">
        <v>0</v>
      </c>
      <c r="M147" t="n">
        <v>0</v>
      </c>
      <c r="N147" t="n">
        <v>0</v>
      </c>
      <c r="O147" t="n">
        <v>1</v>
      </c>
      <c r="P147" t="n">
        <v>0</v>
      </c>
      <c r="Q147" t="n">
        <v>1</v>
      </c>
      <c r="R147" s="2" t="inlineStr">
        <is>
          <t>Spillkråka</t>
        </is>
      </c>
      <c r="S147">
        <f>HYPERLINK("https://klasma.github.io/Logging_0980/artfynd/A 13482-2026 artfynd.xlsx", "A 13482-2026")</f>
        <v/>
      </c>
      <c r="T147">
        <f>HYPERLINK("https://klasma.github.io/Logging_0980/kartor/A 13482-2026 karta.png", "A 13482-2026")</f>
        <v/>
      </c>
      <c r="V147">
        <f>HYPERLINK("https://klasma.github.io/Logging_0980/klagomål/A 13482-2026 FSC-klagomål.docx", "A 13482-2026")</f>
        <v/>
      </c>
      <c r="W147">
        <f>HYPERLINK("https://klasma.github.io/Logging_0980/klagomålsmail/A 13482-2026 FSC-klagomål mail.docx", "A 13482-2026")</f>
        <v/>
      </c>
      <c r="X147">
        <f>HYPERLINK("https://klasma.github.io/Logging_0980/tillsyn/A 13482-2026 tillsynsbegäran.docx", "A 13482-2026")</f>
        <v/>
      </c>
      <c r="Y147">
        <f>HYPERLINK("https://klasma.github.io/Logging_0980/tillsynsmail/A 13482-2026 tillsynsbegäran mail.docx", "A 13482-2026")</f>
        <v/>
      </c>
      <c r="Z147">
        <f>HYPERLINK("https://klasma.github.io/Logging_0980/fåglar/A 13482-2026 prioriterade fågelarter.docx", "A 13482-2026")</f>
        <v/>
      </c>
    </row>
    <row r="148" ht="15" customHeight="1">
      <c r="A148" t="inlineStr">
        <is>
          <t>A 15637-2024</t>
        </is>
      </c>
      <c r="B148" s="1" t="n">
        <v>45403.6684837963</v>
      </c>
      <c r="C148" s="1" t="n">
        <v>46136</v>
      </c>
      <c r="D148" t="inlineStr">
        <is>
          <t>GOTLANDS LÄN</t>
        </is>
      </c>
      <c r="E148" t="inlineStr">
        <is>
          <t>GOTLAND</t>
        </is>
      </c>
      <c r="G148" t="n">
        <v>4.1</v>
      </c>
      <c r="H148" t="n">
        <v>1</v>
      </c>
      <c r="I148" t="n">
        <v>0</v>
      </c>
      <c r="J148" t="n">
        <v>0</v>
      </c>
      <c r="K148" t="n">
        <v>0</v>
      </c>
      <c r="L148" t="n">
        <v>0</v>
      </c>
      <c r="M148" t="n">
        <v>0</v>
      </c>
      <c r="N148" t="n">
        <v>0</v>
      </c>
      <c r="O148" t="n">
        <v>0</v>
      </c>
      <c r="P148" t="n">
        <v>0</v>
      </c>
      <c r="Q148" t="n">
        <v>1</v>
      </c>
      <c r="R148" s="2" t="inlineStr">
        <is>
          <t>Blåsippa</t>
        </is>
      </c>
      <c r="S148">
        <f>HYPERLINK("https://klasma.github.io/Logging_0980/artfynd/A 15637-2024 artfynd.xlsx", "A 15637-2024")</f>
        <v/>
      </c>
      <c r="T148">
        <f>HYPERLINK("https://klasma.github.io/Logging_0980/kartor/A 15637-2024 karta.png", "A 15637-2024")</f>
        <v/>
      </c>
      <c r="V148">
        <f>HYPERLINK("https://klasma.github.io/Logging_0980/klagomål/A 15637-2024 FSC-klagomål.docx", "A 15637-2024")</f>
        <v/>
      </c>
      <c r="W148">
        <f>HYPERLINK("https://klasma.github.io/Logging_0980/klagomålsmail/A 15637-2024 FSC-klagomål mail.docx", "A 15637-2024")</f>
        <v/>
      </c>
      <c r="X148">
        <f>HYPERLINK("https://klasma.github.io/Logging_0980/tillsyn/A 15637-2024 tillsynsbegäran.docx", "A 15637-2024")</f>
        <v/>
      </c>
      <c r="Y148">
        <f>HYPERLINK("https://klasma.github.io/Logging_0980/tillsynsmail/A 15637-2024 tillsynsbegäran mail.docx", "A 15637-2024")</f>
        <v/>
      </c>
    </row>
    <row r="149" ht="15" customHeight="1">
      <c r="A149" t="inlineStr">
        <is>
          <t>A 39812-2025</t>
        </is>
      </c>
      <c r="B149" s="1" t="n">
        <v>45891</v>
      </c>
      <c r="C149" s="1" t="n">
        <v>46136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34141-2024</t>
        </is>
      </c>
      <c r="B150" s="1" t="n">
        <v>45524.36229166666</v>
      </c>
      <c r="C150" s="1" t="n">
        <v>46136</v>
      </c>
      <c r="D150" t="inlineStr">
        <is>
          <t>GOTLANDS LÄN</t>
        </is>
      </c>
      <c r="E150" t="inlineStr">
        <is>
          <t>GOTLAND</t>
        </is>
      </c>
      <c r="G150" t="n">
        <v>0.9</v>
      </c>
      <c r="H150" t="n">
        <v>0</v>
      </c>
      <c r="I150" t="n">
        <v>1</v>
      </c>
      <c r="J150" t="n">
        <v>0</v>
      </c>
      <c r="K150" t="n">
        <v>0</v>
      </c>
      <c r="L150" t="n">
        <v>0</v>
      </c>
      <c r="M150" t="n">
        <v>0</v>
      </c>
      <c r="N150" t="n">
        <v>0</v>
      </c>
      <c r="O150" t="n">
        <v>0</v>
      </c>
      <c r="P150" t="n">
        <v>0</v>
      </c>
      <c r="Q150" t="n">
        <v>1</v>
      </c>
      <c r="R150" s="2" t="inlineStr">
        <is>
          <t>Strävlosta</t>
        </is>
      </c>
      <c r="S150">
        <f>HYPERLINK("https://klasma.github.io/Logging_0980/artfynd/A 34141-2024 artfynd.xlsx", "A 34141-2024")</f>
        <v/>
      </c>
      <c r="T150">
        <f>HYPERLINK("https://klasma.github.io/Logging_0980/kartor/A 34141-2024 karta.png", "A 34141-2024")</f>
        <v/>
      </c>
      <c r="V150">
        <f>HYPERLINK("https://klasma.github.io/Logging_0980/klagomål/A 34141-2024 FSC-klagomål.docx", "A 34141-2024")</f>
        <v/>
      </c>
      <c r="W150">
        <f>HYPERLINK("https://klasma.github.io/Logging_0980/klagomålsmail/A 34141-2024 FSC-klagomål mail.docx", "A 34141-2024")</f>
        <v/>
      </c>
      <c r="X150">
        <f>HYPERLINK("https://klasma.github.io/Logging_0980/tillsyn/A 34141-2024 tillsynsbegäran.docx", "A 34141-2024")</f>
        <v/>
      </c>
      <c r="Y150">
        <f>HYPERLINK("https://klasma.github.io/Logging_0980/tillsynsmail/A 34141-2024 tillsynsbegäran mail.docx", "A 34141-2024")</f>
        <v/>
      </c>
    </row>
    <row r="151" ht="15" customHeight="1">
      <c r="A151" t="inlineStr">
        <is>
          <t>A 9862-2024</t>
        </is>
      </c>
      <c r="B151" s="1" t="n">
        <v>45363</v>
      </c>
      <c r="C151" s="1" t="n">
        <v>46136</v>
      </c>
      <c r="D151" t="inlineStr">
        <is>
          <t>GOTLANDS LÄN</t>
        </is>
      </c>
      <c r="E151" t="inlineStr">
        <is>
          <t>GOTLAND</t>
        </is>
      </c>
      <c r="G151" t="n">
        <v>3.5</v>
      </c>
      <c r="H151" t="n">
        <v>1</v>
      </c>
      <c r="I151" t="n">
        <v>0</v>
      </c>
      <c r="J151" t="n">
        <v>0</v>
      </c>
      <c r="K151" t="n">
        <v>0</v>
      </c>
      <c r="L151" t="n">
        <v>0</v>
      </c>
      <c r="M151" t="n">
        <v>0</v>
      </c>
      <c r="N151" t="n">
        <v>0</v>
      </c>
      <c r="O151" t="n">
        <v>0</v>
      </c>
      <c r="P151" t="n">
        <v>0</v>
      </c>
      <c r="Q151" t="n">
        <v>1</v>
      </c>
      <c r="R151" s="2" t="inlineStr">
        <is>
          <t>Nattviol</t>
        </is>
      </c>
      <c r="S151">
        <f>HYPERLINK("https://klasma.github.io/Logging_0980/artfynd/A 9862-2024 artfynd.xlsx", "A 9862-2024")</f>
        <v/>
      </c>
      <c r="T151">
        <f>HYPERLINK("https://klasma.github.io/Logging_0980/kartor/A 9862-2024 karta.png", "A 9862-2024")</f>
        <v/>
      </c>
      <c r="V151">
        <f>HYPERLINK("https://klasma.github.io/Logging_0980/klagomål/A 9862-2024 FSC-klagomål.docx", "A 9862-2024")</f>
        <v/>
      </c>
      <c r="W151">
        <f>HYPERLINK("https://klasma.github.io/Logging_0980/klagomålsmail/A 9862-2024 FSC-klagomål mail.docx", "A 9862-2024")</f>
        <v/>
      </c>
      <c r="X151">
        <f>HYPERLINK("https://klasma.github.io/Logging_0980/tillsyn/A 9862-2024 tillsynsbegäran.docx", "A 9862-2024")</f>
        <v/>
      </c>
      <c r="Y151">
        <f>HYPERLINK("https://klasma.github.io/Logging_0980/tillsynsmail/A 9862-2024 tillsynsbegäran mail.docx", "A 9862-2024")</f>
        <v/>
      </c>
    </row>
    <row r="152" ht="15" customHeight="1">
      <c r="A152" t="inlineStr">
        <is>
          <t>A 2476-2025</t>
        </is>
      </c>
      <c r="B152" s="1" t="n">
        <v>45673</v>
      </c>
      <c r="C152" s="1" t="n">
        <v>46136</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10995-2023</t>
        </is>
      </c>
      <c r="B153" s="1" t="n">
        <v>44986</v>
      </c>
      <c r="C153" s="1" t="n">
        <v>46136</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63149-2025</t>
        </is>
      </c>
      <c r="B154" s="1" t="n">
        <v>46010</v>
      </c>
      <c r="C154" s="1" t="n">
        <v>46136</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Anisspindling</t>
        </is>
      </c>
      <c r="S154">
        <f>HYPERLINK("https://klasma.github.io/Logging_0980/artfynd/A 63149-2025 artfynd.xlsx", "A 63149-2025")</f>
        <v/>
      </c>
      <c r="T154">
        <f>HYPERLINK("https://klasma.github.io/Logging_0980/kartor/A 63149-2025 karta.png", "A 63149-2025")</f>
        <v/>
      </c>
      <c r="V154">
        <f>HYPERLINK("https://klasma.github.io/Logging_0980/klagomål/A 63149-2025 FSC-klagomål.docx", "A 63149-2025")</f>
        <v/>
      </c>
      <c r="W154">
        <f>HYPERLINK("https://klasma.github.io/Logging_0980/klagomålsmail/A 63149-2025 FSC-klagomål mail.docx", "A 63149-2025")</f>
        <v/>
      </c>
      <c r="X154">
        <f>HYPERLINK("https://klasma.github.io/Logging_0980/tillsyn/A 63149-2025 tillsynsbegäran.docx", "A 63149-2025")</f>
        <v/>
      </c>
      <c r="Y154">
        <f>HYPERLINK("https://klasma.github.io/Logging_0980/tillsynsmail/A 63149-2025 tillsynsbegäran mail.docx", "A 63149-2025")</f>
        <v/>
      </c>
    </row>
    <row r="155" ht="15" customHeight="1">
      <c r="A155" t="inlineStr">
        <is>
          <t>A 10013-2026</t>
        </is>
      </c>
      <c r="B155" s="1" t="n">
        <v>46073</v>
      </c>
      <c r="C155" s="1" t="n">
        <v>46136</v>
      </c>
      <c r="D155" t="inlineStr">
        <is>
          <t>GOTLANDS LÄN</t>
        </is>
      </c>
      <c r="E155" t="inlineStr">
        <is>
          <t>GOTLAND</t>
        </is>
      </c>
      <c r="G155" t="n">
        <v>10.5</v>
      </c>
      <c r="H155" t="n">
        <v>0</v>
      </c>
      <c r="I155" t="n">
        <v>0</v>
      </c>
      <c r="J155" t="n">
        <v>0</v>
      </c>
      <c r="K155" t="n">
        <v>1</v>
      </c>
      <c r="L155" t="n">
        <v>0</v>
      </c>
      <c r="M155" t="n">
        <v>0</v>
      </c>
      <c r="N155" t="n">
        <v>0</v>
      </c>
      <c r="O155" t="n">
        <v>1</v>
      </c>
      <c r="P155" t="n">
        <v>1</v>
      </c>
      <c r="Q155" t="n">
        <v>1</v>
      </c>
      <c r="R155" s="2" t="inlineStr">
        <is>
          <t>Skogskorn</t>
        </is>
      </c>
      <c r="S155">
        <f>HYPERLINK("https://klasma.github.io/Logging_0980/artfynd/A 10013-2026 artfynd.xlsx", "A 10013-2026")</f>
        <v/>
      </c>
      <c r="T155">
        <f>HYPERLINK("https://klasma.github.io/Logging_0980/kartor/A 10013-2026 karta.png", "A 10013-2026")</f>
        <v/>
      </c>
      <c r="V155">
        <f>HYPERLINK("https://klasma.github.io/Logging_0980/klagomål/A 10013-2026 FSC-klagomål.docx", "A 10013-2026")</f>
        <v/>
      </c>
      <c r="W155">
        <f>HYPERLINK("https://klasma.github.io/Logging_0980/klagomålsmail/A 10013-2026 FSC-klagomål mail.docx", "A 10013-2026")</f>
        <v/>
      </c>
      <c r="X155">
        <f>HYPERLINK("https://klasma.github.io/Logging_0980/tillsyn/A 10013-2026 tillsynsbegäran.docx", "A 10013-2026")</f>
        <v/>
      </c>
      <c r="Y155">
        <f>HYPERLINK("https://klasma.github.io/Logging_0980/tillsynsmail/A 10013-2026 tillsynsbegäran mail.docx", "A 10013-2026")</f>
        <v/>
      </c>
    </row>
    <row r="156" ht="15" customHeight="1">
      <c r="A156" t="inlineStr">
        <is>
          <t>A 62552-2022</t>
        </is>
      </c>
      <c r="B156" s="1" t="n">
        <v>44924</v>
      </c>
      <c r="C156" s="1" t="n">
        <v>46136</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12924-2025</t>
        </is>
      </c>
      <c r="B157" s="1" t="n">
        <v>45734</v>
      </c>
      <c r="C157" s="1" t="n">
        <v>46136</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44088-2022</t>
        </is>
      </c>
      <c r="B158" s="1" t="n">
        <v>44839</v>
      </c>
      <c r="C158" s="1" t="n">
        <v>46136</v>
      </c>
      <c r="D158" t="inlineStr">
        <is>
          <t>GOTLANDS LÄN</t>
        </is>
      </c>
      <c r="E158" t="inlineStr">
        <is>
          <t>GOTLAND</t>
        </is>
      </c>
      <c r="G158" t="n">
        <v>1.5</v>
      </c>
      <c r="H158" t="n">
        <v>0</v>
      </c>
      <c r="I158" t="n">
        <v>1</v>
      </c>
      <c r="J158" t="n">
        <v>0</v>
      </c>
      <c r="K158" t="n">
        <v>0</v>
      </c>
      <c r="L158" t="n">
        <v>0</v>
      </c>
      <c r="M158" t="n">
        <v>0</v>
      </c>
      <c r="N158" t="n">
        <v>0</v>
      </c>
      <c r="O158" t="n">
        <v>0</v>
      </c>
      <c r="P158" t="n">
        <v>0</v>
      </c>
      <c r="Q158" t="n">
        <v>1</v>
      </c>
      <c r="R158" s="2" t="inlineStr">
        <is>
          <t>Strävlosta</t>
        </is>
      </c>
      <c r="S158">
        <f>HYPERLINK("https://klasma.github.io/Logging_0980/artfynd/A 44088-2022 artfynd.xlsx", "A 44088-2022")</f>
        <v/>
      </c>
      <c r="T158">
        <f>HYPERLINK("https://klasma.github.io/Logging_0980/kartor/A 44088-2022 karta.png", "A 44088-2022")</f>
        <v/>
      </c>
      <c r="V158">
        <f>HYPERLINK("https://klasma.github.io/Logging_0980/klagomål/A 44088-2022 FSC-klagomål.docx", "A 44088-2022")</f>
        <v/>
      </c>
      <c r="W158">
        <f>HYPERLINK("https://klasma.github.io/Logging_0980/klagomålsmail/A 44088-2022 FSC-klagomål mail.docx", "A 44088-2022")</f>
        <v/>
      </c>
      <c r="X158">
        <f>HYPERLINK("https://klasma.github.io/Logging_0980/tillsyn/A 44088-2022 tillsynsbegäran.docx", "A 44088-2022")</f>
        <v/>
      </c>
      <c r="Y158">
        <f>HYPERLINK("https://klasma.github.io/Logging_0980/tillsynsmail/A 44088-2022 tillsynsbegäran mail.docx", "A 44088-2022")</f>
        <v/>
      </c>
    </row>
    <row r="159" ht="15" customHeight="1">
      <c r="A159" t="inlineStr">
        <is>
          <t>A 17854-2026</t>
        </is>
      </c>
      <c r="B159" s="1" t="n">
        <v>46121</v>
      </c>
      <c r="C159" s="1" t="n">
        <v>46136</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46136</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11708-2026</t>
        </is>
      </c>
      <c r="B161" s="1" t="n">
        <v>46084</v>
      </c>
      <c r="C161" s="1" t="n">
        <v>46136</v>
      </c>
      <c r="D161" t="inlineStr">
        <is>
          <t>GOTLANDS LÄN</t>
        </is>
      </c>
      <c r="E161" t="inlineStr">
        <is>
          <t>GOTLAND</t>
        </is>
      </c>
      <c r="G161" t="n">
        <v>8.4</v>
      </c>
      <c r="H161" t="n">
        <v>1</v>
      </c>
      <c r="I161" t="n">
        <v>0</v>
      </c>
      <c r="J161" t="n">
        <v>1</v>
      </c>
      <c r="K161" t="n">
        <v>0</v>
      </c>
      <c r="L161" t="n">
        <v>0</v>
      </c>
      <c r="M161" t="n">
        <v>0</v>
      </c>
      <c r="N161" t="n">
        <v>0</v>
      </c>
      <c r="O161" t="n">
        <v>1</v>
      </c>
      <c r="P161" t="n">
        <v>0</v>
      </c>
      <c r="Q161" t="n">
        <v>1</v>
      </c>
      <c r="R161" s="2" t="inlineStr">
        <is>
          <t>Bredarun</t>
        </is>
      </c>
      <c r="S161">
        <f>HYPERLINK("https://klasma.github.io/Logging_0980/artfynd/A 11708-2026 artfynd.xlsx", "A 11708-2026")</f>
        <v/>
      </c>
      <c r="T161">
        <f>HYPERLINK("https://klasma.github.io/Logging_0980/kartor/A 11708-2026 karta.png", "A 11708-2026")</f>
        <v/>
      </c>
      <c r="V161">
        <f>HYPERLINK("https://klasma.github.io/Logging_0980/klagomål/A 11708-2026 FSC-klagomål.docx", "A 11708-2026")</f>
        <v/>
      </c>
      <c r="W161">
        <f>HYPERLINK("https://klasma.github.io/Logging_0980/klagomålsmail/A 11708-2026 FSC-klagomål mail.docx", "A 11708-2026")</f>
        <v/>
      </c>
      <c r="X161">
        <f>HYPERLINK("https://klasma.github.io/Logging_0980/tillsyn/A 11708-2026 tillsynsbegäran.docx", "A 11708-2026")</f>
        <v/>
      </c>
      <c r="Y161">
        <f>HYPERLINK("https://klasma.github.io/Logging_0980/tillsynsmail/A 11708-2026 tillsynsbegäran mail.docx", "A 11708-2026")</f>
        <v/>
      </c>
    </row>
    <row r="162" ht="15" customHeight="1">
      <c r="A162" t="inlineStr">
        <is>
          <t>A 44308-2021</t>
        </is>
      </c>
      <c r="B162" s="1" t="n">
        <v>44434</v>
      </c>
      <c r="C162" s="1" t="n">
        <v>46136</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35467-2021</t>
        </is>
      </c>
      <c r="B163" s="1" t="n">
        <v>44385</v>
      </c>
      <c r="C163" s="1" t="n">
        <v>46136</v>
      </c>
      <c r="D163" t="inlineStr">
        <is>
          <t>GOTLANDS LÄN</t>
        </is>
      </c>
      <c r="E163" t="inlineStr">
        <is>
          <t>GOTLAND</t>
        </is>
      </c>
      <c r="G163" t="n">
        <v>12.7</v>
      </c>
      <c r="H163" t="n">
        <v>0</v>
      </c>
      <c r="I163" t="n">
        <v>0</v>
      </c>
      <c r="J163" t="n">
        <v>1</v>
      </c>
      <c r="K163" t="n">
        <v>0</v>
      </c>
      <c r="L163" t="n">
        <v>0</v>
      </c>
      <c r="M163" t="n">
        <v>0</v>
      </c>
      <c r="N163" t="n">
        <v>0</v>
      </c>
      <c r="O163" t="n">
        <v>1</v>
      </c>
      <c r="P163" t="n">
        <v>0</v>
      </c>
      <c r="Q163" t="n">
        <v>1</v>
      </c>
      <c r="R163" s="2" t="inlineStr">
        <is>
          <t>Loppstarr</t>
        </is>
      </c>
      <c r="S163">
        <f>HYPERLINK("https://klasma.github.io/Logging_0980/artfynd/A 35467-2021 artfynd.xlsx", "A 35467-2021")</f>
        <v/>
      </c>
      <c r="T163">
        <f>HYPERLINK("https://klasma.github.io/Logging_0980/kartor/A 35467-2021 karta.png", "A 35467-2021")</f>
        <v/>
      </c>
      <c r="V163">
        <f>HYPERLINK("https://klasma.github.io/Logging_0980/klagomål/A 35467-2021 FSC-klagomål.docx", "A 35467-2021")</f>
        <v/>
      </c>
      <c r="W163">
        <f>HYPERLINK("https://klasma.github.io/Logging_0980/klagomålsmail/A 35467-2021 FSC-klagomål mail.docx", "A 35467-2021")</f>
        <v/>
      </c>
      <c r="X163">
        <f>HYPERLINK("https://klasma.github.io/Logging_0980/tillsyn/A 35467-2021 tillsynsbegäran.docx", "A 35467-2021")</f>
        <v/>
      </c>
      <c r="Y163">
        <f>HYPERLINK("https://klasma.github.io/Logging_0980/tillsynsmail/A 35467-2021 tillsynsbegäran mail.docx", "A 35467-2021")</f>
        <v/>
      </c>
    </row>
    <row r="164" ht="15" customHeight="1">
      <c r="A164" t="inlineStr">
        <is>
          <t>A 447-2023</t>
        </is>
      </c>
      <c r="B164" s="1" t="n">
        <v>44929</v>
      </c>
      <c r="C164" s="1" t="n">
        <v>46136</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44619-2025</t>
        </is>
      </c>
      <c r="B165" s="1" t="n">
        <v>45917</v>
      </c>
      <c r="C165" s="1" t="n">
        <v>46136</v>
      </c>
      <c r="D165" t="inlineStr">
        <is>
          <t>GOTLANDS LÄN</t>
        </is>
      </c>
      <c r="E165" t="inlineStr">
        <is>
          <t>GOTLAND</t>
        </is>
      </c>
      <c r="G165" t="n">
        <v>4.3</v>
      </c>
      <c r="H165" t="n">
        <v>0</v>
      </c>
      <c r="I165" t="n">
        <v>1</v>
      </c>
      <c r="J165" t="n">
        <v>0</v>
      </c>
      <c r="K165" t="n">
        <v>0</v>
      </c>
      <c r="L165" t="n">
        <v>0</v>
      </c>
      <c r="M165" t="n">
        <v>0</v>
      </c>
      <c r="N165" t="n">
        <v>0</v>
      </c>
      <c r="O165" t="n">
        <v>0</v>
      </c>
      <c r="P165" t="n">
        <v>0</v>
      </c>
      <c r="Q165" t="n">
        <v>1</v>
      </c>
      <c r="R165" s="2" t="inlineStr">
        <is>
          <t>Ögonpyrola</t>
        </is>
      </c>
      <c r="S165">
        <f>HYPERLINK("https://klasma.github.io/Logging_0980/artfynd/A 44619-2025 artfynd.xlsx", "A 44619-2025")</f>
        <v/>
      </c>
      <c r="T165">
        <f>HYPERLINK("https://klasma.github.io/Logging_0980/kartor/A 44619-2025 karta.png", "A 44619-2025")</f>
        <v/>
      </c>
      <c r="V165">
        <f>HYPERLINK("https://klasma.github.io/Logging_0980/klagomål/A 44619-2025 FSC-klagomål.docx", "A 44619-2025")</f>
        <v/>
      </c>
      <c r="W165">
        <f>HYPERLINK("https://klasma.github.io/Logging_0980/klagomålsmail/A 44619-2025 FSC-klagomål mail.docx", "A 44619-2025")</f>
        <v/>
      </c>
      <c r="X165">
        <f>HYPERLINK("https://klasma.github.io/Logging_0980/tillsyn/A 44619-2025 tillsynsbegäran.docx", "A 44619-2025")</f>
        <v/>
      </c>
      <c r="Y165">
        <f>HYPERLINK("https://klasma.github.io/Logging_0980/tillsynsmail/A 44619-2025 tillsynsbegäran mail.docx", "A 44619-2025")</f>
        <v/>
      </c>
    </row>
    <row r="166" ht="15" customHeight="1">
      <c r="A166" t="inlineStr">
        <is>
          <t>A 947-2023</t>
        </is>
      </c>
      <c r="B166" s="1" t="n">
        <v>44934</v>
      </c>
      <c r="C166" s="1" t="n">
        <v>46136</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46136</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46136</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46136</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49726-2025</t>
        </is>
      </c>
      <c r="B170" s="1" t="n">
        <v>45939.84466435185</v>
      </c>
      <c r="C170" s="1" t="n">
        <v>46136</v>
      </c>
      <c r="D170" t="inlineStr">
        <is>
          <t>GOTLANDS LÄN</t>
        </is>
      </c>
      <c r="E170" t="inlineStr">
        <is>
          <t>GOTLAND</t>
        </is>
      </c>
      <c r="F170" t="inlineStr">
        <is>
          <t>Kyrkan</t>
        </is>
      </c>
      <c r="G170" t="n">
        <v>5.4</v>
      </c>
      <c r="H170" t="n">
        <v>0</v>
      </c>
      <c r="I170" t="n">
        <v>0</v>
      </c>
      <c r="J170" t="n">
        <v>1</v>
      </c>
      <c r="K170" t="n">
        <v>0</v>
      </c>
      <c r="L170" t="n">
        <v>0</v>
      </c>
      <c r="M170" t="n">
        <v>0</v>
      </c>
      <c r="N170" t="n">
        <v>0</v>
      </c>
      <c r="O170" t="n">
        <v>1</v>
      </c>
      <c r="P170" t="n">
        <v>0</v>
      </c>
      <c r="Q170" t="n">
        <v>1</v>
      </c>
      <c r="R170" s="2" t="inlineStr">
        <is>
          <t>Odörspindling</t>
        </is>
      </c>
      <c r="S170">
        <f>HYPERLINK("https://klasma.github.io/Logging_0980/artfynd/A 49726-2025 artfynd.xlsx", "A 49726-2025")</f>
        <v/>
      </c>
      <c r="T170">
        <f>HYPERLINK("https://klasma.github.io/Logging_0980/kartor/A 49726-2025 karta.png", "A 49726-2025")</f>
        <v/>
      </c>
      <c r="V170">
        <f>HYPERLINK("https://klasma.github.io/Logging_0980/klagomål/A 49726-2025 FSC-klagomål.docx", "A 49726-2025")</f>
        <v/>
      </c>
      <c r="W170">
        <f>HYPERLINK("https://klasma.github.io/Logging_0980/klagomålsmail/A 49726-2025 FSC-klagomål mail.docx", "A 49726-2025")</f>
        <v/>
      </c>
      <c r="X170">
        <f>HYPERLINK("https://klasma.github.io/Logging_0980/tillsyn/A 49726-2025 tillsynsbegäran.docx", "A 49726-2025")</f>
        <v/>
      </c>
      <c r="Y170">
        <f>HYPERLINK("https://klasma.github.io/Logging_0980/tillsynsmail/A 49726-2025 tillsynsbegäran mail.docx", "A 49726-2025")</f>
        <v/>
      </c>
    </row>
    <row r="171" ht="15" customHeight="1">
      <c r="A171" t="inlineStr">
        <is>
          <t>A 27589-2023</t>
        </is>
      </c>
      <c r="B171" s="1" t="n">
        <v>45097</v>
      </c>
      <c r="C171" s="1" t="n">
        <v>46136</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46136</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46136</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46136</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46136</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46136</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46136</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46136</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46136</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46136</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46136</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46136</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46136</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46136</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46136</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46136</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46136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46136</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46136</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46136</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46136</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46136</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46136</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46136</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46136</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46136</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46136</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46136</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46136</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46136</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46136</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19447-2021</t>
        </is>
      </c>
      <c r="B202" s="1" t="n">
        <v>44310.72780092592</v>
      </c>
      <c r="C202" s="1" t="n">
        <v>46136</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46136</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46136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46136</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46136</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46136</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46136</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46136</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22155-2021</t>
        </is>
      </c>
      <c r="B210" s="1" t="n">
        <v>44325.49369212963</v>
      </c>
      <c r="C210" s="1" t="n">
        <v>46136</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71010-2021</t>
        </is>
      </c>
      <c r="B211" s="1" t="n">
        <v>44538.63775462963</v>
      </c>
      <c r="C211" s="1" t="n">
        <v>46136</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22495-2022</t>
        </is>
      </c>
      <c r="B212" s="1" t="n">
        <v>44713.6452199074</v>
      </c>
      <c r="C212" s="1" t="n">
        <v>46136</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46136</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46136</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46136</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46136</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23910-2021</t>
        </is>
      </c>
      <c r="B217" s="1" t="n">
        <v>44335</v>
      </c>
      <c r="C217" s="1" t="n">
        <v>46136</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17354-2022</t>
        </is>
      </c>
      <c r="B218" s="1" t="n">
        <v>44678</v>
      </c>
      <c r="C218" s="1" t="n">
        <v>46136</v>
      </c>
      <c r="D218" t="inlineStr">
        <is>
          <t>GOTLANDS LÄN</t>
        </is>
      </c>
      <c r="E218" t="inlineStr">
        <is>
          <t>GOTLAND</t>
        </is>
      </c>
      <c r="G218" t="n">
        <v>7.1</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46136</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46136</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13498-2022</t>
        </is>
      </c>
      <c r="B221" s="1" t="n">
        <v>44647.78866898148</v>
      </c>
      <c r="C221" s="1" t="n">
        <v>46136</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13500-2022</t>
        </is>
      </c>
      <c r="B222" s="1" t="n">
        <v>44647.79513888889</v>
      </c>
      <c r="C222" s="1" t="n">
        <v>46136</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57219-2021</t>
        </is>
      </c>
      <c r="B223" s="1" t="n">
        <v>44483</v>
      </c>
      <c r="C223" s="1" t="n">
        <v>46136</v>
      </c>
      <c r="D223" t="inlineStr">
        <is>
          <t>GOTLANDS LÄN</t>
        </is>
      </c>
      <c r="E223" t="inlineStr">
        <is>
          <t>GOTLAND</t>
        </is>
      </c>
      <c r="F223" t="inlineStr">
        <is>
          <t>Kyrkan</t>
        </is>
      </c>
      <c r="G223" t="n">
        <v>4</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30282-2022</t>
        </is>
      </c>
      <c r="B225" s="1" t="n">
        <v>44760</v>
      </c>
      <c r="C225" s="1" t="n">
        <v>46136</v>
      </c>
      <c r="D225" t="inlineStr">
        <is>
          <t>GOTLANDS LÄN</t>
        </is>
      </c>
      <c r="E225" t="inlineStr">
        <is>
          <t>GOTLAND</t>
        </is>
      </c>
      <c r="G225" t="n">
        <v>2.6</v>
      </c>
      <c r="H225" t="n">
        <v>0</v>
      </c>
      <c r="I225" t="n">
        <v>0</v>
      </c>
      <c r="J225" t="n">
        <v>0</v>
      </c>
      <c r="K225" t="n">
        <v>0</v>
      </c>
      <c r="L225" t="n">
        <v>0</v>
      </c>
      <c r="M225" t="n">
        <v>0</v>
      </c>
      <c r="N225" t="n">
        <v>0</v>
      </c>
      <c r="O225" t="n">
        <v>0</v>
      </c>
      <c r="P225" t="n">
        <v>0</v>
      </c>
      <c r="Q225" t="n">
        <v>0</v>
      </c>
      <c r="R225" s="2" t="inlineStr"/>
    </row>
    <row r="226" ht="15" customHeight="1">
      <c r="A226" t="inlineStr">
        <is>
          <t>A 4868-2024</t>
        </is>
      </c>
      <c r="B226" s="1" t="n">
        <v>45329</v>
      </c>
      <c r="C226" s="1" t="n">
        <v>46136</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46136</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9613-2025</t>
        </is>
      </c>
      <c r="B228" s="1" t="n">
        <v>45715</v>
      </c>
      <c r="C228" s="1" t="n">
        <v>46136</v>
      </c>
      <c r="D228" t="inlineStr">
        <is>
          <t>GOTLANDS LÄN</t>
        </is>
      </c>
      <c r="E228" t="inlineStr">
        <is>
          <t>GOTLAND</t>
        </is>
      </c>
      <c r="G228" t="n">
        <v>3.5</v>
      </c>
      <c r="H228" t="n">
        <v>0</v>
      </c>
      <c r="I228" t="n">
        <v>0</v>
      </c>
      <c r="J228" t="n">
        <v>0</v>
      </c>
      <c r="K228" t="n">
        <v>0</v>
      </c>
      <c r="L228" t="n">
        <v>0</v>
      </c>
      <c r="M228" t="n">
        <v>0</v>
      </c>
      <c r="N228" t="n">
        <v>0</v>
      </c>
      <c r="O228" t="n">
        <v>0</v>
      </c>
      <c r="P228" t="n">
        <v>0</v>
      </c>
      <c r="Q228" t="n">
        <v>0</v>
      </c>
      <c r="R228" s="2" t="inlineStr"/>
    </row>
    <row r="229" ht="15" customHeight="1">
      <c r="A229" t="inlineStr">
        <is>
          <t>A 5751-2024</t>
        </is>
      </c>
      <c r="B229" s="1" t="n">
        <v>45335.32702546296</v>
      </c>
      <c r="C229" s="1" t="n">
        <v>46136</v>
      </c>
      <c r="D229" t="inlineStr">
        <is>
          <t>GOTLANDS LÄN</t>
        </is>
      </c>
      <c r="E229" t="inlineStr">
        <is>
          <t>GOTLAND</t>
        </is>
      </c>
      <c r="G229" t="n">
        <v>4.2</v>
      </c>
      <c r="H229" t="n">
        <v>0</v>
      </c>
      <c r="I229" t="n">
        <v>0</v>
      </c>
      <c r="J229" t="n">
        <v>0</v>
      </c>
      <c r="K229" t="n">
        <v>0</v>
      </c>
      <c r="L229" t="n">
        <v>0</v>
      </c>
      <c r="M229" t="n">
        <v>0</v>
      </c>
      <c r="N229" t="n">
        <v>0</v>
      </c>
      <c r="O229" t="n">
        <v>0</v>
      </c>
      <c r="P229" t="n">
        <v>0</v>
      </c>
      <c r="Q229" t="n">
        <v>0</v>
      </c>
      <c r="R229" s="2" t="inlineStr"/>
    </row>
    <row r="230" ht="15" customHeight="1">
      <c r="A230" t="inlineStr">
        <is>
          <t>A 24966-2023</t>
        </is>
      </c>
      <c r="B230" s="1" t="n">
        <v>45085</v>
      </c>
      <c r="C230" s="1" t="n">
        <v>46136</v>
      </c>
      <c r="D230" t="inlineStr">
        <is>
          <t>GOTLANDS LÄN</t>
        </is>
      </c>
      <c r="E230" t="inlineStr">
        <is>
          <t>GOTLAND</t>
        </is>
      </c>
      <c r="G230" t="n">
        <v>7</v>
      </c>
      <c r="H230" t="n">
        <v>0</v>
      </c>
      <c r="I230" t="n">
        <v>0</v>
      </c>
      <c r="J230" t="n">
        <v>0</v>
      </c>
      <c r="K230" t="n">
        <v>0</v>
      </c>
      <c r="L230" t="n">
        <v>0</v>
      </c>
      <c r="M230" t="n">
        <v>0</v>
      </c>
      <c r="N230" t="n">
        <v>0</v>
      </c>
      <c r="O230" t="n">
        <v>0</v>
      </c>
      <c r="P230" t="n">
        <v>0</v>
      </c>
      <c r="Q230" t="n">
        <v>0</v>
      </c>
      <c r="R230" s="2" t="inlineStr"/>
    </row>
    <row r="231" ht="15" customHeight="1">
      <c r="A231" t="inlineStr">
        <is>
          <t>A 46189-2022</t>
        </is>
      </c>
      <c r="B231" s="1" t="n">
        <v>44847</v>
      </c>
      <c r="C231" s="1" t="n">
        <v>46136</v>
      </c>
      <c r="D231" t="inlineStr">
        <is>
          <t>GOTLANDS LÄN</t>
        </is>
      </c>
      <c r="E231" t="inlineStr">
        <is>
          <t>GOTLAND</t>
        </is>
      </c>
      <c r="G231" t="n">
        <v>0.4</v>
      </c>
      <c r="H231" t="n">
        <v>0</v>
      </c>
      <c r="I231" t="n">
        <v>0</v>
      </c>
      <c r="J231" t="n">
        <v>0</v>
      </c>
      <c r="K231" t="n">
        <v>0</v>
      </c>
      <c r="L231" t="n">
        <v>0</v>
      </c>
      <c r="M231" t="n">
        <v>0</v>
      </c>
      <c r="N231" t="n">
        <v>0</v>
      </c>
      <c r="O231" t="n">
        <v>0</v>
      </c>
      <c r="P231" t="n">
        <v>0</v>
      </c>
      <c r="Q231" t="n">
        <v>0</v>
      </c>
      <c r="R231" s="2" t="inlineStr"/>
    </row>
    <row r="232" ht="15" customHeight="1">
      <c r="A232" t="inlineStr">
        <is>
          <t>A 15595-2024</t>
        </is>
      </c>
      <c r="B232" s="1" t="n">
        <v>45401.81480324074</v>
      </c>
      <c r="C232" s="1" t="n">
        <v>46136</v>
      </c>
      <c r="D232" t="inlineStr">
        <is>
          <t>GOTLANDS LÄN</t>
        </is>
      </c>
      <c r="E232" t="inlineStr">
        <is>
          <t>GOTLAND</t>
        </is>
      </c>
      <c r="G232" t="n">
        <v>6.4</v>
      </c>
      <c r="H232" t="n">
        <v>0</v>
      </c>
      <c r="I232" t="n">
        <v>0</v>
      </c>
      <c r="J232" t="n">
        <v>0</v>
      </c>
      <c r="K232" t="n">
        <v>0</v>
      </c>
      <c r="L232" t="n">
        <v>0</v>
      </c>
      <c r="M232" t="n">
        <v>0</v>
      </c>
      <c r="N232" t="n">
        <v>0</v>
      </c>
      <c r="O232" t="n">
        <v>0</v>
      </c>
      <c r="P232" t="n">
        <v>0</v>
      </c>
      <c r="Q232" t="n">
        <v>0</v>
      </c>
      <c r="R232" s="2" t="inlineStr"/>
    </row>
    <row r="233" ht="15" customHeight="1">
      <c r="A233" t="inlineStr">
        <is>
          <t>A 22031-2024</t>
        </is>
      </c>
      <c r="B233" s="1" t="n">
        <v>45443.60075231481</v>
      </c>
      <c r="C233" s="1" t="n">
        <v>46136</v>
      </c>
      <c r="D233" t="inlineStr">
        <is>
          <t>GOTLANDS LÄN</t>
        </is>
      </c>
      <c r="E233" t="inlineStr">
        <is>
          <t>GOTLAND</t>
        </is>
      </c>
      <c r="G233" t="n">
        <v>2.3</v>
      </c>
      <c r="H233" t="n">
        <v>0</v>
      </c>
      <c r="I233" t="n">
        <v>0</v>
      </c>
      <c r="J233" t="n">
        <v>0</v>
      </c>
      <c r="K233" t="n">
        <v>0</v>
      </c>
      <c r="L233" t="n">
        <v>0</v>
      </c>
      <c r="M233" t="n">
        <v>0</v>
      </c>
      <c r="N233" t="n">
        <v>0</v>
      </c>
      <c r="O233" t="n">
        <v>0</v>
      </c>
      <c r="P233" t="n">
        <v>0</v>
      </c>
      <c r="Q233" t="n">
        <v>0</v>
      </c>
      <c r="R233" s="2" t="inlineStr"/>
    </row>
    <row r="234" ht="15" customHeight="1">
      <c r="A234" t="inlineStr">
        <is>
          <t>A 49314-2024</t>
        </is>
      </c>
      <c r="B234" s="1" t="n">
        <v>45595.55893518519</v>
      </c>
      <c r="C234" s="1" t="n">
        <v>46136</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44919-2022</t>
        </is>
      </c>
      <c r="B235" s="1" t="n">
        <v>44841</v>
      </c>
      <c r="C235" s="1" t="n">
        <v>46136</v>
      </c>
      <c r="D235" t="inlineStr">
        <is>
          <t>GOTLANDS LÄN</t>
        </is>
      </c>
      <c r="E235" t="inlineStr">
        <is>
          <t>GOTLAND</t>
        </is>
      </c>
      <c r="G235" t="n">
        <v>2.2</v>
      </c>
      <c r="H235" t="n">
        <v>0</v>
      </c>
      <c r="I235" t="n">
        <v>0</v>
      </c>
      <c r="J235" t="n">
        <v>0</v>
      </c>
      <c r="K235" t="n">
        <v>0</v>
      </c>
      <c r="L235" t="n">
        <v>0</v>
      </c>
      <c r="M235" t="n">
        <v>0</v>
      </c>
      <c r="N235" t="n">
        <v>0</v>
      </c>
      <c r="O235" t="n">
        <v>0</v>
      </c>
      <c r="P235" t="n">
        <v>0</v>
      </c>
      <c r="Q235" t="n">
        <v>0</v>
      </c>
      <c r="R235" s="2" t="inlineStr"/>
    </row>
    <row r="236" ht="15" customHeight="1">
      <c r="A236" t="inlineStr">
        <is>
          <t>A 65901-2021</t>
        </is>
      </c>
      <c r="B236" s="1" t="n">
        <v>44516</v>
      </c>
      <c r="C236" s="1" t="n">
        <v>46136</v>
      </c>
      <c r="D236" t="inlineStr">
        <is>
          <t>GOTLANDS LÄN</t>
        </is>
      </c>
      <c r="E236" t="inlineStr">
        <is>
          <t>GOTLAND</t>
        </is>
      </c>
      <c r="G236" t="n">
        <v>4.9</v>
      </c>
      <c r="H236" t="n">
        <v>0</v>
      </c>
      <c r="I236" t="n">
        <v>0</v>
      </c>
      <c r="J236" t="n">
        <v>0</v>
      </c>
      <c r="K236" t="n">
        <v>0</v>
      </c>
      <c r="L236" t="n">
        <v>0</v>
      </c>
      <c r="M236" t="n">
        <v>0</v>
      </c>
      <c r="N236" t="n">
        <v>0</v>
      </c>
      <c r="O236" t="n">
        <v>0</v>
      </c>
      <c r="P236" t="n">
        <v>0</v>
      </c>
      <c r="Q236" t="n">
        <v>0</v>
      </c>
      <c r="R236" s="2" t="inlineStr"/>
    </row>
    <row r="237" ht="15" customHeight="1">
      <c r="A237" t="inlineStr">
        <is>
          <t>A 48503-2023</t>
        </is>
      </c>
      <c r="B237" s="1" t="n">
        <v>45207</v>
      </c>
      <c r="C237" s="1" t="n">
        <v>46136</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44649-2021</t>
        </is>
      </c>
      <c r="B238" s="1" t="n">
        <v>44437</v>
      </c>
      <c r="C238" s="1" t="n">
        <v>46136</v>
      </c>
      <c r="D238" t="inlineStr">
        <is>
          <t>GOTLANDS LÄN</t>
        </is>
      </c>
      <c r="E238" t="inlineStr">
        <is>
          <t>GOTLAND</t>
        </is>
      </c>
      <c r="G238" t="n">
        <v>8.1</v>
      </c>
      <c r="H238" t="n">
        <v>0</v>
      </c>
      <c r="I238" t="n">
        <v>0</v>
      </c>
      <c r="J238" t="n">
        <v>0</v>
      </c>
      <c r="K238" t="n">
        <v>0</v>
      </c>
      <c r="L238" t="n">
        <v>0</v>
      </c>
      <c r="M238" t="n">
        <v>0</v>
      </c>
      <c r="N238" t="n">
        <v>0</v>
      </c>
      <c r="O238" t="n">
        <v>0</v>
      </c>
      <c r="P238" t="n">
        <v>0</v>
      </c>
      <c r="Q238" t="n">
        <v>0</v>
      </c>
      <c r="R238" s="2" t="inlineStr"/>
    </row>
    <row r="239" ht="15" customHeight="1">
      <c r="A239" t="inlineStr">
        <is>
          <t>A 9947-2024</t>
        </is>
      </c>
      <c r="B239" s="1" t="n">
        <v>45363</v>
      </c>
      <c r="C239" s="1" t="n">
        <v>46136</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46136</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17682-2024</t>
        </is>
      </c>
      <c r="B241" s="1" t="n">
        <v>45418.42966435185</v>
      </c>
      <c r="C241" s="1" t="n">
        <v>46136</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57522-2022</t>
        </is>
      </c>
      <c r="B242" s="1" t="n">
        <v>44896</v>
      </c>
      <c r="C242" s="1" t="n">
        <v>46136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63516-2023</t>
        </is>
      </c>
      <c r="B243" s="1" t="n">
        <v>45274</v>
      </c>
      <c r="C243" s="1" t="n">
        <v>46136</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24001-2021</t>
        </is>
      </c>
      <c r="B244" s="1" t="n">
        <v>44335</v>
      </c>
      <c r="C244" s="1" t="n">
        <v>46136</v>
      </c>
      <c r="D244" t="inlineStr">
        <is>
          <t>GOTLANDS LÄN</t>
        </is>
      </c>
      <c r="E244" t="inlineStr">
        <is>
          <t>GOTLAND</t>
        </is>
      </c>
      <c r="G244" t="n">
        <v>3.4</v>
      </c>
      <c r="H244" t="n">
        <v>0</v>
      </c>
      <c r="I244" t="n">
        <v>0</v>
      </c>
      <c r="J244" t="n">
        <v>0</v>
      </c>
      <c r="K244" t="n">
        <v>0</v>
      </c>
      <c r="L244" t="n">
        <v>0</v>
      </c>
      <c r="M244" t="n">
        <v>0</v>
      </c>
      <c r="N244" t="n">
        <v>0</v>
      </c>
      <c r="O244" t="n">
        <v>0</v>
      </c>
      <c r="P244" t="n">
        <v>0</v>
      </c>
      <c r="Q244" t="n">
        <v>0</v>
      </c>
      <c r="R244" s="2" t="inlineStr"/>
    </row>
    <row r="245" ht="15" customHeight="1">
      <c r="A245" t="inlineStr">
        <is>
          <t>A 1681-2023</t>
        </is>
      </c>
      <c r="B245" s="1" t="n">
        <v>44938.39715277778</v>
      </c>
      <c r="C245" s="1" t="n">
        <v>46136</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30365-2024</t>
        </is>
      </c>
      <c r="B246" s="1" t="n">
        <v>45491.3716087963</v>
      </c>
      <c r="C246" s="1" t="n">
        <v>46136</v>
      </c>
      <c r="D246" t="inlineStr">
        <is>
          <t>GOTLANDS LÄN</t>
        </is>
      </c>
      <c r="E246" t="inlineStr">
        <is>
          <t>GOTLAND</t>
        </is>
      </c>
      <c r="G246" t="n">
        <v>0.5</v>
      </c>
      <c r="H246" t="n">
        <v>0</v>
      </c>
      <c r="I246" t="n">
        <v>0</v>
      </c>
      <c r="J246" t="n">
        <v>0</v>
      </c>
      <c r="K246" t="n">
        <v>0</v>
      </c>
      <c r="L246" t="n">
        <v>0</v>
      </c>
      <c r="M246" t="n">
        <v>0</v>
      </c>
      <c r="N246" t="n">
        <v>0</v>
      </c>
      <c r="O246" t="n">
        <v>0</v>
      </c>
      <c r="P246" t="n">
        <v>0</v>
      </c>
      <c r="Q246" t="n">
        <v>0</v>
      </c>
      <c r="R246" s="2" t="inlineStr"/>
    </row>
    <row r="247" ht="15" customHeight="1">
      <c r="A247" t="inlineStr">
        <is>
          <t>A 36-2026</t>
        </is>
      </c>
      <c r="B247" s="1" t="n">
        <v>46024.38886574074</v>
      </c>
      <c r="C247" s="1" t="n">
        <v>46136</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5462-2025</t>
        </is>
      </c>
      <c r="B248" s="1" t="n">
        <v>45693.29331018519</v>
      </c>
      <c r="C248" s="1" t="n">
        <v>46136</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20356-2022</t>
        </is>
      </c>
      <c r="B249" s="1" t="n">
        <v>44699</v>
      </c>
      <c r="C249" s="1" t="n">
        <v>46136</v>
      </c>
      <c r="D249" t="inlineStr">
        <is>
          <t>GOTLANDS LÄN</t>
        </is>
      </c>
      <c r="E249" t="inlineStr">
        <is>
          <t>GOTLAND</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6099-2024</t>
        </is>
      </c>
      <c r="B250" s="1" t="n">
        <v>45337</v>
      </c>
      <c r="C250" s="1" t="n">
        <v>46136</v>
      </c>
      <c r="D250" t="inlineStr">
        <is>
          <t>GOTLANDS LÄN</t>
        </is>
      </c>
      <c r="E250" t="inlineStr">
        <is>
          <t>GOTLAND</t>
        </is>
      </c>
      <c r="G250" t="n">
        <v>12.6</v>
      </c>
      <c r="H250" t="n">
        <v>0</v>
      </c>
      <c r="I250" t="n">
        <v>0</v>
      </c>
      <c r="J250" t="n">
        <v>0</v>
      </c>
      <c r="K250" t="n">
        <v>0</v>
      </c>
      <c r="L250" t="n">
        <v>0</v>
      </c>
      <c r="M250" t="n">
        <v>0</v>
      </c>
      <c r="N250" t="n">
        <v>0</v>
      </c>
      <c r="O250" t="n">
        <v>0</v>
      </c>
      <c r="P250" t="n">
        <v>0</v>
      </c>
      <c r="Q250" t="n">
        <v>0</v>
      </c>
      <c r="R250" s="2" t="inlineStr"/>
    </row>
    <row r="251" ht="15" customHeight="1">
      <c r="A251" t="inlineStr">
        <is>
          <t>A 62674-2025</t>
        </is>
      </c>
      <c r="B251" s="1" t="n">
        <v>46008</v>
      </c>
      <c r="C251" s="1" t="n">
        <v>46136</v>
      </c>
      <c r="D251" t="inlineStr">
        <is>
          <t>GOTLANDS LÄN</t>
        </is>
      </c>
      <c r="E251" t="inlineStr">
        <is>
          <t>GOTLAND</t>
        </is>
      </c>
      <c r="G251" t="n">
        <v>5</v>
      </c>
      <c r="H251" t="n">
        <v>0</v>
      </c>
      <c r="I251" t="n">
        <v>0</v>
      </c>
      <c r="J251" t="n">
        <v>0</v>
      </c>
      <c r="K251" t="n">
        <v>0</v>
      </c>
      <c r="L251" t="n">
        <v>0</v>
      </c>
      <c r="M251" t="n">
        <v>0</v>
      </c>
      <c r="N251" t="n">
        <v>0</v>
      </c>
      <c r="O251" t="n">
        <v>0</v>
      </c>
      <c r="P251" t="n">
        <v>0</v>
      </c>
      <c r="Q251" t="n">
        <v>0</v>
      </c>
      <c r="R251" s="2" t="inlineStr"/>
    </row>
    <row r="252" ht="15" customHeight="1">
      <c r="A252" t="inlineStr">
        <is>
          <t>A 1273-2023</t>
        </is>
      </c>
      <c r="B252" s="1" t="n">
        <v>44936</v>
      </c>
      <c r="C252" s="1" t="n">
        <v>46136</v>
      </c>
      <c r="D252" t="inlineStr">
        <is>
          <t>GOTLANDS LÄN</t>
        </is>
      </c>
      <c r="E252" t="inlineStr">
        <is>
          <t>GOTLAND</t>
        </is>
      </c>
      <c r="G252" t="n">
        <v>4.5</v>
      </c>
      <c r="H252" t="n">
        <v>0</v>
      </c>
      <c r="I252" t="n">
        <v>0</v>
      </c>
      <c r="J252" t="n">
        <v>0</v>
      </c>
      <c r="K252" t="n">
        <v>0</v>
      </c>
      <c r="L252" t="n">
        <v>0</v>
      </c>
      <c r="M252" t="n">
        <v>0</v>
      </c>
      <c r="N252" t="n">
        <v>0</v>
      </c>
      <c r="O252" t="n">
        <v>0</v>
      </c>
      <c r="P252" t="n">
        <v>0</v>
      </c>
      <c r="Q252" t="n">
        <v>0</v>
      </c>
      <c r="R252" s="2" t="inlineStr"/>
    </row>
    <row r="253" ht="15" customHeight="1">
      <c r="A253" t="inlineStr">
        <is>
          <t>A 25796-2025</t>
        </is>
      </c>
      <c r="B253" s="1" t="n">
        <v>45804.39543981481</v>
      </c>
      <c r="C253" s="1" t="n">
        <v>46136</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46136</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45692-2023</t>
        </is>
      </c>
      <c r="B255" s="1" t="n">
        <v>45195</v>
      </c>
      <c r="C255" s="1" t="n">
        <v>46136</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33876-2024</t>
        </is>
      </c>
      <c r="B256" s="1" t="n">
        <v>45521.87988425926</v>
      </c>
      <c r="C256" s="1" t="n">
        <v>46136</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28285-2024</t>
        </is>
      </c>
      <c r="B257" s="1" t="n">
        <v>45477</v>
      </c>
      <c r="C257" s="1" t="n">
        <v>46136</v>
      </c>
      <c r="D257" t="inlineStr">
        <is>
          <t>GOTLANDS LÄN</t>
        </is>
      </c>
      <c r="E257" t="inlineStr">
        <is>
          <t>GOTLAND</t>
        </is>
      </c>
      <c r="G257" t="n">
        <v>1.6</v>
      </c>
      <c r="H257" t="n">
        <v>0</v>
      </c>
      <c r="I257" t="n">
        <v>0</v>
      </c>
      <c r="J257" t="n">
        <v>0</v>
      </c>
      <c r="K257" t="n">
        <v>0</v>
      </c>
      <c r="L257" t="n">
        <v>0</v>
      </c>
      <c r="M257" t="n">
        <v>0</v>
      </c>
      <c r="N257" t="n">
        <v>0</v>
      </c>
      <c r="O257" t="n">
        <v>0</v>
      </c>
      <c r="P257" t="n">
        <v>0</v>
      </c>
      <c r="Q257" t="n">
        <v>0</v>
      </c>
      <c r="R257" s="2" t="inlineStr"/>
    </row>
    <row r="258" ht="15" customHeight="1">
      <c r="A258" t="inlineStr">
        <is>
          <t>A 61100-2022</t>
        </is>
      </c>
      <c r="B258" s="1" t="n">
        <v>44915</v>
      </c>
      <c r="C258" s="1" t="n">
        <v>46136</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61682-2024</t>
        </is>
      </c>
      <c r="B259" s="1" t="n">
        <v>45647.48824074074</v>
      </c>
      <c r="C259" s="1" t="n">
        <v>46136</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1355-2026</t>
        </is>
      </c>
      <c r="B260" s="1" t="n">
        <v>46031.59909722222</v>
      </c>
      <c r="C260" s="1" t="n">
        <v>46136</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26457-2025</t>
        </is>
      </c>
      <c r="B261" s="1" t="n">
        <v>45807.42773148148</v>
      </c>
      <c r="C261" s="1" t="n">
        <v>46136</v>
      </c>
      <c r="D261" t="inlineStr">
        <is>
          <t>GOTLANDS LÄN</t>
        </is>
      </c>
      <c r="E261" t="inlineStr">
        <is>
          <t>GOTLAND</t>
        </is>
      </c>
      <c r="G261" t="n">
        <v>5.7</v>
      </c>
      <c r="H261" t="n">
        <v>0</v>
      </c>
      <c r="I261" t="n">
        <v>0</v>
      </c>
      <c r="J261" t="n">
        <v>0</v>
      </c>
      <c r="K261" t="n">
        <v>0</v>
      </c>
      <c r="L261" t="n">
        <v>0</v>
      </c>
      <c r="M261" t="n">
        <v>0</v>
      </c>
      <c r="N261" t="n">
        <v>0</v>
      </c>
      <c r="O261" t="n">
        <v>0</v>
      </c>
      <c r="P261" t="n">
        <v>0</v>
      </c>
      <c r="Q261" t="n">
        <v>0</v>
      </c>
      <c r="R261" s="2" t="inlineStr"/>
    </row>
    <row r="262" ht="15" customHeight="1">
      <c r="A262" t="inlineStr">
        <is>
          <t>A 26467-2025</t>
        </is>
      </c>
      <c r="B262" s="1" t="n">
        <v>45807.44640046296</v>
      </c>
      <c r="C262" s="1" t="n">
        <v>46136</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26465-2025</t>
        </is>
      </c>
      <c r="B263" s="1" t="n">
        <v>45807.44377314814</v>
      </c>
      <c r="C263" s="1" t="n">
        <v>46136</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1898-2026</t>
        </is>
      </c>
      <c r="B264" s="1" t="n">
        <v>46035.52024305556</v>
      </c>
      <c r="C264" s="1" t="n">
        <v>46136</v>
      </c>
      <c r="D264" t="inlineStr">
        <is>
          <t>GOTLANDS LÄN</t>
        </is>
      </c>
      <c r="E264" t="inlineStr">
        <is>
          <t>GOTLAND</t>
        </is>
      </c>
      <c r="G264" t="n">
        <v>3.7</v>
      </c>
      <c r="H264" t="n">
        <v>0</v>
      </c>
      <c r="I264" t="n">
        <v>0</v>
      </c>
      <c r="J264" t="n">
        <v>0</v>
      </c>
      <c r="K264" t="n">
        <v>0</v>
      </c>
      <c r="L264" t="n">
        <v>0</v>
      </c>
      <c r="M264" t="n">
        <v>0</v>
      </c>
      <c r="N264" t="n">
        <v>0</v>
      </c>
      <c r="O264" t="n">
        <v>0</v>
      </c>
      <c r="P264" t="n">
        <v>0</v>
      </c>
      <c r="Q264" t="n">
        <v>0</v>
      </c>
      <c r="R264" s="2" t="inlineStr"/>
    </row>
    <row r="265" ht="15" customHeight="1">
      <c r="A265" t="inlineStr">
        <is>
          <t>A 26660-2025</t>
        </is>
      </c>
      <c r="B265" s="1" t="n">
        <v>45810.39737268518</v>
      </c>
      <c r="C265" s="1" t="n">
        <v>46136</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2415-2026</t>
        </is>
      </c>
      <c r="B266" s="1" t="n">
        <v>46036.76203703704</v>
      </c>
      <c r="C266" s="1" t="n">
        <v>46136</v>
      </c>
      <c r="D266" t="inlineStr">
        <is>
          <t>GOTLANDS LÄN</t>
        </is>
      </c>
      <c r="E266" t="inlineStr">
        <is>
          <t>GOTLAND</t>
        </is>
      </c>
      <c r="G266" t="n">
        <v>6.9</v>
      </c>
      <c r="H266" t="n">
        <v>0</v>
      </c>
      <c r="I266" t="n">
        <v>0</v>
      </c>
      <c r="J266" t="n">
        <v>0</v>
      </c>
      <c r="K266" t="n">
        <v>0</v>
      </c>
      <c r="L266" t="n">
        <v>0</v>
      </c>
      <c r="M266" t="n">
        <v>0</v>
      </c>
      <c r="N266" t="n">
        <v>0</v>
      </c>
      <c r="O266" t="n">
        <v>0</v>
      </c>
      <c r="P266" t="n">
        <v>0</v>
      </c>
      <c r="Q266" t="n">
        <v>0</v>
      </c>
      <c r="R266" s="2" t="inlineStr"/>
    </row>
    <row r="267" ht="15" customHeight="1">
      <c r="A267" t="inlineStr">
        <is>
          <t>A 58388-2022</t>
        </is>
      </c>
      <c r="B267" s="1" t="n">
        <v>44894</v>
      </c>
      <c r="C267" s="1" t="n">
        <v>46136</v>
      </c>
      <c r="D267" t="inlineStr">
        <is>
          <t>GOTLANDS LÄN</t>
        </is>
      </c>
      <c r="E267" t="inlineStr">
        <is>
          <t>GOTLAND</t>
        </is>
      </c>
      <c r="F267" t="inlineStr">
        <is>
          <t>Övriga statliga verk och myndigheter</t>
        </is>
      </c>
      <c r="G267" t="n">
        <v>3.1</v>
      </c>
      <c r="H267" t="n">
        <v>0</v>
      </c>
      <c r="I267" t="n">
        <v>0</v>
      </c>
      <c r="J267" t="n">
        <v>0</v>
      </c>
      <c r="K267" t="n">
        <v>0</v>
      </c>
      <c r="L267" t="n">
        <v>0</v>
      </c>
      <c r="M267" t="n">
        <v>0</v>
      </c>
      <c r="N267" t="n">
        <v>0</v>
      </c>
      <c r="O267" t="n">
        <v>0</v>
      </c>
      <c r="P267" t="n">
        <v>0</v>
      </c>
      <c r="Q267" t="n">
        <v>0</v>
      </c>
      <c r="R267" s="2" t="inlineStr"/>
    </row>
    <row r="268" ht="15" customHeight="1">
      <c r="A268" t="inlineStr">
        <is>
          <t>A 21792-2024</t>
        </is>
      </c>
      <c r="B268" s="1" t="n">
        <v>45442.64326388889</v>
      </c>
      <c r="C268" s="1" t="n">
        <v>46136</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27371-2025</t>
        </is>
      </c>
      <c r="B269" s="1" t="n">
        <v>45812</v>
      </c>
      <c r="C269" s="1" t="n">
        <v>46136</v>
      </c>
      <c r="D269" t="inlineStr">
        <is>
          <t>GOTLANDS LÄN</t>
        </is>
      </c>
      <c r="E269" t="inlineStr">
        <is>
          <t>GOTLAND</t>
        </is>
      </c>
      <c r="G269" t="n">
        <v>8</v>
      </c>
      <c r="H269" t="n">
        <v>0</v>
      </c>
      <c r="I269" t="n">
        <v>0</v>
      </c>
      <c r="J269" t="n">
        <v>0</v>
      </c>
      <c r="K269" t="n">
        <v>0</v>
      </c>
      <c r="L269" t="n">
        <v>0</v>
      </c>
      <c r="M269" t="n">
        <v>0</v>
      </c>
      <c r="N269" t="n">
        <v>0</v>
      </c>
      <c r="O269" t="n">
        <v>0</v>
      </c>
      <c r="P269" t="n">
        <v>0</v>
      </c>
      <c r="Q269" t="n">
        <v>0</v>
      </c>
      <c r="R269" s="2" t="inlineStr"/>
    </row>
    <row r="270" ht="15" customHeight="1">
      <c r="A270" t="inlineStr">
        <is>
          <t>A 27355-2025</t>
        </is>
      </c>
      <c r="B270" s="1" t="n">
        <v>45812</v>
      </c>
      <c r="C270" s="1" t="n">
        <v>46136</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6739-2025</t>
        </is>
      </c>
      <c r="B271" s="1" t="n">
        <v>45700</v>
      </c>
      <c r="C271" s="1" t="n">
        <v>46136</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7850-2025</t>
        </is>
      </c>
      <c r="B272" s="1" t="n">
        <v>45706</v>
      </c>
      <c r="C272" s="1" t="n">
        <v>46136</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3253-2026</t>
        </is>
      </c>
      <c r="B273" s="1" t="n">
        <v>46041.58902777778</v>
      </c>
      <c r="C273" s="1" t="n">
        <v>46136</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17688-2024</t>
        </is>
      </c>
      <c r="B274" s="1" t="n">
        <v>45418.43575231481</v>
      </c>
      <c r="C274" s="1" t="n">
        <v>46136</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7837-2024</t>
        </is>
      </c>
      <c r="B275" s="1" t="n">
        <v>45349.83787037037</v>
      </c>
      <c r="C275" s="1" t="n">
        <v>46136</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8444-2025</t>
        </is>
      </c>
      <c r="B276" s="1" t="n">
        <v>45709</v>
      </c>
      <c r="C276" s="1" t="n">
        <v>46136</v>
      </c>
      <c r="D276" t="inlineStr">
        <is>
          <t>GOTLANDS LÄN</t>
        </is>
      </c>
      <c r="E276" t="inlineStr">
        <is>
          <t>GOTLAND</t>
        </is>
      </c>
      <c r="G276" t="n">
        <v>5.2</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46136</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4646-2026</t>
        </is>
      </c>
      <c r="B278" s="1" t="n">
        <v>46048.40357638889</v>
      </c>
      <c r="C278" s="1" t="n">
        <v>46136</v>
      </c>
      <c r="D278" t="inlineStr">
        <is>
          <t>GOTLANDS LÄN</t>
        </is>
      </c>
      <c r="E278" t="inlineStr">
        <is>
          <t>GOTLAND</t>
        </is>
      </c>
      <c r="G278" t="n">
        <v>2.7</v>
      </c>
      <c r="H278" t="n">
        <v>0</v>
      </c>
      <c r="I278" t="n">
        <v>0</v>
      </c>
      <c r="J278" t="n">
        <v>0</v>
      </c>
      <c r="K278" t="n">
        <v>0</v>
      </c>
      <c r="L278" t="n">
        <v>0</v>
      </c>
      <c r="M278" t="n">
        <v>0</v>
      </c>
      <c r="N278" t="n">
        <v>0</v>
      </c>
      <c r="O278" t="n">
        <v>0</v>
      </c>
      <c r="P278" t="n">
        <v>0</v>
      </c>
      <c r="Q278" t="n">
        <v>0</v>
      </c>
      <c r="R278" s="2" t="inlineStr"/>
    </row>
    <row r="279" ht="15" customHeight="1">
      <c r="A279" t="inlineStr">
        <is>
          <t>A 4662-2026</t>
        </is>
      </c>
      <c r="B279" s="1" t="n">
        <v>46048.40949074074</v>
      </c>
      <c r="C279" s="1" t="n">
        <v>46136</v>
      </c>
      <c r="D279" t="inlineStr">
        <is>
          <t>GOTLANDS LÄN</t>
        </is>
      </c>
      <c r="E279" t="inlineStr">
        <is>
          <t>GOTLAND</t>
        </is>
      </c>
      <c r="G279" t="n">
        <v>7.6</v>
      </c>
      <c r="H279" t="n">
        <v>0</v>
      </c>
      <c r="I279" t="n">
        <v>0</v>
      </c>
      <c r="J279" t="n">
        <v>0</v>
      </c>
      <c r="K279" t="n">
        <v>0</v>
      </c>
      <c r="L279" t="n">
        <v>0</v>
      </c>
      <c r="M279" t="n">
        <v>0</v>
      </c>
      <c r="N279" t="n">
        <v>0</v>
      </c>
      <c r="O279" t="n">
        <v>0</v>
      </c>
      <c r="P279" t="n">
        <v>0</v>
      </c>
      <c r="Q279" t="n">
        <v>0</v>
      </c>
      <c r="R279" s="2" t="inlineStr"/>
    </row>
    <row r="280" ht="15" customHeight="1">
      <c r="A280" t="inlineStr">
        <is>
          <t>A 4568-2025</t>
        </is>
      </c>
      <c r="B280" s="1" t="n">
        <v>45687</v>
      </c>
      <c r="C280" s="1" t="n">
        <v>46136</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4639-2026</t>
        </is>
      </c>
      <c r="B281" s="1" t="n">
        <v>46048.39880787037</v>
      </c>
      <c r="C281" s="1" t="n">
        <v>46136</v>
      </c>
      <c r="D281" t="inlineStr">
        <is>
          <t>GOTLANDS LÄN</t>
        </is>
      </c>
      <c r="E281" t="inlineStr">
        <is>
          <t>GOTLAND</t>
        </is>
      </c>
      <c r="G281" t="n">
        <v>0.8</v>
      </c>
      <c r="H281" t="n">
        <v>0</v>
      </c>
      <c r="I281" t="n">
        <v>0</v>
      </c>
      <c r="J281" t="n">
        <v>0</v>
      </c>
      <c r="K281" t="n">
        <v>0</v>
      </c>
      <c r="L281" t="n">
        <v>0</v>
      </c>
      <c r="M281" t="n">
        <v>0</v>
      </c>
      <c r="N281" t="n">
        <v>0</v>
      </c>
      <c r="O281" t="n">
        <v>0</v>
      </c>
      <c r="P281" t="n">
        <v>0</v>
      </c>
      <c r="Q281" t="n">
        <v>0</v>
      </c>
      <c r="R281" s="2" t="inlineStr"/>
    </row>
    <row r="282" ht="15" customHeight="1">
      <c r="A282" t="inlineStr">
        <is>
          <t>A 1839-2026</t>
        </is>
      </c>
      <c r="B282" s="1" t="n">
        <v>46035.3942824074</v>
      </c>
      <c r="C282" s="1" t="n">
        <v>46136</v>
      </c>
      <c r="D282" t="inlineStr">
        <is>
          <t>GOTLANDS LÄN</t>
        </is>
      </c>
      <c r="E282" t="inlineStr">
        <is>
          <t>GOTLAND</t>
        </is>
      </c>
      <c r="G282" t="n">
        <v>3.5</v>
      </c>
      <c r="H282" t="n">
        <v>0</v>
      </c>
      <c r="I282" t="n">
        <v>0</v>
      </c>
      <c r="J282" t="n">
        <v>0</v>
      </c>
      <c r="K282" t="n">
        <v>0</v>
      </c>
      <c r="L282" t="n">
        <v>0</v>
      </c>
      <c r="M282" t="n">
        <v>0</v>
      </c>
      <c r="N282" t="n">
        <v>0</v>
      </c>
      <c r="O282" t="n">
        <v>0</v>
      </c>
      <c r="P282" t="n">
        <v>0</v>
      </c>
      <c r="Q282" t="n">
        <v>0</v>
      </c>
      <c r="R282" s="2" t="inlineStr"/>
    </row>
    <row r="283" ht="15" customHeight="1">
      <c r="A283" t="inlineStr">
        <is>
          <t>A 4634-2026</t>
        </is>
      </c>
      <c r="B283" s="1" t="n">
        <v>46048.39304398148</v>
      </c>
      <c r="C283" s="1" t="n">
        <v>46136</v>
      </c>
      <c r="D283" t="inlineStr">
        <is>
          <t>GOTLANDS LÄN</t>
        </is>
      </c>
      <c r="E283" t="inlineStr">
        <is>
          <t>GOTLAND</t>
        </is>
      </c>
      <c r="G283" t="n">
        <v>7.8</v>
      </c>
      <c r="H283" t="n">
        <v>0</v>
      </c>
      <c r="I283" t="n">
        <v>0</v>
      </c>
      <c r="J283" t="n">
        <v>0</v>
      </c>
      <c r="K283" t="n">
        <v>0</v>
      </c>
      <c r="L283" t="n">
        <v>0</v>
      </c>
      <c r="M283" t="n">
        <v>0</v>
      </c>
      <c r="N283" t="n">
        <v>0</v>
      </c>
      <c r="O283" t="n">
        <v>0</v>
      </c>
      <c r="P283" t="n">
        <v>0</v>
      </c>
      <c r="Q283" t="n">
        <v>0</v>
      </c>
      <c r="R283" s="2" t="inlineStr"/>
    </row>
    <row r="284" ht="15" customHeight="1">
      <c r="A284" t="inlineStr">
        <is>
          <t>A 4670-2026</t>
        </is>
      </c>
      <c r="B284" s="1" t="n">
        <v>46048.41733796296</v>
      </c>
      <c r="C284" s="1" t="n">
        <v>46136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35512-2023</t>
        </is>
      </c>
      <c r="B285" s="1" t="n">
        <v>45147.25623842593</v>
      </c>
      <c r="C285" s="1" t="n">
        <v>46136</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5905-2024</t>
        </is>
      </c>
      <c r="B286" s="1" t="n">
        <v>45335.88993055555</v>
      </c>
      <c r="C286" s="1" t="n">
        <v>46136</v>
      </c>
      <c r="D286" t="inlineStr">
        <is>
          <t>GOTLANDS LÄN</t>
        </is>
      </c>
      <c r="E286" t="inlineStr">
        <is>
          <t>GOTLAND</t>
        </is>
      </c>
      <c r="G286" t="n">
        <v>3</v>
      </c>
      <c r="H286" t="n">
        <v>0</v>
      </c>
      <c r="I286" t="n">
        <v>0</v>
      </c>
      <c r="J286" t="n">
        <v>0</v>
      </c>
      <c r="K286" t="n">
        <v>0</v>
      </c>
      <c r="L286" t="n">
        <v>0</v>
      </c>
      <c r="M286" t="n">
        <v>0</v>
      </c>
      <c r="N286" t="n">
        <v>0</v>
      </c>
      <c r="O286" t="n">
        <v>0</v>
      </c>
      <c r="P286" t="n">
        <v>0</v>
      </c>
      <c r="Q286" t="n">
        <v>0</v>
      </c>
      <c r="R286" s="2" t="inlineStr"/>
    </row>
    <row r="287" ht="15" customHeight="1">
      <c r="A287" t="inlineStr">
        <is>
          <t>A 19905-2025</t>
        </is>
      </c>
      <c r="B287" s="1" t="n">
        <v>45771</v>
      </c>
      <c r="C287" s="1" t="n">
        <v>46136</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29196-2025</t>
        </is>
      </c>
      <c r="B288" s="1" t="n">
        <v>45822</v>
      </c>
      <c r="C288" s="1" t="n">
        <v>46136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1291-2023</t>
        </is>
      </c>
      <c r="B289" s="1" t="n">
        <v>44936.47561342592</v>
      </c>
      <c r="C289" s="1" t="n">
        <v>46136</v>
      </c>
      <c r="D289" t="inlineStr">
        <is>
          <t>GOTLANDS LÄN</t>
        </is>
      </c>
      <c r="E289" t="inlineStr">
        <is>
          <t>GOTLAND</t>
        </is>
      </c>
      <c r="G289" t="n">
        <v>7.4</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46136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57652-2023</t>
        </is>
      </c>
      <c r="B291" s="1" t="n">
        <v>45246</v>
      </c>
      <c r="C291" s="1" t="n">
        <v>46136</v>
      </c>
      <c r="D291" t="inlineStr">
        <is>
          <t>GOTLANDS LÄN</t>
        </is>
      </c>
      <c r="E291" t="inlineStr">
        <is>
          <t>GOTLAND</t>
        </is>
      </c>
      <c r="G291" t="n">
        <v>7.2</v>
      </c>
      <c r="H291" t="n">
        <v>0</v>
      </c>
      <c r="I291" t="n">
        <v>0</v>
      </c>
      <c r="J291" t="n">
        <v>0</v>
      </c>
      <c r="K291" t="n">
        <v>0</v>
      </c>
      <c r="L291" t="n">
        <v>0</v>
      </c>
      <c r="M291" t="n">
        <v>0</v>
      </c>
      <c r="N291" t="n">
        <v>0</v>
      </c>
      <c r="O291" t="n">
        <v>0</v>
      </c>
      <c r="P291" t="n">
        <v>0</v>
      </c>
      <c r="Q291" t="n">
        <v>0</v>
      </c>
      <c r="R291" s="2" t="inlineStr"/>
    </row>
    <row r="292" ht="15" customHeight="1">
      <c r="A292" t="inlineStr">
        <is>
          <t>A 1854-2026</t>
        </is>
      </c>
      <c r="B292" s="1" t="n">
        <v>46035.4171875</v>
      </c>
      <c r="C292" s="1" t="n">
        <v>46136</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30135-2025</t>
        </is>
      </c>
      <c r="B293" s="1" t="n">
        <v>45826</v>
      </c>
      <c r="C293" s="1" t="n">
        <v>46136</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49315-2024</t>
        </is>
      </c>
      <c r="B294" s="1" t="n">
        <v>45595</v>
      </c>
      <c r="C294" s="1" t="n">
        <v>46136</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13486-2026</t>
        </is>
      </c>
      <c r="B295" s="1" t="n">
        <v>46094</v>
      </c>
      <c r="C295" s="1" t="n">
        <v>46136</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45106-2024</t>
        </is>
      </c>
      <c r="B296" s="1" t="n">
        <v>45575</v>
      </c>
      <c r="C296" s="1" t="n">
        <v>46136</v>
      </c>
      <c r="D296" t="inlineStr">
        <is>
          <t>GOTLANDS LÄN</t>
        </is>
      </c>
      <c r="E296" t="inlineStr">
        <is>
          <t>GOTLAND</t>
        </is>
      </c>
      <c r="G296" t="n">
        <v>10</v>
      </c>
      <c r="H296" t="n">
        <v>0</v>
      </c>
      <c r="I296" t="n">
        <v>0</v>
      </c>
      <c r="J296" t="n">
        <v>0</v>
      </c>
      <c r="K296" t="n">
        <v>0</v>
      </c>
      <c r="L296" t="n">
        <v>0</v>
      </c>
      <c r="M296" t="n">
        <v>0</v>
      </c>
      <c r="N296" t="n">
        <v>0</v>
      </c>
      <c r="O296" t="n">
        <v>0</v>
      </c>
      <c r="P296" t="n">
        <v>0</v>
      </c>
      <c r="Q296" t="n">
        <v>0</v>
      </c>
      <c r="R296" s="2" t="inlineStr"/>
    </row>
    <row r="297" ht="15" customHeight="1">
      <c r="A297" t="inlineStr">
        <is>
          <t>A 45112-2024</t>
        </is>
      </c>
      <c r="B297" s="1" t="n">
        <v>45575</v>
      </c>
      <c r="C297" s="1" t="n">
        <v>46136</v>
      </c>
      <c r="D297" t="inlineStr">
        <is>
          <t>GOTLANDS LÄN</t>
        </is>
      </c>
      <c r="E297" t="inlineStr">
        <is>
          <t>GOTLAND</t>
        </is>
      </c>
      <c r="G297" t="n">
        <v>5.1</v>
      </c>
      <c r="H297" t="n">
        <v>0</v>
      </c>
      <c r="I297" t="n">
        <v>0</v>
      </c>
      <c r="J297" t="n">
        <v>0</v>
      </c>
      <c r="K297" t="n">
        <v>0</v>
      </c>
      <c r="L297" t="n">
        <v>0</v>
      </c>
      <c r="M297" t="n">
        <v>0</v>
      </c>
      <c r="N297" t="n">
        <v>0</v>
      </c>
      <c r="O297" t="n">
        <v>0</v>
      </c>
      <c r="P297" t="n">
        <v>0</v>
      </c>
      <c r="Q297" t="n">
        <v>0</v>
      </c>
      <c r="R297" s="2" t="inlineStr"/>
    </row>
    <row r="298" ht="15" customHeight="1">
      <c r="A298" t="inlineStr">
        <is>
          <t>A 30061-2025</t>
        </is>
      </c>
      <c r="B298" s="1" t="n">
        <v>45826.61488425926</v>
      </c>
      <c r="C298" s="1" t="n">
        <v>46136</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46136</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2676-2023</t>
        </is>
      </c>
      <c r="B300" s="1" t="n">
        <v>44944</v>
      </c>
      <c r="C300" s="1" t="n">
        <v>46136</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35141-2025</t>
        </is>
      </c>
      <c r="B301" s="1" t="n">
        <v>45852.65206018519</v>
      </c>
      <c r="C301" s="1" t="n">
        <v>46136</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58160-2024</t>
        </is>
      </c>
      <c r="B302" s="1" t="n">
        <v>45632.44927083333</v>
      </c>
      <c r="C302" s="1" t="n">
        <v>46136</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35142-2025</t>
        </is>
      </c>
      <c r="B303" s="1" t="n">
        <v>45852.65532407408</v>
      </c>
      <c r="C303" s="1" t="n">
        <v>46136</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3150-2025</t>
        </is>
      </c>
      <c r="B304" s="1" t="n">
        <v>45679.28974537037</v>
      </c>
      <c r="C304" s="1" t="n">
        <v>46136</v>
      </c>
      <c r="D304" t="inlineStr">
        <is>
          <t>GOTLANDS LÄN</t>
        </is>
      </c>
      <c r="E304" t="inlineStr">
        <is>
          <t>GOTLAND</t>
        </is>
      </c>
      <c r="G304" t="n">
        <v>2.5</v>
      </c>
      <c r="H304" t="n">
        <v>0</v>
      </c>
      <c r="I304" t="n">
        <v>0</v>
      </c>
      <c r="J304" t="n">
        <v>0</v>
      </c>
      <c r="K304" t="n">
        <v>0</v>
      </c>
      <c r="L304" t="n">
        <v>0</v>
      </c>
      <c r="M304" t="n">
        <v>0</v>
      </c>
      <c r="N304" t="n">
        <v>0</v>
      </c>
      <c r="O304" t="n">
        <v>0</v>
      </c>
      <c r="P304" t="n">
        <v>0</v>
      </c>
      <c r="Q304" t="n">
        <v>0</v>
      </c>
      <c r="R304" s="2" t="inlineStr"/>
    </row>
    <row r="305" ht="15" customHeight="1">
      <c r="A305" t="inlineStr">
        <is>
          <t>A 8484-2025</t>
        </is>
      </c>
      <c r="B305" s="1" t="n">
        <v>45709</v>
      </c>
      <c r="C305" s="1" t="n">
        <v>46136</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7635-2025</t>
        </is>
      </c>
      <c r="B306" s="1" t="n">
        <v>45705</v>
      </c>
      <c r="C306" s="1" t="n">
        <v>46136</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7636-2025</t>
        </is>
      </c>
      <c r="B307" s="1" t="n">
        <v>45705.7687962963</v>
      </c>
      <c r="C307" s="1" t="n">
        <v>46136</v>
      </c>
      <c r="D307" t="inlineStr">
        <is>
          <t>GOTLANDS LÄN</t>
        </is>
      </c>
      <c r="E307" t="inlineStr">
        <is>
          <t>GOTLAND</t>
        </is>
      </c>
      <c r="G307" t="n">
        <v>0.6</v>
      </c>
      <c r="H307" t="n">
        <v>0</v>
      </c>
      <c r="I307" t="n">
        <v>0</v>
      </c>
      <c r="J307" t="n">
        <v>0</v>
      </c>
      <c r="K307" t="n">
        <v>0</v>
      </c>
      <c r="L307" t="n">
        <v>0</v>
      </c>
      <c r="M307" t="n">
        <v>0</v>
      </c>
      <c r="N307" t="n">
        <v>0</v>
      </c>
      <c r="O307" t="n">
        <v>0</v>
      </c>
      <c r="P307" t="n">
        <v>0</v>
      </c>
      <c r="Q307" t="n">
        <v>0</v>
      </c>
      <c r="R307" s="2" t="inlineStr"/>
    </row>
    <row r="308" ht="15" customHeight="1">
      <c r="A308" t="inlineStr">
        <is>
          <t>A 7639-2025</t>
        </is>
      </c>
      <c r="B308" s="1" t="n">
        <v>45705.77465277778</v>
      </c>
      <c r="C308" s="1" t="n">
        <v>46136</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6218-2026</t>
        </is>
      </c>
      <c r="B309" s="1" t="n">
        <v>46055.42859953704</v>
      </c>
      <c r="C309" s="1" t="n">
        <v>46136</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20356-2022</t>
        </is>
      </c>
      <c r="B310" s="1" t="n">
        <v>44699</v>
      </c>
      <c r="C310" s="1" t="n">
        <v>46136</v>
      </c>
      <c r="D310" t="inlineStr">
        <is>
          <t>GOTLANDS LÄN</t>
        </is>
      </c>
      <c r="E310" t="inlineStr">
        <is>
          <t>GOTLAND</t>
        </is>
      </c>
      <c r="F310" t="inlineStr">
        <is>
          <t>Övriga Aktiebolag</t>
        </is>
      </c>
      <c r="G310" t="n">
        <v>4.4</v>
      </c>
      <c r="H310" t="n">
        <v>0</v>
      </c>
      <c r="I310" t="n">
        <v>0</v>
      </c>
      <c r="J310" t="n">
        <v>0</v>
      </c>
      <c r="K310" t="n">
        <v>0</v>
      </c>
      <c r="L310" t="n">
        <v>0</v>
      </c>
      <c r="M310" t="n">
        <v>0</v>
      </c>
      <c r="N310" t="n">
        <v>0</v>
      </c>
      <c r="O310" t="n">
        <v>0</v>
      </c>
      <c r="P310" t="n">
        <v>0</v>
      </c>
      <c r="Q310" t="n">
        <v>0</v>
      </c>
      <c r="R310" s="2" t="inlineStr"/>
    </row>
    <row r="311" ht="15" customHeight="1">
      <c r="A311" t="inlineStr">
        <is>
          <t>A 48734-2022</t>
        </is>
      </c>
      <c r="B311" s="1" t="n">
        <v>44855</v>
      </c>
      <c r="C311" s="1" t="n">
        <v>46136</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14141-2024</t>
        </is>
      </c>
      <c r="B312" s="1" t="n">
        <v>45392.85193287037</v>
      </c>
      <c r="C312" s="1" t="n">
        <v>46136</v>
      </c>
      <c r="D312" t="inlineStr">
        <is>
          <t>GOTLANDS LÄN</t>
        </is>
      </c>
      <c r="E312" t="inlineStr">
        <is>
          <t>GOTLAND</t>
        </is>
      </c>
      <c r="G312" t="n">
        <v>5.3</v>
      </c>
      <c r="H312" t="n">
        <v>0</v>
      </c>
      <c r="I312" t="n">
        <v>0</v>
      </c>
      <c r="J312" t="n">
        <v>0</v>
      </c>
      <c r="K312" t="n">
        <v>0</v>
      </c>
      <c r="L312" t="n">
        <v>0</v>
      </c>
      <c r="M312" t="n">
        <v>0</v>
      </c>
      <c r="N312" t="n">
        <v>0</v>
      </c>
      <c r="O312" t="n">
        <v>0</v>
      </c>
      <c r="P312" t="n">
        <v>0</v>
      </c>
      <c r="Q312" t="n">
        <v>0</v>
      </c>
      <c r="R312" s="2" t="inlineStr"/>
    </row>
    <row r="313" ht="15" customHeight="1">
      <c r="A313" t="inlineStr">
        <is>
          <t>A 6207-2026</t>
        </is>
      </c>
      <c r="B313" s="1" t="n">
        <v>46055.42083333333</v>
      </c>
      <c r="C313" s="1" t="n">
        <v>46136</v>
      </c>
      <c r="D313" t="inlineStr">
        <is>
          <t>GOTLANDS LÄN</t>
        </is>
      </c>
      <c r="E313" t="inlineStr">
        <is>
          <t>GOTLAND</t>
        </is>
      </c>
      <c r="G313" t="n">
        <v>7.6</v>
      </c>
      <c r="H313" t="n">
        <v>0</v>
      </c>
      <c r="I313" t="n">
        <v>0</v>
      </c>
      <c r="J313" t="n">
        <v>0</v>
      </c>
      <c r="K313" t="n">
        <v>0</v>
      </c>
      <c r="L313" t="n">
        <v>0</v>
      </c>
      <c r="M313" t="n">
        <v>0</v>
      </c>
      <c r="N313" t="n">
        <v>0</v>
      </c>
      <c r="O313" t="n">
        <v>0</v>
      </c>
      <c r="P313" t="n">
        <v>0</v>
      </c>
      <c r="Q313" t="n">
        <v>0</v>
      </c>
      <c r="R313" s="2" t="inlineStr"/>
    </row>
    <row r="314" ht="15" customHeight="1">
      <c r="A314" t="inlineStr">
        <is>
          <t>A 29809-2022</t>
        </is>
      </c>
      <c r="B314" s="1" t="n">
        <v>44755.8713425926</v>
      </c>
      <c r="C314" s="1" t="n">
        <v>46136</v>
      </c>
      <c r="D314" t="inlineStr">
        <is>
          <t>GOTLANDS LÄN</t>
        </is>
      </c>
      <c r="E314" t="inlineStr">
        <is>
          <t>GOTLAND</t>
        </is>
      </c>
      <c r="G314" t="n">
        <v>11.5</v>
      </c>
      <c r="H314" t="n">
        <v>0</v>
      </c>
      <c r="I314" t="n">
        <v>0</v>
      </c>
      <c r="J314" t="n">
        <v>0</v>
      </c>
      <c r="K314" t="n">
        <v>0</v>
      </c>
      <c r="L314" t="n">
        <v>0</v>
      </c>
      <c r="M314" t="n">
        <v>0</v>
      </c>
      <c r="N314" t="n">
        <v>0</v>
      </c>
      <c r="O314" t="n">
        <v>0</v>
      </c>
      <c r="P314" t="n">
        <v>0</v>
      </c>
      <c r="Q314" t="n">
        <v>0</v>
      </c>
      <c r="R314" s="2" t="inlineStr"/>
    </row>
    <row r="315" ht="15" customHeight="1">
      <c r="A315" t="inlineStr">
        <is>
          <t>A 6959-2026</t>
        </is>
      </c>
      <c r="B315" s="1" t="n">
        <v>46057.580625</v>
      </c>
      <c r="C315" s="1" t="n">
        <v>46136</v>
      </c>
      <c r="D315" t="inlineStr">
        <is>
          <t>GOTLANDS LÄN</t>
        </is>
      </c>
      <c r="E315" t="inlineStr">
        <is>
          <t>GOTLAND</t>
        </is>
      </c>
      <c r="F315" t="inlineStr">
        <is>
          <t>Kyrkan</t>
        </is>
      </c>
      <c r="G315" t="n">
        <v>1.2</v>
      </c>
      <c r="H315" t="n">
        <v>0</v>
      </c>
      <c r="I315" t="n">
        <v>0</v>
      </c>
      <c r="J315" t="n">
        <v>0</v>
      </c>
      <c r="K315" t="n">
        <v>0</v>
      </c>
      <c r="L315" t="n">
        <v>0</v>
      </c>
      <c r="M315" t="n">
        <v>0</v>
      </c>
      <c r="N315" t="n">
        <v>0</v>
      </c>
      <c r="O315" t="n">
        <v>0</v>
      </c>
      <c r="P315" t="n">
        <v>0</v>
      </c>
      <c r="Q315" t="n">
        <v>0</v>
      </c>
      <c r="R315" s="2" t="inlineStr"/>
    </row>
    <row r="316" ht="15" customHeight="1">
      <c r="A316" t="inlineStr">
        <is>
          <t>A 57685-2022</t>
        </is>
      </c>
      <c r="B316" s="1" t="n">
        <v>44897.4777662037</v>
      </c>
      <c r="C316" s="1" t="n">
        <v>46136</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6960-2026</t>
        </is>
      </c>
      <c r="B317" s="1" t="n">
        <v>46057.58105324074</v>
      </c>
      <c r="C317" s="1" t="n">
        <v>46136</v>
      </c>
      <c r="D317" t="inlineStr">
        <is>
          <t>GOTLANDS LÄN</t>
        </is>
      </c>
      <c r="E317" t="inlineStr">
        <is>
          <t>GOTLAND</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46136</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32379-2025</t>
        </is>
      </c>
      <c r="B319" s="1" t="n">
        <v>45837</v>
      </c>
      <c r="C319" s="1" t="n">
        <v>46136</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7034-2023</t>
        </is>
      </c>
      <c r="B320" s="1" t="n">
        <v>44968.32108796296</v>
      </c>
      <c r="C320" s="1" t="n">
        <v>46136</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7042-2023</t>
        </is>
      </c>
      <c r="B321" s="1" t="n">
        <v>44968</v>
      </c>
      <c r="C321" s="1" t="n">
        <v>46136</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14840-2026</t>
        </is>
      </c>
      <c r="B322" s="1" t="n">
        <v>46104.39498842593</v>
      </c>
      <c r="C322" s="1" t="n">
        <v>46136</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23516-2023</t>
        </is>
      </c>
      <c r="B323" s="1" t="n">
        <v>45076.93391203704</v>
      </c>
      <c r="C323" s="1" t="n">
        <v>46136</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32467-2025</t>
        </is>
      </c>
      <c r="B324" s="1" t="n">
        <v>45838.42111111111</v>
      </c>
      <c r="C324" s="1" t="n">
        <v>46136</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46136</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7625-2026</t>
        </is>
      </c>
      <c r="B326" s="1" t="n">
        <v>46062.35135416667</v>
      </c>
      <c r="C326" s="1" t="n">
        <v>46136</v>
      </c>
      <c r="D326" t="inlineStr">
        <is>
          <t>GOTLANDS LÄN</t>
        </is>
      </c>
      <c r="E326" t="inlineStr">
        <is>
          <t>GOTLAND</t>
        </is>
      </c>
      <c r="G326" t="n">
        <v>2.1</v>
      </c>
      <c r="H326" t="n">
        <v>0</v>
      </c>
      <c r="I326" t="n">
        <v>0</v>
      </c>
      <c r="J326" t="n">
        <v>0</v>
      </c>
      <c r="K326" t="n">
        <v>0</v>
      </c>
      <c r="L326" t="n">
        <v>0</v>
      </c>
      <c r="M326" t="n">
        <v>0</v>
      </c>
      <c r="N326" t="n">
        <v>0</v>
      </c>
      <c r="O326" t="n">
        <v>0</v>
      </c>
      <c r="P326" t="n">
        <v>0</v>
      </c>
      <c r="Q326" t="n">
        <v>0</v>
      </c>
      <c r="R326" s="2" t="inlineStr"/>
    </row>
    <row r="327" ht="15" customHeight="1">
      <c r="A327" t="inlineStr">
        <is>
          <t>A 16109-2025</t>
        </is>
      </c>
      <c r="B327" s="1" t="n">
        <v>45750</v>
      </c>
      <c r="C327" s="1" t="n">
        <v>46136</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63763-2023</t>
        </is>
      </c>
      <c r="B328" s="1" t="n">
        <v>45278.33944444444</v>
      </c>
      <c r="C328" s="1" t="n">
        <v>46136</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7627-2026</t>
        </is>
      </c>
      <c r="B329" s="1" t="n">
        <v>46062.35465277778</v>
      </c>
      <c r="C329" s="1" t="n">
        <v>46136</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39819-2025</t>
        </is>
      </c>
      <c r="B330" s="1" t="n">
        <v>45891.53418981482</v>
      </c>
      <c r="C330" s="1" t="n">
        <v>46136</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63105-2025</t>
        </is>
      </c>
      <c r="B331" s="1" t="n">
        <v>46009</v>
      </c>
      <c r="C331" s="1" t="n">
        <v>46136</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63229-2021</t>
        </is>
      </c>
      <c r="B332" s="1" t="n">
        <v>44508.34518518519</v>
      </c>
      <c r="C332" s="1" t="n">
        <v>46136</v>
      </c>
      <c r="D332" t="inlineStr">
        <is>
          <t>GOTLANDS LÄN</t>
        </is>
      </c>
      <c r="E332" t="inlineStr">
        <is>
          <t>GOTLAND</t>
        </is>
      </c>
      <c r="F332" t="inlineStr">
        <is>
          <t>Kyrkan</t>
        </is>
      </c>
      <c r="G332" t="n">
        <v>3.8</v>
      </c>
      <c r="H332" t="n">
        <v>0</v>
      </c>
      <c r="I332" t="n">
        <v>0</v>
      </c>
      <c r="J332" t="n">
        <v>0</v>
      </c>
      <c r="K332" t="n">
        <v>0</v>
      </c>
      <c r="L332" t="n">
        <v>0</v>
      </c>
      <c r="M332" t="n">
        <v>0</v>
      </c>
      <c r="N332" t="n">
        <v>0</v>
      </c>
      <c r="O332" t="n">
        <v>0</v>
      </c>
      <c r="P332" t="n">
        <v>0</v>
      </c>
      <c r="Q332" t="n">
        <v>0</v>
      </c>
      <c r="R332" s="2" t="inlineStr"/>
    </row>
    <row r="333" ht="15" customHeight="1">
      <c r="A333" t="inlineStr">
        <is>
          <t>A 46375-2024</t>
        </is>
      </c>
      <c r="B333" s="1" t="n">
        <v>45582</v>
      </c>
      <c r="C333" s="1" t="n">
        <v>46136</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33007-2025</t>
        </is>
      </c>
      <c r="B334" s="1" t="n">
        <v>45840</v>
      </c>
      <c r="C334" s="1" t="n">
        <v>46136</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39814-2025</t>
        </is>
      </c>
      <c r="B335" s="1" t="n">
        <v>45891.52694444444</v>
      </c>
      <c r="C335" s="1" t="n">
        <v>46136</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2135-2026</t>
        </is>
      </c>
      <c r="B336" s="1" t="n">
        <v>46036</v>
      </c>
      <c r="C336" s="1" t="n">
        <v>46136</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39849-2025</t>
        </is>
      </c>
      <c r="B337" s="1" t="n">
        <v>45891.58502314815</v>
      </c>
      <c r="C337" s="1" t="n">
        <v>46136</v>
      </c>
      <c r="D337" t="inlineStr">
        <is>
          <t>GOTLANDS LÄN</t>
        </is>
      </c>
      <c r="E337" t="inlineStr">
        <is>
          <t>GOTLAND</t>
        </is>
      </c>
      <c r="G337" t="n">
        <v>6.1</v>
      </c>
      <c r="H337" t="n">
        <v>0</v>
      </c>
      <c r="I337" t="n">
        <v>0</v>
      </c>
      <c r="J337" t="n">
        <v>0</v>
      </c>
      <c r="K337" t="n">
        <v>0</v>
      </c>
      <c r="L337" t="n">
        <v>0</v>
      </c>
      <c r="M337" t="n">
        <v>0</v>
      </c>
      <c r="N337" t="n">
        <v>0</v>
      </c>
      <c r="O337" t="n">
        <v>0</v>
      </c>
      <c r="P337" t="n">
        <v>0</v>
      </c>
      <c r="Q337" t="n">
        <v>0</v>
      </c>
      <c r="R337" s="2" t="inlineStr"/>
    </row>
    <row r="338" ht="15" customHeight="1">
      <c r="A338" t="inlineStr">
        <is>
          <t>A 39752-2025</t>
        </is>
      </c>
      <c r="B338" s="1" t="n">
        <v>45891</v>
      </c>
      <c r="C338" s="1" t="n">
        <v>46136</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46136</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40103-2025</t>
        </is>
      </c>
      <c r="B340" s="1" t="n">
        <v>45894.4880324074</v>
      </c>
      <c r="C340" s="1" t="n">
        <v>46136</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40373-2025</t>
        </is>
      </c>
      <c r="B341" s="1" t="n">
        <v>45895.51821759259</v>
      </c>
      <c r="C341" s="1" t="n">
        <v>46136</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40499-2025</t>
        </is>
      </c>
      <c r="B342" s="1" t="n">
        <v>45896.32517361111</v>
      </c>
      <c r="C342" s="1" t="n">
        <v>46136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40372-2025</t>
        </is>
      </c>
      <c r="B343" s="1" t="n">
        <v>45895.5162037037</v>
      </c>
      <c r="C343" s="1" t="n">
        <v>46136</v>
      </c>
      <c r="D343" t="inlineStr">
        <is>
          <t>GOTLANDS LÄN</t>
        </is>
      </c>
      <c r="E343" t="inlineStr">
        <is>
          <t>GOTLAND</t>
        </is>
      </c>
      <c r="G343" t="n">
        <v>3.3</v>
      </c>
      <c r="H343" t="n">
        <v>0</v>
      </c>
      <c r="I343" t="n">
        <v>0</v>
      </c>
      <c r="J343" t="n">
        <v>0</v>
      </c>
      <c r="K343" t="n">
        <v>0</v>
      </c>
      <c r="L343" t="n">
        <v>0</v>
      </c>
      <c r="M343" t="n">
        <v>0</v>
      </c>
      <c r="N343" t="n">
        <v>0</v>
      </c>
      <c r="O343" t="n">
        <v>0</v>
      </c>
      <c r="P343" t="n">
        <v>0</v>
      </c>
      <c r="Q343" t="n">
        <v>0</v>
      </c>
      <c r="R343" s="2" t="inlineStr"/>
    </row>
    <row r="344" ht="15" customHeight="1">
      <c r="A344" t="inlineStr">
        <is>
          <t>A 39278-2025</t>
        </is>
      </c>
      <c r="B344" s="1" t="n">
        <v>45889</v>
      </c>
      <c r="C344" s="1" t="n">
        <v>46136</v>
      </c>
      <c r="D344" t="inlineStr">
        <is>
          <t>GOTLANDS LÄN</t>
        </is>
      </c>
      <c r="E344" t="inlineStr">
        <is>
          <t>GOTLAND</t>
        </is>
      </c>
      <c r="G344" t="n">
        <v>3.7</v>
      </c>
      <c r="H344" t="n">
        <v>0</v>
      </c>
      <c r="I344" t="n">
        <v>0</v>
      </c>
      <c r="J344" t="n">
        <v>0</v>
      </c>
      <c r="K344" t="n">
        <v>0</v>
      </c>
      <c r="L344" t="n">
        <v>0</v>
      </c>
      <c r="M344" t="n">
        <v>0</v>
      </c>
      <c r="N344" t="n">
        <v>0</v>
      </c>
      <c r="O344" t="n">
        <v>0</v>
      </c>
      <c r="P344" t="n">
        <v>0</v>
      </c>
      <c r="Q344" t="n">
        <v>0</v>
      </c>
      <c r="R344" s="2" t="inlineStr"/>
    </row>
    <row r="345" ht="15" customHeight="1">
      <c r="A345" t="inlineStr">
        <is>
          <t>A 2134-2026</t>
        </is>
      </c>
      <c r="B345" s="1" t="n">
        <v>46036</v>
      </c>
      <c r="C345" s="1" t="n">
        <v>46136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1734-2025</t>
        </is>
      </c>
      <c r="B346" s="1" t="n">
        <v>45671.3840625</v>
      </c>
      <c r="C346" s="1" t="n">
        <v>46136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46136</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45000.43310185185</v>
      </c>
      <c r="C348" s="1" t="n">
        <v>46136</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45672.64940972222</v>
      </c>
      <c r="C349" s="1" t="n">
        <v>46136</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46136</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12155-2023</t>
        </is>
      </c>
      <c r="B351" s="1" t="n">
        <v>44998.49106481481</v>
      </c>
      <c r="C351" s="1" t="n">
        <v>46136</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457-2023</t>
        </is>
      </c>
      <c r="B352" s="1" t="n">
        <v>44929.87238425926</v>
      </c>
      <c r="C352" s="1" t="n">
        <v>46136</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459-2023</t>
        </is>
      </c>
      <c r="B353" s="1" t="n">
        <v>44929.87423611111</v>
      </c>
      <c r="C353" s="1" t="n">
        <v>46136</v>
      </c>
      <c r="D353" t="inlineStr">
        <is>
          <t>GOTLANDS LÄN</t>
        </is>
      </c>
      <c r="E353" t="inlineStr">
        <is>
          <t>GOTLAND</t>
        </is>
      </c>
      <c r="G353" t="n">
        <v>4.2</v>
      </c>
      <c r="H353" t="n">
        <v>0</v>
      </c>
      <c r="I353" t="n">
        <v>0</v>
      </c>
      <c r="J353" t="n">
        <v>0</v>
      </c>
      <c r="K353" t="n">
        <v>0</v>
      </c>
      <c r="L353" t="n">
        <v>0</v>
      </c>
      <c r="M353" t="n">
        <v>0</v>
      </c>
      <c r="N353" t="n">
        <v>0</v>
      </c>
      <c r="O353" t="n">
        <v>0</v>
      </c>
      <c r="P353" t="n">
        <v>0</v>
      </c>
      <c r="Q353" t="n">
        <v>0</v>
      </c>
      <c r="R353" s="2" t="inlineStr"/>
    </row>
    <row r="354" ht="15" customHeight="1">
      <c r="A354" t="inlineStr">
        <is>
          <t>A 38234-2023</t>
        </is>
      </c>
      <c r="B354" s="1" t="n">
        <v>45161.56663194444</v>
      </c>
      <c r="C354" s="1" t="n">
        <v>46136</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35123-2025</t>
        </is>
      </c>
      <c r="B355" s="1" t="n">
        <v>45852.614375</v>
      </c>
      <c r="C355" s="1" t="n">
        <v>46136</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46136</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50744-2024</t>
        </is>
      </c>
      <c r="B357" s="1" t="n">
        <v>45602.4187037037</v>
      </c>
      <c r="C357" s="1" t="n">
        <v>46136</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41435-2025</t>
        </is>
      </c>
      <c r="B358" s="1" t="n">
        <v>45901.39974537037</v>
      </c>
      <c r="C358" s="1" t="n">
        <v>46136</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30104-2025</t>
        </is>
      </c>
      <c r="B359" s="1" t="n">
        <v>45826.68806712963</v>
      </c>
      <c r="C359" s="1" t="n">
        <v>46136</v>
      </c>
      <c r="D359" t="inlineStr">
        <is>
          <t>GOTLANDS LÄN</t>
        </is>
      </c>
      <c r="E359" t="inlineStr">
        <is>
          <t>GOTLAND</t>
        </is>
      </c>
      <c r="G359" t="n">
        <v>15.4</v>
      </c>
      <c r="H359" t="n">
        <v>0</v>
      </c>
      <c r="I359" t="n">
        <v>0</v>
      </c>
      <c r="J359" t="n">
        <v>0</v>
      </c>
      <c r="K359" t="n">
        <v>0</v>
      </c>
      <c r="L359" t="n">
        <v>0</v>
      </c>
      <c r="M359" t="n">
        <v>0</v>
      </c>
      <c r="N359" t="n">
        <v>0</v>
      </c>
      <c r="O359" t="n">
        <v>0</v>
      </c>
      <c r="P359" t="n">
        <v>0</v>
      </c>
      <c r="Q359" t="n">
        <v>0</v>
      </c>
      <c r="R359" s="2" t="inlineStr"/>
    </row>
    <row r="360" ht="15" customHeight="1">
      <c r="A360" t="inlineStr">
        <is>
          <t>A 53934-2024</t>
        </is>
      </c>
      <c r="B360" s="1" t="n">
        <v>45615</v>
      </c>
      <c r="C360" s="1" t="n">
        <v>46136</v>
      </c>
      <c r="D360" t="inlineStr">
        <is>
          <t>GOTLANDS LÄN</t>
        </is>
      </c>
      <c r="E360" t="inlineStr">
        <is>
          <t>GOTLAND</t>
        </is>
      </c>
      <c r="G360" t="n">
        <v>5</v>
      </c>
      <c r="H360" t="n">
        <v>0</v>
      </c>
      <c r="I360" t="n">
        <v>0</v>
      </c>
      <c r="J360" t="n">
        <v>0</v>
      </c>
      <c r="K360" t="n">
        <v>0</v>
      </c>
      <c r="L360" t="n">
        <v>0</v>
      </c>
      <c r="M360" t="n">
        <v>0</v>
      </c>
      <c r="N360" t="n">
        <v>0</v>
      </c>
      <c r="O360" t="n">
        <v>0</v>
      </c>
      <c r="P360" t="n">
        <v>0</v>
      </c>
      <c r="Q360" t="n">
        <v>0</v>
      </c>
      <c r="R360" s="2" t="inlineStr"/>
    </row>
    <row r="361" ht="15" customHeight="1">
      <c r="A361" t="inlineStr">
        <is>
          <t>A 35290-2025</t>
        </is>
      </c>
      <c r="B361" s="1" t="n">
        <v>45854.38502314815</v>
      </c>
      <c r="C361" s="1" t="n">
        <v>46136</v>
      </c>
      <c r="D361" t="inlineStr">
        <is>
          <t>GOTLANDS LÄN</t>
        </is>
      </c>
      <c r="E361" t="inlineStr">
        <is>
          <t>GOTLAND</t>
        </is>
      </c>
      <c r="G361" t="n">
        <v>5.4</v>
      </c>
      <c r="H361" t="n">
        <v>0</v>
      </c>
      <c r="I361" t="n">
        <v>0</v>
      </c>
      <c r="J361" t="n">
        <v>0</v>
      </c>
      <c r="K361" t="n">
        <v>0</v>
      </c>
      <c r="L361" t="n">
        <v>0</v>
      </c>
      <c r="M361" t="n">
        <v>0</v>
      </c>
      <c r="N361" t="n">
        <v>0</v>
      </c>
      <c r="O361" t="n">
        <v>0</v>
      </c>
      <c r="P361" t="n">
        <v>0</v>
      </c>
      <c r="Q361" t="n">
        <v>0</v>
      </c>
      <c r="R361" s="2" t="inlineStr"/>
    </row>
    <row r="362" ht="15" customHeight="1">
      <c r="A362" t="inlineStr">
        <is>
          <t>A 32669-2024</t>
        </is>
      </c>
      <c r="B362" s="1" t="n">
        <v>45514</v>
      </c>
      <c r="C362" s="1" t="n">
        <v>46136</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35537-2025</t>
        </is>
      </c>
      <c r="B363" s="1" t="n">
        <v>45856</v>
      </c>
      <c r="C363" s="1" t="n">
        <v>46136</v>
      </c>
      <c r="D363" t="inlineStr">
        <is>
          <t>GOTLANDS LÄN</t>
        </is>
      </c>
      <c r="E363" t="inlineStr">
        <is>
          <t>GOTLAND</t>
        </is>
      </c>
      <c r="G363" t="n">
        <v>16.8</v>
      </c>
      <c r="H363" t="n">
        <v>0</v>
      </c>
      <c r="I363" t="n">
        <v>0</v>
      </c>
      <c r="J363" t="n">
        <v>0</v>
      </c>
      <c r="K363" t="n">
        <v>0</v>
      </c>
      <c r="L363" t="n">
        <v>0</v>
      </c>
      <c r="M363" t="n">
        <v>0</v>
      </c>
      <c r="N363" t="n">
        <v>0</v>
      </c>
      <c r="O363" t="n">
        <v>0</v>
      </c>
      <c r="P363" t="n">
        <v>0</v>
      </c>
      <c r="Q363" t="n">
        <v>0</v>
      </c>
      <c r="R363" s="2" t="inlineStr"/>
    </row>
    <row r="364" ht="15" customHeight="1">
      <c r="A364" t="inlineStr">
        <is>
          <t>A 53561-2025</t>
        </is>
      </c>
      <c r="B364" s="1" t="n">
        <v>45960.4059375</v>
      </c>
      <c r="C364" s="1" t="n">
        <v>46136</v>
      </c>
      <c r="D364" t="inlineStr">
        <is>
          <t>GOTLANDS LÄN</t>
        </is>
      </c>
      <c r="E364" t="inlineStr">
        <is>
          <t>GOTLAND</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15216-2025</t>
        </is>
      </c>
      <c r="B365" s="1" t="n">
        <v>45744</v>
      </c>
      <c r="C365" s="1" t="n">
        <v>46136</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53587-2025</t>
        </is>
      </c>
      <c r="B366" s="1" t="n">
        <v>45960.43681712963</v>
      </c>
      <c r="C366" s="1" t="n">
        <v>46136</v>
      </c>
      <c r="D366" t="inlineStr">
        <is>
          <t>GOTLANDS LÄN</t>
        </is>
      </c>
      <c r="E366" t="inlineStr">
        <is>
          <t>GOTLAND</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43790-2024</t>
        </is>
      </c>
      <c r="B367" s="1" t="n">
        <v>45571</v>
      </c>
      <c r="C367" s="1" t="n">
        <v>46136</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1446-2025</t>
        </is>
      </c>
      <c r="B368" s="1" t="n">
        <v>45669.86035879629</v>
      </c>
      <c r="C368" s="1" t="n">
        <v>46136</v>
      </c>
      <c r="D368" t="inlineStr">
        <is>
          <t>GOTLANDS LÄN</t>
        </is>
      </c>
      <c r="E368" t="inlineStr">
        <is>
          <t>GOTLAND</t>
        </is>
      </c>
      <c r="G368" t="n">
        <v>3.1</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46136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30488-2025</t>
        </is>
      </c>
      <c r="B370" s="1" t="n">
        <v>45830</v>
      </c>
      <c r="C370" s="1" t="n">
        <v>46136</v>
      </c>
      <c r="D370" t="inlineStr">
        <is>
          <t>GOTLANDS LÄN</t>
        </is>
      </c>
      <c r="E370" t="inlineStr">
        <is>
          <t>GOTLAND</t>
        </is>
      </c>
      <c r="F370" t="inlineStr">
        <is>
          <t>Kyrkan</t>
        </is>
      </c>
      <c r="G370" t="n">
        <v>3.9</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46136</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9504-2026</t>
        </is>
      </c>
      <c r="B372" s="1" t="n">
        <v>46071.57730324074</v>
      </c>
      <c r="C372" s="1" t="n">
        <v>46136</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9518-2026</t>
        </is>
      </c>
      <c r="B373" s="1" t="n">
        <v>46071.59653935185</v>
      </c>
      <c r="C373" s="1" t="n">
        <v>46136</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9519-2026</t>
        </is>
      </c>
      <c r="B374" s="1" t="n">
        <v>46071.59820601852</v>
      </c>
      <c r="C374" s="1" t="n">
        <v>46136</v>
      </c>
      <c r="D374" t="inlineStr">
        <is>
          <t>GOTLANDS LÄN</t>
        </is>
      </c>
      <c r="E374" t="inlineStr">
        <is>
          <t>GOTLAND</t>
        </is>
      </c>
      <c r="G374" t="n">
        <v>4</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46136</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9540-2026</t>
        </is>
      </c>
      <c r="B376" s="1" t="n">
        <v>46071.61961805556</v>
      </c>
      <c r="C376" s="1" t="n">
        <v>46136</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35129-2025</t>
        </is>
      </c>
      <c r="B377" s="1" t="n">
        <v>45852.63224537037</v>
      </c>
      <c r="C377" s="1" t="n">
        <v>46136</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31264-2021</t>
        </is>
      </c>
      <c r="B378" s="1" t="n">
        <v>44368</v>
      </c>
      <c r="C378" s="1" t="n">
        <v>46136</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9521-2026</t>
        </is>
      </c>
      <c r="B379" s="1" t="n">
        <v>46071.59969907408</v>
      </c>
      <c r="C379" s="1" t="n">
        <v>46136</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9524-2026</t>
        </is>
      </c>
      <c r="B380" s="1" t="n">
        <v>46071.60108796296</v>
      </c>
      <c r="C380" s="1" t="n">
        <v>46136</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9543-2026</t>
        </is>
      </c>
      <c r="B381" s="1" t="n">
        <v>46071.62486111111</v>
      </c>
      <c r="C381" s="1" t="n">
        <v>46136</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43901-2023</t>
        </is>
      </c>
      <c r="B382" s="1" t="n">
        <v>45187</v>
      </c>
      <c r="C382" s="1" t="n">
        <v>46136</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41551-2025</t>
        </is>
      </c>
      <c r="B383" s="1" t="n">
        <v>45901.58854166666</v>
      </c>
      <c r="C383" s="1" t="n">
        <v>46136</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16993-2026</t>
        </is>
      </c>
      <c r="B384" s="1" t="n">
        <v>46114.41918981481</v>
      </c>
      <c r="C384" s="1" t="n">
        <v>46136</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17000-2026</t>
        </is>
      </c>
      <c r="B385" s="1" t="n">
        <v>46114.42690972222</v>
      </c>
      <c r="C385" s="1" t="n">
        <v>46136</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10746-2025</t>
        </is>
      </c>
      <c r="B386" s="1" t="n">
        <v>45722.42766203704</v>
      </c>
      <c r="C386" s="1" t="n">
        <v>46136</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16501-2023</t>
        </is>
      </c>
      <c r="B387" s="1" t="n">
        <v>45029</v>
      </c>
      <c r="C387" s="1" t="n">
        <v>46136</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63152-2025</t>
        </is>
      </c>
      <c r="B388" s="1" t="n">
        <v>46010</v>
      </c>
      <c r="C388" s="1" t="n">
        <v>46136</v>
      </c>
      <c r="D388" t="inlineStr">
        <is>
          <t>GOTLANDS LÄN</t>
        </is>
      </c>
      <c r="E388" t="inlineStr">
        <is>
          <t>GOTLAND</t>
        </is>
      </c>
      <c r="G388" t="n">
        <v>1.5</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46136</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10486-2026</t>
        </is>
      </c>
      <c r="B390" s="1" t="n">
        <v>46077.51425925926</v>
      </c>
      <c r="C390" s="1" t="n">
        <v>46136</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46136</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9901-2026</t>
        </is>
      </c>
      <c r="B392" s="1" t="n">
        <v>46073.40391203704</v>
      </c>
      <c r="C392" s="1" t="n">
        <v>46136</v>
      </c>
      <c r="D392" t="inlineStr">
        <is>
          <t>GOTLANDS LÄN</t>
        </is>
      </c>
      <c r="E392" t="inlineStr">
        <is>
          <t>GOTLAND</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17328-2026</t>
        </is>
      </c>
      <c r="B393" s="1" t="n">
        <v>46119.61216435185</v>
      </c>
      <c r="C393" s="1" t="n">
        <v>46136</v>
      </c>
      <c r="D393" t="inlineStr">
        <is>
          <t>GOTLANDS LÄN</t>
        </is>
      </c>
      <c r="E393" t="inlineStr">
        <is>
          <t>GOTLAND</t>
        </is>
      </c>
      <c r="F393" t="inlineStr">
        <is>
          <t>Kyrkan</t>
        </is>
      </c>
      <c r="G393" t="n">
        <v>4</v>
      </c>
      <c r="H393" t="n">
        <v>0</v>
      </c>
      <c r="I393" t="n">
        <v>0</v>
      </c>
      <c r="J393" t="n">
        <v>0</v>
      </c>
      <c r="K393" t="n">
        <v>0</v>
      </c>
      <c r="L393" t="n">
        <v>0</v>
      </c>
      <c r="M393" t="n">
        <v>0</v>
      </c>
      <c r="N393" t="n">
        <v>0</v>
      </c>
      <c r="O393" t="n">
        <v>0</v>
      </c>
      <c r="P393" t="n">
        <v>0</v>
      </c>
      <c r="Q393" t="n">
        <v>0</v>
      </c>
      <c r="R393" s="2" t="inlineStr"/>
    </row>
    <row r="394" ht="15" customHeight="1">
      <c r="A394" t="inlineStr">
        <is>
          <t>A 10492-2023</t>
        </is>
      </c>
      <c r="B394" s="1" t="n">
        <v>44987</v>
      </c>
      <c r="C394" s="1" t="n">
        <v>46136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10284-2026</t>
        </is>
      </c>
      <c r="B395" s="1" t="n">
        <v>46076</v>
      </c>
      <c r="C395" s="1" t="n">
        <v>46136</v>
      </c>
      <c r="D395" t="inlineStr">
        <is>
          <t>GOTLANDS LÄN</t>
        </is>
      </c>
      <c r="E395" t="inlineStr">
        <is>
          <t>GOTLAND</t>
        </is>
      </c>
      <c r="G395" t="n">
        <v>5.2</v>
      </c>
      <c r="H395" t="n">
        <v>0</v>
      </c>
      <c r="I395" t="n">
        <v>0</v>
      </c>
      <c r="J395" t="n">
        <v>0</v>
      </c>
      <c r="K395" t="n">
        <v>0</v>
      </c>
      <c r="L395" t="n">
        <v>0</v>
      </c>
      <c r="M395" t="n">
        <v>0</v>
      </c>
      <c r="N395" t="n">
        <v>0</v>
      </c>
      <c r="O395" t="n">
        <v>0</v>
      </c>
      <c r="P395" t="n">
        <v>0</v>
      </c>
      <c r="Q395" t="n">
        <v>0</v>
      </c>
      <c r="R395" s="2" t="inlineStr"/>
    </row>
    <row r="396" ht="15" customHeight="1">
      <c r="A396" t="inlineStr">
        <is>
          <t>A 60384-2025</t>
        </is>
      </c>
      <c r="B396" s="1" t="n">
        <v>45995</v>
      </c>
      <c r="C396" s="1" t="n">
        <v>46136</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5909-2025</t>
        </is>
      </c>
      <c r="B397" s="1" t="n">
        <v>45695.40634259259</v>
      </c>
      <c r="C397" s="1" t="n">
        <v>46136</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10653-2023</t>
        </is>
      </c>
      <c r="B398" s="1" t="n">
        <v>44988.48859953704</v>
      </c>
      <c r="C398" s="1" t="n">
        <v>46136</v>
      </c>
      <c r="D398" t="inlineStr">
        <is>
          <t>GOTLANDS LÄN</t>
        </is>
      </c>
      <c r="E398" t="inlineStr">
        <is>
          <t>GOTLAND</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4990-2025</t>
        </is>
      </c>
      <c r="B399" s="1" t="n">
        <v>45691</v>
      </c>
      <c r="C399" s="1" t="n">
        <v>46136</v>
      </c>
      <c r="D399" t="inlineStr">
        <is>
          <t>GOTLANDS LÄN</t>
        </is>
      </c>
      <c r="E399" t="inlineStr">
        <is>
          <t>GOTLAND</t>
        </is>
      </c>
      <c r="G399" t="n">
        <v>7.7</v>
      </c>
      <c r="H399" t="n">
        <v>0</v>
      </c>
      <c r="I399" t="n">
        <v>0</v>
      </c>
      <c r="J399" t="n">
        <v>0</v>
      </c>
      <c r="K399" t="n">
        <v>0</v>
      </c>
      <c r="L399" t="n">
        <v>0</v>
      </c>
      <c r="M399" t="n">
        <v>0</v>
      </c>
      <c r="N399" t="n">
        <v>0</v>
      </c>
      <c r="O399" t="n">
        <v>0</v>
      </c>
      <c r="P399" t="n">
        <v>0</v>
      </c>
      <c r="Q399" t="n">
        <v>0</v>
      </c>
      <c r="R399" s="2" t="inlineStr"/>
    </row>
    <row r="400" ht="15" customHeight="1">
      <c r="A400" t="inlineStr">
        <is>
          <t>A 6108-2025</t>
        </is>
      </c>
      <c r="B400" s="1" t="n">
        <v>45698.29880787037</v>
      </c>
      <c r="C400" s="1" t="n">
        <v>46136</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21142-2025</t>
        </is>
      </c>
      <c r="B401" s="1" t="n">
        <v>45779</v>
      </c>
      <c r="C401" s="1" t="n">
        <v>46136</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17343-2025</t>
        </is>
      </c>
      <c r="B402" s="1" t="n">
        <v>45756.6687037037</v>
      </c>
      <c r="C402" s="1" t="n">
        <v>46136</v>
      </c>
      <c r="D402" t="inlineStr">
        <is>
          <t>GOTLANDS LÄN</t>
        </is>
      </c>
      <c r="E402" t="inlineStr">
        <is>
          <t>GOTLAND</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46136</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17935-2026</t>
        </is>
      </c>
      <c r="B404" s="1" t="n">
        <v>46122</v>
      </c>
      <c r="C404" s="1" t="n">
        <v>46136</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43081-2022</t>
        </is>
      </c>
      <c r="B405" s="1" t="n">
        <v>44833</v>
      </c>
      <c r="C405" s="1" t="n">
        <v>46136</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30489-2025</t>
        </is>
      </c>
      <c r="B406" s="1" t="n">
        <v>45830</v>
      </c>
      <c r="C406" s="1" t="n">
        <v>46136</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32958-2021</t>
        </is>
      </c>
      <c r="B407" s="1" t="n">
        <v>44376</v>
      </c>
      <c r="C407" s="1" t="n">
        <v>46136</v>
      </c>
      <c r="D407" t="inlineStr">
        <is>
          <t>GOTLANDS LÄN</t>
        </is>
      </c>
      <c r="E407" t="inlineStr">
        <is>
          <t>GOTLAND</t>
        </is>
      </c>
      <c r="G407" t="n">
        <v>2.2</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46136</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46136</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11424-2026</t>
        </is>
      </c>
      <c r="B411" s="1" t="n">
        <v>46083.48068287037</v>
      </c>
      <c r="C411" s="1" t="n">
        <v>46136</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11414-2026</t>
        </is>
      </c>
      <c r="B412" s="1" t="n">
        <v>46083.46336805556</v>
      </c>
      <c r="C412" s="1" t="n">
        <v>46136</v>
      </c>
      <c r="D412" t="inlineStr">
        <is>
          <t>GOTLANDS LÄN</t>
        </is>
      </c>
      <c r="E412" t="inlineStr">
        <is>
          <t>GOTLAND</t>
        </is>
      </c>
      <c r="G412" t="n">
        <v>4.9</v>
      </c>
      <c r="H412" t="n">
        <v>0</v>
      </c>
      <c r="I412" t="n">
        <v>0</v>
      </c>
      <c r="J412" t="n">
        <v>0</v>
      </c>
      <c r="K412" t="n">
        <v>0</v>
      </c>
      <c r="L412" t="n">
        <v>0</v>
      </c>
      <c r="M412" t="n">
        <v>0</v>
      </c>
      <c r="N412" t="n">
        <v>0</v>
      </c>
      <c r="O412" t="n">
        <v>0</v>
      </c>
      <c r="P412" t="n">
        <v>0</v>
      </c>
      <c r="Q412" t="n">
        <v>0</v>
      </c>
      <c r="R412" s="2" t="inlineStr"/>
    </row>
    <row r="413" ht="15" customHeight="1">
      <c r="A413" t="inlineStr">
        <is>
          <t>A 17943-2026</t>
        </is>
      </c>
      <c r="B413" s="1" t="n">
        <v>46122</v>
      </c>
      <c r="C413" s="1" t="n">
        <v>46136</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54584-2025</t>
        </is>
      </c>
      <c r="B414" s="1" t="n">
        <v>45965.71788194445</v>
      </c>
      <c r="C414" s="1" t="n">
        <v>46136</v>
      </c>
      <c r="D414" t="inlineStr">
        <is>
          <t>GOTLANDS LÄN</t>
        </is>
      </c>
      <c r="E414" t="inlineStr">
        <is>
          <t>GOTLAND</t>
        </is>
      </c>
      <c r="G414" t="n">
        <v>3.5</v>
      </c>
      <c r="H414" t="n">
        <v>0</v>
      </c>
      <c r="I414" t="n">
        <v>0</v>
      </c>
      <c r="J414" t="n">
        <v>0</v>
      </c>
      <c r="K414" t="n">
        <v>0</v>
      </c>
      <c r="L414" t="n">
        <v>0</v>
      </c>
      <c r="M414" t="n">
        <v>0</v>
      </c>
      <c r="N414" t="n">
        <v>0</v>
      </c>
      <c r="O414" t="n">
        <v>0</v>
      </c>
      <c r="P414" t="n">
        <v>0</v>
      </c>
      <c r="Q414" t="n">
        <v>0</v>
      </c>
      <c r="R414" s="2" t="inlineStr"/>
    </row>
    <row r="415" ht="15" customHeight="1">
      <c r="A415" t="inlineStr">
        <is>
          <t>A 49693-2023</t>
        </is>
      </c>
      <c r="B415" s="1" t="n">
        <v>45212.38138888889</v>
      </c>
      <c r="C415" s="1" t="n">
        <v>46136</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49697-2023</t>
        </is>
      </c>
      <c r="B416" s="1" t="n">
        <v>45212.38909722222</v>
      </c>
      <c r="C416" s="1" t="n">
        <v>46136</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3067-2026</t>
        </is>
      </c>
      <c r="B417" s="1" t="n">
        <v>46040.59025462963</v>
      </c>
      <c r="C417" s="1" t="n">
        <v>46136</v>
      </c>
      <c r="D417" t="inlineStr">
        <is>
          <t>GOTLANDS LÄN</t>
        </is>
      </c>
      <c r="E417" t="inlineStr">
        <is>
          <t>GOTLAND</t>
        </is>
      </c>
      <c r="G417" t="n">
        <v>7.8</v>
      </c>
      <c r="H417" t="n">
        <v>0</v>
      </c>
      <c r="I417" t="n">
        <v>0</v>
      </c>
      <c r="J417" t="n">
        <v>0</v>
      </c>
      <c r="K417" t="n">
        <v>0</v>
      </c>
      <c r="L417" t="n">
        <v>0</v>
      </c>
      <c r="M417" t="n">
        <v>0</v>
      </c>
      <c r="N417" t="n">
        <v>0</v>
      </c>
      <c r="O417" t="n">
        <v>0</v>
      </c>
      <c r="P417" t="n">
        <v>0</v>
      </c>
      <c r="Q417" t="n">
        <v>0</v>
      </c>
      <c r="R417" s="2" t="inlineStr"/>
    </row>
    <row r="418" ht="15" customHeight="1">
      <c r="A418" t="inlineStr">
        <is>
          <t>A 17901-2023</t>
        </is>
      </c>
      <c r="B418" s="1" t="n">
        <v>45039</v>
      </c>
      <c r="C418" s="1" t="n">
        <v>46136</v>
      </c>
      <c r="D418" t="inlineStr">
        <is>
          <t>GOTLANDS LÄN</t>
        </is>
      </c>
      <c r="E418" t="inlineStr">
        <is>
          <t>GOTLAND</t>
        </is>
      </c>
      <c r="F418" t="inlineStr">
        <is>
          <t>Kyrkan</t>
        </is>
      </c>
      <c r="G418" t="n">
        <v>0.6</v>
      </c>
      <c r="H418" t="n">
        <v>0</v>
      </c>
      <c r="I418" t="n">
        <v>0</v>
      </c>
      <c r="J418" t="n">
        <v>0</v>
      </c>
      <c r="K418" t="n">
        <v>0</v>
      </c>
      <c r="L418" t="n">
        <v>0</v>
      </c>
      <c r="M418" t="n">
        <v>0</v>
      </c>
      <c r="N418" t="n">
        <v>0</v>
      </c>
      <c r="O418" t="n">
        <v>0</v>
      </c>
      <c r="P418" t="n">
        <v>0</v>
      </c>
      <c r="Q418" t="n">
        <v>0</v>
      </c>
      <c r="R418" s="2" t="inlineStr"/>
    </row>
    <row r="419" ht="15" customHeight="1">
      <c r="A419" t="inlineStr">
        <is>
          <t>A 52892-2021</t>
        </is>
      </c>
      <c r="B419" s="1" t="n">
        <v>44467.49048611111</v>
      </c>
      <c r="C419" s="1" t="n">
        <v>46136</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42608-2025</t>
        </is>
      </c>
      <c r="B420" s="1" t="n">
        <v>45905</v>
      </c>
      <c r="C420" s="1" t="n">
        <v>46136</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46396-2023</t>
        </is>
      </c>
      <c r="B421" s="1" t="n">
        <v>45197</v>
      </c>
      <c r="C421" s="1" t="n">
        <v>46136</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11982-2026</t>
        </is>
      </c>
      <c r="B422" s="1" t="n">
        <v>46085.6434375</v>
      </c>
      <c r="C422" s="1" t="n">
        <v>46136</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16373-2025</t>
        </is>
      </c>
      <c r="B423" s="1" t="n">
        <v>45751</v>
      </c>
      <c r="C423" s="1" t="n">
        <v>46136</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17724-2024</t>
        </is>
      </c>
      <c r="B424" s="1" t="n">
        <v>45418.55096064815</v>
      </c>
      <c r="C424" s="1" t="n">
        <v>46136</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34312-2024</t>
        </is>
      </c>
      <c r="B425" s="1" t="n">
        <v>45524.69703703704</v>
      </c>
      <c r="C425" s="1" t="n">
        <v>46136</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18804-2026</t>
        </is>
      </c>
      <c r="B426" s="1" t="n">
        <v>46128.62366898148</v>
      </c>
      <c r="C426" s="1" t="n">
        <v>46136</v>
      </c>
      <c r="D426" t="inlineStr">
        <is>
          <t>GOTLANDS LÄN</t>
        </is>
      </c>
      <c r="E426" t="inlineStr">
        <is>
          <t>GOTLAND</t>
        </is>
      </c>
      <c r="F426" t="inlineStr">
        <is>
          <t>Kyrkan</t>
        </is>
      </c>
      <c r="G426" t="n">
        <v>2.6</v>
      </c>
      <c r="H426" t="n">
        <v>0</v>
      </c>
      <c r="I426" t="n">
        <v>0</v>
      </c>
      <c r="J426" t="n">
        <v>0</v>
      </c>
      <c r="K426" t="n">
        <v>0</v>
      </c>
      <c r="L426" t="n">
        <v>0</v>
      </c>
      <c r="M426" t="n">
        <v>0</v>
      </c>
      <c r="N426" t="n">
        <v>0</v>
      </c>
      <c r="O426" t="n">
        <v>0</v>
      </c>
      <c r="P426" t="n">
        <v>0</v>
      </c>
      <c r="Q426" t="n">
        <v>0</v>
      </c>
      <c r="R426" s="2" t="inlineStr"/>
    </row>
    <row r="427" ht="15" customHeight="1">
      <c r="A427" t="inlineStr">
        <is>
          <t>A 12135-2026</t>
        </is>
      </c>
      <c r="B427" s="1" t="n">
        <v>46086</v>
      </c>
      <c r="C427" s="1" t="n">
        <v>46136</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42201-2023</t>
        </is>
      </c>
      <c r="B428" s="1" t="n">
        <v>45179</v>
      </c>
      <c r="C428" s="1" t="n">
        <v>46136</v>
      </c>
      <c r="D428" t="inlineStr">
        <is>
          <t>GOTLANDS LÄN</t>
        </is>
      </c>
      <c r="E428" t="inlineStr">
        <is>
          <t>GOTLAND</t>
        </is>
      </c>
      <c r="G428" t="n">
        <v>11.9</v>
      </c>
      <c r="H428" t="n">
        <v>0</v>
      </c>
      <c r="I428" t="n">
        <v>0</v>
      </c>
      <c r="J428" t="n">
        <v>0</v>
      </c>
      <c r="K428" t="n">
        <v>0</v>
      </c>
      <c r="L428" t="n">
        <v>0</v>
      </c>
      <c r="M428" t="n">
        <v>0</v>
      </c>
      <c r="N428" t="n">
        <v>0</v>
      </c>
      <c r="O428" t="n">
        <v>0</v>
      </c>
      <c r="P428" t="n">
        <v>0</v>
      </c>
      <c r="Q428" t="n">
        <v>0</v>
      </c>
      <c r="R428" s="2" t="inlineStr"/>
    </row>
    <row r="429" ht="15" customHeight="1">
      <c r="A429" t="inlineStr">
        <is>
          <t>A 10158-2025</t>
        </is>
      </c>
      <c r="B429" s="1" t="n">
        <v>45719</v>
      </c>
      <c r="C429" s="1" t="n">
        <v>46136</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19322-2026</t>
        </is>
      </c>
      <c r="B430" s="1" t="n">
        <v>46129</v>
      </c>
      <c r="C430" s="1" t="n">
        <v>46136</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69112-2021</t>
        </is>
      </c>
      <c r="B431" s="1" t="n">
        <v>44530</v>
      </c>
      <c r="C431" s="1" t="n">
        <v>46136</v>
      </c>
      <c r="D431" t="inlineStr">
        <is>
          <t>GOTLANDS LÄN</t>
        </is>
      </c>
      <c r="E431" t="inlineStr">
        <is>
          <t>GOTLAND</t>
        </is>
      </c>
      <c r="G431" t="n">
        <v>4.2</v>
      </c>
      <c r="H431" t="n">
        <v>0</v>
      </c>
      <c r="I431" t="n">
        <v>0</v>
      </c>
      <c r="J431" t="n">
        <v>0</v>
      </c>
      <c r="K431" t="n">
        <v>0</v>
      </c>
      <c r="L431" t="n">
        <v>0</v>
      </c>
      <c r="M431" t="n">
        <v>0</v>
      </c>
      <c r="N431" t="n">
        <v>0</v>
      </c>
      <c r="O431" t="n">
        <v>0</v>
      </c>
      <c r="P431" t="n">
        <v>0</v>
      </c>
      <c r="Q431" t="n">
        <v>0</v>
      </c>
      <c r="R431" s="2" t="inlineStr"/>
    </row>
    <row r="432" ht="15" customHeight="1">
      <c r="A432" t="inlineStr">
        <is>
          <t>A 7638-2025</t>
        </is>
      </c>
      <c r="B432" s="1" t="n">
        <v>45705.77306712963</v>
      </c>
      <c r="C432" s="1" t="n">
        <v>46136</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50482-2024</t>
        </is>
      </c>
      <c r="B433" s="1" t="n">
        <v>45601.48114583334</v>
      </c>
      <c r="C433" s="1" t="n">
        <v>46136</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43911-2025</t>
        </is>
      </c>
      <c r="B434" s="1" t="n">
        <v>45914.3881712963</v>
      </c>
      <c r="C434" s="1" t="n">
        <v>46136</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44410-2025</t>
        </is>
      </c>
      <c r="B435" s="1" t="n">
        <v>45916.53699074074</v>
      </c>
      <c r="C435" s="1" t="n">
        <v>46136</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1394-2023</t>
        </is>
      </c>
      <c r="B436" s="1" t="n">
        <v>44936.72997685185</v>
      </c>
      <c r="C436" s="1" t="n">
        <v>46136</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43951-2025</t>
        </is>
      </c>
      <c r="B437" s="1" t="n">
        <v>45915.38119212963</v>
      </c>
      <c r="C437" s="1" t="n">
        <v>46136</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44405-2025</t>
        </is>
      </c>
      <c r="B438" s="1" t="n">
        <v>45916.52405092592</v>
      </c>
      <c r="C438" s="1" t="n">
        <v>46136</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58230-2024</t>
        </is>
      </c>
      <c r="B439" s="1" t="n">
        <v>45632.51625</v>
      </c>
      <c r="C439" s="1" t="n">
        <v>46136</v>
      </c>
      <c r="D439" t="inlineStr">
        <is>
          <t>GOTLANDS LÄN</t>
        </is>
      </c>
      <c r="E439" t="inlineStr">
        <is>
          <t>GOTLAND</t>
        </is>
      </c>
      <c r="G439" t="n">
        <v>7.3</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46136</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5863-2026</t>
        </is>
      </c>
      <c r="B441" s="1" t="n">
        <v>46052</v>
      </c>
      <c r="C441" s="1" t="n">
        <v>46136</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25129-2023</t>
        </is>
      </c>
      <c r="B442" s="1" t="n">
        <v>45086.44261574074</v>
      </c>
      <c r="C442" s="1" t="n">
        <v>46136</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24192-2023</t>
        </is>
      </c>
      <c r="B443" s="1" t="n">
        <v>45079</v>
      </c>
      <c r="C443" s="1" t="n">
        <v>46136</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62754-2025</t>
        </is>
      </c>
      <c r="B444" s="1" t="n">
        <v>46008</v>
      </c>
      <c r="C444" s="1" t="n">
        <v>46136</v>
      </c>
      <c r="D444" t="inlineStr">
        <is>
          <t>GOTLANDS LÄN</t>
        </is>
      </c>
      <c r="E444" t="inlineStr">
        <is>
          <t>GOTLAND</t>
        </is>
      </c>
      <c r="F444" t="inlineStr">
        <is>
          <t>Övriga Aktiebolag</t>
        </is>
      </c>
      <c r="G444" t="n">
        <v>2.9</v>
      </c>
      <c r="H444" t="n">
        <v>0</v>
      </c>
      <c r="I444" t="n">
        <v>0</v>
      </c>
      <c r="J444" t="n">
        <v>0</v>
      </c>
      <c r="K444" t="n">
        <v>0</v>
      </c>
      <c r="L444" t="n">
        <v>0</v>
      </c>
      <c r="M444" t="n">
        <v>0</v>
      </c>
      <c r="N444" t="n">
        <v>0</v>
      </c>
      <c r="O444" t="n">
        <v>0</v>
      </c>
      <c r="P444" t="n">
        <v>0</v>
      </c>
      <c r="Q444" t="n">
        <v>0</v>
      </c>
      <c r="R444" s="2" t="inlineStr"/>
    </row>
    <row r="445" ht="15" customHeight="1">
      <c r="A445" t="inlineStr">
        <is>
          <t>A 62836-2025</t>
        </is>
      </c>
      <c r="B445" s="1" t="n">
        <v>46008</v>
      </c>
      <c r="C445" s="1" t="n">
        <v>46136</v>
      </c>
      <c r="D445" t="inlineStr">
        <is>
          <t>GOTLANDS LÄN</t>
        </is>
      </c>
      <c r="E445" t="inlineStr">
        <is>
          <t>GOTLAND</t>
        </is>
      </c>
      <c r="G445" t="n">
        <v>6.5</v>
      </c>
      <c r="H445" t="n">
        <v>0</v>
      </c>
      <c r="I445" t="n">
        <v>0</v>
      </c>
      <c r="J445" t="n">
        <v>0</v>
      </c>
      <c r="K445" t="n">
        <v>0</v>
      </c>
      <c r="L445" t="n">
        <v>0</v>
      </c>
      <c r="M445" t="n">
        <v>0</v>
      </c>
      <c r="N445" t="n">
        <v>0</v>
      </c>
      <c r="O445" t="n">
        <v>0</v>
      </c>
      <c r="P445" t="n">
        <v>0</v>
      </c>
      <c r="Q445" t="n">
        <v>0</v>
      </c>
      <c r="R445" s="2" t="inlineStr"/>
    </row>
    <row r="446" ht="15" customHeight="1">
      <c r="A446" t="inlineStr">
        <is>
          <t>A 5386-2023</t>
        </is>
      </c>
      <c r="B446" s="1" t="n">
        <v>44959</v>
      </c>
      <c r="C446" s="1" t="n">
        <v>46136</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7026-2023</t>
        </is>
      </c>
      <c r="B447" s="1" t="n">
        <v>44968.30340277778</v>
      </c>
      <c r="C447" s="1" t="n">
        <v>46136</v>
      </c>
      <c r="D447" t="inlineStr">
        <is>
          <t>GOTLANDS LÄN</t>
        </is>
      </c>
      <c r="E447" t="inlineStr">
        <is>
          <t>GOTLAND</t>
        </is>
      </c>
      <c r="G447" t="n">
        <v>2.9</v>
      </c>
      <c r="H447" t="n">
        <v>0</v>
      </c>
      <c r="I447" t="n">
        <v>0</v>
      </c>
      <c r="J447" t="n">
        <v>0</v>
      </c>
      <c r="K447" t="n">
        <v>0</v>
      </c>
      <c r="L447" t="n">
        <v>0</v>
      </c>
      <c r="M447" t="n">
        <v>0</v>
      </c>
      <c r="N447" t="n">
        <v>0</v>
      </c>
      <c r="O447" t="n">
        <v>0</v>
      </c>
      <c r="P447" t="n">
        <v>0</v>
      </c>
      <c r="Q447" t="n">
        <v>0</v>
      </c>
      <c r="R447" s="2" t="inlineStr"/>
    </row>
    <row r="448" ht="15" customHeight="1">
      <c r="A448" t="inlineStr">
        <is>
          <t>A 20855-2023</t>
        </is>
      </c>
      <c r="B448" s="1" t="n">
        <v>45058.82172453704</v>
      </c>
      <c r="C448" s="1" t="n">
        <v>46136</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62751-2025</t>
        </is>
      </c>
      <c r="B449" s="1" t="n">
        <v>46008</v>
      </c>
      <c r="C449" s="1" t="n">
        <v>46136</v>
      </c>
      <c r="D449" t="inlineStr">
        <is>
          <t>GOTLANDS LÄN</t>
        </is>
      </c>
      <c r="E449" t="inlineStr">
        <is>
          <t>GOTLAND</t>
        </is>
      </c>
      <c r="F449" t="inlineStr">
        <is>
          <t>Övriga Aktiebolag</t>
        </is>
      </c>
      <c r="G449" t="n">
        <v>7.8</v>
      </c>
      <c r="H449" t="n">
        <v>0</v>
      </c>
      <c r="I449" t="n">
        <v>0</v>
      </c>
      <c r="J449" t="n">
        <v>0</v>
      </c>
      <c r="K449" t="n">
        <v>0</v>
      </c>
      <c r="L449" t="n">
        <v>0</v>
      </c>
      <c r="M449" t="n">
        <v>0</v>
      </c>
      <c r="N449" t="n">
        <v>0</v>
      </c>
      <c r="O449" t="n">
        <v>0</v>
      </c>
      <c r="P449" t="n">
        <v>0</v>
      </c>
      <c r="Q449" t="n">
        <v>0</v>
      </c>
      <c r="R449" s="2" t="inlineStr"/>
    </row>
    <row r="450" ht="15" customHeight="1">
      <c r="A450" t="inlineStr">
        <is>
          <t>A 63000-2025</t>
        </is>
      </c>
      <c r="B450" s="1" t="n">
        <v>46009</v>
      </c>
      <c r="C450" s="1" t="n">
        <v>46136</v>
      </c>
      <c r="D450" t="inlineStr">
        <is>
          <t>GOTLANDS LÄN</t>
        </is>
      </c>
      <c r="E450" t="inlineStr">
        <is>
          <t>GOTLAND</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26391-2025</t>
        </is>
      </c>
      <c r="B451" s="1" t="n">
        <v>45806</v>
      </c>
      <c r="C451" s="1" t="n">
        <v>46136</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46836-2025</t>
        </is>
      </c>
      <c r="B452" s="1" t="n">
        <v>45928.31511574074</v>
      </c>
      <c r="C452" s="1" t="n">
        <v>46136</v>
      </c>
      <c r="D452" t="inlineStr">
        <is>
          <t>GOTLANDS LÄN</t>
        </is>
      </c>
      <c r="E452" t="inlineStr">
        <is>
          <t>GOTLAND</t>
        </is>
      </c>
      <c r="G452" t="n">
        <v>2.8</v>
      </c>
      <c r="H452" t="n">
        <v>0</v>
      </c>
      <c r="I452" t="n">
        <v>0</v>
      </c>
      <c r="J452" t="n">
        <v>0</v>
      </c>
      <c r="K452" t="n">
        <v>0</v>
      </c>
      <c r="L452" t="n">
        <v>0</v>
      </c>
      <c r="M452" t="n">
        <v>0</v>
      </c>
      <c r="N452" t="n">
        <v>0</v>
      </c>
      <c r="O452" t="n">
        <v>0</v>
      </c>
      <c r="P452" t="n">
        <v>0</v>
      </c>
      <c r="Q452" t="n">
        <v>0</v>
      </c>
      <c r="R452" s="2" t="inlineStr"/>
    </row>
    <row r="453" ht="15" customHeight="1">
      <c r="A453" t="inlineStr">
        <is>
          <t>A 1000-2024</t>
        </is>
      </c>
      <c r="B453" s="1" t="n">
        <v>45301.63371527778</v>
      </c>
      <c r="C453" s="1" t="n">
        <v>46136</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1010-2024</t>
        </is>
      </c>
      <c r="B454" s="1" t="n">
        <v>45301</v>
      </c>
      <c r="C454" s="1" t="n">
        <v>46136</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47637-2025</t>
        </is>
      </c>
      <c r="B455" s="1" t="n">
        <v>45931.49753472222</v>
      </c>
      <c r="C455" s="1" t="n">
        <v>46136</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47762-2023</t>
        </is>
      </c>
      <c r="B456" s="1" t="n">
        <v>45203.86256944444</v>
      </c>
      <c r="C456" s="1" t="n">
        <v>46136</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32378-2025</t>
        </is>
      </c>
      <c r="B457" s="1" t="n">
        <v>45837</v>
      </c>
      <c r="C457" s="1" t="n">
        <v>46136</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46545-2024</t>
        </is>
      </c>
      <c r="B458" s="1" t="n">
        <v>45582.65831018519</v>
      </c>
      <c r="C458" s="1" t="n">
        <v>46136</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46136</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47578-2025</t>
        </is>
      </c>
      <c r="B460" s="1" t="n">
        <v>45931</v>
      </c>
      <c r="C460" s="1" t="n">
        <v>46136</v>
      </c>
      <c r="D460" t="inlineStr">
        <is>
          <t>GOTLANDS LÄN</t>
        </is>
      </c>
      <c r="E460" t="inlineStr">
        <is>
          <t>GOTLAND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60086-2022</t>
        </is>
      </c>
      <c r="B461" s="1" t="n">
        <v>44909</v>
      </c>
      <c r="C461" s="1" t="n">
        <v>46136</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28480-2023</t>
        </is>
      </c>
      <c r="B462" s="1" t="n">
        <v>45103</v>
      </c>
      <c r="C462" s="1" t="n">
        <v>46136</v>
      </c>
      <c r="D462" t="inlineStr">
        <is>
          <t>GOTLANDS LÄN</t>
        </is>
      </c>
      <c r="E462" t="inlineStr">
        <is>
          <t>GOTLAND</t>
        </is>
      </c>
      <c r="G462" t="n">
        <v>5.7</v>
      </c>
      <c r="H462" t="n">
        <v>0</v>
      </c>
      <c r="I462" t="n">
        <v>0</v>
      </c>
      <c r="J462" t="n">
        <v>0</v>
      </c>
      <c r="K462" t="n">
        <v>0</v>
      </c>
      <c r="L462" t="n">
        <v>0</v>
      </c>
      <c r="M462" t="n">
        <v>0</v>
      </c>
      <c r="N462" t="n">
        <v>0</v>
      </c>
      <c r="O462" t="n">
        <v>0</v>
      </c>
      <c r="P462" t="n">
        <v>0</v>
      </c>
      <c r="Q462" t="n">
        <v>0</v>
      </c>
      <c r="R462" s="2" t="inlineStr"/>
    </row>
    <row r="463" ht="15" customHeight="1">
      <c r="A463" t="inlineStr">
        <is>
          <t>A 28485-2023</t>
        </is>
      </c>
      <c r="B463" s="1" t="n">
        <v>45103.43731481482</v>
      </c>
      <c r="C463" s="1" t="n">
        <v>46136</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49724-2025</t>
        </is>
      </c>
      <c r="B464" s="1" t="n">
        <v>45939.83730324074</v>
      </c>
      <c r="C464" s="1" t="n">
        <v>46136</v>
      </c>
      <c r="D464" t="inlineStr">
        <is>
          <t>GOTLANDS LÄN</t>
        </is>
      </c>
      <c r="E464" t="inlineStr">
        <is>
          <t>GOTLAND</t>
        </is>
      </c>
      <c r="F464" t="inlineStr">
        <is>
          <t>Kyrkan</t>
        </is>
      </c>
      <c r="G464" t="n">
        <v>3.1</v>
      </c>
      <c r="H464" t="n">
        <v>0</v>
      </c>
      <c r="I464" t="n">
        <v>0</v>
      </c>
      <c r="J464" t="n">
        <v>0</v>
      </c>
      <c r="K464" t="n">
        <v>0</v>
      </c>
      <c r="L464" t="n">
        <v>0</v>
      </c>
      <c r="M464" t="n">
        <v>0</v>
      </c>
      <c r="N464" t="n">
        <v>0</v>
      </c>
      <c r="O464" t="n">
        <v>0</v>
      </c>
      <c r="P464" t="n">
        <v>0</v>
      </c>
      <c r="Q464" t="n">
        <v>0</v>
      </c>
      <c r="R464" s="2" t="inlineStr"/>
    </row>
    <row r="465" ht="15" customHeight="1">
      <c r="A465" t="inlineStr">
        <is>
          <t>A 49730-2025</t>
        </is>
      </c>
      <c r="B465" s="1" t="n">
        <v>45939.87613425926</v>
      </c>
      <c r="C465" s="1" t="n">
        <v>46136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49690-2025</t>
        </is>
      </c>
      <c r="B466" s="1" t="n">
        <v>45939.66730324074</v>
      </c>
      <c r="C466" s="1" t="n">
        <v>46136</v>
      </c>
      <c r="D466" t="inlineStr">
        <is>
          <t>GOTLANDS LÄN</t>
        </is>
      </c>
      <c r="E466" t="inlineStr">
        <is>
          <t>GOTLAND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33011-2025</t>
        </is>
      </c>
      <c r="B467" s="1" t="n">
        <v>45840</v>
      </c>
      <c r="C467" s="1" t="n">
        <v>46136</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46136</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44949-2023</t>
        </is>
      </c>
      <c r="B469" s="1" t="n">
        <v>45190.69520833333</v>
      </c>
      <c r="C469" s="1" t="n">
        <v>46136</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37222-2021</t>
        </is>
      </c>
      <c r="B470" s="1" t="n">
        <v>44396</v>
      </c>
      <c r="C470" s="1" t="n">
        <v>46136</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46136</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3964-2024</t>
        </is>
      </c>
      <c r="B472" s="1" t="n">
        <v>45322</v>
      </c>
      <c r="C472" s="1" t="n">
        <v>46136</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46136</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45084-2024</t>
        </is>
      </c>
      <c r="B474" s="1" t="n">
        <v>45575</v>
      </c>
      <c r="C474" s="1" t="n">
        <v>46136</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50928-2025</t>
        </is>
      </c>
      <c r="B475" s="1" t="n">
        <v>45946.67896990741</v>
      </c>
      <c r="C475" s="1" t="n">
        <v>46136</v>
      </c>
      <c r="D475" t="inlineStr">
        <is>
          <t>GOTLANDS LÄN</t>
        </is>
      </c>
      <c r="E475" t="inlineStr">
        <is>
          <t>GOTLAND</t>
        </is>
      </c>
      <c r="G475" t="n">
        <v>1.3</v>
      </c>
      <c r="H475" t="n">
        <v>0</v>
      </c>
      <c r="I475" t="n">
        <v>0</v>
      </c>
      <c r="J475" t="n">
        <v>0</v>
      </c>
      <c r="K475" t="n">
        <v>0</v>
      </c>
      <c r="L475" t="n">
        <v>0</v>
      </c>
      <c r="M475" t="n">
        <v>0</v>
      </c>
      <c r="N475" t="n">
        <v>0</v>
      </c>
      <c r="O475" t="n">
        <v>0</v>
      </c>
      <c r="P475" t="n">
        <v>0</v>
      </c>
      <c r="Q475" t="n">
        <v>0</v>
      </c>
      <c r="R475" s="2" t="inlineStr"/>
    </row>
    <row r="476" ht="15" customHeight="1">
      <c r="A476" t="inlineStr">
        <is>
          <t>A 5217-2023</t>
        </is>
      </c>
      <c r="B476" s="1" t="n">
        <v>44959.39582175926</v>
      </c>
      <c r="C476" s="1" t="n">
        <v>46136</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51262-2025</t>
        </is>
      </c>
      <c r="B477" s="1" t="n">
        <v>45949.49872685185</v>
      </c>
      <c r="C477" s="1" t="n">
        <v>46136</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1677-2023</t>
        </is>
      </c>
      <c r="B478" s="1" t="n">
        <v>44938</v>
      </c>
      <c r="C478" s="1" t="n">
        <v>46136</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45244-2024</t>
        </is>
      </c>
      <c r="B479" s="1" t="n">
        <v>45576</v>
      </c>
      <c r="C479" s="1" t="n">
        <v>46136</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52249-2025</t>
        </is>
      </c>
      <c r="B480" s="1" t="n">
        <v>45953.48637731482</v>
      </c>
      <c r="C480" s="1" t="n">
        <v>46136</v>
      </c>
      <c r="D480" t="inlineStr">
        <is>
          <t>GOTLANDS LÄN</t>
        </is>
      </c>
      <c r="E480" t="inlineStr">
        <is>
          <t>GOTLAND</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8260-2023</t>
        </is>
      </c>
      <c r="B481" s="1" t="n">
        <v>44974.61608796296</v>
      </c>
      <c r="C481" s="1" t="n">
        <v>46136</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46136</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46136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46136</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46136</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52637-2025</t>
        </is>
      </c>
      <c r="B486" s="1" t="n">
        <v>45954.75099537037</v>
      </c>
      <c r="C486" s="1" t="n">
        <v>46136</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15434-2024</t>
        </is>
      </c>
      <c r="B487" s="1" t="n">
        <v>45401.38836805556</v>
      </c>
      <c r="C487" s="1" t="n">
        <v>46136</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53569-2025</t>
        </is>
      </c>
      <c r="B488" s="1" t="n">
        <v>45960.41155092593</v>
      </c>
      <c r="C488" s="1" t="n">
        <v>46136</v>
      </c>
      <c r="D488" t="inlineStr">
        <is>
          <t>GOTLANDS LÄN</t>
        </is>
      </c>
      <c r="E488" t="inlineStr">
        <is>
          <t>GOTLAND</t>
        </is>
      </c>
      <c r="F488" t="inlineStr">
        <is>
          <t>Övriga Aktiebolag</t>
        </is>
      </c>
      <c r="G488" t="n">
        <v>11.3</v>
      </c>
      <c r="H488" t="n">
        <v>0</v>
      </c>
      <c r="I488" t="n">
        <v>0</v>
      </c>
      <c r="J488" t="n">
        <v>0</v>
      </c>
      <c r="K488" t="n">
        <v>0</v>
      </c>
      <c r="L488" t="n">
        <v>0</v>
      </c>
      <c r="M488" t="n">
        <v>0</v>
      </c>
      <c r="N488" t="n">
        <v>0</v>
      </c>
      <c r="O488" t="n">
        <v>0</v>
      </c>
      <c r="P488" t="n">
        <v>0</v>
      </c>
      <c r="Q488" t="n">
        <v>0</v>
      </c>
      <c r="R488" s="2" t="inlineStr"/>
    </row>
    <row r="489" ht="15" customHeight="1">
      <c r="A489" t="inlineStr">
        <is>
          <t>A 5943-2024</t>
        </is>
      </c>
      <c r="B489" s="1" t="n">
        <v>45336</v>
      </c>
      <c r="C489" s="1" t="n">
        <v>46136</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53577-2025</t>
        </is>
      </c>
      <c r="B490" s="1" t="n">
        <v>45960.42224537037</v>
      </c>
      <c r="C490" s="1" t="n">
        <v>46136</v>
      </c>
      <c r="D490" t="inlineStr">
        <is>
          <t>GOTLANDS LÄN</t>
        </is>
      </c>
      <c r="E490" t="inlineStr">
        <is>
          <t>GOTLAND</t>
        </is>
      </c>
      <c r="F490" t="inlineStr">
        <is>
          <t>Övriga Aktiebolag</t>
        </is>
      </c>
      <c r="G490" t="n">
        <v>3.3</v>
      </c>
      <c r="H490" t="n">
        <v>0</v>
      </c>
      <c r="I490" t="n">
        <v>0</v>
      </c>
      <c r="J490" t="n">
        <v>0</v>
      </c>
      <c r="K490" t="n">
        <v>0</v>
      </c>
      <c r="L490" t="n">
        <v>0</v>
      </c>
      <c r="M490" t="n">
        <v>0</v>
      </c>
      <c r="N490" t="n">
        <v>0</v>
      </c>
      <c r="O490" t="n">
        <v>0</v>
      </c>
      <c r="P490" t="n">
        <v>0</v>
      </c>
      <c r="Q490" t="n">
        <v>0</v>
      </c>
      <c r="R490" s="2" t="inlineStr"/>
    </row>
    <row r="491" ht="15" customHeight="1">
      <c r="A491" t="inlineStr">
        <is>
          <t>A 54073-2022</t>
        </is>
      </c>
      <c r="B491" s="1" t="n">
        <v>44881.50380787037</v>
      </c>
      <c r="C491" s="1" t="n">
        <v>46136</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46136</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41038-2023</t>
        </is>
      </c>
      <c r="B493" s="1" t="n">
        <v>45173.60959490741</v>
      </c>
      <c r="C493" s="1" t="n">
        <v>46136</v>
      </c>
      <c r="D493" t="inlineStr">
        <is>
          <t>GOTLANDS LÄN</t>
        </is>
      </c>
      <c r="E493" t="inlineStr">
        <is>
          <t>GOTLAND</t>
        </is>
      </c>
      <c r="G493" t="n">
        <v>2.7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46136</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46136</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8036-2022</t>
        </is>
      </c>
      <c r="B496" s="1" t="n">
        <v>44609.44362268518</v>
      </c>
      <c r="C496" s="1" t="n">
        <v>46136</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12846-2025</t>
        </is>
      </c>
      <c r="B497" s="1" t="n">
        <v>45733.65049768519</v>
      </c>
      <c r="C497" s="1" t="n">
        <v>46136</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46949-2024</t>
        </is>
      </c>
      <c r="B498" s="1" t="n">
        <v>45585</v>
      </c>
      <c r="C498" s="1" t="n">
        <v>46136</v>
      </c>
      <c r="D498" t="inlineStr">
        <is>
          <t>GOTLANDS LÄN</t>
        </is>
      </c>
      <c r="E498" t="inlineStr">
        <is>
          <t>GOTLAND</t>
        </is>
      </c>
      <c r="G498" t="n">
        <v>0.6</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44624.57945601852</v>
      </c>
      <c r="C499" s="1" t="n">
        <v>46136</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56799-2025</t>
        </is>
      </c>
      <c r="B500" s="1" t="n">
        <v>45978.43392361111</v>
      </c>
      <c r="C500" s="1" t="n">
        <v>46136</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56688-2025</t>
        </is>
      </c>
      <c r="B501" s="1" t="n">
        <v>45975.84331018518</v>
      </c>
      <c r="C501" s="1" t="n">
        <v>46136</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46136</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46136</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46136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46136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46136</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46136</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21164-2024</t>
        </is>
      </c>
      <c r="B508" s="1" t="n">
        <v>45440</v>
      </c>
      <c r="C508" s="1" t="n">
        <v>46136</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8045-2022</t>
        </is>
      </c>
      <c r="B509" s="1" t="n">
        <v>44609</v>
      </c>
      <c r="C509" s="1" t="n">
        <v>46136</v>
      </c>
      <c r="D509" t="inlineStr">
        <is>
          <t>GOTLANDS LÄN</t>
        </is>
      </c>
      <c r="E509" t="inlineStr">
        <is>
          <t>GOTLAND</t>
        </is>
      </c>
      <c r="G509" t="n">
        <v>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46136</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61897-2024</t>
        </is>
      </c>
      <c r="B511" s="1" t="n">
        <v>45652.75685185185</v>
      </c>
      <c r="C511" s="1" t="n">
        <v>46136</v>
      </c>
      <c r="D511" t="inlineStr">
        <is>
          <t>GOTLANDS LÄN</t>
        </is>
      </c>
      <c r="E511" t="inlineStr">
        <is>
          <t>GOTLAND</t>
        </is>
      </c>
      <c r="G511" t="n">
        <v>6.4</v>
      </c>
      <c r="H511" t="n">
        <v>0</v>
      </c>
      <c r="I511" t="n">
        <v>0</v>
      </c>
      <c r="J511" t="n">
        <v>0</v>
      </c>
      <c r="K511" t="n">
        <v>0</v>
      </c>
      <c r="L511" t="n">
        <v>0</v>
      </c>
      <c r="M511" t="n">
        <v>0</v>
      </c>
      <c r="N511" t="n">
        <v>0</v>
      </c>
      <c r="O511" t="n">
        <v>0</v>
      </c>
      <c r="P511" t="n">
        <v>0</v>
      </c>
      <c r="Q511" t="n">
        <v>0</v>
      </c>
      <c r="R511" s="2" t="inlineStr"/>
    </row>
    <row r="512" ht="15" customHeight="1">
      <c r="A512" t="inlineStr">
        <is>
          <t>A 49962-2023</t>
        </is>
      </c>
      <c r="B512" s="1" t="n">
        <v>45215.38775462963</v>
      </c>
      <c r="C512" s="1" t="n">
        <v>46136</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59197-2025</t>
        </is>
      </c>
      <c r="B513" s="1" t="n">
        <v>45988.59846064815</v>
      </c>
      <c r="C513" s="1" t="n">
        <v>46136</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44698.49854166667</v>
      </c>
      <c r="C514" s="1" t="n">
        <v>46136</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40294-2022</t>
        </is>
      </c>
      <c r="B515" s="1" t="n">
        <v>44821</v>
      </c>
      <c r="C515" s="1" t="n">
        <v>46136</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12032-2025</t>
        </is>
      </c>
      <c r="B516" s="1" t="n">
        <v>45728.64472222222</v>
      </c>
      <c r="C516" s="1" t="n">
        <v>46136</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38787-2023</t>
        </is>
      </c>
      <c r="B517" s="1" t="n">
        <v>45163</v>
      </c>
      <c r="C517" s="1" t="n">
        <v>46136</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36319-2025</t>
        </is>
      </c>
      <c r="B518" s="1" t="n">
        <v>45868</v>
      </c>
      <c r="C518" s="1" t="n">
        <v>46136</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43231-2023</t>
        </is>
      </c>
      <c r="B519" s="1" t="n">
        <v>45183.47025462963</v>
      </c>
      <c r="C519" s="1" t="n">
        <v>46136</v>
      </c>
      <c r="D519" t="inlineStr">
        <is>
          <t>GOTLANDS LÄN</t>
        </is>
      </c>
      <c r="E519" t="inlineStr">
        <is>
          <t>GOTLAND</t>
        </is>
      </c>
      <c r="G519" t="n">
        <v>3.6</v>
      </c>
      <c r="H519" t="n">
        <v>0</v>
      </c>
      <c r="I519" t="n">
        <v>0</v>
      </c>
      <c r="J519" t="n">
        <v>0</v>
      </c>
      <c r="K519" t="n">
        <v>0</v>
      </c>
      <c r="L519" t="n">
        <v>0</v>
      </c>
      <c r="M519" t="n">
        <v>0</v>
      </c>
      <c r="N519" t="n">
        <v>0</v>
      </c>
      <c r="O519" t="n">
        <v>0</v>
      </c>
      <c r="P519" t="n">
        <v>0</v>
      </c>
      <c r="Q519" t="n">
        <v>0</v>
      </c>
      <c r="R519" s="2" t="inlineStr"/>
    </row>
    <row r="520" ht="15" customHeight="1">
      <c r="A520" t="inlineStr">
        <is>
          <t>A 17532-2024</t>
        </is>
      </c>
      <c r="B520" s="1" t="n">
        <v>45415</v>
      </c>
      <c r="C520" s="1" t="n">
        <v>46136</v>
      </c>
      <c r="D520" t="inlineStr">
        <is>
          <t>GOTLANDS LÄN</t>
        </is>
      </c>
      <c r="E520" t="inlineStr">
        <is>
          <t>GOTLAND</t>
        </is>
      </c>
      <c r="G520" t="n">
        <v>4.3</v>
      </c>
      <c r="H520" t="n">
        <v>0</v>
      </c>
      <c r="I520" t="n">
        <v>0</v>
      </c>
      <c r="J520" t="n">
        <v>0</v>
      </c>
      <c r="K520" t="n">
        <v>0</v>
      </c>
      <c r="L520" t="n">
        <v>0</v>
      </c>
      <c r="M520" t="n">
        <v>0</v>
      </c>
      <c r="N520" t="n">
        <v>0</v>
      </c>
      <c r="O520" t="n">
        <v>0</v>
      </c>
      <c r="P520" t="n">
        <v>0</v>
      </c>
      <c r="Q520" t="n">
        <v>0</v>
      </c>
      <c r="R520" s="2" t="inlineStr"/>
    </row>
    <row r="521" ht="15" customHeight="1">
      <c r="A521" t="inlineStr">
        <is>
          <t>A 3935-2025</t>
        </is>
      </c>
      <c r="B521" s="1" t="n">
        <v>45684.46070601852</v>
      </c>
      <c r="C521" s="1" t="n">
        <v>46136</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20225-2025</t>
        </is>
      </c>
      <c r="B522" s="1" t="n">
        <v>45772.65802083333</v>
      </c>
      <c r="C522" s="1" t="n">
        <v>46136</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883-2025</t>
        </is>
      </c>
      <c r="B523" s="1" t="n">
        <v>45665</v>
      </c>
      <c r="C523" s="1" t="n">
        <v>46136</v>
      </c>
      <c r="D523" t="inlineStr">
        <is>
          <t>GOTLANDS LÄN</t>
        </is>
      </c>
      <c r="E523" t="inlineStr">
        <is>
          <t>GOTLAND</t>
        </is>
      </c>
      <c r="G523" t="n">
        <v>1.3</v>
      </c>
      <c r="H523" t="n">
        <v>0</v>
      </c>
      <c r="I523" t="n">
        <v>0</v>
      </c>
      <c r="J523" t="n">
        <v>0</v>
      </c>
      <c r="K523" t="n">
        <v>0</v>
      </c>
      <c r="L523" t="n">
        <v>0</v>
      </c>
      <c r="M523" t="n">
        <v>0</v>
      </c>
      <c r="N523" t="n">
        <v>0</v>
      </c>
      <c r="O523" t="n">
        <v>0</v>
      </c>
      <c r="P523" t="n">
        <v>0</v>
      </c>
      <c r="Q523" t="n">
        <v>0</v>
      </c>
      <c r="R523" s="2" t="inlineStr"/>
    </row>
    <row r="524" ht="15" customHeight="1">
      <c r="A524" t="inlineStr">
        <is>
          <t>A 1066-2024</t>
        </is>
      </c>
      <c r="B524" s="1" t="n">
        <v>45302.285</v>
      </c>
      <c r="C524" s="1" t="n">
        <v>46136</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17144-2025</t>
        </is>
      </c>
      <c r="B525" s="1" t="n">
        <v>45755.9499537037</v>
      </c>
      <c r="C525" s="1" t="n">
        <v>46136</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62066-2025</t>
        </is>
      </c>
      <c r="B526" s="1" t="n">
        <v>46006.34738425926</v>
      </c>
      <c r="C526" s="1" t="n">
        <v>46136</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62103-2025</t>
        </is>
      </c>
      <c r="B527" s="1" t="n">
        <v>46006</v>
      </c>
      <c r="C527" s="1" t="n">
        <v>46136</v>
      </c>
      <c r="D527" t="inlineStr">
        <is>
          <t>GOTLANDS LÄN</t>
        </is>
      </c>
      <c r="E527" t="inlineStr">
        <is>
          <t>GOTLAND</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56009-2024</t>
        </is>
      </c>
      <c r="B528" s="1" t="n">
        <v>45623.80864583333</v>
      </c>
      <c r="C528" s="1" t="n">
        <v>46136</v>
      </c>
      <c r="D528" t="inlineStr">
        <is>
          <t>GOTLANDS LÄN</t>
        </is>
      </c>
      <c r="E528" t="inlineStr">
        <is>
          <t>GOTLAND</t>
        </is>
      </c>
      <c r="G528" t="n">
        <v>2.8</v>
      </c>
      <c r="H528" t="n">
        <v>0</v>
      </c>
      <c r="I528" t="n">
        <v>0</v>
      </c>
      <c r="J528" t="n">
        <v>0</v>
      </c>
      <c r="K528" t="n">
        <v>0</v>
      </c>
      <c r="L528" t="n">
        <v>0</v>
      </c>
      <c r="M528" t="n">
        <v>0</v>
      </c>
      <c r="N528" t="n">
        <v>0</v>
      </c>
      <c r="O528" t="n">
        <v>0</v>
      </c>
      <c r="P528" t="n">
        <v>0</v>
      </c>
      <c r="Q528" t="n">
        <v>0</v>
      </c>
      <c r="R528" s="2" t="inlineStr"/>
    </row>
    <row r="529" ht="15" customHeight="1">
      <c r="A529" t="inlineStr">
        <is>
          <t>A 42338-2023</t>
        </is>
      </c>
      <c r="B529" s="1" t="n">
        <v>45180</v>
      </c>
      <c r="C529" s="1" t="n">
        <v>46136</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63002-2025</t>
        </is>
      </c>
      <c r="B530" s="1" t="n">
        <v>46009.56564814815</v>
      </c>
      <c r="C530" s="1" t="n">
        <v>46136</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38649-2025</t>
        </is>
      </c>
      <c r="B531" s="1" t="n">
        <v>45884</v>
      </c>
      <c r="C531" s="1" t="n">
        <v>46136</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46136</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61078-2025</t>
        </is>
      </c>
      <c r="B533" s="1" t="n">
        <v>46000</v>
      </c>
      <c r="C533" s="1" t="n">
        <v>46136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61386-2023</t>
        </is>
      </c>
      <c r="B534" s="1" t="n">
        <v>45264</v>
      </c>
      <c r="C534" s="1" t="n">
        <v>46136</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46136</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49411-2023</t>
        </is>
      </c>
      <c r="B536" s="1" t="n">
        <v>45205</v>
      </c>
      <c r="C536" s="1" t="n">
        <v>46136</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46136</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12322-2025</t>
        </is>
      </c>
      <c r="B538" s="1" t="n">
        <v>45730</v>
      </c>
      <c r="C538" s="1" t="n">
        <v>46136</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14797-2024</t>
        </is>
      </c>
      <c r="B539" s="1" t="n">
        <v>45397.87030092593</v>
      </c>
      <c r="C539" s="1" t="n">
        <v>46136</v>
      </c>
      <c r="D539" t="inlineStr">
        <is>
          <t>GOTLANDS LÄN</t>
        </is>
      </c>
      <c r="E539" t="inlineStr">
        <is>
          <t>GOTLAND</t>
        </is>
      </c>
      <c r="G539" t="n">
        <v>8.1</v>
      </c>
      <c r="H539" t="n">
        <v>0</v>
      </c>
      <c r="I539" t="n">
        <v>0</v>
      </c>
      <c r="J539" t="n">
        <v>0</v>
      </c>
      <c r="K539" t="n">
        <v>0</v>
      </c>
      <c r="L539" t="n">
        <v>0</v>
      </c>
      <c r="M539" t="n">
        <v>0</v>
      </c>
      <c r="N539" t="n">
        <v>0</v>
      </c>
      <c r="O539" t="n">
        <v>0</v>
      </c>
      <c r="P539" t="n">
        <v>0</v>
      </c>
      <c r="Q539" t="n">
        <v>0</v>
      </c>
      <c r="R539" s="2" t="inlineStr"/>
    </row>
    <row r="540" ht="15" customHeight="1">
      <c r="A540" t="inlineStr">
        <is>
          <t>A 999-2024</t>
        </is>
      </c>
      <c r="B540" s="1" t="n">
        <v>45301</v>
      </c>
      <c r="C540" s="1" t="n">
        <v>46136</v>
      </c>
      <c r="D540" t="inlineStr">
        <is>
          <t>GOTLANDS LÄN</t>
        </is>
      </c>
      <c r="E540" t="inlineStr">
        <is>
          <t>GOTLAND</t>
        </is>
      </c>
      <c r="G540" t="n">
        <v>1</v>
      </c>
      <c r="H540" t="n">
        <v>0</v>
      </c>
      <c r="I540" t="n">
        <v>0</v>
      </c>
      <c r="J540" t="n">
        <v>0</v>
      </c>
      <c r="K540" t="n">
        <v>0</v>
      </c>
      <c r="L540" t="n">
        <v>0</v>
      </c>
      <c r="M540" t="n">
        <v>0</v>
      </c>
      <c r="N540" t="n">
        <v>0</v>
      </c>
      <c r="O540" t="n">
        <v>0</v>
      </c>
      <c r="P540" t="n">
        <v>0</v>
      </c>
      <c r="Q540" t="n">
        <v>0</v>
      </c>
      <c r="R540" s="2" t="inlineStr"/>
    </row>
    <row r="541" ht="15" customHeight="1">
      <c r="A541" t="inlineStr">
        <is>
          <t>A 61596-2023</t>
        </is>
      </c>
      <c r="B541" s="1" t="n">
        <v>45265</v>
      </c>
      <c r="C541" s="1" t="n">
        <v>46136</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14638-2025</t>
        </is>
      </c>
      <c r="B542" s="1" t="n">
        <v>45742</v>
      </c>
      <c r="C542" s="1" t="n">
        <v>46136</v>
      </c>
      <c r="D542" t="inlineStr">
        <is>
          <t>GOTLANDS LÄN</t>
        </is>
      </c>
      <c r="E542" t="inlineStr">
        <is>
          <t>GOTLAND</t>
        </is>
      </c>
      <c r="G542" t="n">
        <v>13.4</v>
      </c>
      <c r="H542" t="n">
        <v>0</v>
      </c>
      <c r="I542" t="n">
        <v>0</v>
      </c>
      <c r="J542" t="n">
        <v>0</v>
      </c>
      <c r="K542" t="n">
        <v>0</v>
      </c>
      <c r="L542" t="n">
        <v>0</v>
      </c>
      <c r="M542" t="n">
        <v>0</v>
      </c>
      <c r="N542" t="n">
        <v>0</v>
      </c>
      <c r="O542" t="n">
        <v>0</v>
      </c>
      <c r="P542" t="n">
        <v>0</v>
      </c>
      <c r="Q542" t="n">
        <v>0</v>
      </c>
      <c r="R542" s="2" t="inlineStr"/>
    </row>
    <row r="543" ht="15" customHeight="1">
      <c r="A543" t="inlineStr">
        <is>
          <t>A 60675-2021</t>
        </is>
      </c>
      <c r="B543" s="1" t="n">
        <v>44496.64855324074</v>
      </c>
      <c r="C543" s="1" t="n">
        <v>46136</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37728-2024</t>
        </is>
      </c>
      <c r="B544" s="1" t="n">
        <v>45541</v>
      </c>
      <c r="C544" s="1" t="n">
        <v>46136</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22287-2022</t>
        </is>
      </c>
      <c r="B545" s="1" t="n">
        <v>44712</v>
      </c>
      <c r="C545" s="1" t="n">
        <v>46136</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46136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65249-2023</t>
        </is>
      </c>
      <c r="B547" s="1" t="n">
        <v>45290</v>
      </c>
      <c r="C547" s="1" t="n">
        <v>46136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13910-2025</t>
        </is>
      </c>
      <c r="B548" s="1" t="n">
        <v>45737</v>
      </c>
      <c r="C548" s="1" t="n">
        <v>46136</v>
      </c>
      <c r="D548" t="inlineStr">
        <is>
          <t>GOTLANDS LÄN</t>
        </is>
      </c>
      <c r="E548" t="inlineStr">
        <is>
          <t>GOTLAND</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17780-2022</t>
        </is>
      </c>
      <c r="B549" s="1" t="n">
        <v>44682.82622685185</v>
      </c>
      <c r="C549" s="1" t="n">
        <v>46136</v>
      </c>
      <c r="D549" t="inlineStr">
        <is>
          <t>GOTLANDS LÄN</t>
        </is>
      </c>
      <c r="E549" t="inlineStr">
        <is>
          <t>GOTLAND</t>
        </is>
      </c>
      <c r="G549" t="n">
        <v>2.2</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46136</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11874-2024</t>
        </is>
      </c>
      <c r="B551" s="1" t="n">
        <v>45376.46956018519</v>
      </c>
      <c r="C551" s="1" t="n">
        <v>46136</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42041-2024</t>
        </is>
      </c>
      <c r="B552" s="1" t="n">
        <v>45561</v>
      </c>
      <c r="C552" s="1" t="n">
        <v>46136</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61694-2023</t>
        </is>
      </c>
      <c r="B553" s="1" t="n">
        <v>45264</v>
      </c>
      <c r="C553" s="1" t="n">
        <v>46136</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64555-2023</t>
        </is>
      </c>
      <c r="B554" s="1" t="n">
        <v>45281</v>
      </c>
      <c r="C554" s="1" t="n">
        <v>46136</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64831-2023</t>
        </is>
      </c>
      <c r="B555" s="1" t="n">
        <v>45282.44924768519</v>
      </c>
      <c r="C555" s="1" t="n">
        <v>46136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999-2023</t>
        </is>
      </c>
      <c r="B556" s="1" t="n">
        <v>44935</v>
      </c>
      <c r="C556" s="1" t="n">
        <v>46136</v>
      </c>
      <c r="D556" t="inlineStr">
        <is>
          <t>GOTLANDS LÄN</t>
        </is>
      </c>
      <c r="E556" t="inlineStr">
        <is>
          <t>GOTLAND</t>
        </is>
      </c>
      <c r="G556" t="n">
        <v>4.7</v>
      </c>
      <c r="H556" t="n">
        <v>0</v>
      </c>
      <c r="I556" t="n">
        <v>0</v>
      </c>
      <c r="J556" t="n">
        <v>0</v>
      </c>
      <c r="K556" t="n">
        <v>0</v>
      </c>
      <c r="L556" t="n">
        <v>0</v>
      </c>
      <c r="M556" t="n">
        <v>0</v>
      </c>
      <c r="N556" t="n">
        <v>0</v>
      </c>
      <c r="O556" t="n">
        <v>0</v>
      </c>
      <c r="P556" t="n">
        <v>0</v>
      </c>
      <c r="Q556" t="n">
        <v>0</v>
      </c>
      <c r="R556" s="2" t="inlineStr"/>
    </row>
    <row r="557" ht="15" customHeight="1">
      <c r="A557" t="inlineStr">
        <is>
          <t>A 27602-2023</t>
        </is>
      </c>
      <c r="B557" s="1" t="n">
        <v>45097</v>
      </c>
      <c r="C557" s="1" t="n">
        <v>46136</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4377-2023</t>
        </is>
      </c>
      <c r="B558" s="1" t="n">
        <v>44955.5502662037</v>
      </c>
      <c r="C558" s="1" t="n">
        <v>46136</v>
      </c>
      <c r="D558" t="inlineStr">
        <is>
          <t>GOTLANDS LÄN</t>
        </is>
      </c>
      <c r="E558" t="inlineStr">
        <is>
          <t>GOTLAND</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4387-2023</t>
        </is>
      </c>
      <c r="B559" s="1" t="n">
        <v>44955.73359953704</v>
      </c>
      <c r="C559" s="1" t="n">
        <v>46136</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46136</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51963-2024</t>
        </is>
      </c>
      <c r="B561" s="1" t="n">
        <v>45607.64833333333</v>
      </c>
      <c r="C561" s="1" t="n">
        <v>46136</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46136</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46136</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26810-2021</t>
        </is>
      </c>
      <c r="B564" s="1" t="n">
        <v>44349.55087962963</v>
      </c>
      <c r="C564" s="1" t="n">
        <v>46136</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46136</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46136</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46136</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46136</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44988.49543981482</v>
      </c>
      <c r="C569" s="1" t="n">
        <v>46136</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44944.55361111111</v>
      </c>
      <c r="C570" s="1" t="n">
        <v>46136</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26891-2024</t>
        </is>
      </c>
      <c r="B571" s="1" t="n">
        <v>45470.65540509259</v>
      </c>
      <c r="C571" s="1" t="n">
        <v>46136</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42007-2023</t>
        </is>
      </c>
      <c r="B572" s="1" t="n">
        <v>45177</v>
      </c>
      <c r="C572" s="1" t="n">
        <v>46136</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9887-2025</t>
        </is>
      </c>
      <c r="B573" s="1" t="n">
        <v>45716</v>
      </c>
      <c r="C573" s="1" t="n">
        <v>46136</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46136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27596-2023</t>
        </is>
      </c>
      <c r="B575" s="1" t="n">
        <v>45097</v>
      </c>
      <c r="C575" s="1" t="n">
        <v>46136</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24825-2024</t>
        </is>
      </c>
      <c r="B576" s="1" t="n">
        <v>45461</v>
      </c>
      <c r="C576" s="1" t="n">
        <v>46136</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6696-2023</t>
        </is>
      </c>
      <c r="B577" s="1" t="n">
        <v>44966.66425925926</v>
      </c>
      <c r="C577" s="1" t="n">
        <v>46136</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21247-2022</t>
        </is>
      </c>
      <c r="B578" s="1" t="n">
        <v>44705.38832175926</v>
      </c>
      <c r="C578" s="1" t="n">
        <v>46136</v>
      </c>
      <c r="D578" t="inlineStr">
        <is>
          <t>GOTLANDS LÄN</t>
        </is>
      </c>
      <c r="E578" t="inlineStr">
        <is>
          <t>GOTLAND</t>
        </is>
      </c>
      <c r="G578" t="n">
        <v>16.2</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44929.87122685185</v>
      </c>
      <c r="C579" s="1" t="n">
        <v>46136</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44944.54896990741</v>
      </c>
      <c r="C580" s="1" t="n">
        <v>46136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4421-2024</t>
        </is>
      </c>
      <c r="B581" s="1" t="n">
        <v>45327.45173611111</v>
      </c>
      <c r="C581" s="1" t="n">
        <v>46136</v>
      </c>
      <c r="D581" t="inlineStr">
        <is>
          <t>GOTLANDS LÄN</t>
        </is>
      </c>
      <c r="E581" t="inlineStr">
        <is>
          <t>GOTLAND</t>
        </is>
      </c>
      <c r="G581" t="n">
        <v>5.1</v>
      </c>
      <c r="H581" t="n">
        <v>0</v>
      </c>
      <c r="I581" t="n">
        <v>0</v>
      </c>
      <c r="J581" t="n">
        <v>0</v>
      </c>
      <c r="K581" t="n">
        <v>0</v>
      </c>
      <c r="L581" t="n">
        <v>0</v>
      </c>
      <c r="M581" t="n">
        <v>0</v>
      </c>
      <c r="N581" t="n">
        <v>0</v>
      </c>
      <c r="O581" t="n">
        <v>0</v>
      </c>
      <c r="P581" t="n">
        <v>0</v>
      </c>
      <c r="Q581" t="n">
        <v>0</v>
      </c>
      <c r="R581" s="2" t="inlineStr"/>
    </row>
    <row r="582" ht="15" customHeight="1">
      <c r="A582" t="inlineStr">
        <is>
          <t>A 51782-2023</t>
        </is>
      </c>
      <c r="B582" s="1" t="n">
        <v>45222.80952546297</v>
      </c>
      <c r="C582" s="1" t="n">
        <v>46136</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54268-2022</t>
        </is>
      </c>
      <c r="B583" s="1" t="n">
        <v>44882</v>
      </c>
      <c r="C583" s="1" t="n">
        <v>46136</v>
      </c>
      <c r="D583" t="inlineStr">
        <is>
          <t>GOTLANDS LÄN</t>
        </is>
      </c>
      <c r="E583" t="inlineStr">
        <is>
          <t>GOTLAND</t>
        </is>
      </c>
      <c r="G583" t="n">
        <v>2.7</v>
      </c>
      <c r="H583" t="n">
        <v>0</v>
      </c>
      <c r="I583" t="n">
        <v>0</v>
      </c>
      <c r="J583" t="n">
        <v>0</v>
      </c>
      <c r="K583" t="n">
        <v>0</v>
      </c>
      <c r="L583" t="n">
        <v>0</v>
      </c>
      <c r="M583" t="n">
        <v>0</v>
      </c>
      <c r="N583" t="n">
        <v>0</v>
      </c>
      <c r="O583" t="n">
        <v>0</v>
      </c>
      <c r="P583" t="n">
        <v>0</v>
      </c>
      <c r="Q583" t="n">
        <v>0</v>
      </c>
      <c r="R583" s="2" t="inlineStr"/>
    </row>
    <row r="584" ht="15" customHeight="1">
      <c r="A584" t="inlineStr">
        <is>
          <t>A 57534-2022</t>
        </is>
      </c>
      <c r="B584" s="1" t="n">
        <v>44896</v>
      </c>
      <c r="C584" s="1" t="n">
        <v>46136</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46136</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43229-2023</t>
        </is>
      </c>
      <c r="B586" s="1" t="n">
        <v>45183.46704861111</v>
      </c>
      <c r="C586" s="1" t="n">
        <v>46136</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46136</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46136</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22899-2023</t>
        </is>
      </c>
      <c r="B589" s="1" t="n">
        <v>45072</v>
      </c>
      <c r="C589" s="1" t="n">
        <v>46136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23978-2023</t>
        </is>
      </c>
      <c r="B590" s="1" t="n">
        <v>45078</v>
      </c>
      <c r="C590" s="1" t="n">
        <v>46136</v>
      </c>
      <c r="D590" t="inlineStr">
        <is>
          <t>GOTLANDS LÄN</t>
        </is>
      </c>
      <c r="E590" t="inlineStr">
        <is>
          <t>GOTLAND</t>
        </is>
      </c>
      <c r="F590" t="inlineStr">
        <is>
          <t>Naturvårdsverket</t>
        </is>
      </c>
      <c r="G590" t="n">
        <v>1.7</v>
      </c>
      <c r="H590" t="n">
        <v>0</v>
      </c>
      <c r="I590" t="n">
        <v>0</v>
      </c>
      <c r="J590" t="n">
        <v>0</v>
      </c>
      <c r="K590" t="n">
        <v>0</v>
      </c>
      <c r="L590" t="n">
        <v>0</v>
      </c>
      <c r="M590" t="n">
        <v>0</v>
      </c>
      <c r="N590" t="n">
        <v>0</v>
      </c>
      <c r="O590" t="n">
        <v>0</v>
      </c>
      <c r="P590" t="n">
        <v>0</v>
      </c>
      <c r="Q590" t="n">
        <v>0</v>
      </c>
      <c r="R590" s="2" t="inlineStr"/>
    </row>
    <row r="591" ht="15" customHeight="1">
      <c r="A591" t="inlineStr">
        <is>
          <t>A 34407-2023</t>
        </is>
      </c>
      <c r="B591" s="1" t="n">
        <v>45132</v>
      </c>
      <c r="C591" s="1" t="n">
        <v>46136</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46136</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27694-2024</t>
        </is>
      </c>
      <c r="B593" s="1" t="n">
        <v>45475</v>
      </c>
      <c r="C593" s="1" t="n">
        <v>46136</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15083-2025</t>
        </is>
      </c>
      <c r="B594" s="1" t="n">
        <v>45743</v>
      </c>
      <c r="C594" s="1" t="n">
        <v>46136</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13037-2025</t>
        </is>
      </c>
      <c r="B595" s="1" t="n">
        <v>45734</v>
      </c>
      <c r="C595" s="1" t="n">
        <v>46136</v>
      </c>
      <c r="D595" t="inlineStr">
        <is>
          <t>GOTLANDS LÄN</t>
        </is>
      </c>
      <c r="E595" t="inlineStr">
        <is>
          <t>GOTLAND</t>
        </is>
      </c>
      <c r="G595" t="n">
        <v>9.5</v>
      </c>
      <c r="H595" t="n">
        <v>0</v>
      </c>
      <c r="I595" t="n">
        <v>0</v>
      </c>
      <c r="J595" t="n">
        <v>0</v>
      </c>
      <c r="K595" t="n">
        <v>0</v>
      </c>
      <c r="L595" t="n">
        <v>0</v>
      </c>
      <c r="M595" t="n">
        <v>0</v>
      </c>
      <c r="N595" t="n">
        <v>0</v>
      </c>
      <c r="O595" t="n">
        <v>0</v>
      </c>
      <c r="P595" t="n">
        <v>0</v>
      </c>
      <c r="Q595" t="n">
        <v>0</v>
      </c>
      <c r="R595" s="2" t="inlineStr"/>
    </row>
    <row r="596" ht="15" customHeight="1">
      <c r="A596" t="inlineStr">
        <is>
          <t>A 458-2023</t>
        </is>
      </c>
      <c r="B596" s="1" t="n">
        <v>44929</v>
      </c>
      <c r="C596" s="1" t="n">
        <v>46136</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44228-2022</t>
        </is>
      </c>
      <c r="B597" s="1" t="n">
        <v>44839.51599537037</v>
      </c>
      <c r="C597" s="1" t="n">
        <v>46136</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58132-2023</t>
        </is>
      </c>
      <c r="B598" s="1" t="n">
        <v>45250</v>
      </c>
      <c r="C598" s="1" t="n">
        <v>46136</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49884-2023</t>
        </is>
      </c>
      <c r="B599" s="1" t="n">
        <v>45213</v>
      </c>
      <c r="C599" s="1" t="n">
        <v>46136</v>
      </c>
      <c r="D599" t="inlineStr">
        <is>
          <t>GOTLANDS LÄN</t>
        </is>
      </c>
      <c r="E599" t="inlineStr">
        <is>
          <t>GOTLAND</t>
        </is>
      </c>
      <c r="G599" t="n">
        <v>8.9</v>
      </c>
      <c r="H599" t="n">
        <v>0</v>
      </c>
      <c r="I599" t="n">
        <v>0</v>
      </c>
      <c r="J599" t="n">
        <v>0</v>
      </c>
      <c r="K599" t="n">
        <v>0</v>
      </c>
      <c r="L599" t="n">
        <v>0</v>
      </c>
      <c r="M599" t="n">
        <v>0</v>
      </c>
      <c r="N599" t="n">
        <v>0</v>
      </c>
      <c r="O599" t="n">
        <v>0</v>
      </c>
      <c r="P599" t="n">
        <v>0</v>
      </c>
      <c r="Q599" t="n">
        <v>0</v>
      </c>
      <c r="R599" s="2" t="inlineStr"/>
    </row>
    <row r="600" ht="15" customHeight="1">
      <c r="A600" t="inlineStr">
        <is>
          <t>A 876-2024</t>
        </is>
      </c>
      <c r="B600" s="1" t="n">
        <v>45301</v>
      </c>
      <c r="C600" s="1" t="n">
        <v>46136</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46136</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46136</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58476-2022</t>
        </is>
      </c>
      <c r="B603" s="1" t="n">
        <v>44902</v>
      </c>
      <c r="C603" s="1" t="n">
        <v>46136</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43200-2023</t>
        </is>
      </c>
      <c r="B604" s="1" t="n">
        <v>45183</v>
      </c>
      <c r="C604" s="1" t="n">
        <v>46136</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43223-2023</t>
        </is>
      </c>
      <c r="B605" s="1" t="n">
        <v>45183.45642361111</v>
      </c>
      <c r="C605" s="1" t="n">
        <v>46136</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46136</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3431-2025</t>
        </is>
      </c>
      <c r="B607" s="1" t="n">
        <v>45680.42935185185</v>
      </c>
      <c r="C607" s="1" t="n">
        <v>46136</v>
      </c>
      <c r="D607" t="inlineStr">
        <is>
          <t>GOTLANDS LÄN</t>
        </is>
      </c>
      <c r="E607" t="inlineStr">
        <is>
          <t>GOTLAND</t>
        </is>
      </c>
      <c r="G607" t="n">
        <v>4.8</v>
      </c>
      <c r="H607" t="n">
        <v>0</v>
      </c>
      <c r="I607" t="n">
        <v>0</v>
      </c>
      <c r="J607" t="n">
        <v>0</v>
      </c>
      <c r="K607" t="n">
        <v>0</v>
      </c>
      <c r="L607" t="n">
        <v>0</v>
      </c>
      <c r="M607" t="n">
        <v>0</v>
      </c>
      <c r="N607" t="n">
        <v>0</v>
      </c>
      <c r="O607" t="n">
        <v>0</v>
      </c>
      <c r="P607" t="n">
        <v>0</v>
      </c>
      <c r="Q607" t="n">
        <v>0</v>
      </c>
      <c r="R607" s="2" t="inlineStr"/>
    </row>
    <row r="608" ht="15" customHeight="1">
      <c r="A608" t="inlineStr">
        <is>
          <t>A 12209-2024</t>
        </is>
      </c>
      <c r="B608" s="1" t="n">
        <v>45378</v>
      </c>
      <c r="C608" s="1" t="n">
        <v>46136</v>
      </c>
      <c r="D608" t="inlineStr">
        <is>
          <t>GOTLANDS LÄN</t>
        </is>
      </c>
      <c r="E608" t="inlineStr">
        <is>
          <t>GOTLAND</t>
        </is>
      </c>
      <c r="G608" t="n">
        <v>5.3</v>
      </c>
      <c r="H608" t="n">
        <v>0</v>
      </c>
      <c r="I608" t="n">
        <v>0</v>
      </c>
      <c r="J608" t="n">
        <v>0</v>
      </c>
      <c r="K608" t="n">
        <v>0</v>
      </c>
      <c r="L608" t="n">
        <v>0</v>
      </c>
      <c r="M608" t="n">
        <v>0</v>
      </c>
      <c r="N608" t="n">
        <v>0</v>
      </c>
      <c r="O608" t="n">
        <v>0</v>
      </c>
      <c r="P608" t="n">
        <v>0</v>
      </c>
      <c r="Q608" t="n">
        <v>0</v>
      </c>
      <c r="R608" s="2" t="inlineStr"/>
    </row>
    <row r="609" ht="15" customHeight="1">
      <c r="A609" t="inlineStr">
        <is>
          <t>A 12210-2024</t>
        </is>
      </c>
      <c r="B609" s="1" t="n">
        <v>45378</v>
      </c>
      <c r="C609" s="1" t="n">
        <v>46136</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1364-2025</t>
        </is>
      </c>
      <c r="B610" s="1" t="n">
        <v>45667.63929398148</v>
      </c>
      <c r="C610" s="1" t="n">
        <v>46136</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15042-2025</t>
        </is>
      </c>
      <c r="B611" s="1" t="n">
        <v>45743</v>
      </c>
      <c r="C611" s="1" t="n">
        <v>46136</v>
      </c>
      <c r="D611" t="inlineStr">
        <is>
          <t>GOTLANDS LÄN</t>
        </is>
      </c>
      <c r="E611" t="inlineStr">
        <is>
          <t>GOTLAND</t>
        </is>
      </c>
      <c r="G611" t="n">
        <v>8.5</v>
      </c>
      <c r="H611" t="n">
        <v>0</v>
      </c>
      <c r="I611" t="n">
        <v>0</v>
      </c>
      <c r="J611" t="n">
        <v>0</v>
      </c>
      <c r="K611" t="n">
        <v>0</v>
      </c>
      <c r="L611" t="n">
        <v>0</v>
      </c>
      <c r="M611" t="n">
        <v>0</v>
      </c>
      <c r="N611" t="n">
        <v>0</v>
      </c>
      <c r="O611" t="n">
        <v>0</v>
      </c>
      <c r="P611" t="n">
        <v>0</v>
      </c>
      <c r="Q611" t="n">
        <v>0</v>
      </c>
      <c r="R611" s="2" t="inlineStr"/>
    </row>
    <row r="612" ht="15" customHeight="1">
      <c r="A612" t="inlineStr">
        <is>
          <t>A 2180-2025</t>
        </is>
      </c>
      <c r="B612" s="1" t="n">
        <v>45673</v>
      </c>
      <c r="C612" s="1" t="n">
        <v>46136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15436-2025</t>
        </is>
      </c>
      <c r="B613" s="1" t="n">
        <v>45747.47462962963</v>
      </c>
      <c r="C613" s="1" t="n">
        <v>46136</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49257-2024</t>
        </is>
      </c>
      <c r="B614" s="1" t="n">
        <v>45595.47627314815</v>
      </c>
      <c r="C614" s="1" t="n">
        <v>46136</v>
      </c>
      <c r="D614" t="inlineStr">
        <is>
          <t>GOTLANDS LÄN</t>
        </is>
      </c>
      <c r="E614" t="inlineStr">
        <is>
          <t>GOTLAND</t>
        </is>
      </c>
      <c r="G614" t="n">
        <v>6.3</v>
      </c>
      <c r="H614" t="n">
        <v>0</v>
      </c>
      <c r="I614" t="n">
        <v>0</v>
      </c>
      <c r="J614" t="n">
        <v>0</v>
      </c>
      <c r="K614" t="n">
        <v>0</v>
      </c>
      <c r="L614" t="n">
        <v>0</v>
      </c>
      <c r="M614" t="n">
        <v>0</v>
      </c>
      <c r="N614" t="n">
        <v>0</v>
      </c>
      <c r="O614" t="n">
        <v>0</v>
      </c>
      <c r="P614" t="n">
        <v>0</v>
      </c>
      <c r="Q614" t="n">
        <v>0</v>
      </c>
      <c r="R614" s="2" t="inlineStr"/>
    </row>
    <row r="615" ht="15" customHeight="1">
      <c r="A615" t="inlineStr">
        <is>
          <t>A 37202-2024</t>
        </is>
      </c>
      <c r="B615" s="1" t="n">
        <v>45539.67310185185</v>
      </c>
      <c r="C615" s="1" t="n">
        <v>46136</v>
      </c>
      <c r="D615" t="inlineStr">
        <is>
          <t>GOTLANDS LÄN</t>
        </is>
      </c>
      <c r="E615" t="inlineStr">
        <is>
          <t>GOTLAND</t>
        </is>
      </c>
      <c r="G615" t="n">
        <v>0.3</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46136</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2774-2024</t>
        </is>
      </c>
      <c r="B617" s="1" t="n">
        <v>45314.62375</v>
      </c>
      <c r="C617" s="1" t="n">
        <v>46136</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60709-2023</t>
        </is>
      </c>
      <c r="B618" s="1" t="n">
        <v>45260</v>
      </c>
      <c r="C618" s="1" t="n">
        <v>46136</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64208-2021</t>
        </is>
      </c>
      <c r="B619" s="1" t="n">
        <v>44510</v>
      </c>
      <c r="C619" s="1" t="n">
        <v>46136</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39764-2022</t>
        </is>
      </c>
      <c r="B620" s="1" t="n">
        <v>44819</v>
      </c>
      <c r="C620" s="1" t="n">
        <v>46136</v>
      </c>
      <c r="D620" t="inlineStr">
        <is>
          <t>GOTLANDS LÄN</t>
        </is>
      </c>
      <c r="E620" t="inlineStr">
        <is>
          <t>GOTLAND</t>
        </is>
      </c>
      <c r="F620" t="inlineStr">
        <is>
          <t>Kyrkan</t>
        </is>
      </c>
      <c r="G620" t="n">
        <v>3.7</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46136</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30956-2024</t>
        </is>
      </c>
      <c r="B622" s="1" t="n">
        <v>45499.42527777778</v>
      </c>
      <c r="C622" s="1" t="n">
        <v>46136</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30892-2024</t>
        </is>
      </c>
      <c r="B623" s="1" t="n">
        <v>45491</v>
      </c>
      <c r="C623" s="1" t="n">
        <v>46136</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45013.69365740741</v>
      </c>
      <c r="C624" s="1" t="n">
        <v>46136</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59469-2024</t>
        </is>
      </c>
      <c r="B625" s="1" t="n">
        <v>45638</v>
      </c>
      <c r="C625" s="1" t="n">
        <v>46136</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7858-2025</t>
        </is>
      </c>
      <c r="B626" s="1" t="n">
        <v>45706.68633101852</v>
      </c>
      <c r="C626" s="1" t="n">
        <v>46136</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53935-2024</t>
        </is>
      </c>
      <c r="B627" s="1" t="n">
        <v>45615</v>
      </c>
      <c r="C627" s="1" t="n">
        <v>46136</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46136</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4420-2025</t>
        </is>
      </c>
      <c r="B629" s="1" t="n">
        <v>45686.47157407407</v>
      </c>
      <c r="C629" s="1" t="n">
        <v>46136</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5891-2025</t>
        </is>
      </c>
      <c r="B630" s="1" t="n">
        <v>45695.38327546296</v>
      </c>
      <c r="C630" s="1" t="n">
        <v>46136</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7835-2024</t>
        </is>
      </c>
      <c r="B631" s="1" t="n">
        <v>45349.83138888889</v>
      </c>
      <c r="C631" s="1" t="n">
        <v>46136</v>
      </c>
      <c r="D631" t="inlineStr">
        <is>
          <t>GOTLANDS LÄN</t>
        </is>
      </c>
      <c r="E631" t="inlineStr">
        <is>
          <t>GOTLAND</t>
        </is>
      </c>
      <c r="G631" t="n">
        <v>3.8</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46136</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46136</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46136</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46136</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46136</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10656-2024</t>
        </is>
      </c>
      <c r="B637" s="1" t="n">
        <v>45368</v>
      </c>
      <c r="C637" s="1" t="n">
        <v>46136</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46136</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21420-2024</t>
        </is>
      </c>
      <c r="B639" s="1" t="n">
        <v>45441.38293981482</v>
      </c>
      <c r="C639" s="1" t="n">
        <v>46136</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23188-2025</t>
        </is>
      </c>
      <c r="B640" s="1" t="n">
        <v>45791</v>
      </c>
      <c r="C640" s="1" t="n">
        <v>46136</v>
      </c>
      <c r="D640" t="inlineStr">
        <is>
          <t>GOTLANDS LÄN</t>
        </is>
      </c>
      <c r="E640" t="inlineStr">
        <is>
          <t>GOTLAND</t>
        </is>
      </c>
      <c r="G640" t="n">
        <v>6.2</v>
      </c>
      <c r="H640" t="n">
        <v>0</v>
      </c>
      <c r="I640" t="n">
        <v>0</v>
      </c>
      <c r="J640" t="n">
        <v>0</v>
      </c>
      <c r="K640" t="n">
        <v>0</v>
      </c>
      <c r="L640" t="n">
        <v>0</v>
      </c>
      <c r="M640" t="n">
        <v>0</v>
      </c>
      <c r="N640" t="n">
        <v>0</v>
      </c>
      <c r="O640" t="n">
        <v>0</v>
      </c>
      <c r="P640" t="n">
        <v>0</v>
      </c>
      <c r="Q640" t="n">
        <v>0</v>
      </c>
      <c r="R640" s="2" t="inlineStr"/>
    </row>
    <row r="641" ht="15" customHeight="1">
      <c r="A641" t="inlineStr">
        <is>
          <t>A 23473-2025</t>
        </is>
      </c>
      <c r="B641" s="1" t="n">
        <v>45792</v>
      </c>
      <c r="C641" s="1" t="n">
        <v>46136</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23856-2025</t>
        </is>
      </c>
      <c r="B642" s="1" t="n">
        <v>45793</v>
      </c>
      <c r="C642" s="1" t="n">
        <v>46136</v>
      </c>
      <c r="D642" t="inlineStr">
        <is>
          <t>GOTLANDS LÄN</t>
        </is>
      </c>
      <c r="E642" t="inlineStr">
        <is>
          <t>GOTLAND</t>
        </is>
      </c>
      <c r="G642" t="n">
        <v>4.4</v>
      </c>
      <c r="H642" t="n">
        <v>0</v>
      </c>
      <c r="I642" t="n">
        <v>0</v>
      </c>
      <c r="J642" t="n">
        <v>0</v>
      </c>
      <c r="K642" t="n">
        <v>0</v>
      </c>
      <c r="L642" t="n">
        <v>0</v>
      </c>
      <c r="M642" t="n">
        <v>0</v>
      </c>
      <c r="N642" t="n">
        <v>0</v>
      </c>
      <c r="O642" t="n">
        <v>0</v>
      </c>
      <c r="P642" t="n">
        <v>0</v>
      </c>
      <c r="Q642" t="n">
        <v>0</v>
      </c>
      <c r="R642" s="2" t="inlineStr"/>
    </row>
    <row r="643" ht="15" customHeight="1">
      <c r="A643" t="inlineStr">
        <is>
          <t>A 15073-2025</t>
        </is>
      </c>
      <c r="B643" s="1" t="n">
        <v>45743</v>
      </c>
      <c r="C643" s="1" t="n">
        <v>46136</v>
      </c>
      <c r="D643" t="inlineStr">
        <is>
          <t>GOTLANDS LÄN</t>
        </is>
      </c>
      <c r="E643" t="inlineStr">
        <is>
          <t>GOTLAND</t>
        </is>
      </c>
      <c r="G643" t="n">
        <v>12.1</v>
      </c>
      <c r="H643" t="n">
        <v>0</v>
      </c>
      <c r="I643" t="n">
        <v>0</v>
      </c>
      <c r="J643" t="n">
        <v>0</v>
      </c>
      <c r="K643" t="n">
        <v>0</v>
      </c>
      <c r="L643" t="n">
        <v>0</v>
      </c>
      <c r="M643" t="n">
        <v>0</v>
      </c>
      <c r="N643" t="n">
        <v>0</v>
      </c>
      <c r="O643" t="n">
        <v>0</v>
      </c>
      <c r="P643" t="n">
        <v>0</v>
      </c>
      <c r="Q643" t="n">
        <v>0</v>
      </c>
      <c r="R643" s="2" t="inlineStr"/>
    </row>
    <row r="644" ht="15" customHeight="1">
      <c r="A644" t="inlineStr">
        <is>
          <t>A 6749-2025</t>
        </is>
      </c>
      <c r="B644" s="1" t="n">
        <v>45700</v>
      </c>
      <c r="C644" s="1" t="n">
        <v>46136</v>
      </c>
      <c r="D644" t="inlineStr">
        <is>
          <t>GOTLANDS LÄN</t>
        </is>
      </c>
      <c r="E644" t="inlineStr">
        <is>
          <t>GOTLAND</t>
        </is>
      </c>
      <c r="G644" t="n">
        <v>4.5</v>
      </c>
      <c r="H644" t="n">
        <v>0</v>
      </c>
      <c r="I644" t="n">
        <v>0</v>
      </c>
      <c r="J644" t="n">
        <v>0</v>
      </c>
      <c r="K644" t="n">
        <v>0</v>
      </c>
      <c r="L644" t="n">
        <v>0</v>
      </c>
      <c r="M644" t="n">
        <v>0</v>
      </c>
      <c r="N644" t="n">
        <v>0</v>
      </c>
      <c r="O644" t="n">
        <v>0</v>
      </c>
      <c r="P644" t="n">
        <v>0</v>
      </c>
      <c r="Q644" t="n">
        <v>0</v>
      </c>
      <c r="R644" s="2" t="inlineStr"/>
    </row>
    <row r="645">
      <c r="A645" t="inlineStr">
        <is>
          <t>A 23698-2025</t>
        </is>
      </c>
      <c r="B645" s="1" t="n">
        <v>45793</v>
      </c>
      <c r="C645" s="1" t="n">
        <v>46136</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2026-04-24T10:52:07Z</dcterms:created>
  <dcterms:modified xmlns:dcterms="http://purl.org/dc/terms/" xmlns:xsi="http://www.w3.org/2001/XMLSchema-instance" xsi:type="dcterms:W3CDTF">2026-04-24T10:52:08Z</dcterms:modified>
</cp:coreProperties>
</file>