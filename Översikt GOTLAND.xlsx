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45852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45852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45852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45852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45852</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45852</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45852</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45852</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v>
      </c>
      <c r="C10" s="1" t="n">
        <v>45852</v>
      </c>
      <c r="D10" t="inlineStr">
        <is>
          <t>GOTLANDS LÄN</t>
        </is>
      </c>
      <c r="E10" t="inlineStr">
        <is>
          <t>GOTLAND</t>
        </is>
      </c>
      <c r="G10" t="n">
        <v>6.1</v>
      </c>
      <c r="H10" t="n">
        <v>11</v>
      </c>
      <c r="I10" t="n">
        <v>8</v>
      </c>
      <c r="J10" t="n">
        <v>5</v>
      </c>
      <c r="K10" t="n">
        <v>1</v>
      </c>
      <c r="L10" t="n">
        <v>1</v>
      </c>
      <c r="M10" t="n">
        <v>0</v>
      </c>
      <c r="N10" t="n">
        <v>0</v>
      </c>
      <c r="O10" t="n">
        <v>7</v>
      </c>
      <c r="P10" t="n">
        <v>2</v>
      </c>
      <c r="Q10" t="n">
        <v>20</v>
      </c>
      <c r="R10" s="2" t="inlineStr">
        <is>
          <t>Ask
Knärot
Dårgräsfjäril
Jordtistel
Majviva
Svinrot
Ängsstarr
Axag
Blåmossa
Grönpyrola
Nästrot
Purpurknipprot
Skogsknipprot
Sårläka
Tvåblad
Dactylorhiza incarnata subsp. incarnata
Fläcknycklar
Grönvit nattviol
Nattviol
Sankt pers nycklar</t>
        </is>
      </c>
      <c r="S10">
        <f>HYPERLINK("https://klasma.github.io/Logging_090980/artfynd/A 10780-2025 artfynd.xlsx", "A 10780-2025")</f>
        <v/>
      </c>
      <c r="T10">
        <f>HYPERLINK("https://klasma.github.io/Logging_090980/kartor/A 10780-2025 karta.png", "A 10780-2025")</f>
        <v/>
      </c>
      <c r="U10">
        <f>HYPERLINK("https://klasma.github.io/Logging_090980/knärot/A 10780-2025 karta knärot.png", "A 10780-2025")</f>
        <v/>
      </c>
      <c r="V10">
        <f>HYPERLINK("https://klasma.github.io/Logging_090980/klagomål/A 10780-2025 FSC-klagomål.docx", "A 10780-2025")</f>
        <v/>
      </c>
      <c r="W10">
        <f>HYPERLINK("https://klasma.github.io/Logging_090980/klagomålsmail/A 10780-2025 FSC-klagomål mail.docx", "A 10780-2025")</f>
        <v/>
      </c>
      <c r="X10">
        <f>HYPERLINK("https://klasma.github.io/Logging_090980/tillsyn/A 10780-2025 tillsynsbegäran.docx", "A 10780-2025")</f>
        <v/>
      </c>
      <c r="Y10">
        <f>HYPERLINK("https://klasma.github.io/Logging_090980/tillsynsmail/A 10780-2025 tillsynsbegäran mail.docx", "A 10780-2025")</f>
        <v/>
      </c>
    </row>
    <row r="11" ht="15" customHeight="1">
      <c r="A11" t="inlineStr">
        <is>
          <t>A 1684-2023</t>
        </is>
      </c>
      <c r="B11" s="1" t="n">
        <v>44938</v>
      </c>
      <c r="C11" s="1" t="n">
        <v>45852</v>
      </c>
      <c r="D11" t="inlineStr">
        <is>
          <t>GOTLANDS LÄN</t>
        </is>
      </c>
      <c r="E11" t="inlineStr">
        <is>
          <t>GOTLAND</t>
        </is>
      </c>
      <c r="G11" t="n">
        <v>23.3</v>
      </c>
      <c r="H11" t="n">
        <v>3</v>
      </c>
      <c r="I11" t="n">
        <v>8</v>
      </c>
      <c r="J11" t="n">
        <v>3</v>
      </c>
      <c r="K11" t="n">
        <v>1</v>
      </c>
      <c r="L11" t="n">
        <v>1</v>
      </c>
      <c r="M11" t="n">
        <v>2</v>
      </c>
      <c r="N11" t="n">
        <v>0</v>
      </c>
      <c r="O11" t="n">
        <v>7</v>
      </c>
      <c r="P11" t="n">
        <v>4</v>
      </c>
      <c r="Q11" t="n">
        <v>18</v>
      </c>
      <c r="R11" s="2" t="inlineStr">
        <is>
          <t>Cinnoberfläck
Frostfläck
Ädellav
Mörk kraterlav
Loppstarr
Mjölmusseron
Odörspindling
Anisspindling
Besk kastanjemusseron
Havstulpanlav
Kattfotslav
Korallblylav
Murgröna
Rikfruktig blemlav
Västlig hakmossa
Skogsduva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c r="Z11">
        <f>HYPERLINK("https://klasma.github.io/Logging_0980/fåglar/A 1684-2023 prioriterade fågelarter.docx", "A 1684-2023")</f>
        <v/>
      </c>
    </row>
    <row r="12" ht="15" customHeight="1">
      <c r="A12" t="inlineStr">
        <is>
          <t>A 1702-2023</t>
        </is>
      </c>
      <c r="B12" s="1" t="n">
        <v>44938</v>
      </c>
      <c r="C12" s="1" t="n">
        <v>45852</v>
      </c>
      <c r="D12" t="inlineStr">
        <is>
          <t>GOTLANDS LÄN</t>
        </is>
      </c>
      <c r="E12" t="inlineStr">
        <is>
          <t>GOTLAND</t>
        </is>
      </c>
      <c r="G12" t="n">
        <v>3.7</v>
      </c>
      <c r="H12" t="n">
        <v>3</v>
      </c>
      <c r="I12" t="n">
        <v>9</v>
      </c>
      <c r="J12" t="n">
        <v>3</v>
      </c>
      <c r="K12" t="n">
        <v>3</v>
      </c>
      <c r="L12" t="n">
        <v>0</v>
      </c>
      <c r="M12" t="n">
        <v>0</v>
      </c>
      <c r="N12" t="n">
        <v>0</v>
      </c>
      <c r="O12" t="n">
        <v>6</v>
      </c>
      <c r="P12" t="n">
        <v>3</v>
      </c>
      <c r="Q12" t="n">
        <v>18</v>
      </c>
      <c r="R12"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2">
        <f>HYPERLINK("https://klasma.github.io/Logging_0980/artfynd/A 1702-2023 artfynd.xlsx", "A 1702-2023")</f>
        <v/>
      </c>
      <c r="T12">
        <f>HYPERLINK("https://klasma.github.io/Logging_0980/kartor/A 1702-2023 karta.png", "A 1702-2023")</f>
        <v/>
      </c>
      <c r="V12">
        <f>HYPERLINK("https://klasma.github.io/Logging_0980/klagomål/A 1702-2023 FSC-klagomål.docx", "A 1702-2023")</f>
        <v/>
      </c>
      <c r="W12">
        <f>HYPERLINK("https://klasma.github.io/Logging_0980/klagomålsmail/A 1702-2023 FSC-klagomål mail.docx", "A 1702-2023")</f>
        <v/>
      </c>
      <c r="X12">
        <f>HYPERLINK("https://klasma.github.io/Logging_0980/tillsyn/A 1702-2023 tillsynsbegäran.docx", "A 1702-2023")</f>
        <v/>
      </c>
      <c r="Y12">
        <f>HYPERLINK("https://klasma.github.io/Logging_0980/tillsynsmail/A 1702-2023 tillsynsbegäran mail.docx", "A 1702-2023")</f>
        <v/>
      </c>
    </row>
    <row r="13" ht="15" customHeight="1">
      <c r="A13" t="inlineStr">
        <is>
          <t>A 530-2024</t>
        </is>
      </c>
      <c r="B13" s="1" t="n">
        <v>45299</v>
      </c>
      <c r="C13" s="1" t="n">
        <v>45852</v>
      </c>
      <c r="D13" t="inlineStr">
        <is>
          <t>GOTLANDS LÄN</t>
        </is>
      </c>
      <c r="E13" t="inlineStr">
        <is>
          <t>GOTLAND</t>
        </is>
      </c>
      <c r="G13" t="n">
        <v>6.5</v>
      </c>
      <c r="H13" t="n">
        <v>7</v>
      </c>
      <c r="I13" t="n">
        <v>6</v>
      </c>
      <c r="J13" t="n">
        <v>3</v>
      </c>
      <c r="K13" t="n">
        <v>3</v>
      </c>
      <c r="L13" t="n">
        <v>1</v>
      </c>
      <c r="M13" t="n">
        <v>0</v>
      </c>
      <c r="N13" t="n">
        <v>0</v>
      </c>
      <c r="O13" t="n">
        <v>7</v>
      </c>
      <c r="P13" t="n">
        <v>4</v>
      </c>
      <c r="Q13" t="n">
        <v>18</v>
      </c>
      <c r="R13"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3">
        <f>HYPERLINK("https://klasma.github.io/Logging_0980/artfynd/A 530-2024 artfynd.xlsx", "A 530-2024")</f>
        <v/>
      </c>
      <c r="T13">
        <f>HYPERLINK("https://klasma.github.io/Logging_0980/kartor/A 530-2024 karta.png", "A 530-2024")</f>
        <v/>
      </c>
      <c r="V13">
        <f>HYPERLINK("https://klasma.github.io/Logging_0980/klagomål/A 530-2024 FSC-klagomål.docx", "A 530-2024")</f>
        <v/>
      </c>
      <c r="W13">
        <f>HYPERLINK("https://klasma.github.io/Logging_0980/klagomålsmail/A 530-2024 FSC-klagomål mail.docx", "A 530-2024")</f>
        <v/>
      </c>
      <c r="X13">
        <f>HYPERLINK("https://klasma.github.io/Logging_0980/tillsyn/A 530-2024 tillsynsbegäran.docx", "A 530-2024")</f>
        <v/>
      </c>
      <c r="Y13">
        <f>HYPERLINK("https://klasma.github.io/Logging_0980/tillsynsmail/A 530-2024 tillsynsbegäran mail.docx", "A 530-2024")</f>
        <v/>
      </c>
      <c r="Z13">
        <f>HYPERLINK("https://klasma.github.io/Logging_0980/fåglar/A 530-2024 prioriterade fågelarter.docx", "A 530-2024")</f>
        <v/>
      </c>
    </row>
    <row r="14" ht="15" customHeight="1">
      <c r="A14" t="inlineStr">
        <is>
          <t>A 62551-2022</t>
        </is>
      </c>
      <c r="B14" s="1" t="n">
        <v>44924</v>
      </c>
      <c r="C14" s="1" t="n">
        <v>45852</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61664-2023</t>
        </is>
      </c>
      <c r="B15" s="1" t="n">
        <v>45265</v>
      </c>
      <c r="C15" s="1" t="n">
        <v>45852</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34100-2024</t>
        </is>
      </c>
      <c r="B16" s="1" t="n">
        <v>45523</v>
      </c>
      <c r="C16" s="1" t="n">
        <v>45852</v>
      </c>
      <c r="D16" t="inlineStr">
        <is>
          <t>GOTLANDS LÄN</t>
        </is>
      </c>
      <c r="E16" t="inlineStr">
        <is>
          <t>GOTLAND</t>
        </is>
      </c>
      <c r="F16" t="inlineStr">
        <is>
          <t>Övriga statliga verk och myndigheter</t>
        </is>
      </c>
      <c r="G16" t="n">
        <v>8.5</v>
      </c>
      <c r="H16" t="n">
        <v>3</v>
      </c>
      <c r="I16" t="n">
        <v>7</v>
      </c>
      <c r="J16" t="n">
        <v>3</v>
      </c>
      <c r="K16" t="n">
        <v>2</v>
      </c>
      <c r="L16" t="n">
        <v>0</v>
      </c>
      <c r="M16" t="n">
        <v>0</v>
      </c>
      <c r="N16" t="n">
        <v>0</v>
      </c>
      <c r="O16" t="n">
        <v>6</v>
      </c>
      <c r="P16" t="n">
        <v>2</v>
      </c>
      <c r="Q16" t="n">
        <v>16</v>
      </c>
      <c r="R1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6">
        <f>HYPERLINK("https://klasma.github.io/Logging_0980/artfynd/A 34100-2024 artfynd.xlsx", "A 34100-2024")</f>
        <v/>
      </c>
      <c r="T16">
        <f>HYPERLINK("https://klasma.github.io/Logging_0980/kartor/A 34100-2024 karta.png", "A 34100-2024")</f>
        <v/>
      </c>
      <c r="V16">
        <f>HYPERLINK("https://klasma.github.io/Logging_0980/klagomål/A 34100-2024 FSC-klagomål.docx", "A 34100-2024")</f>
        <v/>
      </c>
      <c r="W16">
        <f>HYPERLINK("https://klasma.github.io/Logging_0980/klagomålsmail/A 34100-2024 FSC-klagomål mail.docx", "A 34100-2024")</f>
        <v/>
      </c>
      <c r="X16">
        <f>HYPERLINK("https://klasma.github.io/Logging_0980/tillsyn/A 34100-2024 tillsynsbegäran.docx", "A 34100-2024")</f>
        <v/>
      </c>
      <c r="Y16">
        <f>HYPERLINK("https://klasma.github.io/Logging_0980/tillsynsmail/A 34100-2024 tillsynsbegäran mail.docx", "A 34100-2024")</f>
        <v/>
      </c>
      <c r="Z16">
        <f>HYPERLINK("https://klasma.github.io/Logging_0980/fåglar/A 34100-2024 prioriterade fågelarter.docx", "A 34100-2024")</f>
        <v/>
      </c>
    </row>
    <row r="17" ht="15" customHeight="1">
      <c r="A17" t="inlineStr">
        <is>
          <t>A 24575-2025</t>
        </is>
      </c>
      <c r="B17" s="1" t="n">
        <v>45798</v>
      </c>
      <c r="C17" s="1" t="n">
        <v>45852</v>
      </c>
      <c r="D17" t="inlineStr">
        <is>
          <t>GOTLANDS LÄN</t>
        </is>
      </c>
      <c r="E17" t="inlineStr">
        <is>
          <t>GOTLAND</t>
        </is>
      </c>
      <c r="G17" t="n">
        <v>6.7</v>
      </c>
      <c r="H17" t="n">
        <v>9</v>
      </c>
      <c r="I17" t="n">
        <v>6</v>
      </c>
      <c r="J17" t="n">
        <v>6</v>
      </c>
      <c r="K17" t="n">
        <v>1</v>
      </c>
      <c r="L17" t="n">
        <v>0</v>
      </c>
      <c r="M17" t="n">
        <v>0</v>
      </c>
      <c r="N17" t="n">
        <v>0</v>
      </c>
      <c r="O17" t="n">
        <v>7</v>
      </c>
      <c r="P17" t="n">
        <v>1</v>
      </c>
      <c r="Q17" t="n">
        <v>16</v>
      </c>
      <c r="R17" s="2" t="inlineStr">
        <is>
          <t>Knärot
Jordtistel
Reliktbock
Solvända
Spillkråka
Svinrot
Ängsstarr
Blåmossa
Nästrot
Skogsknipprot
Sårläka
Tvåblad
Vit skogslilja
Fläcknycklar
Nattviol
Sankt pers nycklar</t>
        </is>
      </c>
      <c r="S17">
        <f>HYPERLINK("https://klasma.github.io/Logging_090980/artfynd/A 24575-2025 artfynd.xlsx", "A 24575-2025")</f>
        <v/>
      </c>
      <c r="T17">
        <f>HYPERLINK("https://klasma.github.io/Logging_090980/kartor/A 24575-2025 karta.png", "A 24575-2025")</f>
        <v/>
      </c>
      <c r="U17">
        <f>HYPERLINK("https://klasma.github.io/Logging_090980/knärot/A 24575-2025 karta knärot.png", "A 24575-2025")</f>
        <v/>
      </c>
      <c r="V17">
        <f>HYPERLINK("https://klasma.github.io/Logging_090980/klagomål/A 24575-2025 FSC-klagomål.docx", "A 24575-2025")</f>
        <v/>
      </c>
      <c r="W17">
        <f>HYPERLINK("https://klasma.github.io/Logging_090980/klagomålsmail/A 24575-2025 FSC-klagomål mail.docx", "A 24575-2025")</f>
        <v/>
      </c>
      <c r="X17">
        <f>HYPERLINK("https://klasma.github.io/Logging_090980/tillsyn/A 24575-2025 tillsynsbegäran.docx", "A 24575-2025")</f>
        <v/>
      </c>
      <c r="Y17">
        <f>HYPERLINK("https://klasma.github.io/Logging_090980/tillsynsmail/A 24575-2025 tillsynsbegäran mail.docx", "A 24575-2025")</f>
        <v/>
      </c>
      <c r="Z17">
        <f>HYPERLINK("https://klasma.github.io/Logging_090980/fåglar/A 24575-2025 prioriterade fågelarter.docx", "A 24575-2025")</f>
        <v/>
      </c>
    </row>
    <row r="18" ht="15" customHeight="1">
      <c r="A18" t="inlineStr">
        <is>
          <t>A 58474-2022</t>
        </is>
      </c>
      <c r="B18" s="1" t="n">
        <v>44902</v>
      </c>
      <c r="C18" s="1" t="n">
        <v>45852</v>
      </c>
      <c r="D18" t="inlineStr">
        <is>
          <t>GOTLANDS LÄN</t>
        </is>
      </c>
      <c r="E18" t="inlineStr">
        <is>
          <t>GOTLAND</t>
        </is>
      </c>
      <c r="G18" t="n">
        <v>10.3</v>
      </c>
      <c r="H18" t="n">
        <v>1</v>
      </c>
      <c r="I18" t="n">
        <v>9</v>
      </c>
      <c r="J18" t="n">
        <v>2</v>
      </c>
      <c r="K18" t="n">
        <v>2</v>
      </c>
      <c r="L18" t="n">
        <v>1</v>
      </c>
      <c r="M18" t="n">
        <v>0</v>
      </c>
      <c r="N18" t="n">
        <v>0</v>
      </c>
      <c r="O18" t="n">
        <v>5</v>
      </c>
      <c r="P18" t="n">
        <v>3</v>
      </c>
      <c r="Q18" t="n">
        <v>15</v>
      </c>
      <c r="R18" s="2" t="inlineStr">
        <is>
          <t>Ädellav
Mörk kraterlav
Skogskorn
Flattoppad klubbsvamp
Odörspindling
Anisspindling
Diskvaxskivling
Havstulpanlav
Murgröna
Rikfruktig blemlav
Rödgul trumpetsvamp
Skuggsprötmossa
Svavelriska
Västlig hakmossa
Fläcknycklar</t>
        </is>
      </c>
      <c r="S18">
        <f>HYPERLINK("https://klasma.github.io/Logging_0980/artfynd/A 58474-2022 artfynd.xlsx", "A 58474-2022")</f>
        <v/>
      </c>
      <c r="T18">
        <f>HYPERLINK("https://klasma.github.io/Logging_0980/kartor/A 58474-2022 karta.png", "A 58474-2022")</f>
        <v/>
      </c>
      <c r="V18">
        <f>HYPERLINK("https://klasma.github.io/Logging_0980/klagomål/A 58474-2022 FSC-klagomål.docx", "A 58474-2022")</f>
        <v/>
      </c>
      <c r="W18">
        <f>HYPERLINK("https://klasma.github.io/Logging_0980/klagomålsmail/A 58474-2022 FSC-klagomål mail.docx", "A 58474-2022")</f>
        <v/>
      </c>
      <c r="X18">
        <f>HYPERLINK("https://klasma.github.io/Logging_0980/tillsyn/A 58474-2022 tillsynsbegäran.docx", "A 58474-2022")</f>
        <v/>
      </c>
      <c r="Y18">
        <f>HYPERLINK("https://klasma.github.io/Logging_0980/tillsynsmail/A 58474-2022 tillsynsbegäran mail.docx", "A 58474-2022")</f>
        <v/>
      </c>
    </row>
    <row r="19" ht="15" customHeight="1">
      <c r="A19" t="inlineStr">
        <is>
          <t>A 24202-2023</t>
        </is>
      </c>
      <c r="B19" s="1" t="n">
        <v>45079</v>
      </c>
      <c r="C19" s="1" t="n">
        <v>45852</v>
      </c>
      <c r="D19" t="inlineStr">
        <is>
          <t>GOTLANDS LÄN</t>
        </is>
      </c>
      <c r="E19" t="inlineStr">
        <is>
          <t>GOTLAND</t>
        </is>
      </c>
      <c r="G19" t="n">
        <v>2.5</v>
      </c>
      <c r="H19" t="n">
        <v>0</v>
      </c>
      <c r="I19" t="n">
        <v>10</v>
      </c>
      <c r="J19" t="n">
        <v>2</v>
      </c>
      <c r="K19" t="n">
        <v>3</v>
      </c>
      <c r="L19" t="n">
        <v>0</v>
      </c>
      <c r="M19" t="n">
        <v>0</v>
      </c>
      <c r="N19" t="n">
        <v>0</v>
      </c>
      <c r="O19" t="n">
        <v>5</v>
      </c>
      <c r="P19" t="n">
        <v>3</v>
      </c>
      <c r="Q19" t="n">
        <v>15</v>
      </c>
      <c r="R19"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9">
        <f>HYPERLINK("https://klasma.github.io/Logging_0980/artfynd/A 24202-2023 artfynd.xlsx", "A 24202-2023")</f>
        <v/>
      </c>
      <c r="T19">
        <f>HYPERLINK("https://klasma.github.io/Logging_0980/kartor/A 24202-2023 karta.png", "A 24202-2023")</f>
        <v/>
      </c>
      <c r="V19">
        <f>HYPERLINK("https://klasma.github.io/Logging_0980/klagomål/A 24202-2023 FSC-klagomål.docx", "A 24202-2023")</f>
        <v/>
      </c>
      <c r="W19">
        <f>HYPERLINK("https://klasma.github.io/Logging_0980/klagomålsmail/A 24202-2023 FSC-klagomål mail.docx", "A 24202-2023")</f>
        <v/>
      </c>
      <c r="X19">
        <f>HYPERLINK("https://klasma.github.io/Logging_0980/tillsyn/A 24202-2023 tillsynsbegäran.docx", "A 24202-2023")</f>
        <v/>
      </c>
      <c r="Y19">
        <f>HYPERLINK("https://klasma.github.io/Logging_0980/tillsynsmail/A 24202-2023 tillsynsbegäran mail.docx", "A 24202-2023")</f>
        <v/>
      </c>
    </row>
    <row r="20" ht="15" customHeight="1">
      <c r="A20" t="inlineStr">
        <is>
          <t>A 61697-2023</t>
        </is>
      </c>
      <c r="B20" s="1" t="n">
        <v>45265</v>
      </c>
      <c r="C20" s="1" t="n">
        <v>45852</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62132-2023</t>
        </is>
      </c>
      <c r="B21" s="1" t="n">
        <v>45267</v>
      </c>
      <c r="C21" s="1" t="n">
        <v>45852</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15629-2024</t>
        </is>
      </c>
      <c r="B22" s="1" t="n">
        <v>45402</v>
      </c>
      <c r="C22" s="1" t="n">
        <v>45852</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45852</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6913-2025</t>
        </is>
      </c>
      <c r="B24" s="1" t="n">
        <v>45701</v>
      </c>
      <c r="C24" s="1" t="n">
        <v>45852</v>
      </c>
      <c r="D24" t="inlineStr">
        <is>
          <t>GOTLANDS LÄN</t>
        </is>
      </c>
      <c r="E24" t="inlineStr">
        <is>
          <t>GOTLAND</t>
        </is>
      </c>
      <c r="G24" t="n">
        <v>7.2</v>
      </c>
      <c r="H24" t="n">
        <v>7</v>
      </c>
      <c r="I24" t="n">
        <v>5</v>
      </c>
      <c r="J24" t="n">
        <v>7</v>
      </c>
      <c r="K24" t="n">
        <v>0</v>
      </c>
      <c r="L24" t="n">
        <v>1</v>
      </c>
      <c r="M24" t="n">
        <v>0</v>
      </c>
      <c r="N24" t="n">
        <v>0</v>
      </c>
      <c r="O24" t="n">
        <v>8</v>
      </c>
      <c r="P24" t="n">
        <v>1</v>
      </c>
      <c r="Q24" t="n">
        <v>15</v>
      </c>
      <c r="R24" s="2" t="inlineStr">
        <is>
          <t>Ask
Grönsångare
Jordtistel
Loppstarr
Majviva
Spillkråka
Svinrot
Ängsstarr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455-2020</t>
        </is>
      </c>
      <c r="B25" s="1" t="n">
        <v>43837</v>
      </c>
      <c r="C25" s="1" t="n">
        <v>45852</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45852</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45852</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45852</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45852</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45852</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45852</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45852</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45852</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45852</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45852</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45852</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45852</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45852</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45852</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45852</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24309-2025</t>
        </is>
      </c>
      <c r="B41" s="1" t="n">
        <v>45797</v>
      </c>
      <c r="C41" s="1" t="n">
        <v>45852</v>
      </c>
      <c r="D41" t="inlineStr">
        <is>
          <t>GOTLANDS LÄN</t>
        </is>
      </c>
      <c r="E41" t="inlineStr">
        <is>
          <t>GOTLAND</t>
        </is>
      </c>
      <c r="F41" t="inlineStr">
        <is>
          <t>Kyrkan</t>
        </is>
      </c>
      <c r="G41" t="n">
        <v>7.8</v>
      </c>
      <c r="H41" t="n">
        <v>9</v>
      </c>
      <c r="I41" t="n">
        <v>6</v>
      </c>
      <c r="J41" t="n">
        <v>3</v>
      </c>
      <c r="K41" t="n">
        <v>1</v>
      </c>
      <c r="L41" t="n">
        <v>0</v>
      </c>
      <c r="M41" t="n">
        <v>0</v>
      </c>
      <c r="N41" t="n">
        <v>0</v>
      </c>
      <c r="O41" t="n">
        <v>4</v>
      </c>
      <c r="P41" t="n">
        <v>1</v>
      </c>
      <c r="Q41" t="n">
        <v>12</v>
      </c>
      <c r="R41" s="2" t="inlineStr">
        <is>
          <t>Garderönn
Dårgräsfjäril
Spillkråka
Svinrot
Grönpyrola
Purpurknipprot
Skogsknipprot
Strävlosta
Tvåblad
Vit skogslilja
Nattviol
Blåsippa</t>
        </is>
      </c>
      <c r="S41">
        <f>HYPERLINK("https://klasma.github.io/Logging_090980/artfynd/A 24309-2025 artfynd.xlsx", "A 24309-2025")</f>
        <v/>
      </c>
      <c r="T41">
        <f>HYPERLINK("https://klasma.github.io/Logging_090980/kartor/A 24309-2025 karta.png", "A 24309-2025")</f>
        <v/>
      </c>
      <c r="V41">
        <f>HYPERLINK("https://klasma.github.io/Logging_090980/klagomål/A 24309-2025 FSC-klagomål.docx", "A 24309-2025")</f>
        <v/>
      </c>
      <c r="W41">
        <f>HYPERLINK("https://klasma.github.io/Logging_090980/klagomålsmail/A 24309-2025 FSC-klagomål mail.docx", "A 24309-2025")</f>
        <v/>
      </c>
      <c r="X41">
        <f>HYPERLINK("https://klasma.github.io/Logging_090980/tillsyn/A 24309-2025 tillsynsbegäran.docx", "A 24309-2025")</f>
        <v/>
      </c>
      <c r="Y41">
        <f>HYPERLINK("https://klasma.github.io/Logging_090980/tillsynsmail/A 24309-2025 tillsynsbegäran mail.docx", "A 24309-2025")</f>
        <v/>
      </c>
      <c r="Z41">
        <f>HYPERLINK("https://klasma.github.io/Logging_090980/fåglar/A 24309-2025 prioriterade fågelarter.docx", "A 24309-2025")</f>
        <v/>
      </c>
    </row>
    <row r="42" ht="15" customHeight="1">
      <c r="A42" t="inlineStr">
        <is>
          <t>A 30542-2025</t>
        </is>
      </c>
      <c r="B42" s="1" t="n">
        <v>45831</v>
      </c>
      <c r="C42" s="1" t="n">
        <v>45852</v>
      </c>
      <c r="D42" t="inlineStr">
        <is>
          <t>GOTLANDS LÄN</t>
        </is>
      </c>
      <c r="E42" t="inlineStr">
        <is>
          <t>GOTLAND</t>
        </is>
      </c>
      <c r="G42" t="n">
        <v>8.300000000000001</v>
      </c>
      <c r="H42" t="n">
        <v>5</v>
      </c>
      <c r="I42" t="n">
        <v>3</v>
      </c>
      <c r="J42" t="n">
        <v>6</v>
      </c>
      <c r="K42" t="n">
        <v>0</v>
      </c>
      <c r="L42" t="n">
        <v>1</v>
      </c>
      <c r="M42" t="n">
        <v>0</v>
      </c>
      <c r="N42" t="n">
        <v>0</v>
      </c>
      <c r="O42" t="n">
        <v>7</v>
      </c>
      <c r="P42" t="n">
        <v>1</v>
      </c>
      <c r="Q42" t="n">
        <v>12</v>
      </c>
      <c r="R42" s="2" t="inlineStr">
        <is>
          <t>Ask
Backtimjan
Dårgräsfjäril
Jordtistel
Solvända
Svinrot
Ängsstarr
Blåmossa
Skogsknipprot
Tvåblad
Brudsporre
Fläcknycklar</t>
        </is>
      </c>
      <c r="S42">
        <f>HYPERLINK("https://klasma.github.io/Logging_090980/artfynd/A 30542-2025 artfynd.xlsx", "A 30542-2025")</f>
        <v/>
      </c>
      <c r="T42">
        <f>HYPERLINK("https://klasma.github.io/Logging_090980/kartor/A 30542-2025 karta.png", "A 30542-2025")</f>
        <v/>
      </c>
      <c r="V42">
        <f>HYPERLINK("https://klasma.github.io/Logging_090980/klagomål/A 30542-2025 FSC-klagomål.docx", "A 30542-2025")</f>
        <v/>
      </c>
      <c r="W42">
        <f>HYPERLINK("https://klasma.github.io/Logging_090980/klagomålsmail/A 30542-2025 FSC-klagomål mail.docx", "A 30542-2025")</f>
        <v/>
      </c>
      <c r="X42">
        <f>HYPERLINK("https://klasma.github.io/Logging_090980/tillsyn/A 30542-2025 tillsynsbegäran.docx", "A 30542-2025")</f>
        <v/>
      </c>
      <c r="Y42">
        <f>HYPERLINK("https://klasma.github.io/Logging_090980/tillsynsmail/A 30542-2025 tillsynsbegäran mail.docx", "A 30542-2025")</f>
        <v/>
      </c>
    </row>
    <row r="43" ht="15" customHeight="1">
      <c r="A43" t="inlineStr">
        <is>
          <t>A 25252-2021</t>
        </is>
      </c>
      <c r="B43" s="1" t="n">
        <v>44342</v>
      </c>
      <c r="C43" s="1" t="n">
        <v>45852</v>
      </c>
      <c r="D43" t="inlineStr">
        <is>
          <t>GOTLANDS LÄN</t>
        </is>
      </c>
      <c r="E43" t="inlineStr">
        <is>
          <t>GOTLAND</t>
        </is>
      </c>
      <c r="G43" t="n">
        <v>4.3</v>
      </c>
      <c r="H43" t="n">
        <v>0</v>
      </c>
      <c r="I43" t="n">
        <v>2</v>
      </c>
      <c r="J43" t="n">
        <v>3</v>
      </c>
      <c r="K43" t="n">
        <v>5</v>
      </c>
      <c r="L43" t="n">
        <v>0</v>
      </c>
      <c r="M43" t="n">
        <v>0</v>
      </c>
      <c r="N43" t="n">
        <v>0</v>
      </c>
      <c r="O43" t="n">
        <v>9</v>
      </c>
      <c r="P43" t="n">
        <v>5</v>
      </c>
      <c r="Q43" t="n">
        <v>11</v>
      </c>
      <c r="R43" s="2" t="inlineStr">
        <is>
          <t>Granrotsspindling
Gulsträngad fagerspindling
Narrspindling
Svartgrön spindling
Vit taggsvamp
Flattoppad klubbsvamp
Odörspindling
Orange taggsvamp
Trollspindling
Blå slemspindling
Fransig jordstjärna</t>
        </is>
      </c>
      <c r="S43">
        <f>HYPERLINK("https://klasma.github.io/Logging_0980/artfynd/A 25252-2021 artfynd.xlsx", "A 25252-2021")</f>
        <v/>
      </c>
      <c r="T43">
        <f>HYPERLINK("https://klasma.github.io/Logging_0980/kartor/A 25252-2021 karta.png", "A 25252-2021")</f>
        <v/>
      </c>
      <c r="V43">
        <f>HYPERLINK("https://klasma.github.io/Logging_0980/klagomål/A 25252-2021 FSC-klagomål.docx", "A 25252-2021")</f>
        <v/>
      </c>
      <c r="W43">
        <f>HYPERLINK("https://klasma.github.io/Logging_0980/klagomålsmail/A 25252-2021 FSC-klagomål mail.docx", "A 25252-2021")</f>
        <v/>
      </c>
      <c r="X43">
        <f>HYPERLINK("https://klasma.github.io/Logging_0980/tillsyn/A 25252-2021 tillsynsbegäran.docx", "A 25252-2021")</f>
        <v/>
      </c>
      <c r="Y43">
        <f>HYPERLINK("https://klasma.github.io/Logging_0980/tillsynsmail/A 25252-2021 tillsynsbegäran mail.docx", "A 25252-2021")</f>
        <v/>
      </c>
    </row>
    <row r="44" ht="15" customHeight="1">
      <c r="A44" t="inlineStr">
        <is>
          <t>A 43201-2023</t>
        </is>
      </c>
      <c r="B44" s="1" t="n">
        <v>45183</v>
      </c>
      <c r="C44" s="1" t="n">
        <v>45852</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54797-2023</t>
        </is>
      </c>
      <c r="B45" s="1" t="n">
        <v>45236</v>
      </c>
      <c r="C45" s="1" t="n">
        <v>45852</v>
      </c>
      <c r="D45" t="inlineStr">
        <is>
          <t>GOTLANDS LÄN</t>
        </is>
      </c>
      <c r="E45" t="inlineStr">
        <is>
          <t>GOTLAND</t>
        </is>
      </c>
      <c r="G45" t="n">
        <v>4.2</v>
      </c>
      <c r="H45" t="n">
        <v>1</v>
      </c>
      <c r="I45" t="n">
        <v>5</v>
      </c>
      <c r="J45" t="n">
        <v>3</v>
      </c>
      <c r="K45" t="n">
        <v>2</v>
      </c>
      <c r="L45" t="n">
        <v>0</v>
      </c>
      <c r="M45" t="n">
        <v>0</v>
      </c>
      <c r="N45" t="n">
        <v>0</v>
      </c>
      <c r="O45" t="n">
        <v>5</v>
      </c>
      <c r="P45" t="n">
        <v>2</v>
      </c>
      <c r="Q45" t="n">
        <v>11</v>
      </c>
      <c r="R45" s="2" t="inlineStr">
        <is>
          <t>Gulsträngad fagerspindling
Svartgrön spindling
Denisespindling
Odörspindling
Svinrot
Anisspindling
Blåmossa
Kattfotslav
Rödgul trumpetsvamp
Svavelriska
Sankt pers nycklar</t>
        </is>
      </c>
      <c r="S45">
        <f>HYPERLINK("https://klasma.github.io/Logging_0980/artfynd/A 54797-2023 artfynd.xlsx", "A 54797-2023")</f>
        <v/>
      </c>
      <c r="T45">
        <f>HYPERLINK("https://klasma.github.io/Logging_0980/kartor/A 54797-2023 karta.png", "A 54797-2023")</f>
        <v/>
      </c>
      <c r="V45">
        <f>HYPERLINK("https://klasma.github.io/Logging_0980/klagomål/A 54797-2023 FSC-klagomål.docx", "A 54797-2023")</f>
        <v/>
      </c>
      <c r="W45">
        <f>HYPERLINK("https://klasma.github.io/Logging_0980/klagomålsmail/A 54797-2023 FSC-klagomål mail.docx", "A 54797-2023")</f>
        <v/>
      </c>
      <c r="X45">
        <f>HYPERLINK("https://klasma.github.io/Logging_0980/tillsyn/A 54797-2023 tillsynsbegäran.docx", "A 54797-2023")</f>
        <v/>
      </c>
      <c r="Y45">
        <f>HYPERLINK("https://klasma.github.io/Logging_0980/tillsynsmail/A 54797-2023 tillsynsbegäran mail.docx", "A 54797-2023")</f>
        <v/>
      </c>
    </row>
    <row r="46" ht="15" customHeight="1">
      <c r="A46" t="inlineStr">
        <is>
          <t>A 3372-2024</t>
        </is>
      </c>
      <c r="B46" s="1" t="n">
        <v>45317</v>
      </c>
      <c r="C46" s="1" t="n">
        <v>45852</v>
      </c>
      <c r="D46" t="inlineStr">
        <is>
          <t>GOTLANDS LÄN</t>
        </is>
      </c>
      <c r="E46" t="inlineStr">
        <is>
          <t>GOTLAND</t>
        </is>
      </c>
      <c r="G46" t="n">
        <v>6</v>
      </c>
      <c r="H46" t="n">
        <v>1</v>
      </c>
      <c r="I46" t="n">
        <v>5</v>
      </c>
      <c r="J46" t="n">
        <v>2</v>
      </c>
      <c r="K46" t="n">
        <v>2</v>
      </c>
      <c r="L46" t="n">
        <v>1</v>
      </c>
      <c r="M46" t="n">
        <v>1</v>
      </c>
      <c r="N46" t="n">
        <v>0</v>
      </c>
      <c r="O46" t="n">
        <v>6</v>
      </c>
      <c r="P46" t="n">
        <v>4</v>
      </c>
      <c r="Q46" t="n">
        <v>11</v>
      </c>
      <c r="R46" s="2" t="inlineStr">
        <is>
          <t>Lundalm
Ädellav
Gul lammticka
Vit taggsvamp
Barrviolspindling
Odörspindling
Anisspindling
Brandticka
Fjällig taggsvamp s.str.
Nästrot
Svavelriska</t>
        </is>
      </c>
      <c r="S46">
        <f>HYPERLINK("https://klasma.github.io/Logging_0980/artfynd/A 3372-2024 artfynd.xlsx", "A 3372-2024")</f>
        <v/>
      </c>
      <c r="T46">
        <f>HYPERLINK("https://klasma.github.io/Logging_0980/kartor/A 3372-2024 karta.png", "A 3372-2024")</f>
        <v/>
      </c>
      <c r="V46">
        <f>HYPERLINK("https://klasma.github.io/Logging_0980/klagomål/A 3372-2024 FSC-klagomål.docx", "A 3372-2024")</f>
        <v/>
      </c>
      <c r="W46">
        <f>HYPERLINK("https://klasma.github.io/Logging_0980/klagomålsmail/A 3372-2024 FSC-klagomål mail.docx", "A 3372-2024")</f>
        <v/>
      </c>
      <c r="X46">
        <f>HYPERLINK("https://klasma.github.io/Logging_0980/tillsyn/A 3372-2024 tillsynsbegäran.docx", "A 3372-2024")</f>
        <v/>
      </c>
      <c r="Y46">
        <f>HYPERLINK("https://klasma.github.io/Logging_0980/tillsynsmail/A 3372-2024 tillsynsbegäran mail.docx", "A 3372-2024")</f>
        <v/>
      </c>
    </row>
    <row r="47" ht="15" customHeight="1">
      <c r="A47" t="inlineStr">
        <is>
          <t>A 5686-2024</t>
        </is>
      </c>
      <c r="B47" s="1" t="n">
        <v>45334</v>
      </c>
      <c r="C47" s="1" t="n">
        <v>45852</v>
      </c>
      <c r="D47" t="inlineStr">
        <is>
          <t>GOTLANDS LÄN</t>
        </is>
      </c>
      <c r="E47" t="inlineStr">
        <is>
          <t>GOTLAND</t>
        </is>
      </c>
      <c r="G47" t="n">
        <v>6</v>
      </c>
      <c r="H47" t="n">
        <v>9</v>
      </c>
      <c r="I47" t="n">
        <v>1</v>
      </c>
      <c r="J47" t="n">
        <v>3</v>
      </c>
      <c r="K47" t="n">
        <v>0</v>
      </c>
      <c r="L47" t="n">
        <v>0</v>
      </c>
      <c r="M47" t="n">
        <v>0</v>
      </c>
      <c r="N47" t="n">
        <v>0</v>
      </c>
      <c r="O47" t="n">
        <v>3</v>
      </c>
      <c r="P47" t="n">
        <v>0</v>
      </c>
      <c r="Q47" t="n">
        <v>11</v>
      </c>
      <c r="R47" s="2" t="inlineStr">
        <is>
          <t>Grönsångare
Majviva
Ängsstarr
Purpurknipprot
Halsbandsflugsnappare
Skogsduva
Brudsporre
Dactylorhiza incarnata subsp. incarnata
Fläcknycklar
Grönvit nattviol
Kärrknipprot</t>
        </is>
      </c>
      <c r="S47">
        <f>HYPERLINK("https://klasma.github.io/Logging_0980/artfynd/A 5686-2024 artfynd.xlsx", "A 5686-2024")</f>
        <v/>
      </c>
      <c r="T47">
        <f>HYPERLINK("https://klasma.github.io/Logging_0980/kartor/A 5686-2024 karta.png", "A 5686-2024")</f>
        <v/>
      </c>
      <c r="V47">
        <f>HYPERLINK("https://klasma.github.io/Logging_0980/klagomål/A 5686-2024 FSC-klagomål.docx", "A 5686-2024")</f>
        <v/>
      </c>
      <c r="W47">
        <f>HYPERLINK("https://klasma.github.io/Logging_0980/klagomålsmail/A 5686-2024 FSC-klagomål mail.docx", "A 5686-2024")</f>
        <v/>
      </c>
      <c r="X47">
        <f>HYPERLINK("https://klasma.github.io/Logging_0980/tillsyn/A 5686-2024 tillsynsbegäran.docx", "A 5686-2024")</f>
        <v/>
      </c>
      <c r="Y47">
        <f>HYPERLINK("https://klasma.github.io/Logging_0980/tillsynsmail/A 5686-2024 tillsynsbegäran mail.docx", "A 5686-2024")</f>
        <v/>
      </c>
      <c r="Z47">
        <f>HYPERLINK("https://klasma.github.io/Logging_0980/fåglar/A 5686-2024 prioriterade fågelarter.docx", "A 5686-2024")</f>
        <v/>
      </c>
    </row>
    <row r="48" ht="15" customHeight="1">
      <c r="A48" t="inlineStr">
        <is>
          <t>A 6052-2024</t>
        </is>
      </c>
      <c r="B48" s="1" t="n">
        <v>45336</v>
      </c>
      <c r="C48" s="1" t="n">
        <v>45852</v>
      </c>
      <c r="D48" t="inlineStr">
        <is>
          <t>GOTLANDS LÄN</t>
        </is>
      </c>
      <c r="E48" t="inlineStr">
        <is>
          <t>GOTLAND</t>
        </is>
      </c>
      <c r="G48" t="n">
        <v>10.3</v>
      </c>
      <c r="H48" t="n">
        <v>1</v>
      </c>
      <c r="I48" t="n">
        <v>3</v>
      </c>
      <c r="J48" t="n">
        <v>6</v>
      </c>
      <c r="K48" t="n">
        <v>2</v>
      </c>
      <c r="L48" t="n">
        <v>0</v>
      </c>
      <c r="M48" t="n">
        <v>0</v>
      </c>
      <c r="N48" t="n">
        <v>0</v>
      </c>
      <c r="O48" t="n">
        <v>8</v>
      </c>
      <c r="P48" t="n">
        <v>2</v>
      </c>
      <c r="Q48" t="n">
        <v>11</v>
      </c>
      <c r="R48" s="2" t="inlineStr">
        <is>
          <t>Lansettfibbla
Narrspindling
Ladlav
Odörspindling
Smedbock
Svinrot
Tallticka
Vippärt
Anisspindling
Nästrot
Vårärt</t>
        </is>
      </c>
      <c r="S48">
        <f>HYPERLINK("https://klasma.github.io/Logging_0980/artfynd/A 6052-2024 artfynd.xlsx", "A 6052-2024")</f>
        <v/>
      </c>
      <c r="T48">
        <f>HYPERLINK("https://klasma.github.io/Logging_0980/kartor/A 6052-2024 karta.png", "A 6052-2024")</f>
        <v/>
      </c>
      <c r="V48">
        <f>HYPERLINK("https://klasma.github.io/Logging_0980/klagomål/A 6052-2024 FSC-klagomål.docx", "A 6052-2024")</f>
        <v/>
      </c>
      <c r="W48">
        <f>HYPERLINK("https://klasma.github.io/Logging_0980/klagomålsmail/A 6052-2024 FSC-klagomål mail.docx", "A 6052-2024")</f>
        <v/>
      </c>
      <c r="X48">
        <f>HYPERLINK("https://klasma.github.io/Logging_0980/tillsyn/A 6052-2024 tillsynsbegäran.docx", "A 6052-2024")</f>
        <v/>
      </c>
      <c r="Y48">
        <f>HYPERLINK("https://klasma.github.io/Logging_0980/tillsynsmail/A 6052-2024 tillsynsbegäran mail.docx", "A 6052-2024")</f>
        <v/>
      </c>
    </row>
    <row r="49" ht="15" customHeight="1">
      <c r="A49" t="inlineStr">
        <is>
          <t>A 11176-2024</t>
        </is>
      </c>
      <c r="B49" s="1" t="n">
        <v>45371</v>
      </c>
      <c r="C49" s="1" t="n">
        <v>45852</v>
      </c>
      <c r="D49" t="inlineStr">
        <is>
          <t>GOTLANDS LÄN</t>
        </is>
      </c>
      <c r="E49" t="inlineStr">
        <is>
          <t>GOTLAND</t>
        </is>
      </c>
      <c r="G49" t="n">
        <v>1.7</v>
      </c>
      <c r="H49" t="n">
        <v>0</v>
      </c>
      <c r="I49" t="n">
        <v>3</v>
      </c>
      <c r="J49" t="n">
        <v>2</v>
      </c>
      <c r="K49" t="n">
        <v>6</v>
      </c>
      <c r="L49" t="n">
        <v>0</v>
      </c>
      <c r="M49" t="n">
        <v>0</v>
      </c>
      <c r="N49" t="n">
        <v>0</v>
      </c>
      <c r="O49" t="n">
        <v>8</v>
      </c>
      <c r="P49" t="n">
        <v>6</v>
      </c>
      <c r="Q49" t="n">
        <v>11</v>
      </c>
      <c r="R49" s="2" t="inlineStr">
        <is>
          <t>Gul lammticka
Gulsträngad fagerspindling
Svartgrön spindling
Tvillingspindling
Violettfläckig spindling
Vit taggsvamp
Bittermusseron
Odörspindling
Blå slemspindling
Olivspindling
Svavelriska</t>
        </is>
      </c>
      <c r="S49">
        <f>HYPERLINK("https://klasma.github.io/Logging_0980/artfynd/A 11176-2024 artfynd.xlsx", "A 11176-2024")</f>
        <v/>
      </c>
      <c r="T49">
        <f>HYPERLINK("https://klasma.github.io/Logging_0980/kartor/A 11176-2024 karta.png", "A 11176-2024")</f>
        <v/>
      </c>
      <c r="V49">
        <f>HYPERLINK("https://klasma.github.io/Logging_0980/klagomål/A 11176-2024 FSC-klagomål.docx", "A 11176-2024")</f>
        <v/>
      </c>
      <c r="W49">
        <f>HYPERLINK("https://klasma.github.io/Logging_0980/klagomålsmail/A 11176-2024 FSC-klagomål mail.docx", "A 11176-2024")</f>
        <v/>
      </c>
      <c r="X49">
        <f>HYPERLINK("https://klasma.github.io/Logging_0980/tillsyn/A 11176-2024 tillsynsbegäran.docx", "A 11176-2024")</f>
        <v/>
      </c>
      <c r="Y49">
        <f>HYPERLINK("https://klasma.github.io/Logging_0980/tillsynsmail/A 11176-2024 tillsynsbegäran mail.docx", "A 11176-2024")</f>
        <v/>
      </c>
    </row>
    <row r="50" ht="15" customHeight="1">
      <c r="A50" t="inlineStr">
        <is>
          <t>A 18957-2024</t>
        </is>
      </c>
      <c r="B50" s="1" t="n">
        <v>45427</v>
      </c>
      <c r="C50" s="1" t="n">
        <v>45852</v>
      </c>
      <c r="D50" t="inlineStr">
        <is>
          <t>GOTLANDS LÄN</t>
        </is>
      </c>
      <c r="E50" t="inlineStr">
        <is>
          <t>GOTLAND</t>
        </is>
      </c>
      <c r="G50" t="n">
        <v>7</v>
      </c>
      <c r="H50" t="n">
        <v>7</v>
      </c>
      <c r="I50" t="n">
        <v>2</v>
      </c>
      <c r="J50" t="n">
        <v>6</v>
      </c>
      <c r="K50" t="n">
        <v>0</v>
      </c>
      <c r="L50" t="n">
        <v>0</v>
      </c>
      <c r="M50" t="n">
        <v>0</v>
      </c>
      <c r="N50" t="n">
        <v>0</v>
      </c>
      <c r="O50" t="n">
        <v>6</v>
      </c>
      <c r="P50" t="n">
        <v>0</v>
      </c>
      <c r="Q50" t="n">
        <v>11</v>
      </c>
      <c r="R50" s="2" t="inlineStr">
        <is>
          <t>Dårgräsfjäril
Jordtistel
Sexfläckig bastardsvärmare
Solvända
Svartfläckig blåvinge
Svinrot
Skogsknipprot
Tvåblad
Nattviol
Blåsippa
Revlummer</t>
        </is>
      </c>
      <c r="S50">
        <f>HYPERLINK("https://klasma.github.io/Logging_0980/artfynd/A 18957-2024 artfynd.xlsx", "A 18957-2024")</f>
        <v/>
      </c>
      <c r="T50">
        <f>HYPERLINK("https://klasma.github.io/Logging_0980/kartor/A 18957-2024 karta.png", "A 18957-2024")</f>
        <v/>
      </c>
      <c r="V50">
        <f>HYPERLINK("https://klasma.github.io/Logging_0980/klagomål/A 18957-2024 FSC-klagomål.docx", "A 18957-2024")</f>
        <v/>
      </c>
      <c r="W50">
        <f>HYPERLINK("https://klasma.github.io/Logging_0980/klagomålsmail/A 18957-2024 FSC-klagomål mail.docx", "A 18957-2024")</f>
        <v/>
      </c>
      <c r="X50">
        <f>HYPERLINK("https://klasma.github.io/Logging_0980/tillsyn/A 18957-2024 tillsynsbegäran.docx", "A 18957-2024")</f>
        <v/>
      </c>
      <c r="Y50">
        <f>HYPERLINK("https://klasma.github.io/Logging_0980/tillsynsmail/A 18957-2024 tillsynsbegäran mail.docx", "A 18957-2024")</f>
        <v/>
      </c>
    </row>
    <row r="51" ht="15" customHeight="1">
      <c r="A51" t="inlineStr">
        <is>
          <t>A 3475-2025</t>
        </is>
      </c>
      <c r="B51" s="1" t="n">
        <v>45680</v>
      </c>
      <c r="C51" s="1" t="n">
        <v>45852</v>
      </c>
      <c r="D51" t="inlineStr">
        <is>
          <t>GOTLANDS LÄN</t>
        </is>
      </c>
      <c r="E51" t="inlineStr">
        <is>
          <t>GOTLAND</t>
        </is>
      </c>
      <c r="G51" t="n">
        <v>4.6</v>
      </c>
      <c r="H51" t="n">
        <v>4</v>
      </c>
      <c r="I51" t="n">
        <v>3</v>
      </c>
      <c r="J51" t="n">
        <v>4</v>
      </c>
      <c r="K51" t="n">
        <v>2</v>
      </c>
      <c r="L51" t="n">
        <v>0</v>
      </c>
      <c r="M51" t="n">
        <v>0</v>
      </c>
      <c r="N51" t="n">
        <v>0</v>
      </c>
      <c r="O51" t="n">
        <v>7</v>
      </c>
      <c r="P51" t="n">
        <v>2</v>
      </c>
      <c r="Q51" t="n">
        <v>11</v>
      </c>
      <c r="R51" s="2" t="inlineStr">
        <is>
          <t>Gulsträngad fagerspindling
Tvillingspindling
Dårgräsfjäril
Gulsparv
Odörspindling
Svinrot
Trollspindling
Anisspindling
Mindre märgborre
Skogsknipprot
Sankt pers nycklar</t>
        </is>
      </c>
      <c r="S51">
        <f>HYPERLINK("https://klasma.github.io/Logging_0980/artfynd/A 3475-2025 artfynd.xlsx", "A 3475-2025")</f>
        <v/>
      </c>
      <c r="T51">
        <f>HYPERLINK("https://klasma.github.io/Logging_0980/kartor/A 3475-2025 karta.png", "A 3475-2025")</f>
        <v/>
      </c>
      <c r="V51">
        <f>HYPERLINK("https://klasma.github.io/Logging_0980/klagomål/A 3475-2025 FSC-klagomål.docx", "A 3475-2025")</f>
        <v/>
      </c>
      <c r="W51">
        <f>HYPERLINK("https://klasma.github.io/Logging_0980/klagomålsmail/A 3475-2025 FSC-klagomål mail.docx", "A 3475-2025")</f>
        <v/>
      </c>
      <c r="X51">
        <f>HYPERLINK("https://klasma.github.io/Logging_0980/tillsyn/A 3475-2025 tillsynsbegäran.docx", "A 3475-2025")</f>
        <v/>
      </c>
      <c r="Y51">
        <f>HYPERLINK("https://klasma.github.io/Logging_0980/tillsynsmail/A 3475-2025 tillsynsbegäran mail.docx", "A 3475-2025")</f>
        <v/>
      </c>
      <c r="Z51">
        <f>HYPERLINK("https://klasma.github.io/Logging_0980/fåglar/A 3475-2025 prioriterade fågelarter.docx", "A 3475-2025")</f>
        <v/>
      </c>
    </row>
    <row r="52" ht="15" customHeight="1">
      <c r="A52" t="inlineStr">
        <is>
          <t>A 15068-2025</t>
        </is>
      </c>
      <c r="B52" s="1" t="n">
        <v>45743</v>
      </c>
      <c r="C52" s="1" t="n">
        <v>45852</v>
      </c>
      <c r="D52" t="inlineStr">
        <is>
          <t>GOTLANDS LÄN</t>
        </is>
      </c>
      <c r="E52" t="inlineStr">
        <is>
          <t>GOTLAND</t>
        </is>
      </c>
      <c r="G52" t="n">
        <v>37.3</v>
      </c>
      <c r="H52" t="n">
        <v>5</v>
      </c>
      <c r="I52" t="n">
        <v>1</v>
      </c>
      <c r="J52" t="n">
        <v>3</v>
      </c>
      <c r="K52" t="n">
        <v>1</v>
      </c>
      <c r="L52" t="n">
        <v>0</v>
      </c>
      <c r="M52" t="n">
        <v>0</v>
      </c>
      <c r="N52" t="n">
        <v>0</v>
      </c>
      <c r="O52" t="n">
        <v>5</v>
      </c>
      <c r="P52" t="n">
        <v>1</v>
      </c>
      <c r="Q52" t="n">
        <v>11</v>
      </c>
      <c r="R52" s="2" t="inlineStr">
        <is>
          <t>Källnate
Majviva
Silversmygare
Ängsstarr
Blodkula
Axag
Brudsporre
Dactylorhiza incarnata subsp. incarnata
Dubbelnycklar
Kärrknipprot
Ängsnycklar</t>
        </is>
      </c>
      <c r="S52">
        <f>HYPERLINK("https://klasma.github.io/Logging_090980/artfynd/A 15068-2025 artfynd.xlsx", "A 15068-2025")</f>
        <v/>
      </c>
      <c r="T52">
        <f>HYPERLINK("https://klasma.github.io/Logging_090980/kartor/A 15068-2025 karta.png", "A 15068-2025")</f>
        <v/>
      </c>
      <c r="V52">
        <f>HYPERLINK("https://klasma.github.io/Logging_090980/klagomål/A 15068-2025 FSC-klagomål.docx", "A 15068-2025")</f>
        <v/>
      </c>
      <c r="W52">
        <f>HYPERLINK("https://klasma.github.io/Logging_090980/klagomålsmail/A 15068-2025 FSC-klagomål mail.docx", "A 15068-2025")</f>
        <v/>
      </c>
      <c r="X52">
        <f>HYPERLINK("https://klasma.github.io/Logging_090980/tillsyn/A 15068-2025 tillsynsbegäran.docx", "A 15068-2025")</f>
        <v/>
      </c>
      <c r="Y52">
        <f>HYPERLINK("https://klasma.github.io/Logging_090980/tillsynsmail/A 15068-2025 tillsynsbegäran mail.docx", "A 15068-2025")</f>
        <v/>
      </c>
    </row>
    <row r="53" ht="15" customHeight="1">
      <c r="A53" t="inlineStr">
        <is>
          <t>A 584-2023</t>
        </is>
      </c>
      <c r="B53" s="1" t="n">
        <v>44930</v>
      </c>
      <c r="C53" s="1" t="n">
        <v>45852</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64683-2023</t>
        </is>
      </c>
      <c r="B54" s="1" t="n">
        <v>45281</v>
      </c>
      <c r="C54" s="1" t="n">
        <v>45852</v>
      </c>
      <c r="D54" t="inlineStr">
        <is>
          <t>GOTLANDS LÄN</t>
        </is>
      </c>
      <c r="E54" t="inlineStr">
        <is>
          <t>GOTLAND</t>
        </is>
      </c>
      <c r="G54" t="n">
        <v>6.3</v>
      </c>
      <c r="H54" t="n">
        <v>0</v>
      </c>
      <c r="I54" t="n">
        <v>7</v>
      </c>
      <c r="J54" t="n">
        <v>1</v>
      </c>
      <c r="K54" t="n">
        <v>2</v>
      </c>
      <c r="L54" t="n">
        <v>0</v>
      </c>
      <c r="M54" t="n">
        <v>0</v>
      </c>
      <c r="N54" t="n">
        <v>0</v>
      </c>
      <c r="O54" t="n">
        <v>3</v>
      </c>
      <c r="P54" t="n">
        <v>2</v>
      </c>
      <c r="Q54" t="n">
        <v>10</v>
      </c>
      <c r="R54" s="2" t="inlineStr">
        <is>
          <t>Gulsträngad fagerspindling
Violettfläckig spindling
Odörspindling
Anisspindling
Blomkålssvamp
Blå slemspindling
Grönpyrola
Olivspindling
Rödgul trumpetsvamp
Rökmusseron</t>
        </is>
      </c>
      <c r="S54">
        <f>HYPERLINK("https://klasma.github.io/Logging_0980/artfynd/A 64683-2023 artfynd.xlsx", "A 64683-2023")</f>
        <v/>
      </c>
      <c r="T54">
        <f>HYPERLINK("https://klasma.github.io/Logging_0980/kartor/A 64683-2023 karta.png", "A 64683-2023")</f>
        <v/>
      </c>
      <c r="V54">
        <f>HYPERLINK("https://klasma.github.io/Logging_0980/klagomål/A 64683-2023 FSC-klagomål.docx", "A 64683-2023")</f>
        <v/>
      </c>
      <c r="W54">
        <f>HYPERLINK("https://klasma.github.io/Logging_0980/klagomålsmail/A 64683-2023 FSC-klagomål mail.docx", "A 64683-2023")</f>
        <v/>
      </c>
      <c r="X54">
        <f>HYPERLINK("https://klasma.github.io/Logging_0980/tillsyn/A 64683-2023 tillsynsbegäran.docx", "A 64683-2023")</f>
        <v/>
      </c>
      <c r="Y54">
        <f>HYPERLINK("https://klasma.github.io/Logging_0980/tillsynsmail/A 64683-2023 tillsynsbegäran mail.docx", "A 64683-2023")</f>
        <v/>
      </c>
    </row>
    <row r="55" ht="15" customHeight="1">
      <c r="A55" t="inlineStr">
        <is>
          <t>A 14354-2024</t>
        </is>
      </c>
      <c r="B55" s="1" t="n">
        <v>45393</v>
      </c>
      <c r="C55" s="1" t="n">
        <v>45852</v>
      </c>
      <c r="D55" t="inlineStr">
        <is>
          <t>GOTLANDS LÄN</t>
        </is>
      </c>
      <c r="E55" t="inlineStr">
        <is>
          <t>GOTLAND</t>
        </is>
      </c>
      <c r="G55" t="n">
        <v>2.4</v>
      </c>
      <c r="H55" t="n">
        <v>6</v>
      </c>
      <c r="I55" t="n">
        <v>4</v>
      </c>
      <c r="J55" t="n">
        <v>4</v>
      </c>
      <c r="K55" t="n">
        <v>0</v>
      </c>
      <c r="L55" t="n">
        <v>0</v>
      </c>
      <c r="M55" t="n">
        <v>0</v>
      </c>
      <c r="N55" t="n">
        <v>0</v>
      </c>
      <c r="O55" t="n">
        <v>4</v>
      </c>
      <c r="P55" t="n">
        <v>0</v>
      </c>
      <c r="Q55" t="n">
        <v>10</v>
      </c>
      <c r="R55" s="2" t="inlineStr">
        <is>
          <t>Dårgräsfjäril
Smedbock
Svinrot
Ängsskära
Blåmossa
Nästrot
Skogsknipprot
Tvåblad
Fläcknycklar
Nattviol</t>
        </is>
      </c>
      <c r="S55">
        <f>HYPERLINK("https://klasma.github.io/Logging_0980/artfynd/A 14354-2024 artfynd.xlsx", "A 14354-2024")</f>
        <v/>
      </c>
      <c r="T55">
        <f>HYPERLINK("https://klasma.github.io/Logging_0980/kartor/A 14354-2024 karta.png", "A 14354-2024")</f>
        <v/>
      </c>
      <c r="V55">
        <f>HYPERLINK("https://klasma.github.io/Logging_0980/klagomål/A 14354-2024 FSC-klagomål.docx", "A 14354-2024")</f>
        <v/>
      </c>
      <c r="W55">
        <f>HYPERLINK("https://klasma.github.io/Logging_0980/klagomålsmail/A 14354-2024 FSC-klagomål mail.docx", "A 14354-2024")</f>
        <v/>
      </c>
      <c r="X55">
        <f>HYPERLINK("https://klasma.github.io/Logging_0980/tillsyn/A 14354-2024 tillsynsbegäran.docx", "A 14354-2024")</f>
        <v/>
      </c>
      <c r="Y55">
        <f>HYPERLINK("https://klasma.github.io/Logging_0980/tillsynsmail/A 14354-2024 tillsynsbegäran mail.docx", "A 14354-2024")</f>
        <v/>
      </c>
    </row>
    <row r="56" ht="15" customHeight="1">
      <c r="A56" t="inlineStr">
        <is>
          <t>A 17739-2024</t>
        </is>
      </c>
      <c r="B56" s="1" t="n">
        <v>45418</v>
      </c>
      <c r="C56" s="1" t="n">
        <v>45852</v>
      </c>
      <c r="D56" t="inlineStr">
        <is>
          <t>GOTLANDS LÄN</t>
        </is>
      </c>
      <c r="E56" t="inlineStr">
        <is>
          <t>GOTLAND</t>
        </is>
      </c>
      <c r="G56" t="n">
        <v>14.3</v>
      </c>
      <c r="H56" t="n">
        <v>3</v>
      </c>
      <c r="I56" t="n">
        <v>2</v>
      </c>
      <c r="J56" t="n">
        <v>6</v>
      </c>
      <c r="K56" t="n">
        <v>1</v>
      </c>
      <c r="L56" t="n">
        <v>0</v>
      </c>
      <c r="M56" t="n">
        <v>0</v>
      </c>
      <c r="N56" t="n">
        <v>0</v>
      </c>
      <c r="O56" t="n">
        <v>7</v>
      </c>
      <c r="P56" t="n">
        <v>1</v>
      </c>
      <c r="Q56" t="n">
        <v>10</v>
      </c>
      <c r="R56" s="2" t="inlineStr">
        <is>
          <t>Ljungsnärja
Axveronika
Backtimjan
Flentimotej
Havsörn
Jordtistel
Solvända
Blåmossa
Tvåblad
Blåsippa</t>
        </is>
      </c>
      <c r="S56">
        <f>HYPERLINK("https://klasma.github.io/Logging_0980/artfynd/A 17739-2024 artfynd.xlsx", "A 17739-2024")</f>
        <v/>
      </c>
      <c r="T56">
        <f>HYPERLINK("https://klasma.github.io/Logging_0980/kartor/A 17739-2024 karta.png", "A 17739-2024")</f>
        <v/>
      </c>
      <c r="V56">
        <f>HYPERLINK("https://klasma.github.io/Logging_0980/klagomål/A 17739-2024 FSC-klagomål.docx", "A 17739-2024")</f>
        <v/>
      </c>
      <c r="W56">
        <f>HYPERLINK("https://klasma.github.io/Logging_0980/klagomålsmail/A 17739-2024 FSC-klagomål mail.docx", "A 17739-2024")</f>
        <v/>
      </c>
      <c r="X56">
        <f>HYPERLINK("https://klasma.github.io/Logging_0980/tillsyn/A 17739-2024 tillsynsbegäran.docx", "A 17739-2024")</f>
        <v/>
      </c>
      <c r="Y56">
        <f>HYPERLINK("https://klasma.github.io/Logging_0980/tillsynsmail/A 17739-2024 tillsynsbegäran mail.docx", "A 17739-2024")</f>
        <v/>
      </c>
      <c r="Z56">
        <f>HYPERLINK("https://klasma.github.io/Logging_0980/fåglar/A 17739-2024 prioriterade fågelarter.docx", "A 17739-2024")</f>
        <v/>
      </c>
    </row>
    <row r="57" ht="15" customHeight="1">
      <c r="A57" t="inlineStr">
        <is>
          <t>A 17766-2024</t>
        </is>
      </c>
      <c r="B57" s="1" t="n">
        <v>45418</v>
      </c>
      <c r="C57" s="1" t="n">
        <v>45852</v>
      </c>
      <c r="D57" t="inlineStr">
        <is>
          <t>GOTLANDS LÄN</t>
        </is>
      </c>
      <c r="E57" t="inlineStr">
        <is>
          <t>GOTLAND</t>
        </is>
      </c>
      <c r="G57" t="n">
        <v>1.3</v>
      </c>
      <c r="H57" t="n">
        <v>2</v>
      </c>
      <c r="I57" t="n">
        <v>3</v>
      </c>
      <c r="J57" t="n">
        <v>4</v>
      </c>
      <c r="K57" t="n">
        <v>1</v>
      </c>
      <c r="L57" t="n">
        <v>2</v>
      </c>
      <c r="M57" t="n">
        <v>0</v>
      </c>
      <c r="N57" t="n">
        <v>0</v>
      </c>
      <c r="O57" t="n">
        <v>7</v>
      </c>
      <c r="P57" t="n">
        <v>3</v>
      </c>
      <c r="Q57" t="n">
        <v>10</v>
      </c>
      <c r="R57" s="2" t="inlineStr">
        <is>
          <t>Naveljordstjärna
Svartnande fingersvamp
Gulsträngad fagerspindling
Bredbrämad bastardsvärmare
Fyrflikig jordstjärna
Svartfläckig blåvinge
Timjansnyltrot
Besk kastanjemusseron
Kragjordstjärna
Rödgul trumpetsvamp</t>
        </is>
      </c>
      <c r="S57">
        <f>HYPERLINK("https://klasma.github.io/Logging_0980/artfynd/A 17766-2024 artfynd.xlsx", "A 17766-2024")</f>
        <v/>
      </c>
      <c r="T57">
        <f>HYPERLINK("https://klasma.github.io/Logging_0980/kartor/A 17766-2024 karta.png", "A 17766-2024")</f>
        <v/>
      </c>
      <c r="V57">
        <f>HYPERLINK("https://klasma.github.io/Logging_0980/klagomål/A 17766-2024 FSC-klagomål.docx", "A 17766-2024")</f>
        <v/>
      </c>
      <c r="W57">
        <f>HYPERLINK("https://klasma.github.io/Logging_0980/klagomålsmail/A 17766-2024 FSC-klagomål mail.docx", "A 17766-2024")</f>
        <v/>
      </c>
      <c r="X57">
        <f>HYPERLINK("https://klasma.github.io/Logging_0980/tillsyn/A 17766-2024 tillsynsbegäran.docx", "A 17766-2024")</f>
        <v/>
      </c>
      <c r="Y57">
        <f>HYPERLINK("https://klasma.github.io/Logging_0980/tillsynsmail/A 17766-2024 tillsynsbegäran mail.docx", "A 17766-2024")</f>
        <v/>
      </c>
    </row>
    <row r="58" ht="15" customHeight="1">
      <c r="A58" t="inlineStr">
        <is>
          <t>A 22404-2024</t>
        </is>
      </c>
      <c r="B58" s="1" t="n">
        <v>45446</v>
      </c>
      <c r="C58" s="1" t="n">
        <v>45852</v>
      </c>
      <c r="D58" t="inlineStr">
        <is>
          <t>GOTLANDS LÄN</t>
        </is>
      </c>
      <c r="E58" t="inlineStr">
        <is>
          <t>GOTLAND</t>
        </is>
      </c>
      <c r="G58" t="n">
        <v>11.4</v>
      </c>
      <c r="H58" t="n">
        <v>3</v>
      </c>
      <c r="I58" t="n">
        <v>7</v>
      </c>
      <c r="J58" t="n">
        <v>0</v>
      </c>
      <c r="K58" t="n">
        <v>3</v>
      </c>
      <c r="L58" t="n">
        <v>0</v>
      </c>
      <c r="M58" t="n">
        <v>0</v>
      </c>
      <c r="N58" t="n">
        <v>0</v>
      </c>
      <c r="O58" t="n">
        <v>3</v>
      </c>
      <c r="P58" t="n">
        <v>3</v>
      </c>
      <c r="Q58" t="n">
        <v>10</v>
      </c>
      <c r="R58" s="2" t="inlineStr">
        <is>
          <t>Blåfotad fagerspindling
Bullspindling
Vit taggsvamp
Barrfagerspindling
Blå slemspindling
Flugblomster
Purpurknipprot
Rödgul trumpetsvamp
Svavelriska
Tvåblad</t>
        </is>
      </c>
      <c r="S58">
        <f>HYPERLINK("https://klasma.github.io/Logging_0980/artfynd/A 22404-2024 artfynd.xlsx", "A 22404-2024")</f>
        <v/>
      </c>
      <c r="T58">
        <f>HYPERLINK("https://klasma.github.io/Logging_0980/kartor/A 22404-2024 karta.png", "A 22404-2024")</f>
        <v/>
      </c>
      <c r="V58">
        <f>HYPERLINK("https://klasma.github.io/Logging_0980/klagomål/A 22404-2024 FSC-klagomål.docx", "A 22404-2024")</f>
        <v/>
      </c>
      <c r="W58">
        <f>HYPERLINK("https://klasma.github.io/Logging_0980/klagomålsmail/A 22404-2024 FSC-klagomål mail.docx", "A 22404-2024")</f>
        <v/>
      </c>
      <c r="X58">
        <f>HYPERLINK("https://klasma.github.io/Logging_0980/tillsyn/A 22404-2024 tillsynsbegäran.docx", "A 22404-2024")</f>
        <v/>
      </c>
      <c r="Y58">
        <f>HYPERLINK("https://klasma.github.io/Logging_0980/tillsynsmail/A 22404-2024 tillsynsbegäran mail.docx", "A 22404-2024")</f>
        <v/>
      </c>
    </row>
    <row r="59" ht="15" customHeight="1">
      <c r="A59" t="inlineStr">
        <is>
          <t>A 33153-2024</t>
        </is>
      </c>
      <c r="B59" s="1" t="n">
        <v>45518</v>
      </c>
      <c r="C59" s="1" t="n">
        <v>45852</v>
      </c>
      <c r="D59" t="inlineStr">
        <is>
          <t>GOTLANDS LÄN</t>
        </is>
      </c>
      <c r="E59" t="inlineStr">
        <is>
          <t>GOTLAND</t>
        </is>
      </c>
      <c r="G59" t="n">
        <v>10.3</v>
      </c>
      <c r="H59" t="n">
        <v>2</v>
      </c>
      <c r="I59" t="n">
        <v>7</v>
      </c>
      <c r="J59" t="n">
        <v>3</v>
      </c>
      <c r="K59" t="n">
        <v>0</v>
      </c>
      <c r="L59" t="n">
        <v>0</v>
      </c>
      <c r="M59" t="n">
        <v>0</v>
      </c>
      <c r="N59" t="n">
        <v>0</v>
      </c>
      <c r="O59" t="n">
        <v>3</v>
      </c>
      <c r="P59" t="n">
        <v>0</v>
      </c>
      <c r="Q59" t="n">
        <v>10</v>
      </c>
      <c r="R59" s="2" t="inlineStr">
        <is>
          <t>Jordtistel
Odörspindling
Svart taggsvamp
Rödgul trumpetsvamp
Skogsknipprot
Strimspindling
Strävlosta
Svavelriska
Vit skogslilja
Zontaggsvamp</t>
        </is>
      </c>
      <c r="S59">
        <f>HYPERLINK("https://klasma.github.io/Logging_0980/artfynd/A 33153-2024 artfynd.xlsx", "A 33153-2024")</f>
        <v/>
      </c>
      <c r="T59">
        <f>HYPERLINK("https://klasma.github.io/Logging_0980/kartor/A 33153-2024 karta.png", "A 33153-2024")</f>
        <v/>
      </c>
      <c r="U59">
        <f>HYPERLINK("https://klasma.github.io/Logging_0980/knärot/A 33153-2024 karta knärot.png", "A 33153-2024")</f>
        <v/>
      </c>
      <c r="V59">
        <f>HYPERLINK("https://klasma.github.io/Logging_0980/klagomål/A 33153-2024 FSC-klagomål.docx", "A 33153-2024")</f>
        <v/>
      </c>
      <c r="W59">
        <f>HYPERLINK("https://klasma.github.io/Logging_0980/klagomålsmail/A 33153-2024 FSC-klagomål mail.docx", "A 33153-2024")</f>
        <v/>
      </c>
      <c r="X59">
        <f>HYPERLINK("https://klasma.github.io/Logging_0980/tillsyn/A 33153-2024 tillsynsbegäran.docx", "A 33153-2024")</f>
        <v/>
      </c>
      <c r="Y59">
        <f>HYPERLINK("https://klasma.github.io/Logging_0980/tillsynsmail/A 33153-2024 tillsynsbegäran mail.docx", "A 33153-2024")</f>
        <v/>
      </c>
    </row>
    <row r="60" ht="15" customHeight="1">
      <c r="A60" t="inlineStr">
        <is>
          <t>A 49418-2024</t>
        </is>
      </c>
      <c r="B60" s="1" t="n">
        <v>45595</v>
      </c>
      <c r="C60" s="1" t="n">
        <v>45852</v>
      </c>
      <c r="D60" t="inlineStr">
        <is>
          <t>GOTLANDS LÄN</t>
        </is>
      </c>
      <c r="E60" t="inlineStr">
        <is>
          <t>GOTLAND</t>
        </is>
      </c>
      <c r="G60" t="n">
        <v>39.8</v>
      </c>
      <c r="H60" t="n">
        <v>6</v>
      </c>
      <c r="I60" t="n">
        <v>2</v>
      </c>
      <c r="J60" t="n">
        <v>3</v>
      </c>
      <c r="K60" t="n">
        <v>0</v>
      </c>
      <c r="L60" t="n">
        <v>1</v>
      </c>
      <c r="M60" t="n">
        <v>0</v>
      </c>
      <c r="N60" t="n">
        <v>0</v>
      </c>
      <c r="O60" t="n">
        <v>4</v>
      </c>
      <c r="P60" t="n">
        <v>1</v>
      </c>
      <c r="Q60" t="n">
        <v>10</v>
      </c>
      <c r="R60" s="2" t="inlineStr">
        <is>
          <t>Ängshök
Majviva
Svinrot
Ängsstarr
Axag
Skogsknipprot
Brudsporre
Dactylorhiza incarnata subsp. incarnata
Kärrknipprot
Ängsnycklar</t>
        </is>
      </c>
      <c r="S60">
        <f>HYPERLINK("https://klasma.github.io/Logging_0980/artfynd/A 49418-2024 artfynd.xlsx", "A 49418-2024")</f>
        <v/>
      </c>
      <c r="T60">
        <f>HYPERLINK("https://klasma.github.io/Logging_0980/kartor/A 49418-2024 karta.png", "A 49418-2024")</f>
        <v/>
      </c>
      <c r="V60">
        <f>HYPERLINK("https://klasma.github.io/Logging_0980/klagomål/A 49418-2024 FSC-klagomål.docx", "A 49418-2024")</f>
        <v/>
      </c>
      <c r="W60">
        <f>HYPERLINK("https://klasma.github.io/Logging_0980/klagomålsmail/A 49418-2024 FSC-klagomål mail.docx", "A 49418-2024")</f>
        <v/>
      </c>
      <c r="X60">
        <f>HYPERLINK("https://klasma.github.io/Logging_0980/tillsyn/A 49418-2024 tillsynsbegäran.docx", "A 49418-2024")</f>
        <v/>
      </c>
      <c r="Y60">
        <f>HYPERLINK("https://klasma.github.io/Logging_0980/tillsynsmail/A 49418-2024 tillsynsbegäran mail.docx", "A 49418-2024")</f>
        <v/>
      </c>
    </row>
    <row r="61" ht="15" customHeight="1">
      <c r="A61" t="inlineStr">
        <is>
          <t>A 1719-2025</t>
        </is>
      </c>
      <c r="B61" s="1" t="n">
        <v>45671</v>
      </c>
      <c r="C61" s="1" t="n">
        <v>45852</v>
      </c>
      <c r="D61" t="inlineStr">
        <is>
          <t>GOTLANDS LÄN</t>
        </is>
      </c>
      <c r="E61" t="inlineStr">
        <is>
          <t>GOTLAND</t>
        </is>
      </c>
      <c r="G61" t="n">
        <v>6</v>
      </c>
      <c r="H61" t="n">
        <v>3</v>
      </c>
      <c r="I61" t="n">
        <v>2</v>
      </c>
      <c r="J61" t="n">
        <v>3</v>
      </c>
      <c r="K61" t="n">
        <v>3</v>
      </c>
      <c r="L61" t="n">
        <v>1</v>
      </c>
      <c r="M61" t="n">
        <v>0</v>
      </c>
      <c r="N61" t="n">
        <v>0</v>
      </c>
      <c r="O61" t="n">
        <v>7</v>
      </c>
      <c r="P61" t="n">
        <v>4</v>
      </c>
      <c r="Q61" t="n">
        <v>10</v>
      </c>
      <c r="R61" s="2" t="inlineStr">
        <is>
          <t>Ask
Gulsträngad fagerspindling
Skogskorn
Vit taggsvamp
Backtimjan
Doftskinn
Spillkråka
Besk kastanjemusseron
Skogsknipprot
Blåsippa</t>
        </is>
      </c>
      <c r="S61">
        <f>HYPERLINK("https://klasma.github.io/Logging_0980/artfynd/A 1719-2025 artfynd.xlsx", "A 1719-2025")</f>
        <v/>
      </c>
      <c r="T61">
        <f>HYPERLINK("https://klasma.github.io/Logging_0980/kartor/A 1719-2025 karta.png", "A 1719-2025")</f>
        <v/>
      </c>
      <c r="V61">
        <f>HYPERLINK("https://klasma.github.io/Logging_0980/klagomål/A 1719-2025 FSC-klagomål.docx", "A 1719-2025")</f>
        <v/>
      </c>
      <c r="W61">
        <f>HYPERLINK("https://klasma.github.io/Logging_0980/klagomålsmail/A 1719-2025 FSC-klagomål mail.docx", "A 1719-2025")</f>
        <v/>
      </c>
      <c r="X61">
        <f>HYPERLINK("https://klasma.github.io/Logging_0980/tillsyn/A 1719-2025 tillsynsbegäran.docx", "A 1719-2025")</f>
        <v/>
      </c>
      <c r="Y61">
        <f>HYPERLINK("https://klasma.github.io/Logging_0980/tillsynsmail/A 1719-2025 tillsynsbegäran mail.docx", "A 1719-2025")</f>
        <v/>
      </c>
      <c r="Z61">
        <f>HYPERLINK("https://klasma.github.io/Logging_0980/fåglar/A 1719-2025 prioriterade fågelarter.docx", "A 1719-2025")</f>
        <v/>
      </c>
    </row>
    <row r="62" ht="15" customHeight="1">
      <c r="A62" t="inlineStr">
        <is>
          <t>A 8915-2023</t>
        </is>
      </c>
      <c r="B62" s="1" t="n">
        <v>44973</v>
      </c>
      <c r="C62" s="1" t="n">
        <v>45852</v>
      </c>
      <c r="D62" t="inlineStr">
        <is>
          <t>GOTLANDS LÄN</t>
        </is>
      </c>
      <c r="E62" t="inlineStr">
        <is>
          <t>GOTLAND</t>
        </is>
      </c>
      <c r="G62" t="n">
        <v>3.3</v>
      </c>
      <c r="H62" t="n">
        <v>0</v>
      </c>
      <c r="I62" t="n">
        <v>3</v>
      </c>
      <c r="J62" t="n">
        <v>3</v>
      </c>
      <c r="K62" t="n">
        <v>3</v>
      </c>
      <c r="L62" t="n">
        <v>0</v>
      </c>
      <c r="M62" t="n">
        <v>0</v>
      </c>
      <c r="N62" t="n">
        <v>0</v>
      </c>
      <c r="O62" t="n">
        <v>6</v>
      </c>
      <c r="P62" t="n">
        <v>3</v>
      </c>
      <c r="Q62" t="n">
        <v>9</v>
      </c>
      <c r="R62" s="2" t="inlineStr">
        <is>
          <t>Gul lammticka
Lammticka
Tvillingspindling
Mjölsvärting
Odörspindling
Svart taggsvamp
Blå slemspindling
Fransig jordstjärna
Skarp dropptaggsvamp</t>
        </is>
      </c>
      <c r="S62">
        <f>HYPERLINK("https://klasma.github.io/Logging_0980/artfynd/A 8915-2023 artfynd.xlsx", "A 8915-2023")</f>
        <v/>
      </c>
      <c r="T62">
        <f>HYPERLINK("https://klasma.github.io/Logging_0980/kartor/A 8915-2023 karta.png", "A 8915-2023")</f>
        <v/>
      </c>
      <c r="V62">
        <f>HYPERLINK("https://klasma.github.io/Logging_0980/klagomål/A 8915-2023 FSC-klagomål.docx", "A 8915-2023")</f>
        <v/>
      </c>
      <c r="W62">
        <f>HYPERLINK("https://klasma.github.io/Logging_0980/klagomålsmail/A 8915-2023 FSC-klagomål mail.docx", "A 8915-2023")</f>
        <v/>
      </c>
      <c r="X62">
        <f>HYPERLINK("https://klasma.github.io/Logging_0980/tillsyn/A 8915-2023 tillsynsbegäran.docx", "A 8915-2023")</f>
        <v/>
      </c>
      <c r="Y62">
        <f>HYPERLINK("https://klasma.github.io/Logging_0980/tillsynsmail/A 8915-2023 tillsynsbegäran mail.docx", "A 8915-2023")</f>
        <v/>
      </c>
    </row>
    <row r="63" ht="15" customHeight="1">
      <c r="A63" t="inlineStr">
        <is>
          <t>A 39376-2023</t>
        </is>
      </c>
      <c r="B63" s="1" t="n">
        <v>45166</v>
      </c>
      <c r="C63" s="1" t="n">
        <v>45852</v>
      </c>
      <c r="D63" t="inlineStr">
        <is>
          <t>GOTLANDS LÄN</t>
        </is>
      </c>
      <c r="E63" t="inlineStr">
        <is>
          <t>GOTLAND</t>
        </is>
      </c>
      <c r="G63" t="n">
        <v>9.199999999999999</v>
      </c>
      <c r="H63" t="n">
        <v>1</v>
      </c>
      <c r="I63" t="n">
        <v>5</v>
      </c>
      <c r="J63" t="n">
        <v>4</v>
      </c>
      <c r="K63" t="n">
        <v>0</v>
      </c>
      <c r="L63" t="n">
        <v>0</v>
      </c>
      <c r="M63" t="n">
        <v>0</v>
      </c>
      <c r="N63" t="n">
        <v>0</v>
      </c>
      <c r="O63" t="n">
        <v>4</v>
      </c>
      <c r="P63" t="n">
        <v>0</v>
      </c>
      <c r="Q63" t="n">
        <v>9</v>
      </c>
      <c r="R63" s="2" t="inlineStr">
        <is>
          <t>Denisespindling
Flattoppad klubbsvamp
Odörspindling
Äggspindling
Anisspindling
Blå slemspindling
Kattfotslav
Rödgul trumpetsvamp
Skogsknipprot</t>
        </is>
      </c>
      <c r="S63">
        <f>HYPERLINK("https://klasma.github.io/Logging_0980/artfynd/A 39376-2023 artfynd.xlsx", "A 39376-2023")</f>
        <v/>
      </c>
      <c r="T63">
        <f>HYPERLINK("https://klasma.github.io/Logging_0980/kartor/A 39376-2023 karta.png", "A 39376-2023")</f>
        <v/>
      </c>
      <c r="V63">
        <f>HYPERLINK("https://klasma.github.io/Logging_0980/klagomål/A 39376-2023 FSC-klagomål.docx", "A 39376-2023")</f>
        <v/>
      </c>
      <c r="W63">
        <f>HYPERLINK("https://klasma.github.io/Logging_0980/klagomålsmail/A 39376-2023 FSC-klagomål mail.docx", "A 39376-2023")</f>
        <v/>
      </c>
      <c r="X63">
        <f>HYPERLINK("https://klasma.github.io/Logging_0980/tillsyn/A 39376-2023 tillsynsbegäran.docx", "A 39376-2023")</f>
        <v/>
      </c>
      <c r="Y63">
        <f>HYPERLINK("https://klasma.github.io/Logging_0980/tillsynsmail/A 39376-2023 tillsynsbegäran mail.docx", "A 39376-2023")</f>
        <v/>
      </c>
    </row>
    <row r="64" ht="15" customHeight="1">
      <c r="A64" t="inlineStr">
        <is>
          <t>A 32876-2024</t>
        </is>
      </c>
      <c r="B64" s="1" t="n">
        <v>45516</v>
      </c>
      <c r="C64" s="1" t="n">
        <v>45852</v>
      </c>
      <c r="D64" t="inlineStr">
        <is>
          <t>GOTLANDS LÄN</t>
        </is>
      </c>
      <c r="E64" t="inlineStr">
        <is>
          <t>GOTLAND</t>
        </is>
      </c>
      <c r="G64" t="n">
        <v>1.8</v>
      </c>
      <c r="H64" t="n">
        <v>0</v>
      </c>
      <c r="I64" t="n">
        <v>4</v>
      </c>
      <c r="J64" t="n">
        <v>3</v>
      </c>
      <c r="K64" t="n">
        <v>2</v>
      </c>
      <c r="L64" t="n">
        <v>0</v>
      </c>
      <c r="M64" t="n">
        <v>0</v>
      </c>
      <c r="N64" t="n">
        <v>0</v>
      </c>
      <c r="O64" t="n">
        <v>5</v>
      </c>
      <c r="P64" t="n">
        <v>2</v>
      </c>
      <c r="Q64" t="n">
        <v>9</v>
      </c>
      <c r="R64" s="2" t="inlineStr">
        <is>
          <t>Gulsträngad fagerspindling
Svartgrön spindling
Denisespindling
Odörspindling
Svinrot
Anisspindling
Kattfotslav
Rödgul trumpetsvamp
Svavelriska</t>
        </is>
      </c>
      <c r="S64">
        <f>HYPERLINK("https://klasma.github.io/Logging_0980/artfynd/A 32876-2024 artfynd.xlsx", "A 32876-2024")</f>
        <v/>
      </c>
      <c r="T64">
        <f>HYPERLINK("https://klasma.github.io/Logging_0980/kartor/A 32876-2024 karta.png", "A 32876-2024")</f>
        <v/>
      </c>
      <c r="V64">
        <f>HYPERLINK("https://klasma.github.io/Logging_0980/klagomål/A 32876-2024 FSC-klagomål.docx", "A 32876-2024")</f>
        <v/>
      </c>
      <c r="W64">
        <f>HYPERLINK("https://klasma.github.io/Logging_0980/klagomålsmail/A 32876-2024 FSC-klagomål mail.docx", "A 32876-2024")</f>
        <v/>
      </c>
      <c r="X64">
        <f>HYPERLINK("https://klasma.github.io/Logging_0980/tillsyn/A 32876-2024 tillsynsbegäran.docx", "A 32876-2024")</f>
        <v/>
      </c>
      <c r="Y64">
        <f>HYPERLINK("https://klasma.github.io/Logging_0980/tillsynsmail/A 32876-2024 tillsynsbegäran mail.docx", "A 32876-2024")</f>
        <v/>
      </c>
    </row>
    <row r="65" ht="15" customHeight="1">
      <c r="A65" t="inlineStr">
        <is>
          <t>A 59132-2024</t>
        </is>
      </c>
      <c r="B65" s="1" t="n">
        <v>45637</v>
      </c>
      <c r="C65" s="1" t="n">
        <v>45852</v>
      </c>
      <c r="D65" t="inlineStr">
        <is>
          <t>GOTLANDS LÄN</t>
        </is>
      </c>
      <c r="E65" t="inlineStr">
        <is>
          <t>GOTLAND</t>
        </is>
      </c>
      <c r="G65" t="n">
        <v>3.5</v>
      </c>
      <c r="H65" t="n">
        <v>0</v>
      </c>
      <c r="I65" t="n">
        <v>1</v>
      </c>
      <c r="J65" t="n">
        <v>4</v>
      </c>
      <c r="K65" t="n">
        <v>3</v>
      </c>
      <c r="L65" t="n">
        <v>0</v>
      </c>
      <c r="M65" t="n">
        <v>0</v>
      </c>
      <c r="N65" t="n">
        <v>0</v>
      </c>
      <c r="O65" t="n">
        <v>8</v>
      </c>
      <c r="P65" t="n">
        <v>3</v>
      </c>
      <c r="Q65" t="n">
        <v>9</v>
      </c>
      <c r="R65" s="2" t="inlineStr">
        <is>
          <t>Almlav
Mörk kraterlav
Pälsticka
Korskovall
Slåtterfibbla
Solvända
Vippärt
Amphisphaeria umbrina
Underviol</t>
        </is>
      </c>
      <c r="S65">
        <f>HYPERLINK("https://klasma.github.io/Logging_0980/artfynd/A 59132-2024 artfynd.xlsx", "A 59132-2024")</f>
        <v/>
      </c>
      <c r="T65">
        <f>HYPERLINK("https://klasma.github.io/Logging_0980/kartor/A 59132-2024 karta.png", "A 59132-2024")</f>
        <v/>
      </c>
      <c r="V65">
        <f>HYPERLINK("https://klasma.github.io/Logging_0980/klagomål/A 59132-2024 FSC-klagomål.docx", "A 59132-2024")</f>
        <v/>
      </c>
      <c r="W65">
        <f>HYPERLINK("https://klasma.github.io/Logging_0980/klagomålsmail/A 59132-2024 FSC-klagomål mail.docx", "A 59132-2024")</f>
        <v/>
      </c>
      <c r="X65">
        <f>HYPERLINK("https://klasma.github.io/Logging_0980/tillsyn/A 59132-2024 tillsynsbegäran.docx", "A 59132-2024")</f>
        <v/>
      </c>
      <c r="Y65">
        <f>HYPERLINK("https://klasma.github.io/Logging_0980/tillsynsmail/A 59132-2024 tillsynsbegäran mail.docx", "A 59132-2024")</f>
        <v/>
      </c>
    </row>
    <row r="66" ht="15" customHeight="1">
      <c r="A66" t="inlineStr">
        <is>
          <t>A 32960-2019</t>
        </is>
      </c>
      <c r="B66" s="1" t="n">
        <v>43648</v>
      </c>
      <c r="C66" s="1" t="n">
        <v>45852</v>
      </c>
      <c r="D66" t="inlineStr">
        <is>
          <t>GOTLANDS LÄN</t>
        </is>
      </c>
      <c r="E66" t="inlineStr">
        <is>
          <t>GOTLAND</t>
        </is>
      </c>
      <c r="G66" t="n">
        <v>10.9</v>
      </c>
      <c r="H66" t="n">
        <v>6</v>
      </c>
      <c r="I66" t="n">
        <v>4</v>
      </c>
      <c r="J66" t="n">
        <v>2</v>
      </c>
      <c r="K66" t="n">
        <v>0</v>
      </c>
      <c r="L66" t="n">
        <v>0</v>
      </c>
      <c r="M66" t="n">
        <v>0</v>
      </c>
      <c r="N66" t="n">
        <v>0</v>
      </c>
      <c r="O66" t="n">
        <v>2</v>
      </c>
      <c r="P66" t="n">
        <v>0</v>
      </c>
      <c r="Q66" t="n">
        <v>8</v>
      </c>
      <c r="R66" s="2" t="inlineStr">
        <is>
          <t>Grönsångare
Ängsstarr
Kalktallört
Nästrot
Purpurknipprot
Vit skogslilja
Fläcknycklar
Nattviol</t>
        </is>
      </c>
      <c r="S66">
        <f>HYPERLINK("https://klasma.github.io/Logging_0980/artfynd/A 32960-2019 artfynd.xlsx", "A 32960-2019")</f>
        <v/>
      </c>
      <c r="T66">
        <f>HYPERLINK("https://klasma.github.io/Logging_0980/kartor/A 32960-2019 karta.png", "A 32960-2019")</f>
        <v/>
      </c>
      <c r="V66">
        <f>HYPERLINK("https://klasma.github.io/Logging_0980/klagomål/A 32960-2019 FSC-klagomål.docx", "A 32960-2019")</f>
        <v/>
      </c>
      <c r="W66">
        <f>HYPERLINK("https://klasma.github.io/Logging_0980/klagomålsmail/A 32960-2019 FSC-klagomål mail.docx", "A 32960-2019")</f>
        <v/>
      </c>
      <c r="X66">
        <f>HYPERLINK("https://klasma.github.io/Logging_0980/tillsyn/A 32960-2019 tillsynsbegäran.docx", "A 32960-2019")</f>
        <v/>
      </c>
      <c r="Y66">
        <f>HYPERLINK("https://klasma.github.io/Logging_0980/tillsynsmail/A 32960-2019 tillsynsbegäran mail.docx", "A 32960-2019")</f>
        <v/>
      </c>
      <c r="Z66">
        <f>HYPERLINK("https://klasma.github.io/Logging_0980/fåglar/A 32960-2019 prioriterade fågelarter.docx", "A 32960-2019")</f>
        <v/>
      </c>
    </row>
    <row r="67" ht="15" customHeight="1">
      <c r="A67" t="inlineStr">
        <is>
          <t>A 10699-2020</t>
        </is>
      </c>
      <c r="B67" s="1" t="n">
        <v>43888</v>
      </c>
      <c r="C67" s="1" t="n">
        <v>45852</v>
      </c>
      <c r="D67" t="inlineStr">
        <is>
          <t>GOTLANDS LÄN</t>
        </is>
      </c>
      <c r="E67" t="inlineStr">
        <is>
          <t>GOTLAND</t>
        </is>
      </c>
      <c r="F67" t="inlineStr">
        <is>
          <t>Övriga statliga verk och myndigheter</t>
        </is>
      </c>
      <c r="G67" t="n">
        <v>51.4</v>
      </c>
      <c r="H67" t="n">
        <v>6</v>
      </c>
      <c r="I67" t="n">
        <v>3</v>
      </c>
      <c r="J67" t="n">
        <v>3</v>
      </c>
      <c r="K67" t="n">
        <v>0</v>
      </c>
      <c r="L67" t="n">
        <v>0</v>
      </c>
      <c r="M67" t="n">
        <v>0</v>
      </c>
      <c r="N67" t="n">
        <v>0</v>
      </c>
      <c r="O67" t="n">
        <v>3</v>
      </c>
      <c r="P67" t="n">
        <v>0</v>
      </c>
      <c r="Q67" t="n">
        <v>8</v>
      </c>
      <c r="R67" s="2" t="inlineStr">
        <is>
          <t>Luktsporre
Röd skogslilja
Småtörel
Anisspindling
Nästrot
Purpurknipprot
Fläcknycklar
Kärrknipprot</t>
        </is>
      </c>
      <c r="S67">
        <f>HYPERLINK("https://klasma.github.io/Logging_0980/artfynd/A 10699-2020 artfynd.xlsx", "A 10699-2020")</f>
        <v/>
      </c>
      <c r="T67">
        <f>HYPERLINK("https://klasma.github.io/Logging_0980/kartor/A 10699-2020 karta.png", "A 10699-2020")</f>
        <v/>
      </c>
      <c r="V67">
        <f>HYPERLINK("https://klasma.github.io/Logging_0980/klagomål/A 10699-2020 FSC-klagomål.docx", "A 10699-2020")</f>
        <v/>
      </c>
      <c r="W67">
        <f>HYPERLINK("https://klasma.github.io/Logging_0980/klagomålsmail/A 10699-2020 FSC-klagomål mail.docx", "A 10699-2020")</f>
        <v/>
      </c>
      <c r="X67">
        <f>HYPERLINK("https://klasma.github.io/Logging_0980/tillsyn/A 10699-2020 tillsynsbegäran.docx", "A 10699-2020")</f>
        <v/>
      </c>
      <c r="Y67">
        <f>HYPERLINK("https://klasma.github.io/Logging_0980/tillsynsmail/A 10699-2020 tillsynsbegäran mail.docx", "A 10699-2020")</f>
        <v/>
      </c>
    </row>
    <row r="68" ht="15" customHeight="1">
      <c r="A68" t="inlineStr">
        <is>
          <t>A 13990-2020</t>
        </is>
      </c>
      <c r="B68" s="1" t="n">
        <v>43906</v>
      </c>
      <c r="C68" s="1" t="n">
        <v>45852</v>
      </c>
      <c r="D68" t="inlineStr">
        <is>
          <t>GOTLANDS LÄN</t>
        </is>
      </c>
      <c r="E68" t="inlineStr">
        <is>
          <t>GOTLAND</t>
        </is>
      </c>
      <c r="F68" t="inlineStr">
        <is>
          <t>Övriga Aktiebolag</t>
        </is>
      </c>
      <c r="G68" t="n">
        <v>2.3</v>
      </c>
      <c r="H68" t="n">
        <v>2</v>
      </c>
      <c r="I68" t="n">
        <v>3</v>
      </c>
      <c r="J68" t="n">
        <v>1</v>
      </c>
      <c r="K68" t="n">
        <v>1</v>
      </c>
      <c r="L68" t="n">
        <v>2</v>
      </c>
      <c r="M68" t="n">
        <v>0</v>
      </c>
      <c r="N68" t="n">
        <v>0</v>
      </c>
      <c r="O68" t="n">
        <v>4</v>
      </c>
      <c r="P68" t="n">
        <v>3</v>
      </c>
      <c r="Q68" t="n">
        <v>8</v>
      </c>
      <c r="R68" s="2" t="inlineStr">
        <is>
          <t>Norsk belonia
Ädellav
Gulbrunt nejlikfly
Lordithon pulchellus
Dorcatoma dresdensis
Nästrot
Rikfruktig blemlav
Halsbandsflugsnappare</t>
        </is>
      </c>
      <c r="S68">
        <f>HYPERLINK("https://klasma.github.io/Logging_0980/artfynd/A 13990-2020 artfynd.xlsx", "A 13990-2020")</f>
        <v/>
      </c>
      <c r="T68">
        <f>HYPERLINK("https://klasma.github.io/Logging_0980/kartor/A 13990-2020 karta.png", "A 13990-2020")</f>
        <v/>
      </c>
      <c r="V68">
        <f>HYPERLINK("https://klasma.github.io/Logging_0980/klagomål/A 13990-2020 FSC-klagomål.docx", "A 13990-2020")</f>
        <v/>
      </c>
      <c r="W68">
        <f>HYPERLINK("https://klasma.github.io/Logging_0980/klagomålsmail/A 13990-2020 FSC-klagomål mail.docx", "A 13990-2020")</f>
        <v/>
      </c>
      <c r="X68">
        <f>HYPERLINK("https://klasma.github.io/Logging_0980/tillsyn/A 13990-2020 tillsynsbegäran.docx", "A 13990-2020")</f>
        <v/>
      </c>
      <c r="Y68">
        <f>HYPERLINK("https://klasma.github.io/Logging_0980/tillsynsmail/A 13990-2020 tillsynsbegäran mail.docx", "A 13990-2020")</f>
        <v/>
      </c>
      <c r="Z68">
        <f>HYPERLINK("https://klasma.github.io/Logging_0980/fåglar/A 13990-2020 prioriterade fågelarter.docx", "A 13990-2020")</f>
        <v/>
      </c>
    </row>
    <row r="69" ht="15" customHeight="1">
      <c r="A69" t="inlineStr">
        <is>
          <t>A 21371-2020</t>
        </is>
      </c>
      <c r="B69" s="1" t="n">
        <v>43955</v>
      </c>
      <c r="C69" s="1" t="n">
        <v>45852</v>
      </c>
      <c r="D69" t="inlineStr">
        <is>
          <t>GOTLANDS LÄN</t>
        </is>
      </c>
      <c r="E69" t="inlineStr">
        <is>
          <t>GOTLAND</t>
        </is>
      </c>
      <c r="G69" t="n">
        <v>2</v>
      </c>
      <c r="H69" t="n">
        <v>0</v>
      </c>
      <c r="I69" t="n">
        <v>5</v>
      </c>
      <c r="J69" t="n">
        <v>0</v>
      </c>
      <c r="K69" t="n">
        <v>3</v>
      </c>
      <c r="L69" t="n">
        <v>0</v>
      </c>
      <c r="M69" t="n">
        <v>0</v>
      </c>
      <c r="N69" t="n">
        <v>0</v>
      </c>
      <c r="O69" t="n">
        <v>3</v>
      </c>
      <c r="P69" t="n">
        <v>3</v>
      </c>
      <c r="Q69" t="n">
        <v>8</v>
      </c>
      <c r="R69" s="2" t="inlineStr">
        <is>
          <t>Gulsträngad fagerspindling
Mörkfjällig olivspindling
Violettfläckig spindling
Anisspindling
Blå slemspindling
Fjällig taggsvamp s.str.
Kryddspindling
Olivspindling</t>
        </is>
      </c>
      <c r="S69">
        <f>HYPERLINK("https://klasma.github.io/Logging_0980/artfynd/A 21371-2020 artfynd.xlsx", "A 21371-2020")</f>
        <v/>
      </c>
      <c r="T69">
        <f>HYPERLINK("https://klasma.github.io/Logging_0980/kartor/A 21371-2020 karta.png", "A 21371-2020")</f>
        <v/>
      </c>
      <c r="V69">
        <f>HYPERLINK("https://klasma.github.io/Logging_0980/klagomål/A 21371-2020 FSC-klagomål.docx", "A 21371-2020")</f>
        <v/>
      </c>
      <c r="W69">
        <f>HYPERLINK("https://klasma.github.io/Logging_0980/klagomålsmail/A 21371-2020 FSC-klagomål mail.docx", "A 21371-2020")</f>
        <v/>
      </c>
      <c r="X69">
        <f>HYPERLINK("https://klasma.github.io/Logging_0980/tillsyn/A 21371-2020 tillsynsbegäran.docx", "A 21371-2020")</f>
        <v/>
      </c>
      <c r="Y69">
        <f>HYPERLINK("https://klasma.github.io/Logging_0980/tillsynsmail/A 21371-2020 tillsynsbegäran mail.docx", "A 21371-2020")</f>
        <v/>
      </c>
    </row>
    <row r="70" ht="15" customHeight="1">
      <c r="A70" t="inlineStr">
        <is>
          <t>A 1769-2022</t>
        </is>
      </c>
      <c r="B70" s="1" t="n">
        <v>44574</v>
      </c>
      <c r="C70" s="1" t="n">
        <v>45852</v>
      </c>
      <c r="D70" t="inlineStr">
        <is>
          <t>GOTLANDS LÄN</t>
        </is>
      </c>
      <c r="E70" t="inlineStr">
        <is>
          <t>GOTLAND</t>
        </is>
      </c>
      <c r="G70" t="n">
        <v>31.3</v>
      </c>
      <c r="H70" t="n">
        <v>5</v>
      </c>
      <c r="I70" t="n">
        <v>1</v>
      </c>
      <c r="J70" t="n">
        <v>3</v>
      </c>
      <c r="K70" t="n">
        <v>0</v>
      </c>
      <c r="L70" t="n">
        <v>0</v>
      </c>
      <c r="M70" t="n">
        <v>0</v>
      </c>
      <c r="N70" t="n">
        <v>0</v>
      </c>
      <c r="O70" t="n">
        <v>3</v>
      </c>
      <c r="P70" t="n">
        <v>0</v>
      </c>
      <c r="Q70" t="n">
        <v>8</v>
      </c>
      <c r="R70" s="2" t="inlineStr">
        <is>
          <t>Loppstarr
Majviva
Ängsstarr
Flugblomster
Brudsporre
Dactylorhiza incarnata subsp. incarnata
Grönvit nattviol
Kärrknipprot</t>
        </is>
      </c>
      <c r="S70">
        <f>HYPERLINK("https://klasma.github.io/Logging_0980/artfynd/A 1769-2022 artfynd.xlsx", "A 1769-2022")</f>
        <v/>
      </c>
      <c r="T70">
        <f>HYPERLINK("https://klasma.github.io/Logging_0980/kartor/A 1769-2022 karta.png", "A 1769-2022")</f>
        <v/>
      </c>
      <c r="V70">
        <f>HYPERLINK("https://klasma.github.io/Logging_0980/klagomål/A 1769-2022 FSC-klagomål.docx", "A 1769-2022")</f>
        <v/>
      </c>
      <c r="W70">
        <f>HYPERLINK("https://klasma.github.io/Logging_0980/klagomålsmail/A 1769-2022 FSC-klagomål mail.docx", "A 1769-2022")</f>
        <v/>
      </c>
      <c r="X70">
        <f>HYPERLINK("https://klasma.github.io/Logging_0980/tillsyn/A 1769-2022 tillsynsbegäran.docx", "A 1769-2022")</f>
        <v/>
      </c>
      <c r="Y70">
        <f>HYPERLINK("https://klasma.github.io/Logging_0980/tillsynsmail/A 1769-2022 tillsynsbegäran mail.docx", "A 1769-2022")</f>
        <v/>
      </c>
    </row>
    <row r="71" ht="15" customHeight="1">
      <c r="A71" t="inlineStr">
        <is>
          <t>A 22318-2022</t>
        </is>
      </c>
      <c r="B71" s="1" t="n">
        <v>44712</v>
      </c>
      <c r="C71" s="1" t="n">
        <v>45852</v>
      </c>
      <c r="D71" t="inlineStr">
        <is>
          <t>GOTLANDS LÄN</t>
        </is>
      </c>
      <c r="E71" t="inlineStr">
        <is>
          <t>GOTLAND</t>
        </is>
      </c>
      <c r="G71" t="n">
        <v>3</v>
      </c>
      <c r="H71" t="n">
        <v>0</v>
      </c>
      <c r="I71" t="n">
        <v>4</v>
      </c>
      <c r="J71" t="n">
        <v>2</v>
      </c>
      <c r="K71" t="n">
        <v>2</v>
      </c>
      <c r="L71" t="n">
        <v>0</v>
      </c>
      <c r="M71" t="n">
        <v>0</v>
      </c>
      <c r="N71" t="n">
        <v>0</v>
      </c>
      <c r="O71" t="n">
        <v>4</v>
      </c>
      <c r="P71" t="n">
        <v>2</v>
      </c>
      <c r="Q71" t="n">
        <v>8</v>
      </c>
      <c r="R71" s="2" t="inlineStr">
        <is>
          <t>Duvspindling
Mörk kraterlav
Odörspindling
Svinrot
Anisspindling
Blå slemspindling
Rödgul trumpetsvamp
Svavelriska</t>
        </is>
      </c>
      <c r="S71">
        <f>HYPERLINK("https://klasma.github.io/Logging_0980/artfynd/A 22318-2022 artfynd.xlsx", "A 22318-2022")</f>
        <v/>
      </c>
      <c r="T71">
        <f>HYPERLINK("https://klasma.github.io/Logging_0980/kartor/A 22318-2022 karta.png", "A 22318-2022")</f>
        <v/>
      </c>
      <c r="V71">
        <f>HYPERLINK("https://klasma.github.io/Logging_0980/klagomål/A 22318-2022 FSC-klagomål.docx", "A 22318-2022")</f>
        <v/>
      </c>
      <c r="W71">
        <f>HYPERLINK("https://klasma.github.io/Logging_0980/klagomålsmail/A 22318-2022 FSC-klagomål mail.docx", "A 22318-2022")</f>
        <v/>
      </c>
      <c r="X71">
        <f>HYPERLINK("https://klasma.github.io/Logging_0980/tillsyn/A 22318-2022 tillsynsbegäran.docx", "A 22318-2022")</f>
        <v/>
      </c>
      <c r="Y71">
        <f>HYPERLINK("https://klasma.github.io/Logging_0980/tillsynsmail/A 22318-2022 tillsynsbegäran mail.docx", "A 22318-2022")</f>
        <v/>
      </c>
    </row>
    <row r="72" ht="15" customHeight="1">
      <c r="A72" t="inlineStr">
        <is>
          <t>A 2649-2023</t>
        </is>
      </c>
      <c r="B72" s="1" t="n">
        <v>44943</v>
      </c>
      <c r="C72" s="1" t="n">
        <v>45852</v>
      </c>
      <c r="D72" t="inlineStr">
        <is>
          <t>GOTLANDS LÄN</t>
        </is>
      </c>
      <c r="E72" t="inlineStr">
        <is>
          <t>GOTLAND</t>
        </is>
      </c>
      <c r="G72" t="n">
        <v>2.6</v>
      </c>
      <c r="H72" t="n">
        <v>1</v>
      </c>
      <c r="I72" t="n">
        <v>1</v>
      </c>
      <c r="J72" t="n">
        <v>1</v>
      </c>
      <c r="K72" t="n">
        <v>6</v>
      </c>
      <c r="L72" t="n">
        <v>0</v>
      </c>
      <c r="M72" t="n">
        <v>0</v>
      </c>
      <c r="N72" t="n">
        <v>0</v>
      </c>
      <c r="O72" t="n">
        <v>7</v>
      </c>
      <c r="P72" t="n">
        <v>6</v>
      </c>
      <c r="Q72" t="n">
        <v>8</v>
      </c>
      <c r="R72" s="2" t="inlineStr">
        <is>
          <t>Duvspindling
Garderönn
Granrotsspindling
Gul lammticka
Gulsträngad fagerspindling
Violettfläckig spindling
Svinrot
Anisspindling</t>
        </is>
      </c>
      <c r="S72">
        <f>HYPERLINK("https://klasma.github.io/Logging_0980/artfynd/A 2649-2023 artfynd.xlsx", "A 2649-2023")</f>
        <v/>
      </c>
      <c r="T72">
        <f>HYPERLINK("https://klasma.github.io/Logging_0980/kartor/A 2649-2023 karta.png", "A 2649-2023")</f>
        <v/>
      </c>
      <c r="V72">
        <f>HYPERLINK("https://klasma.github.io/Logging_0980/klagomål/A 2649-2023 FSC-klagomål.docx", "A 2649-2023")</f>
        <v/>
      </c>
      <c r="W72">
        <f>HYPERLINK("https://klasma.github.io/Logging_0980/klagomålsmail/A 2649-2023 FSC-klagomål mail.docx", "A 2649-2023")</f>
        <v/>
      </c>
      <c r="X72">
        <f>HYPERLINK("https://klasma.github.io/Logging_0980/tillsyn/A 2649-2023 tillsynsbegäran.docx", "A 2649-2023")</f>
        <v/>
      </c>
      <c r="Y72">
        <f>HYPERLINK("https://klasma.github.io/Logging_0980/tillsynsmail/A 2649-2023 tillsynsbegäran mail.docx", "A 2649-2023")</f>
        <v/>
      </c>
    </row>
    <row r="73" ht="15" customHeight="1">
      <c r="A73" t="inlineStr">
        <is>
          <t>A 7039-2023</t>
        </is>
      </c>
      <c r="B73" s="1" t="n">
        <v>44968</v>
      </c>
      <c r="C73" s="1" t="n">
        <v>45852</v>
      </c>
      <c r="D73" t="inlineStr">
        <is>
          <t>GOTLANDS LÄN</t>
        </is>
      </c>
      <c r="E73" t="inlineStr">
        <is>
          <t>GOTLAND</t>
        </is>
      </c>
      <c r="G73" t="n">
        <v>2.9</v>
      </c>
      <c r="H73" t="n">
        <v>1</v>
      </c>
      <c r="I73" t="n">
        <v>3</v>
      </c>
      <c r="J73" t="n">
        <v>1</v>
      </c>
      <c r="K73" t="n">
        <v>1</v>
      </c>
      <c r="L73" t="n">
        <v>1</v>
      </c>
      <c r="M73" t="n">
        <v>1</v>
      </c>
      <c r="N73" t="n">
        <v>0</v>
      </c>
      <c r="O73" t="n">
        <v>5</v>
      </c>
      <c r="P73" t="n">
        <v>3</v>
      </c>
      <c r="Q73" t="n">
        <v>8</v>
      </c>
      <c r="R73" s="2" t="inlineStr">
        <is>
          <t>Stor blanklav
Ädellav
Mörk kraterlav
Dårgräsfjäril
Frostig asplav
Havstulpanlav
Klippfrullania
Stubbspretmossa</t>
        </is>
      </c>
      <c r="S73">
        <f>HYPERLINK("https://klasma.github.io/Logging_0980/artfynd/A 7039-2023 artfynd.xlsx", "A 7039-2023")</f>
        <v/>
      </c>
      <c r="T73">
        <f>HYPERLINK("https://klasma.github.io/Logging_0980/kartor/A 7039-2023 karta.png", "A 7039-2023")</f>
        <v/>
      </c>
      <c r="V73">
        <f>HYPERLINK("https://klasma.github.io/Logging_0980/klagomål/A 7039-2023 FSC-klagomål.docx", "A 7039-2023")</f>
        <v/>
      </c>
      <c r="W73">
        <f>HYPERLINK("https://klasma.github.io/Logging_0980/klagomålsmail/A 7039-2023 FSC-klagomål mail.docx", "A 7039-2023")</f>
        <v/>
      </c>
      <c r="X73">
        <f>HYPERLINK("https://klasma.github.io/Logging_0980/tillsyn/A 7039-2023 tillsynsbegäran.docx", "A 7039-2023")</f>
        <v/>
      </c>
      <c r="Y73">
        <f>HYPERLINK("https://klasma.github.io/Logging_0980/tillsynsmail/A 7039-2023 tillsynsbegäran mail.docx", "A 7039-2023")</f>
        <v/>
      </c>
    </row>
    <row r="74" ht="15" customHeight="1">
      <c r="A74" t="inlineStr">
        <is>
          <t>A 3588-2024</t>
        </is>
      </c>
      <c r="B74" s="1" t="n">
        <v>45320</v>
      </c>
      <c r="C74" s="1" t="n">
        <v>45852</v>
      </c>
      <c r="D74" t="inlineStr">
        <is>
          <t>GOTLANDS LÄN</t>
        </is>
      </c>
      <c r="E74" t="inlineStr">
        <is>
          <t>GOTLAND</t>
        </is>
      </c>
      <c r="G74" t="n">
        <v>7.3</v>
      </c>
      <c r="H74" t="n">
        <v>2</v>
      </c>
      <c r="I74" t="n">
        <v>5</v>
      </c>
      <c r="J74" t="n">
        <v>1</v>
      </c>
      <c r="K74" t="n">
        <v>1</v>
      </c>
      <c r="L74" t="n">
        <v>0</v>
      </c>
      <c r="M74" t="n">
        <v>0</v>
      </c>
      <c r="N74" t="n">
        <v>0</v>
      </c>
      <c r="O74" t="n">
        <v>2</v>
      </c>
      <c r="P74" t="n">
        <v>1</v>
      </c>
      <c r="Q74" t="n">
        <v>8</v>
      </c>
      <c r="R74" s="2" t="inlineStr">
        <is>
          <t>Kopparspindling
Bittermusseron
Anisspindling
Besk kastanjemusseron
Granbarkgnagare
Grovticka
Skogsknipprot
Revlummer</t>
        </is>
      </c>
      <c r="S74">
        <f>HYPERLINK("https://klasma.github.io/Logging_0980/artfynd/A 3588-2024 artfynd.xlsx", "A 3588-2024")</f>
        <v/>
      </c>
      <c r="T74">
        <f>HYPERLINK("https://klasma.github.io/Logging_0980/kartor/A 3588-2024 karta.png", "A 3588-2024")</f>
        <v/>
      </c>
      <c r="V74">
        <f>HYPERLINK("https://klasma.github.io/Logging_0980/klagomål/A 3588-2024 FSC-klagomål.docx", "A 3588-2024")</f>
        <v/>
      </c>
      <c r="W74">
        <f>HYPERLINK("https://klasma.github.io/Logging_0980/klagomålsmail/A 3588-2024 FSC-klagomål mail.docx", "A 3588-2024")</f>
        <v/>
      </c>
      <c r="X74">
        <f>HYPERLINK("https://klasma.github.io/Logging_0980/tillsyn/A 3588-2024 tillsynsbegäran.docx", "A 3588-2024")</f>
        <v/>
      </c>
      <c r="Y74">
        <f>HYPERLINK("https://klasma.github.io/Logging_0980/tillsynsmail/A 3588-2024 tillsynsbegäran mail.docx", "A 3588-2024")</f>
        <v/>
      </c>
    </row>
    <row r="75" ht="15" customHeight="1">
      <c r="A75" t="inlineStr">
        <is>
          <t>A 21467-2024</t>
        </is>
      </c>
      <c r="B75" s="1" t="n">
        <v>45441</v>
      </c>
      <c r="C75" s="1" t="n">
        <v>45852</v>
      </c>
      <c r="D75" t="inlineStr">
        <is>
          <t>GOTLANDS LÄN</t>
        </is>
      </c>
      <c r="E75" t="inlineStr">
        <is>
          <t>GOTLAND</t>
        </is>
      </c>
      <c r="G75" t="n">
        <v>8.800000000000001</v>
      </c>
      <c r="H75" t="n">
        <v>5</v>
      </c>
      <c r="I75" t="n">
        <v>0</v>
      </c>
      <c r="J75" t="n">
        <v>6</v>
      </c>
      <c r="K75" t="n">
        <v>1</v>
      </c>
      <c r="L75" t="n">
        <v>0</v>
      </c>
      <c r="M75" t="n">
        <v>0</v>
      </c>
      <c r="N75" t="n">
        <v>0</v>
      </c>
      <c r="O75" t="n">
        <v>7</v>
      </c>
      <c r="P75" t="n">
        <v>1</v>
      </c>
      <c r="Q75" t="n">
        <v>8</v>
      </c>
      <c r="R75" s="2" t="inlineStr">
        <is>
          <t>Garderönn
Backtimjan
Dårgräsfjäril
Gulsparv
Jordtistel
Spillkråka
Svinrot
Blåsippa</t>
        </is>
      </c>
      <c r="S75">
        <f>HYPERLINK("https://klasma.github.io/Logging_0980/artfynd/A 21467-2024 artfynd.xlsx", "A 21467-2024")</f>
        <v/>
      </c>
      <c r="T75">
        <f>HYPERLINK("https://klasma.github.io/Logging_0980/kartor/A 21467-2024 karta.png", "A 21467-2024")</f>
        <v/>
      </c>
      <c r="V75">
        <f>HYPERLINK("https://klasma.github.io/Logging_0980/klagomål/A 21467-2024 FSC-klagomål.docx", "A 21467-2024")</f>
        <v/>
      </c>
      <c r="W75">
        <f>HYPERLINK("https://klasma.github.io/Logging_0980/klagomålsmail/A 21467-2024 FSC-klagomål mail.docx", "A 21467-2024")</f>
        <v/>
      </c>
      <c r="X75">
        <f>HYPERLINK("https://klasma.github.io/Logging_0980/tillsyn/A 21467-2024 tillsynsbegäran.docx", "A 21467-2024")</f>
        <v/>
      </c>
      <c r="Y75">
        <f>HYPERLINK("https://klasma.github.io/Logging_0980/tillsynsmail/A 21467-2024 tillsynsbegäran mail.docx", "A 21467-2024")</f>
        <v/>
      </c>
      <c r="Z75">
        <f>HYPERLINK("https://klasma.github.io/Logging_0980/fåglar/A 21467-2024 prioriterade fågelarter.docx", "A 21467-2024")</f>
        <v/>
      </c>
    </row>
    <row r="76" ht="15" customHeight="1">
      <c r="A76" t="inlineStr">
        <is>
          <t>A 34600-2019</t>
        </is>
      </c>
      <c r="B76" s="1" t="n">
        <v>43647</v>
      </c>
      <c r="C76" s="1" t="n">
        <v>45852</v>
      </c>
      <c r="D76" t="inlineStr">
        <is>
          <t>GOTLANDS LÄN</t>
        </is>
      </c>
      <c r="E76" t="inlineStr">
        <is>
          <t>GOTLAND</t>
        </is>
      </c>
      <c r="F76" t="inlineStr">
        <is>
          <t>Övriga statliga verk och myndigheter</t>
        </is>
      </c>
      <c r="G76" t="n">
        <v>2.3</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34600-2019 artfynd.xlsx", "A 34600-2019")</f>
        <v/>
      </c>
      <c r="T76">
        <f>HYPERLINK("https://klasma.github.io/Logging_0980/kartor/A 34600-2019 karta.png", "A 34600-2019")</f>
        <v/>
      </c>
      <c r="V76">
        <f>HYPERLINK("https://klasma.github.io/Logging_0980/klagomål/A 34600-2019 FSC-klagomål.docx", "A 34600-2019")</f>
        <v/>
      </c>
      <c r="W76">
        <f>HYPERLINK("https://klasma.github.io/Logging_0980/klagomålsmail/A 34600-2019 FSC-klagomål mail.docx", "A 34600-2019")</f>
        <v/>
      </c>
      <c r="X76">
        <f>HYPERLINK("https://klasma.github.io/Logging_0980/tillsyn/A 34600-2019 tillsynsbegäran.docx", "A 34600-2019")</f>
        <v/>
      </c>
      <c r="Y76">
        <f>HYPERLINK("https://klasma.github.io/Logging_0980/tillsynsmail/A 34600-2019 tillsynsbegäran mail.docx", "A 34600-2019")</f>
        <v/>
      </c>
      <c r="Z76">
        <f>HYPERLINK("https://klasma.github.io/Logging_0980/fåglar/A 34600-2019 prioriterade fågelarter.docx", "A 34600-2019")</f>
        <v/>
      </c>
    </row>
    <row r="77" ht="15" customHeight="1">
      <c r="A77" t="inlineStr">
        <is>
          <t>A 16786-2020</t>
        </is>
      </c>
      <c r="B77" s="1" t="n">
        <v>43913</v>
      </c>
      <c r="C77" s="1" t="n">
        <v>45852</v>
      </c>
      <c r="D77" t="inlineStr">
        <is>
          <t>GOTLANDS LÄN</t>
        </is>
      </c>
      <c r="E77" t="inlineStr">
        <is>
          <t>GOTLAND</t>
        </is>
      </c>
      <c r="G77" t="n">
        <v>5.9</v>
      </c>
      <c r="H77" t="n">
        <v>1</v>
      </c>
      <c r="I77" t="n">
        <v>5</v>
      </c>
      <c r="J77" t="n">
        <v>1</v>
      </c>
      <c r="K77" t="n">
        <v>1</v>
      </c>
      <c r="L77" t="n">
        <v>0</v>
      </c>
      <c r="M77" t="n">
        <v>0</v>
      </c>
      <c r="N77" t="n">
        <v>0</v>
      </c>
      <c r="O77" t="n">
        <v>2</v>
      </c>
      <c r="P77" t="n">
        <v>1</v>
      </c>
      <c r="Q77" t="n">
        <v>7</v>
      </c>
      <c r="R77" s="2" t="inlineStr">
        <is>
          <t>Gulsträngad fagerspindling
Odörspindling
Anisspindling
Fjällig taggsvamp s.str.
Nästrot
Rödfläckig zontaggsvamp
Skarp dropptaggsvamp</t>
        </is>
      </c>
      <c r="S77">
        <f>HYPERLINK("https://klasma.github.io/Logging_0980/artfynd/A 16786-2020 artfynd.xlsx", "A 16786-2020")</f>
        <v/>
      </c>
      <c r="T77">
        <f>HYPERLINK("https://klasma.github.io/Logging_0980/kartor/A 16786-2020 karta.png", "A 16786-2020")</f>
        <v/>
      </c>
      <c r="V77">
        <f>HYPERLINK("https://klasma.github.io/Logging_0980/klagomål/A 16786-2020 FSC-klagomål.docx", "A 16786-2020")</f>
        <v/>
      </c>
      <c r="W77">
        <f>HYPERLINK("https://klasma.github.io/Logging_0980/klagomålsmail/A 16786-2020 FSC-klagomål mail.docx", "A 16786-2020")</f>
        <v/>
      </c>
      <c r="X77">
        <f>HYPERLINK("https://klasma.github.io/Logging_0980/tillsyn/A 16786-2020 tillsynsbegäran.docx", "A 16786-2020")</f>
        <v/>
      </c>
      <c r="Y77">
        <f>HYPERLINK("https://klasma.github.io/Logging_0980/tillsynsmail/A 16786-2020 tillsynsbegäran mail.docx", "A 16786-2020")</f>
        <v/>
      </c>
    </row>
    <row r="78" ht="15" customHeight="1">
      <c r="A78" t="inlineStr">
        <is>
          <t>A 25887-2020</t>
        </is>
      </c>
      <c r="B78" s="1" t="n">
        <v>43984</v>
      </c>
      <c r="C78" s="1" t="n">
        <v>45852</v>
      </c>
      <c r="D78" t="inlineStr">
        <is>
          <t>GOTLANDS LÄN</t>
        </is>
      </c>
      <c r="E78" t="inlineStr">
        <is>
          <t>GOTLAND</t>
        </is>
      </c>
      <c r="G78" t="n">
        <v>4.7</v>
      </c>
      <c r="H78" t="n">
        <v>1</v>
      </c>
      <c r="I78" t="n">
        <v>4</v>
      </c>
      <c r="J78" t="n">
        <v>1</v>
      </c>
      <c r="K78" t="n">
        <v>2</v>
      </c>
      <c r="L78" t="n">
        <v>0</v>
      </c>
      <c r="M78" t="n">
        <v>0</v>
      </c>
      <c r="N78" t="n">
        <v>0</v>
      </c>
      <c r="O78" t="n">
        <v>3</v>
      </c>
      <c r="P78" t="n">
        <v>2</v>
      </c>
      <c r="Q78" t="n">
        <v>7</v>
      </c>
      <c r="R78" s="2" t="inlineStr">
        <is>
          <t>Pluggtrattskivling
Svartgrön spindling
Odörspindling
Anisspindling
Blå slemspindling
Fjällig taggsvamp s.str.
Nästrot</t>
        </is>
      </c>
      <c r="S78">
        <f>HYPERLINK("https://klasma.github.io/Logging_0980/artfynd/A 25887-2020 artfynd.xlsx", "A 25887-2020")</f>
        <v/>
      </c>
      <c r="T78">
        <f>HYPERLINK("https://klasma.github.io/Logging_0980/kartor/A 25887-2020 karta.png", "A 25887-2020")</f>
        <v/>
      </c>
      <c r="V78">
        <f>HYPERLINK("https://klasma.github.io/Logging_0980/klagomål/A 25887-2020 FSC-klagomål.docx", "A 25887-2020")</f>
        <v/>
      </c>
      <c r="W78">
        <f>HYPERLINK("https://klasma.github.io/Logging_0980/klagomålsmail/A 25887-2020 FSC-klagomål mail.docx", "A 25887-2020")</f>
        <v/>
      </c>
      <c r="X78">
        <f>HYPERLINK("https://klasma.github.io/Logging_0980/tillsyn/A 25887-2020 tillsynsbegäran.docx", "A 25887-2020")</f>
        <v/>
      </c>
      <c r="Y78">
        <f>HYPERLINK("https://klasma.github.io/Logging_0980/tillsynsmail/A 25887-2020 tillsynsbegäran mail.docx", "A 25887-2020")</f>
        <v/>
      </c>
    </row>
    <row r="79" ht="15" customHeight="1">
      <c r="A79" t="inlineStr">
        <is>
          <t>A 27280-2023</t>
        </is>
      </c>
      <c r="B79" s="1" t="n">
        <v>45096</v>
      </c>
      <c r="C79" s="1" t="n">
        <v>45852</v>
      </c>
      <c r="D79" t="inlineStr">
        <is>
          <t>GOTLANDS LÄN</t>
        </is>
      </c>
      <c r="E79" t="inlineStr">
        <is>
          <t>GOTLAND</t>
        </is>
      </c>
      <c r="G79" t="n">
        <v>2.7</v>
      </c>
      <c r="H79" t="n">
        <v>7</v>
      </c>
      <c r="I79" t="n">
        <v>2</v>
      </c>
      <c r="J79" t="n">
        <v>1</v>
      </c>
      <c r="K79" t="n">
        <v>0</v>
      </c>
      <c r="L79" t="n">
        <v>0</v>
      </c>
      <c r="M79" t="n">
        <v>0</v>
      </c>
      <c r="N79" t="n">
        <v>0</v>
      </c>
      <c r="O79" t="n">
        <v>1</v>
      </c>
      <c r="P79" t="n">
        <v>0</v>
      </c>
      <c r="Q79" t="n">
        <v>7</v>
      </c>
      <c r="R79" s="2" t="inlineStr">
        <is>
          <t>Mindre hackspett
Skogsknipprot
Tvåblad
Brudsporre
Fläcknycklar
Grönvit nattviol
Nattviol</t>
        </is>
      </c>
      <c r="S79">
        <f>HYPERLINK("https://klasma.github.io/Logging_0980/artfynd/A 27280-2023 artfynd.xlsx", "A 27280-2023")</f>
        <v/>
      </c>
      <c r="T79">
        <f>HYPERLINK("https://klasma.github.io/Logging_0980/kartor/A 27280-2023 karta.png", "A 27280-2023")</f>
        <v/>
      </c>
      <c r="V79">
        <f>HYPERLINK("https://klasma.github.io/Logging_0980/klagomål/A 27280-2023 FSC-klagomål.docx", "A 27280-2023")</f>
        <v/>
      </c>
      <c r="W79">
        <f>HYPERLINK("https://klasma.github.io/Logging_0980/klagomålsmail/A 27280-2023 FSC-klagomål mail.docx", "A 27280-2023")</f>
        <v/>
      </c>
      <c r="X79">
        <f>HYPERLINK("https://klasma.github.io/Logging_0980/tillsyn/A 27280-2023 tillsynsbegäran.docx", "A 27280-2023")</f>
        <v/>
      </c>
      <c r="Y79">
        <f>HYPERLINK("https://klasma.github.io/Logging_0980/tillsynsmail/A 27280-2023 tillsynsbegäran mail.docx", "A 27280-2023")</f>
        <v/>
      </c>
      <c r="Z79">
        <f>HYPERLINK("https://klasma.github.io/Logging_0980/fåglar/A 27280-2023 prioriterade fågelarter.docx", "A 27280-2023")</f>
        <v/>
      </c>
    </row>
    <row r="80" ht="15" customHeight="1">
      <c r="A80" t="inlineStr">
        <is>
          <t>A 18541-2024</t>
        </is>
      </c>
      <c r="B80" s="1" t="n">
        <v>45425</v>
      </c>
      <c r="C80" s="1" t="n">
        <v>45852</v>
      </c>
      <c r="D80" t="inlineStr">
        <is>
          <t>GOTLANDS LÄN</t>
        </is>
      </c>
      <c r="E80" t="inlineStr">
        <is>
          <t>GOTLAND</t>
        </is>
      </c>
      <c r="F80" t="inlineStr">
        <is>
          <t>Övriga statliga verk och myndigheter</t>
        </is>
      </c>
      <c r="G80" t="n">
        <v>2.2</v>
      </c>
      <c r="H80" t="n">
        <v>6</v>
      </c>
      <c r="I80" t="n">
        <v>1</v>
      </c>
      <c r="J80" t="n">
        <v>2</v>
      </c>
      <c r="K80" t="n">
        <v>1</v>
      </c>
      <c r="L80" t="n">
        <v>0</v>
      </c>
      <c r="M80" t="n">
        <v>0</v>
      </c>
      <c r="N80" t="n">
        <v>0</v>
      </c>
      <c r="O80" t="n">
        <v>3</v>
      </c>
      <c r="P80" t="n">
        <v>1</v>
      </c>
      <c r="Q80" t="n">
        <v>7</v>
      </c>
      <c r="R80" s="2" t="inlineStr">
        <is>
          <t>Garderönn
Dårgräsfjäril
Svinrot
Nästrot
Kungsfågel
Skogsduva
Fläcknycklar</t>
        </is>
      </c>
      <c r="S80">
        <f>HYPERLINK("https://klasma.github.io/Logging_0980/artfynd/A 18541-2024 artfynd.xlsx", "A 18541-2024")</f>
        <v/>
      </c>
      <c r="T80">
        <f>HYPERLINK("https://klasma.github.io/Logging_0980/kartor/A 18541-2024 karta.png", "A 18541-2024")</f>
        <v/>
      </c>
      <c r="V80">
        <f>HYPERLINK("https://klasma.github.io/Logging_0980/klagomål/A 18541-2024 FSC-klagomål.docx", "A 18541-2024")</f>
        <v/>
      </c>
      <c r="W80">
        <f>HYPERLINK("https://klasma.github.io/Logging_0980/klagomålsmail/A 18541-2024 FSC-klagomål mail.docx", "A 18541-2024")</f>
        <v/>
      </c>
      <c r="X80">
        <f>HYPERLINK("https://klasma.github.io/Logging_0980/tillsyn/A 18541-2024 tillsynsbegäran.docx", "A 18541-2024")</f>
        <v/>
      </c>
      <c r="Y80">
        <f>HYPERLINK("https://klasma.github.io/Logging_0980/tillsynsmail/A 18541-2024 tillsynsbegäran mail.docx", "A 18541-2024")</f>
        <v/>
      </c>
      <c r="Z80">
        <f>HYPERLINK("https://klasma.github.io/Logging_0980/fåglar/A 18541-2024 prioriterade fågelarter.docx", "A 18541-2024")</f>
        <v/>
      </c>
    </row>
    <row r="81" ht="15" customHeight="1">
      <c r="A81" t="inlineStr">
        <is>
          <t>A 4572-2025</t>
        </is>
      </c>
      <c r="B81" s="1" t="n">
        <v>45687</v>
      </c>
      <c r="C81" s="1" t="n">
        <v>45852</v>
      </c>
      <c r="D81" t="inlineStr">
        <is>
          <t>GOTLANDS LÄN</t>
        </is>
      </c>
      <c r="E81" t="inlineStr">
        <is>
          <t>GOTLAND</t>
        </is>
      </c>
      <c r="G81" t="n">
        <v>6.2</v>
      </c>
      <c r="H81" t="n">
        <v>5</v>
      </c>
      <c r="I81" t="n">
        <v>1</v>
      </c>
      <c r="J81" t="n">
        <v>3</v>
      </c>
      <c r="K81" t="n">
        <v>0</v>
      </c>
      <c r="L81" t="n">
        <v>1</v>
      </c>
      <c r="M81" t="n">
        <v>0</v>
      </c>
      <c r="N81" t="n">
        <v>0</v>
      </c>
      <c r="O81" t="n">
        <v>4</v>
      </c>
      <c r="P81" t="n">
        <v>1</v>
      </c>
      <c r="Q81" t="n">
        <v>7</v>
      </c>
      <c r="R81" s="2" t="inlineStr">
        <is>
          <t>Brun glada
Axveronika
Solvända
Spillkråka
Skogsknipprot
Sankt pers nycklar
Blåsippa</t>
        </is>
      </c>
      <c r="S81">
        <f>HYPERLINK("https://klasma.github.io/Logging_0980/artfynd/A 4572-2025 artfynd.xlsx", "A 4572-2025")</f>
        <v/>
      </c>
      <c r="T81">
        <f>HYPERLINK("https://klasma.github.io/Logging_0980/kartor/A 4572-2025 karta.png", "A 4572-2025")</f>
        <v/>
      </c>
      <c r="V81">
        <f>HYPERLINK("https://klasma.github.io/Logging_0980/klagomål/A 4572-2025 FSC-klagomål.docx", "A 4572-2025")</f>
        <v/>
      </c>
      <c r="W81">
        <f>HYPERLINK("https://klasma.github.io/Logging_0980/klagomålsmail/A 4572-2025 FSC-klagomål mail.docx", "A 4572-2025")</f>
        <v/>
      </c>
      <c r="X81">
        <f>HYPERLINK("https://klasma.github.io/Logging_0980/tillsyn/A 4572-2025 tillsynsbegäran.docx", "A 4572-2025")</f>
        <v/>
      </c>
      <c r="Y81">
        <f>HYPERLINK("https://klasma.github.io/Logging_0980/tillsynsmail/A 4572-2025 tillsynsbegäran mail.docx", "A 4572-2025")</f>
        <v/>
      </c>
      <c r="Z81">
        <f>HYPERLINK("https://klasma.github.io/Logging_0980/fåglar/A 4572-2025 prioriterade fågelarter.docx", "A 4572-2025")</f>
        <v/>
      </c>
    </row>
    <row r="82" ht="15" customHeight="1">
      <c r="A82" t="inlineStr">
        <is>
          <t>A 6960-2025</t>
        </is>
      </c>
      <c r="B82" s="1" t="n">
        <v>45701</v>
      </c>
      <c r="C82" s="1" t="n">
        <v>45852</v>
      </c>
      <c r="D82" t="inlineStr">
        <is>
          <t>GOTLANDS LÄN</t>
        </is>
      </c>
      <c r="E82" t="inlineStr">
        <is>
          <t>GOTLAND</t>
        </is>
      </c>
      <c r="G82" t="n">
        <v>4</v>
      </c>
      <c r="H82" t="n">
        <v>4</v>
      </c>
      <c r="I82" t="n">
        <v>1</v>
      </c>
      <c r="J82" t="n">
        <v>4</v>
      </c>
      <c r="K82" t="n">
        <v>0</v>
      </c>
      <c r="L82" t="n">
        <v>0</v>
      </c>
      <c r="M82" t="n">
        <v>0</v>
      </c>
      <c r="N82" t="n">
        <v>0</v>
      </c>
      <c r="O82" t="n">
        <v>4</v>
      </c>
      <c r="P82" t="n">
        <v>0</v>
      </c>
      <c r="Q82" t="n">
        <v>7</v>
      </c>
      <c r="R82" s="2" t="inlineStr">
        <is>
          <t>Majviva
Spillkråka
Svinrot
Ängsstarr
Skogsknipprot
Dactylorhiza incarnata subsp. incarnata
Nattviol</t>
        </is>
      </c>
      <c r="S82">
        <f>HYPERLINK("https://klasma.github.io/Logging_0980/artfynd/A 6960-2025 artfynd.xlsx", "A 6960-2025")</f>
        <v/>
      </c>
      <c r="T82">
        <f>HYPERLINK("https://klasma.github.io/Logging_0980/kartor/A 6960-2025 karta.png", "A 6960-2025")</f>
        <v/>
      </c>
      <c r="U82">
        <f>HYPERLINK("https://klasma.github.io/Logging_0980/knärot/A 6960-2025 karta knärot.png", "A 6960-2025")</f>
        <v/>
      </c>
      <c r="V82">
        <f>HYPERLINK("https://klasma.github.io/Logging_0980/klagomål/A 6960-2025 FSC-klagomål.docx", "A 6960-2025")</f>
        <v/>
      </c>
      <c r="W82">
        <f>HYPERLINK("https://klasma.github.io/Logging_0980/klagomålsmail/A 6960-2025 FSC-klagomål mail.docx", "A 6960-2025")</f>
        <v/>
      </c>
      <c r="X82">
        <f>HYPERLINK("https://klasma.github.io/Logging_0980/tillsyn/A 6960-2025 tillsynsbegäran.docx", "A 6960-2025")</f>
        <v/>
      </c>
      <c r="Y82">
        <f>HYPERLINK("https://klasma.github.io/Logging_0980/tillsynsmail/A 6960-2025 tillsynsbegäran mail.docx", "A 6960-2025")</f>
        <v/>
      </c>
      <c r="Z82">
        <f>HYPERLINK("https://klasma.github.io/Logging_0980/fåglar/A 6960-2025 prioriterade fågelarter.docx", "A 6960-2025")</f>
        <v/>
      </c>
    </row>
    <row r="83" ht="15" customHeight="1">
      <c r="A83" t="inlineStr">
        <is>
          <t>A 10419-2025</t>
        </is>
      </c>
      <c r="B83" s="1" t="n">
        <v>45720</v>
      </c>
      <c r="C83" s="1" t="n">
        <v>45852</v>
      </c>
      <c r="D83" t="inlineStr">
        <is>
          <t>GOTLANDS LÄN</t>
        </is>
      </c>
      <c r="E83" t="inlineStr">
        <is>
          <t>GOTLAND</t>
        </is>
      </c>
      <c r="G83" t="n">
        <v>1.2</v>
      </c>
      <c r="H83" t="n">
        <v>0</v>
      </c>
      <c r="I83" t="n">
        <v>5</v>
      </c>
      <c r="J83" t="n">
        <v>0</v>
      </c>
      <c r="K83" t="n">
        <v>2</v>
      </c>
      <c r="L83" t="n">
        <v>0</v>
      </c>
      <c r="M83" t="n">
        <v>0</v>
      </c>
      <c r="N83" t="n">
        <v>0</v>
      </c>
      <c r="O83" t="n">
        <v>2</v>
      </c>
      <c r="P83" t="n">
        <v>2</v>
      </c>
      <c r="Q83" t="n">
        <v>7</v>
      </c>
      <c r="R83" s="2" t="inlineStr">
        <is>
          <t>Mörkfjällig olivspindling
Violettfläckig spindling
Anisspindling
Blå slemspindling
Fjällig taggsvamp s.str.
Kryddspindling
Olivspindling</t>
        </is>
      </c>
      <c r="S83">
        <f>HYPERLINK("https://klasma.github.io/Logging_090980/artfynd/A 10419-2025 artfynd.xlsx", "A 10419-2025")</f>
        <v/>
      </c>
      <c r="T83">
        <f>HYPERLINK("https://klasma.github.io/Logging_090980/kartor/A 10419-2025 karta.png", "A 10419-2025")</f>
        <v/>
      </c>
      <c r="V83">
        <f>HYPERLINK("https://klasma.github.io/Logging_090980/klagomål/A 10419-2025 FSC-klagomål.docx", "A 10419-2025")</f>
        <v/>
      </c>
      <c r="W83">
        <f>HYPERLINK("https://klasma.github.io/Logging_090980/klagomålsmail/A 10419-2025 FSC-klagomål mail.docx", "A 10419-2025")</f>
        <v/>
      </c>
      <c r="X83">
        <f>HYPERLINK("https://klasma.github.io/Logging_090980/tillsyn/A 10419-2025 tillsynsbegäran.docx", "A 10419-2025")</f>
        <v/>
      </c>
      <c r="Y83">
        <f>HYPERLINK("https://klasma.github.io/Logging_090980/tillsynsmail/A 10419-2025 tillsynsbegäran mail.docx", "A 10419-2025")</f>
        <v/>
      </c>
    </row>
    <row r="84" ht="15" customHeight="1">
      <c r="A84" t="inlineStr">
        <is>
          <t>A 16353-2025</t>
        </is>
      </c>
      <c r="B84" s="1" t="n">
        <v>45751</v>
      </c>
      <c r="C84" s="1" t="n">
        <v>45852</v>
      </c>
      <c r="D84" t="inlineStr">
        <is>
          <t>GOTLANDS LÄN</t>
        </is>
      </c>
      <c r="E84" t="inlineStr">
        <is>
          <t>GOTLAND</t>
        </is>
      </c>
      <c r="G84" t="n">
        <v>8.800000000000001</v>
      </c>
      <c r="H84" t="n">
        <v>0</v>
      </c>
      <c r="I84" t="n">
        <v>6</v>
      </c>
      <c r="J84" t="n">
        <v>1</v>
      </c>
      <c r="K84" t="n">
        <v>0</v>
      </c>
      <c r="L84" t="n">
        <v>0</v>
      </c>
      <c r="M84" t="n">
        <v>0</v>
      </c>
      <c r="N84" t="n">
        <v>0</v>
      </c>
      <c r="O84" t="n">
        <v>1</v>
      </c>
      <c r="P84" t="n">
        <v>0</v>
      </c>
      <c r="Q84" t="n">
        <v>7</v>
      </c>
      <c r="R84" s="2" t="inlineStr">
        <is>
          <t>Flattoppad klubbsvamp
Anisspindling
Fjällig taggsvamp s.str.
Guldkremla
Kryddspindling
Rödgul trumpetsvamp
Svavelriska</t>
        </is>
      </c>
      <c r="S84">
        <f>HYPERLINK("https://klasma.github.io/Logging_090980/artfynd/A 16353-2025 artfynd.xlsx", "A 16353-2025")</f>
        <v/>
      </c>
      <c r="T84">
        <f>HYPERLINK("https://klasma.github.io/Logging_090980/kartor/A 16353-2025 karta.png", "A 16353-2025")</f>
        <v/>
      </c>
      <c r="V84">
        <f>HYPERLINK("https://klasma.github.io/Logging_090980/klagomål/A 16353-2025 FSC-klagomål.docx", "A 16353-2025")</f>
        <v/>
      </c>
      <c r="W84">
        <f>HYPERLINK("https://klasma.github.io/Logging_090980/klagomålsmail/A 16353-2025 FSC-klagomål mail.docx", "A 16353-2025")</f>
        <v/>
      </c>
      <c r="X84">
        <f>HYPERLINK("https://klasma.github.io/Logging_090980/tillsyn/A 16353-2025 tillsynsbegäran.docx", "A 16353-2025")</f>
        <v/>
      </c>
      <c r="Y84">
        <f>HYPERLINK("https://klasma.github.io/Logging_090980/tillsynsmail/A 16353-2025 tillsynsbegäran mail.docx", "A 16353-2025")</f>
        <v/>
      </c>
    </row>
    <row r="85" ht="15" customHeight="1">
      <c r="A85" t="inlineStr">
        <is>
          <t>A 65819-2020</t>
        </is>
      </c>
      <c r="B85" s="1" t="n">
        <v>44174</v>
      </c>
      <c r="C85" s="1" t="n">
        <v>45852</v>
      </c>
      <c r="D85" t="inlineStr">
        <is>
          <t>GOTLANDS LÄN</t>
        </is>
      </c>
      <c r="E85" t="inlineStr">
        <is>
          <t>GOTLAND</t>
        </is>
      </c>
      <c r="G85" t="n">
        <v>4.3</v>
      </c>
      <c r="H85" t="n">
        <v>1</v>
      </c>
      <c r="I85" t="n">
        <v>3</v>
      </c>
      <c r="J85" t="n">
        <v>1</v>
      </c>
      <c r="K85" t="n">
        <v>2</v>
      </c>
      <c r="L85" t="n">
        <v>0</v>
      </c>
      <c r="M85" t="n">
        <v>0</v>
      </c>
      <c r="N85" t="n">
        <v>0</v>
      </c>
      <c r="O85" t="n">
        <v>3</v>
      </c>
      <c r="P85" t="n">
        <v>2</v>
      </c>
      <c r="Q85" t="n">
        <v>6</v>
      </c>
      <c r="R85" s="2" t="inlineStr">
        <is>
          <t>Tallvaxskivling
Vit taggsvamp
Skugglosta
Blå slemspindling
Kattfotslav
Nästrot</t>
        </is>
      </c>
      <c r="S85">
        <f>HYPERLINK("https://klasma.github.io/Logging_0980/artfynd/A 65819-2020 artfynd.xlsx", "A 65819-2020")</f>
        <v/>
      </c>
      <c r="T85">
        <f>HYPERLINK("https://klasma.github.io/Logging_0980/kartor/A 65819-2020 karta.png", "A 65819-2020")</f>
        <v/>
      </c>
      <c r="V85">
        <f>HYPERLINK("https://klasma.github.io/Logging_0980/klagomål/A 65819-2020 FSC-klagomål.docx", "A 65819-2020")</f>
        <v/>
      </c>
      <c r="W85">
        <f>HYPERLINK("https://klasma.github.io/Logging_0980/klagomålsmail/A 65819-2020 FSC-klagomål mail.docx", "A 65819-2020")</f>
        <v/>
      </c>
      <c r="X85">
        <f>HYPERLINK("https://klasma.github.io/Logging_0980/tillsyn/A 65819-2020 tillsynsbegäran.docx", "A 65819-2020")</f>
        <v/>
      </c>
      <c r="Y85">
        <f>HYPERLINK("https://klasma.github.io/Logging_0980/tillsynsmail/A 65819-2020 tillsynsbegäran mail.docx", "A 65819-2020")</f>
        <v/>
      </c>
    </row>
    <row r="86" ht="15" customHeight="1">
      <c r="A86" t="inlineStr">
        <is>
          <t>A 25205-2021</t>
        </is>
      </c>
      <c r="B86" s="1" t="n">
        <v>44342</v>
      </c>
      <c r="C86" s="1" t="n">
        <v>45852</v>
      </c>
      <c r="D86" t="inlineStr">
        <is>
          <t>GOTLANDS LÄN</t>
        </is>
      </c>
      <c r="E86" t="inlineStr">
        <is>
          <t>GOTLAND</t>
        </is>
      </c>
      <c r="G86" t="n">
        <v>2.8</v>
      </c>
      <c r="H86" t="n">
        <v>0</v>
      </c>
      <c r="I86" t="n">
        <v>4</v>
      </c>
      <c r="J86" t="n">
        <v>0</v>
      </c>
      <c r="K86" t="n">
        <v>1</v>
      </c>
      <c r="L86" t="n">
        <v>1</v>
      </c>
      <c r="M86" t="n">
        <v>0</v>
      </c>
      <c r="N86" t="n">
        <v>0</v>
      </c>
      <c r="O86" t="n">
        <v>2</v>
      </c>
      <c r="P86" t="n">
        <v>2</v>
      </c>
      <c r="Q86" t="n">
        <v>6</v>
      </c>
      <c r="R86" s="2" t="inlineStr">
        <is>
          <t>Ädellav
Mörk kraterlav
Hasselticka
Lönnlav
Rikfruktig blemlav
Slät lönnlav</t>
        </is>
      </c>
      <c r="S86">
        <f>HYPERLINK("https://klasma.github.io/Logging_0980/artfynd/A 25205-2021 artfynd.xlsx", "A 25205-2021")</f>
        <v/>
      </c>
      <c r="T86">
        <f>HYPERLINK("https://klasma.github.io/Logging_0980/kartor/A 25205-2021 karta.png", "A 25205-2021")</f>
        <v/>
      </c>
      <c r="V86">
        <f>HYPERLINK("https://klasma.github.io/Logging_0980/klagomål/A 25205-2021 FSC-klagomål.docx", "A 25205-2021")</f>
        <v/>
      </c>
      <c r="W86">
        <f>HYPERLINK("https://klasma.github.io/Logging_0980/klagomålsmail/A 25205-2021 FSC-klagomål mail.docx", "A 25205-2021")</f>
        <v/>
      </c>
      <c r="X86">
        <f>HYPERLINK("https://klasma.github.io/Logging_0980/tillsyn/A 25205-2021 tillsynsbegäran.docx", "A 25205-2021")</f>
        <v/>
      </c>
      <c r="Y86">
        <f>HYPERLINK("https://klasma.github.io/Logging_0980/tillsynsmail/A 25205-2021 tillsynsbegäran mail.docx", "A 25205-2021")</f>
        <v/>
      </c>
    </row>
    <row r="87" ht="15" customHeight="1">
      <c r="A87" t="inlineStr">
        <is>
          <t>A 59865-2022</t>
        </is>
      </c>
      <c r="B87" s="1" t="n">
        <v>44908</v>
      </c>
      <c r="C87" s="1" t="n">
        <v>45852</v>
      </c>
      <c r="D87" t="inlineStr">
        <is>
          <t>GOTLANDS LÄN</t>
        </is>
      </c>
      <c r="E87" t="inlineStr">
        <is>
          <t>GOTLAND</t>
        </is>
      </c>
      <c r="G87" t="n">
        <v>2.7</v>
      </c>
      <c r="H87" t="n">
        <v>0</v>
      </c>
      <c r="I87" t="n">
        <v>2</v>
      </c>
      <c r="J87" t="n">
        <v>2</v>
      </c>
      <c r="K87" t="n">
        <v>2</v>
      </c>
      <c r="L87" t="n">
        <v>0</v>
      </c>
      <c r="M87" t="n">
        <v>0</v>
      </c>
      <c r="N87" t="n">
        <v>0</v>
      </c>
      <c r="O87" t="n">
        <v>4</v>
      </c>
      <c r="P87" t="n">
        <v>2</v>
      </c>
      <c r="Q87" t="n">
        <v>6</v>
      </c>
      <c r="R87" s="2" t="inlineStr">
        <is>
          <t>Granrotsspindling
Svartgrön spindling
Denisespindling
Doftskinn
Blå slemspindling
Svavelriska</t>
        </is>
      </c>
      <c r="S87">
        <f>HYPERLINK("https://klasma.github.io/Logging_0980/artfynd/A 59865-2022 artfynd.xlsx", "A 59865-2022")</f>
        <v/>
      </c>
      <c r="T87">
        <f>HYPERLINK("https://klasma.github.io/Logging_0980/kartor/A 59865-2022 karta.png", "A 59865-2022")</f>
        <v/>
      </c>
      <c r="V87">
        <f>HYPERLINK("https://klasma.github.io/Logging_0980/klagomål/A 59865-2022 FSC-klagomål.docx", "A 59865-2022")</f>
        <v/>
      </c>
      <c r="W87">
        <f>HYPERLINK("https://klasma.github.io/Logging_0980/klagomålsmail/A 59865-2022 FSC-klagomål mail.docx", "A 59865-2022")</f>
        <v/>
      </c>
      <c r="X87">
        <f>HYPERLINK("https://klasma.github.io/Logging_0980/tillsyn/A 59865-2022 tillsynsbegäran.docx", "A 59865-2022")</f>
        <v/>
      </c>
      <c r="Y87">
        <f>HYPERLINK("https://klasma.github.io/Logging_0980/tillsynsmail/A 59865-2022 tillsynsbegäran mail.docx", "A 59865-2022")</f>
        <v/>
      </c>
    </row>
    <row r="88" ht="15" customHeight="1">
      <c r="A88" t="inlineStr">
        <is>
          <t>A 446-2023</t>
        </is>
      </c>
      <c r="B88" s="1" t="n">
        <v>44929</v>
      </c>
      <c r="C88" s="1" t="n">
        <v>45852</v>
      </c>
      <c r="D88" t="inlineStr">
        <is>
          <t>GOTLANDS LÄN</t>
        </is>
      </c>
      <c r="E88" t="inlineStr">
        <is>
          <t>GOTLAND</t>
        </is>
      </c>
      <c r="G88" t="n">
        <v>7.1</v>
      </c>
      <c r="H88" t="n">
        <v>2</v>
      </c>
      <c r="I88" t="n">
        <v>3</v>
      </c>
      <c r="J88" t="n">
        <v>2</v>
      </c>
      <c r="K88" t="n">
        <v>1</v>
      </c>
      <c r="L88" t="n">
        <v>0</v>
      </c>
      <c r="M88" t="n">
        <v>0</v>
      </c>
      <c r="N88" t="n">
        <v>0</v>
      </c>
      <c r="O88" t="n">
        <v>3</v>
      </c>
      <c r="P88" t="n">
        <v>1</v>
      </c>
      <c r="Q88" t="n">
        <v>6</v>
      </c>
      <c r="R88" s="2" t="inlineStr">
        <is>
          <t>Svartgrön spindling
Spillkråka
Äggspindling
Kastanjefjällskivling
Skogsknipprot
Svavelriska</t>
        </is>
      </c>
      <c r="S88">
        <f>HYPERLINK("https://klasma.github.io/Logging_0980/artfynd/A 446-2023 artfynd.xlsx", "A 446-2023")</f>
        <v/>
      </c>
      <c r="T88">
        <f>HYPERLINK("https://klasma.github.io/Logging_0980/kartor/A 446-2023 karta.png", "A 446-2023")</f>
        <v/>
      </c>
      <c r="V88">
        <f>HYPERLINK("https://klasma.github.io/Logging_0980/klagomål/A 446-2023 FSC-klagomål.docx", "A 446-2023")</f>
        <v/>
      </c>
      <c r="W88">
        <f>HYPERLINK("https://klasma.github.io/Logging_0980/klagomålsmail/A 446-2023 FSC-klagomål mail.docx", "A 446-2023")</f>
        <v/>
      </c>
      <c r="X88">
        <f>HYPERLINK("https://klasma.github.io/Logging_0980/tillsyn/A 446-2023 tillsynsbegäran.docx", "A 446-2023")</f>
        <v/>
      </c>
      <c r="Y88">
        <f>HYPERLINK("https://klasma.github.io/Logging_0980/tillsynsmail/A 446-2023 tillsynsbegäran mail.docx", "A 446-2023")</f>
        <v/>
      </c>
      <c r="Z88">
        <f>HYPERLINK("https://klasma.github.io/Logging_0980/fåglar/A 446-2023 prioriterade fågelarter.docx", "A 446-2023")</f>
        <v/>
      </c>
    </row>
    <row r="89" ht="15" customHeight="1">
      <c r="A89" t="inlineStr">
        <is>
          <t>A 2085-2023</t>
        </is>
      </c>
      <c r="B89" s="1" t="n">
        <v>44939</v>
      </c>
      <c r="C89" s="1" t="n">
        <v>45852</v>
      </c>
      <c r="D89" t="inlineStr">
        <is>
          <t>GOTLANDS LÄN</t>
        </is>
      </c>
      <c r="E89" t="inlineStr">
        <is>
          <t>GOTLAND</t>
        </is>
      </c>
      <c r="G89" t="n">
        <v>0.9</v>
      </c>
      <c r="H89" t="n">
        <v>2</v>
      </c>
      <c r="I89" t="n">
        <v>5</v>
      </c>
      <c r="J89" t="n">
        <v>0</v>
      </c>
      <c r="K89" t="n">
        <v>0</v>
      </c>
      <c r="L89" t="n">
        <v>0</v>
      </c>
      <c r="M89" t="n">
        <v>0</v>
      </c>
      <c r="N89" t="n">
        <v>0</v>
      </c>
      <c r="O89" t="n">
        <v>0</v>
      </c>
      <c r="P89" t="n">
        <v>0</v>
      </c>
      <c r="Q89" t="n">
        <v>6</v>
      </c>
      <c r="R89" s="2" t="inlineStr">
        <is>
          <t>Blå slemspindling
Blåmossa
Kattfotslav
Skogsknipprot
Vågbandad barkbock
Skogsduva</t>
        </is>
      </c>
      <c r="S89">
        <f>HYPERLINK("https://klasma.github.io/Logging_0980/artfynd/A 2085-2023 artfynd.xlsx", "A 2085-2023")</f>
        <v/>
      </c>
      <c r="T89">
        <f>HYPERLINK("https://klasma.github.io/Logging_0980/kartor/A 2085-2023 karta.png", "A 2085-2023")</f>
        <v/>
      </c>
      <c r="V89">
        <f>HYPERLINK("https://klasma.github.io/Logging_0980/klagomål/A 2085-2023 FSC-klagomål.docx", "A 2085-2023")</f>
        <v/>
      </c>
      <c r="W89">
        <f>HYPERLINK("https://klasma.github.io/Logging_0980/klagomålsmail/A 2085-2023 FSC-klagomål mail.docx", "A 2085-2023")</f>
        <v/>
      </c>
      <c r="X89">
        <f>HYPERLINK("https://klasma.github.io/Logging_0980/tillsyn/A 2085-2023 tillsynsbegäran.docx", "A 2085-2023")</f>
        <v/>
      </c>
      <c r="Y89">
        <f>HYPERLINK("https://klasma.github.io/Logging_0980/tillsynsmail/A 2085-2023 tillsynsbegäran mail.docx", "A 2085-2023")</f>
        <v/>
      </c>
      <c r="Z89">
        <f>HYPERLINK("https://klasma.github.io/Logging_0980/fåglar/A 2085-2023 prioriterade fågelarter.docx", "A 2085-2023")</f>
        <v/>
      </c>
    </row>
    <row r="90" ht="15" customHeight="1">
      <c r="A90" t="inlineStr">
        <is>
          <t>A 7038-2023</t>
        </is>
      </c>
      <c r="B90" s="1" t="n">
        <v>44968</v>
      </c>
      <c r="C90" s="1" t="n">
        <v>45852</v>
      </c>
      <c r="D90" t="inlineStr">
        <is>
          <t>GOTLANDS LÄN</t>
        </is>
      </c>
      <c r="E90" t="inlineStr">
        <is>
          <t>GOTLAND</t>
        </is>
      </c>
      <c r="G90" t="n">
        <v>5.2</v>
      </c>
      <c r="H90" t="n">
        <v>1</v>
      </c>
      <c r="I90" t="n">
        <v>1</v>
      </c>
      <c r="J90" t="n">
        <v>1</v>
      </c>
      <c r="K90" t="n">
        <v>0</v>
      </c>
      <c r="L90" t="n">
        <v>2</v>
      </c>
      <c r="M90" t="n">
        <v>0</v>
      </c>
      <c r="N90" t="n">
        <v>0</v>
      </c>
      <c r="O90" t="n">
        <v>5</v>
      </c>
      <c r="P90" t="n">
        <v>2</v>
      </c>
      <c r="Q90" t="n">
        <v>6</v>
      </c>
      <c r="R90" s="2" t="inlineStr">
        <is>
          <t>Liten ädellav
Ädellav
Dårgräsfjäril
Blemlavsklotter
Frostig asplav
Havstulpanlav</t>
        </is>
      </c>
      <c r="S90">
        <f>HYPERLINK("https://klasma.github.io/Logging_0980/artfynd/A 7038-2023 artfynd.xlsx", "A 7038-2023")</f>
        <v/>
      </c>
      <c r="T90">
        <f>HYPERLINK("https://klasma.github.io/Logging_0980/kartor/A 7038-2023 karta.png", "A 7038-2023")</f>
        <v/>
      </c>
      <c r="V90">
        <f>HYPERLINK("https://klasma.github.io/Logging_0980/klagomål/A 7038-2023 FSC-klagomål.docx", "A 7038-2023")</f>
        <v/>
      </c>
      <c r="W90">
        <f>HYPERLINK("https://klasma.github.io/Logging_0980/klagomålsmail/A 7038-2023 FSC-klagomål mail.docx", "A 7038-2023")</f>
        <v/>
      </c>
      <c r="X90">
        <f>HYPERLINK("https://klasma.github.io/Logging_0980/tillsyn/A 7038-2023 tillsynsbegäran.docx", "A 7038-2023")</f>
        <v/>
      </c>
      <c r="Y90">
        <f>HYPERLINK("https://klasma.github.io/Logging_0980/tillsynsmail/A 7038-2023 tillsynsbegäran mail.docx", "A 7038-2023")</f>
        <v/>
      </c>
    </row>
    <row r="91" ht="15" customHeight="1">
      <c r="A91" t="inlineStr">
        <is>
          <t>A 43199-2023</t>
        </is>
      </c>
      <c r="B91" s="1" t="n">
        <v>45183</v>
      </c>
      <c r="C91" s="1" t="n">
        <v>45852</v>
      </c>
      <c r="D91" t="inlineStr">
        <is>
          <t>GOTLANDS LÄN</t>
        </is>
      </c>
      <c r="E91" t="inlineStr">
        <is>
          <t>GOTLAND</t>
        </is>
      </c>
      <c r="G91" t="n">
        <v>3.8</v>
      </c>
      <c r="H91" t="n">
        <v>2</v>
      </c>
      <c r="I91" t="n">
        <v>4</v>
      </c>
      <c r="J91" t="n">
        <v>0</v>
      </c>
      <c r="K91" t="n">
        <v>1</v>
      </c>
      <c r="L91" t="n">
        <v>1</v>
      </c>
      <c r="M91" t="n">
        <v>0</v>
      </c>
      <c r="N91" t="n">
        <v>0</v>
      </c>
      <c r="O91" t="n">
        <v>2</v>
      </c>
      <c r="P91" t="n">
        <v>2</v>
      </c>
      <c r="Q91" t="n">
        <v>6</v>
      </c>
      <c r="R91" s="2" t="inlineStr">
        <is>
          <t>Ask
Gotlandsmåra
Nästrot
Skogsknipprot
Sårläka
Underviol</t>
        </is>
      </c>
      <c r="S91">
        <f>HYPERLINK("https://klasma.github.io/Logging_0980/artfynd/A 43199-2023 artfynd.xlsx", "A 43199-2023")</f>
        <v/>
      </c>
      <c r="T91">
        <f>HYPERLINK("https://klasma.github.io/Logging_0980/kartor/A 43199-2023 karta.png", "A 43199-2023")</f>
        <v/>
      </c>
      <c r="V91">
        <f>HYPERLINK("https://klasma.github.io/Logging_0980/klagomål/A 43199-2023 FSC-klagomål.docx", "A 43199-2023")</f>
        <v/>
      </c>
      <c r="W91">
        <f>HYPERLINK("https://klasma.github.io/Logging_0980/klagomålsmail/A 43199-2023 FSC-klagomål mail.docx", "A 43199-2023")</f>
        <v/>
      </c>
      <c r="X91">
        <f>HYPERLINK("https://klasma.github.io/Logging_0980/tillsyn/A 43199-2023 tillsynsbegäran.docx", "A 43199-2023")</f>
        <v/>
      </c>
      <c r="Y91">
        <f>HYPERLINK("https://klasma.github.io/Logging_0980/tillsynsmail/A 43199-2023 tillsynsbegäran mail.docx", "A 43199-2023")</f>
        <v/>
      </c>
    </row>
    <row r="92" ht="15" customHeight="1">
      <c r="A92" t="inlineStr">
        <is>
          <t>A 45695-2023</t>
        </is>
      </c>
      <c r="B92" s="1" t="n">
        <v>45195</v>
      </c>
      <c r="C92" s="1" t="n">
        <v>45852</v>
      </c>
      <c r="D92" t="inlineStr">
        <is>
          <t>GOTLANDS LÄN</t>
        </is>
      </c>
      <c r="E92" t="inlineStr">
        <is>
          <t>GOTLAND</t>
        </is>
      </c>
      <c r="G92" t="n">
        <v>20.3</v>
      </c>
      <c r="H92" t="n">
        <v>2</v>
      </c>
      <c r="I92" t="n">
        <v>1</v>
      </c>
      <c r="J92" t="n">
        <v>3</v>
      </c>
      <c r="K92" t="n">
        <v>0</v>
      </c>
      <c r="L92" t="n">
        <v>0</v>
      </c>
      <c r="M92" t="n">
        <v>0</v>
      </c>
      <c r="N92" t="n">
        <v>0</v>
      </c>
      <c r="O92" t="n">
        <v>3</v>
      </c>
      <c r="P92" t="n">
        <v>0</v>
      </c>
      <c r="Q92" t="n">
        <v>6</v>
      </c>
      <c r="R92" s="2" t="inlineStr">
        <is>
          <t>Loppstarr
Majviva
Svinrot
Axag
Brudsporre
Kärrknipprot</t>
        </is>
      </c>
      <c r="S92">
        <f>HYPERLINK("https://klasma.github.io/Logging_0980/artfynd/A 45695-2023 artfynd.xlsx", "A 45695-2023")</f>
        <v/>
      </c>
      <c r="T92">
        <f>HYPERLINK("https://klasma.github.io/Logging_0980/kartor/A 45695-2023 karta.png", "A 45695-2023")</f>
        <v/>
      </c>
      <c r="V92">
        <f>HYPERLINK("https://klasma.github.io/Logging_0980/klagomål/A 45695-2023 FSC-klagomål.docx", "A 45695-2023")</f>
        <v/>
      </c>
      <c r="W92">
        <f>HYPERLINK("https://klasma.github.io/Logging_0980/klagomålsmail/A 45695-2023 FSC-klagomål mail.docx", "A 45695-2023")</f>
        <v/>
      </c>
      <c r="X92">
        <f>HYPERLINK("https://klasma.github.io/Logging_0980/tillsyn/A 45695-2023 tillsynsbegäran.docx", "A 45695-2023")</f>
        <v/>
      </c>
      <c r="Y92">
        <f>HYPERLINK("https://klasma.github.io/Logging_0980/tillsynsmail/A 45695-2023 tillsynsbegäran mail.docx", "A 45695-2023")</f>
        <v/>
      </c>
    </row>
    <row r="93" ht="15" customHeight="1">
      <c r="A93" t="inlineStr">
        <is>
          <t>A 54527-2023</t>
        </is>
      </c>
      <c r="B93" s="1" t="n">
        <v>45233</v>
      </c>
      <c r="C93" s="1" t="n">
        <v>45852</v>
      </c>
      <c r="D93" t="inlineStr">
        <is>
          <t>GOTLANDS LÄN</t>
        </is>
      </c>
      <c r="E93" t="inlineStr">
        <is>
          <t>GOTLAND</t>
        </is>
      </c>
      <c r="G93" t="n">
        <v>28.5</v>
      </c>
      <c r="H93" t="n">
        <v>1</v>
      </c>
      <c r="I93" t="n">
        <v>0</v>
      </c>
      <c r="J93" t="n">
        <v>5</v>
      </c>
      <c r="K93" t="n">
        <v>0</v>
      </c>
      <c r="L93" t="n">
        <v>0</v>
      </c>
      <c r="M93" t="n">
        <v>0</v>
      </c>
      <c r="N93" t="n">
        <v>0</v>
      </c>
      <c r="O93" t="n">
        <v>5</v>
      </c>
      <c r="P93" t="n">
        <v>0</v>
      </c>
      <c r="Q93" t="n">
        <v>6</v>
      </c>
      <c r="R93" s="2" t="inlineStr">
        <is>
          <t>Backstarr
Backtimjan
Jordtistel
Sexfläckig bastardsvärmare
Solvända
Brudsporre</t>
        </is>
      </c>
      <c r="S93">
        <f>HYPERLINK("https://klasma.github.io/Logging_0980/artfynd/A 54527-2023 artfynd.xlsx", "A 54527-2023")</f>
        <v/>
      </c>
      <c r="T93">
        <f>HYPERLINK("https://klasma.github.io/Logging_0980/kartor/A 54527-2023 karta.png", "A 54527-2023")</f>
        <v/>
      </c>
      <c r="V93">
        <f>HYPERLINK("https://klasma.github.io/Logging_0980/klagomål/A 54527-2023 FSC-klagomål.docx", "A 54527-2023")</f>
        <v/>
      </c>
      <c r="W93">
        <f>HYPERLINK("https://klasma.github.io/Logging_0980/klagomålsmail/A 54527-2023 FSC-klagomål mail.docx", "A 54527-2023")</f>
        <v/>
      </c>
      <c r="X93">
        <f>HYPERLINK("https://klasma.github.io/Logging_0980/tillsyn/A 54527-2023 tillsynsbegäran.docx", "A 54527-2023")</f>
        <v/>
      </c>
      <c r="Y93">
        <f>HYPERLINK("https://klasma.github.io/Logging_0980/tillsynsmail/A 54527-2023 tillsynsbegäran mail.docx", "A 54527-2023")</f>
        <v/>
      </c>
    </row>
    <row r="94" ht="15" customHeight="1">
      <c r="A94" t="inlineStr">
        <is>
          <t>A 64658-2023</t>
        </is>
      </c>
      <c r="B94" s="1" t="n">
        <v>45281</v>
      </c>
      <c r="C94" s="1" t="n">
        <v>45852</v>
      </c>
      <c r="D94" t="inlineStr">
        <is>
          <t>GOTLANDS LÄN</t>
        </is>
      </c>
      <c r="E94" t="inlineStr">
        <is>
          <t>GOTLAND</t>
        </is>
      </c>
      <c r="G94" t="n">
        <v>9.699999999999999</v>
      </c>
      <c r="H94" t="n">
        <v>1</v>
      </c>
      <c r="I94" t="n">
        <v>2</v>
      </c>
      <c r="J94" t="n">
        <v>0</v>
      </c>
      <c r="K94" t="n">
        <v>3</v>
      </c>
      <c r="L94" t="n">
        <v>1</v>
      </c>
      <c r="M94" t="n">
        <v>0</v>
      </c>
      <c r="N94" t="n">
        <v>0</v>
      </c>
      <c r="O94" t="n">
        <v>4</v>
      </c>
      <c r="P94" t="n">
        <v>4</v>
      </c>
      <c r="Q94" t="n">
        <v>6</v>
      </c>
      <c r="R94" s="2" t="inlineStr">
        <is>
          <t>Ädellav
Blek kraterlav
Garderönn
Västlig njurlav
Strävlosta
Underviol</t>
        </is>
      </c>
      <c r="S94">
        <f>HYPERLINK("https://klasma.github.io/Logging_0980/artfynd/A 64658-2023 artfynd.xlsx", "A 64658-2023")</f>
        <v/>
      </c>
      <c r="T94">
        <f>HYPERLINK("https://klasma.github.io/Logging_0980/kartor/A 64658-2023 karta.png", "A 64658-2023")</f>
        <v/>
      </c>
      <c r="V94">
        <f>HYPERLINK("https://klasma.github.io/Logging_0980/klagomål/A 64658-2023 FSC-klagomål.docx", "A 64658-2023")</f>
        <v/>
      </c>
      <c r="W94">
        <f>HYPERLINK("https://klasma.github.io/Logging_0980/klagomålsmail/A 64658-2023 FSC-klagomål mail.docx", "A 64658-2023")</f>
        <v/>
      </c>
      <c r="X94">
        <f>HYPERLINK("https://klasma.github.io/Logging_0980/tillsyn/A 64658-2023 tillsynsbegäran.docx", "A 64658-2023")</f>
        <v/>
      </c>
      <c r="Y94">
        <f>HYPERLINK("https://klasma.github.io/Logging_0980/tillsynsmail/A 64658-2023 tillsynsbegäran mail.docx", "A 64658-2023")</f>
        <v/>
      </c>
    </row>
    <row r="95" ht="15" customHeight="1">
      <c r="A95" t="inlineStr">
        <is>
          <t>A 6050-2024</t>
        </is>
      </c>
      <c r="B95" s="1" t="n">
        <v>45336</v>
      </c>
      <c r="C95" s="1" t="n">
        <v>45852</v>
      </c>
      <c r="D95" t="inlineStr">
        <is>
          <t>GOTLANDS LÄN</t>
        </is>
      </c>
      <c r="E95" t="inlineStr">
        <is>
          <t>GOTLAND</t>
        </is>
      </c>
      <c r="G95" t="n">
        <v>5.1</v>
      </c>
      <c r="H95" t="n">
        <v>0</v>
      </c>
      <c r="I95" t="n">
        <v>4</v>
      </c>
      <c r="J95" t="n">
        <v>2</v>
      </c>
      <c r="K95" t="n">
        <v>0</v>
      </c>
      <c r="L95" t="n">
        <v>0</v>
      </c>
      <c r="M95" t="n">
        <v>0</v>
      </c>
      <c r="N95" t="n">
        <v>0</v>
      </c>
      <c r="O95" t="n">
        <v>2</v>
      </c>
      <c r="P95" t="n">
        <v>0</v>
      </c>
      <c r="Q95" t="n">
        <v>6</v>
      </c>
      <c r="R95" s="2" t="inlineStr">
        <is>
          <t>Blek fingersvamp
Vippärt
Anisspindling
Kryddspindling
Olivspindling
Strimspindling</t>
        </is>
      </c>
      <c r="S95">
        <f>HYPERLINK("https://klasma.github.io/Logging_0980/artfynd/A 6050-2024 artfynd.xlsx", "A 6050-2024")</f>
        <v/>
      </c>
      <c r="T95">
        <f>HYPERLINK("https://klasma.github.io/Logging_0980/kartor/A 6050-2024 karta.png", "A 6050-2024")</f>
        <v/>
      </c>
      <c r="V95">
        <f>HYPERLINK("https://klasma.github.io/Logging_0980/klagomål/A 6050-2024 FSC-klagomål.docx", "A 6050-2024")</f>
        <v/>
      </c>
      <c r="W95">
        <f>HYPERLINK("https://klasma.github.io/Logging_0980/klagomålsmail/A 6050-2024 FSC-klagomål mail.docx", "A 6050-2024")</f>
        <v/>
      </c>
      <c r="X95">
        <f>HYPERLINK("https://klasma.github.io/Logging_0980/tillsyn/A 6050-2024 tillsynsbegäran.docx", "A 6050-2024")</f>
        <v/>
      </c>
      <c r="Y95">
        <f>HYPERLINK("https://klasma.github.io/Logging_0980/tillsynsmail/A 6050-2024 tillsynsbegäran mail.docx", "A 6050-2024")</f>
        <v/>
      </c>
    </row>
    <row r="96" ht="15" customHeight="1">
      <c r="A96" t="inlineStr">
        <is>
          <t>A 16823-2024</t>
        </is>
      </c>
      <c r="B96" s="1" t="n">
        <v>45411</v>
      </c>
      <c r="C96" s="1" t="n">
        <v>45852</v>
      </c>
      <c r="D96" t="inlineStr">
        <is>
          <t>GOTLANDS LÄN</t>
        </is>
      </c>
      <c r="E96" t="inlineStr">
        <is>
          <t>GOTLAND</t>
        </is>
      </c>
      <c r="G96" t="n">
        <v>25.4</v>
      </c>
      <c r="H96" t="n">
        <v>5</v>
      </c>
      <c r="I96" t="n">
        <v>1</v>
      </c>
      <c r="J96" t="n">
        <v>2</v>
      </c>
      <c r="K96" t="n">
        <v>0</v>
      </c>
      <c r="L96" t="n">
        <v>0</v>
      </c>
      <c r="M96" t="n">
        <v>0</v>
      </c>
      <c r="N96" t="n">
        <v>0</v>
      </c>
      <c r="O96" t="n">
        <v>2</v>
      </c>
      <c r="P96" t="n">
        <v>0</v>
      </c>
      <c r="Q96" t="n">
        <v>6</v>
      </c>
      <c r="R96" s="2" t="inlineStr">
        <is>
          <t>Gulsparv
Jordtistel
Flugblomster
Brudsporre
Johannesnycklar
Sankt pers nycklar</t>
        </is>
      </c>
      <c r="S96">
        <f>HYPERLINK("https://klasma.github.io/Logging_0980/artfynd/A 16823-2024 artfynd.xlsx", "A 16823-2024")</f>
        <v/>
      </c>
      <c r="T96">
        <f>HYPERLINK("https://klasma.github.io/Logging_0980/kartor/A 16823-2024 karta.png", "A 16823-2024")</f>
        <v/>
      </c>
      <c r="V96">
        <f>HYPERLINK("https://klasma.github.io/Logging_0980/klagomål/A 16823-2024 FSC-klagomål.docx", "A 16823-2024")</f>
        <v/>
      </c>
      <c r="W96">
        <f>HYPERLINK("https://klasma.github.io/Logging_0980/klagomålsmail/A 16823-2024 FSC-klagomål mail.docx", "A 16823-2024")</f>
        <v/>
      </c>
      <c r="X96">
        <f>HYPERLINK("https://klasma.github.io/Logging_0980/tillsyn/A 16823-2024 tillsynsbegäran.docx", "A 16823-2024")</f>
        <v/>
      </c>
      <c r="Y96">
        <f>HYPERLINK("https://klasma.github.io/Logging_0980/tillsynsmail/A 16823-2024 tillsynsbegäran mail.docx", "A 16823-2024")</f>
        <v/>
      </c>
      <c r="Z96">
        <f>HYPERLINK("https://klasma.github.io/Logging_0980/fåglar/A 16823-2024 prioriterade fågelarter.docx", "A 16823-2024")</f>
        <v/>
      </c>
    </row>
    <row r="97" ht="15" customHeight="1">
      <c r="A97" t="inlineStr">
        <is>
          <t>A 45248-2024</t>
        </is>
      </c>
      <c r="B97" s="1" t="n">
        <v>45576</v>
      </c>
      <c r="C97" s="1" t="n">
        <v>45852</v>
      </c>
      <c r="D97" t="inlineStr">
        <is>
          <t>GOTLANDS LÄN</t>
        </is>
      </c>
      <c r="E97" t="inlineStr">
        <is>
          <t>GOTLAND</t>
        </is>
      </c>
      <c r="G97" t="n">
        <v>9.4</v>
      </c>
      <c r="H97" t="n">
        <v>0</v>
      </c>
      <c r="I97" t="n">
        <v>3</v>
      </c>
      <c r="J97" t="n">
        <v>1</v>
      </c>
      <c r="K97" t="n">
        <v>0</v>
      </c>
      <c r="L97" t="n">
        <v>1</v>
      </c>
      <c r="M97" t="n">
        <v>1</v>
      </c>
      <c r="N97" t="n">
        <v>0</v>
      </c>
      <c r="O97" t="n">
        <v>3</v>
      </c>
      <c r="P97" t="n">
        <v>2</v>
      </c>
      <c r="Q97" t="n">
        <v>6</v>
      </c>
      <c r="R97" s="2" t="inlineStr">
        <is>
          <t>Lundalm
Ask
Oxtungssvamp
Myskmadra
Stinkbrosking
Underviol</t>
        </is>
      </c>
      <c r="S97">
        <f>HYPERLINK("https://klasma.github.io/Logging_0980/artfynd/A 45248-2024 artfynd.xlsx", "A 45248-2024")</f>
        <v/>
      </c>
      <c r="T97">
        <f>HYPERLINK("https://klasma.github.io/Logging_0980/kartor/A 45248-2024 karta.png", "A 45248-2024")</f>
        <v/>
      </c>
      <c r="V97">
        <f>HYPERLINK("https://klasma.github.io/Logging_0980/klagomål/A 45248-2024 FSC-klagomål.docx", "A 45248-2024")</f>
        <v/>
      </c>
      <c r="W97">
        <f>HYPERLINK("https://klasma.github.io/Logging_0980/klagomålsmail/A 45248-2024 FSC-klagomål mail.docx", "A 45248-2024")</f>
        <v/>
      </c>
      <c r="X97">
        <f>HYPERLINK("https://klasma.github.io/Logging_0980/tillsyn/A 45248-2024 tillsynsbegäran.docx", "A 45248-2024")</f>
        <v/>
      </c>
      <c r="Y97">
        <f>HYPERLINK("https://klasma.github.io/Logging_0980/tillsynsmail/A 45248-2024 tillsynsbegäran mail.docx", "A 45248-2024")</f>
        <v/>
      </c>
    </row>
    <row r="98" ht="15" customHeight="1">
      <c r="A98" t="inlineStr">
        <is>
          <t>A 8645-2025</t>
        </is>
      </c>
      <c r="B98" s="1" t="n">
        <v>45712</v>
      </c>
      <c r="C98" s="1" t="n">
        <v>45852</v>
      </c>
      <c r="D98" t="inlineStr">
        <is>
          <t>GOTLANDS LÄN</t>
        </is>
      </c>
      <c r="E98" t="inlineStr">
        <is>
          <t>GOTLAND</t>
        </is>
      </c>
      <c r="G98" t="n">
        <v>21.9</v>
      </c>
      <c r="H98" t="n">
        <v>3</v>
      </c>
      <c r="I98" t="n">
        <v>4</v>
      </c>
      <c r="J98" t="n">
        <v>1</v>
      </c>
      <c r="K98" t="n">
        <v>0</v>
      </c>
      <c r="L98" t="n">
        <v>1</v>
      </c>
      <c r="M98" t="n">
        <v>0</v>
      </c>
      <c r="N98" t="n">
        <v>0</v>
      </c>
      <c r="O98" t="n">
        <v>2</v>
      </c>
      <c r="P98" t="n">
        <v>1</v>
      </c>
      <c r="Q98" t="n">
        <v>6</v>
      </c>
      <c r="R98" s="2" t="inlineStr">
        <is>
          <t>Ask
Spillkråka
Blåmossa
Kalktallört
Nästrot
Skogsknipprot</t>
        </is>
      </c>
      <c r="S98">
        <f>HYPERLINK("https://klasma.github.io/Logging_0980/artfynd/A 8645-2025 artfynd.xlsx", "A 8645-2025")</f>
        <v/>
      </c>
      <c r="T98">
        <f>HYPERLINK("https://klasma.github.io/Logging_0980/kartor/A 8645-2025 karta.png", "A 8645-2025")</f>
        <v/>
      </c>
      <c r="V98">
        <f>HYPERLINK("https://klasma.github.io/Logging_0980/klagomål/A 8645-2025 FSC-klagomål.docx", "A 8645-2025")</f>
        <v/>
      </c>
      <c r="W98">
        <f>HYPERLINK("https://klasma.github.io/Logging_0980/klagomålsmail/A 8645-2025 FSC-klagomål mail.docx", "A 8645-2025")</f>
        <v/>
      </c>
      <c r="X98">
        <f>HYPERLINK("https://klasma.github.io/Logging_0980/tillsyn/A 8645-2025 tillsynsbegäran.docx", "A 8645-2025")</f>
        <v/>
      </c>
      <c r="Y98">
        <f>HYPERLINK("https://klasma.github.io/Logging_0980/tillsynsmail/A 8645-2025 tillsynsbegäran mail.docx", "A 8645-2025")</f>
        <v/>
      </c>
      <c r="Z98">
        <f>HYPERLINK("https://klasma.github.io/Logging_0980/fåglar/A 8645-2025 prioriterade fågelarter.docx", "A 8645-2025")</f>
        <v/>
      </c>
    </row>
    <row r="99" ht="15" customHeight="1">
      <c r="A99" t="inlineStr">
        <is>
          <t>A 38183-2019</t>
        </is>
      </c>
      <c r="B99" s="1" t="n">
        <v>43684</v>
      </c>
      <c r="C99" s="1" t="n">
        <v>45852</v>
      </c>
      <c r="D99" t="inlineStr">
        <is>
          <t>GOTLANDS LÄN</t>
        </is>
      </c>
      <c r="E99" t="inlineStr">
        <is>
          <t>GOTLAND</t>
        </is>
      </c>
      <c r="G99" t="n">
        <v>2.1</v>
      </c>
      <c r="H99" t="n">
        <v>0</v>
      </c>
      <c r="I99" t="n">
        <v>2</v>
      </c>
      <c r="J99" t="n">
        <v>0</v>
      </c>
      <c r="K99" t="n">
        <v>3</v>
      </c>
      <c r="L99" t="n">
        <v>0</v>
      </c>
      <c r="M99" t="n">
        <v>0</v>
      </c>
      <c r="N99" t="n">
        <v>0</v>
      </c>
      <c r="O99" t="n">
        <v>3</v>
      </c>
      <c r="P99" t="n">
        <v>3</v>
      </c>
      <c r="Q99" t="n">
        <v>5</v>
      </c>
      <c r="R99" s="2" t="inlineStr">
        <is>
          <t>Bullspindling
Gulsträngad fagerspindling
Skogskorn
Anisspindling
Myskmadra</t>
        </is>
      </c>
      <c r="S99">
        <f>HYPERLINK("https://klasma.github.io/Logging_0980/artfynd/A 38183-2019 artfynd.xlsx", "A 38183-2019")</f>
        <v/>
      </c>
      <c r="T99">
        <f>HYPERLINK("https://klasma.github.io/Logging_0980/kartor/A 38183-2019 karta.png", "A 38183-2019")</f>
        <v/>
      </c>
      <c r="V99">
        <f>HYPERLINK("https://klasma.github.io/Logging_0980/klagomål/A 38183-2019 FSC-klagomål.docx", "A 38183-2019")</f>
        <v/>
      </c>
      <c r="W99">
        <f>HYPERLINK("https://klasma.github.io/Logging_0980/klagomålsmail/A 38183-2019 FSC-klagomål mail.docx", "A 38183-2019")</f>
        <v/>
      </c>
      <c r="X99">
        <f>HYPERLINK("https://klasma.github.io/Logging_0980/tillsyn/A 38183-2019 tillsynsbegäran.docx", "A 38183-2019")</f>
        <v/>
      </c>
      <c r="Y99">
        <f>HYPERLINK("https://klasma.github.io/Logging_0980/tillsynsmail/A 38183-2019 tillsynsbegäran mail.docx", "A 38183-2019")</f>
        <v/>
      </c>
    </row>
    <row r="100" ht="15" customHeight="1">
      <c r="A100" t="inlineStr">
        <is>
          <t>A 62991-2019</t>
        </is>
      </c>
      <c r="B100" s="1" t="n">
        <v>43790</v>
      </c>
      <c r="C100" s="1" t="n">
        <v>45852</v>
      </c>
      <c r="D100" t="inlineStr">
        <is>
          <t>GOTLANDS LÄN</t>
        </is>
      </c>
      <c r="E100" t="inlineStr">
        <is>
          <t>GOTLAND</t>
        </is>
      </c>
      <c r="G100" t="n">
        <v>3.9</v>
      </c>
      <c r="H100" t="n">
        <v>0</v>
      </c>
      <c r="I100" t="n">
        <v>2</v>
      </c>
      <c r="J100" t="n">
        <v>3</v>
      </c>
      <c r="K100" t="n">
        <v>0</v>
      </c>
      <c r="L100" t="n">
        <v>0</v>
      </c>
      <c r="M100" t="n">
        <v>0</v>
      </c>
      <c r="N100" t="n">
        <v>0</v>
      </c>
      <c r="O100" t="n">
        <v>3</v>
      </c>
      <c r="P100" t="n">
        <v>0</v>
      </c>
      <c r="Q100" t="n">
        <v>5</v>
      </c>
      <c r="R100" s="2" t="inlineStr">
        <is>
          <t>Reliktbock
Smedbock
Tallticka
Blodticka
Mindre märgborre</t>
        </is>
      </c>
      <c r="S100">
        <f>HYPERLINK("https://klasma.github.io/Logging_0980/artfynd/A 62991-2019 artfynd.xlsx", "A 62991-2019")</f>
        <v/>
      </c>
      <c r="T100">
        <f>HYPERLINK("https://klasma.github.io/Logging_0980/kartor/A 62991-2019 karta.png", "A 62991-2019")</f>
        <v/>
      </c>
      <c r="V100">
        <f>HYPERLINK("https://klasma.github.io/Logging_0980/klagomål/A 62991-2019 FSC-klagomål.docx", "A 62991-2019")</f>
        <v/>
      </c>
      <c r="W100">
        <f>HYPERLINK("https://klasma.github.io/Logging_0980/klagomålsmail/A 62991-2019 FSC-klagomål mail.docx", "A 62991-2019")</f>
        <v/>
      </c>
      <c r="X100">
        <f>HYPERLINK("https://klasma.github.io/Logging_0980/tillsyn/A 62991-2019 tillsynsbegäran.docx", "A 62991-2019")</f>
        <v/>
      </c>
      <c r="Y100">
        <f>HYPERLINK("https://klasma.github.io/Logging_0980/tillsynsmail/A 62991-2019 tillsynsbegäran mail.docx", "A 62991-2019")</f>
        <v/>
      </c>
    </row>
    <row r="101" ht="15" customHeight="1">
      <c r="A101" t="inlineStr">
        <is>
          <t>A 7648-2020</t>
        </is>
      </c>
      <c r="B101" s="1" t="n">
        <v>43872</v>
      </c>
      <c r="C101" s="1" t="n">
        <v>45852</v>
      </c>
      <c r="D101" t="inlineStr">
        <is>
          <t>GOTLANDS LÄN</t>
        </is>
      </c>
      <c r="E101" t="inlineStr">
        <is>
          <t>GOTLAND</t>
        </is>
      </c>
      <c r="F101" t="inlineStr">
        <is>
          <t>Kyrkan</t>
        </is>
      </c>
      <c r="G101" t="n">
        <v>4.2</v>
      </c>
      <c r="H101" t="n">
        <v>0</v>
      </c>
      <c r="I101" t="n">
        <v>3</v>
      </c>
      <c r="J101" t="n">
        <v>1</v>
      </c>
      <c r="K101" t="n">
        <v>0</v>
      </c>
      <c r="L101" t="n">
        <v>1</v>
      </c>
      <c r="M101" t="n">
        <v>0</v>
      </c>
      <c r="N101" t="n">
        <v>0</v>
      </c>
      <c r="O101" t="n">
        <v>2</v>
      </c>
      <c r="P101" t="n">
        <v>1</v>
      </c>
      <c r="Q101" t="n">
        <v>5</v>
      </c>
      <c r="R101" s="2" t="inlineStr">
        <is>
          <t>Ädellav
Orangepudrad klotterlav
Kornig nållav
Rikfruktig blemlav
Slät lönnlav</t>
        </is>
      </c>
      <c r="S101">
        <f>HYPERLINK("https://klasma.github.io/Logging_0980/artfynd/A 7648-2020 artfynd.xlsx", "A 7648-2020")</f>
        <v/>
      </c>
      <c r="T101">
        <f>HYPERLINK("https://klasma.github.io/Logging_0980/kartor/A 7648-2020 karta.png", "A 7648-2020")</f>
        <v/>
      </c>
      <c r="V101">
        <f>HYPERLINK("https://klasma.github.io/Logging_0980/klagomål/A 7648-2020 FSC-klagomål.docx", "A 7648-2020")</f>
        <v/>
      </c>
      <c r="W101">
        <f>HYPERLINK("https://klasma.github.io/Logging_0980/klagomålsmail/A 7648-2020 FSC-klagomål mail.docx", "A 7648-2020")</f>
        <v/>
      </c>
      <c r="X101">
        <f>HYPERLINK("https://klasma.github.io/Logging_0980/tillsyn/A 7648-2020 tillsynsbegäran.docx", "A 7648-2020")</f>
        <v/>
      </c>
      <c r="Y101">
        <f>HYPERLINK("https://klasma.github.io/Logging_0980/tillsynsmail/A 7648-2020 tillsynsbegäran mail.docx", "A 7648-2020")</f>
        <v/>
      </c>
    </row>
    <row r="102" ht="15" customHeight="1">
      <c r="A102" t="inlineStr">
        <is>
          <t>A 22317-2022</t>
        </is>
      </c>
      <c r="B102" s="1" t="n">
        <v>44712</v>
      </c>
      <c r="C102" s="1" t="n">
        <v>45852</v>
      </c>
      <c r="D102" t="inlineStr">
        <is>
          <t>GOTLANDS LÄN</t>
        </is>
      </c>
      <c r="E102" t="inlineStr">
        <is>
          <t>GOTLAND</t>
        </is>
      </c>
      <c r="G102" t="n">
        <v>2</v>
      </c>
      <c r="H102" t="n">
        <v>0</v>
      </c>
      <c r="I102" t="n">
        <v>4</v>
      </c>
      <c r="J102" t="n">
        <v>1</v>
      </c>
      <c r="K102" t="n">
        <v>0</v>
      </c>
      <c r="L102" t="n">
        <v>0</v>
      </c>
      <c r="M102" t="n">
        <v>0</v>
      </c>
      <c r="N102" t="n">
        <v>0</v>
      </c>
      <c r="O102" t="n">
        <v>1</v>
      </c>
      <c r="P102" t="n">
        <v>0</v>
      </c>
      <c r="Q102" t="n">
        <v>5</v>
      </c>
      <c r="R102" s="2" t="inlineStr">
        <is>
          <t>Odörspindling
Anisspindling
Blå slemspindling
Kattfotslav
Svavelriska</t>
        </is>
      </c>
      <c r="S102">
        <f>HYPERLINK("https://klasma.github.io/Logging_0980/artfynd/A 22317-2022 artfynd.xlsx", "A 22317-2022")</f>
        <v/>
      </c>
      <c r="T102">
        <f>HYPERLINK("https://klasma.github.io/Logging_0980/kartor/A 22317-2022 karta.png", "A 22317-2022")</f>
        <v/>
      </c>
      <c r="V102">
        <f>HYPERLINK("https://klasma.github.io/Logging_0980/klagomål/A 22317-2022 FSC-klagomål.docx", "A 22317-2022")</f>
        <v/>
      </c>
      <c r="W102">
        <f>HYPERLINK("https://klasma.github.io/Logging_0980/klagomålsmail/A 22317-2022 FSC-klagomål mail.docx", "A 22317-2022")</f>
        <v/>
      </c>
      <c r="X102">
        <f>HYPERLINK("https://klasma.github.io/Logging_0980/tillsyn/A 22317-2022 tillsynsbegäran.docx", "A 22317-2022")</f>
        <v/>
      </c>
      <c r="Y102">
        <f>HYPERLINK("https://klasma.github.io/Logging_0980/tillsynsmail/A 22317-2022 tillsynsbegäran mail.docx", "A 22317-2022")</f>
        <v/>
      </c>
    </row>
    <row r="103" ht="15" customHeight="1">
      <c r="A103" t="inlineStr">
        <is>
          <t>A 39471-2022</t>
        </is>
      </c>
      <c r="B103" s="1" t="n">
        <v>44818</v>
      </c>
      <c r="C103" s="1" t="n">
        <v>45852</v>
      </c>
      <c r="D103" t="inlineStr">
        <is>
          <t>GOTLANDS LÄN</t>
        </is>
      </c>
      <c r="E103" t="inlineStr">
        <is>
          <t>GOTLAND</t>
        </is>
      </c>
      <c r="G103" t="n">
        <v>4.6</v>
      </c>
      <c r="H103" t="n">
        <v>0</v>
      </c>
      <c r="I103" t="n">
        <v>3</v>
      </c>
      <c r="J103" t="n">
        <v>1</v>
      </c>
      <c r="K103" t="n">
        <v>1</v>
      </c>
      <c r="L103" t="n">
        <v>0</v>
      </c>
      <c r="M103" t="n">
        <v>0</v>
      </c>
      <c r="N103" t="n">
        <v>0</v>
      </c>
      <c r="O103" t="n">
        <v>2</v>
      </c>
      <c r="P103" t="n">
        <v>1</v>
      </c>
      <c r="Q103" t="n">
        <v>5</v>
      </c>
      <c r="R103" s="2" t="inlineStr">
        <is>
          <t>Duvspindling
Odörspindling
Anisspindling
Blå slemspindling
Svavelriska</t>
        </is>
      </c>
      <c r="S103">
        <f>HYPERLINK("https://klasma.github.io/Logging_0980/artfynd/A 39471-2022 artfynd.xlsx", "A 39471-2022")</f>
        <v/>
      </c>
      <c r="T103">
        <f>HYPERLINK("https://klasma.github.io/Logging_0980/kartor/A 39471-2022 karta.png", "A 39471-2022")</f>
        <v/>
      </c>
      <c r="V103">
        <f>HYPERLINK("https://klasma.github.io/Logging_0980/klagomål/A 39471-2022 FSC-klagomål.docx", "A 39471-2022")</f>
        <v/>
      </c>
      <c r="W103">
        <f>HYPERLINK("https://klasma.github.io/Logging_0980/klagomålsmail/A 39471-2022 FSC-klagomål mail.docx", "A 39471-2022")</f>
        <v/>
      </c>
      <c r="X103">
        <f>HYPERLINK("https://klasma.github.io/Logging_0980/tillsyn/A 39471-2022 tillsynsbegäran.docx", "A 39471-2022")</f>
        <v/>
      </c>
      <c r="Y103">
        <f>HYPERLINK("https://klasma.github.io/Logging_0980/tillsynsmail/A 39471-2022 tillsynsbegäran mail.docx", "A 39471-2022")</f>
        <v/>
      </c>
    </row>
    <row r="104" ht="15" customHeight="1">
      <c r="A104" t="inlineStr">
        <is>
          <t>A 43074-2022</t>
        </is>
      </c>
      <c r="B104" s="1" t="n">
        <v>44833</v>
      </c>
      <c r="C104" s="1" t="n">
        <v>45852</v>
      </c>
      <c r="D104" t="inlineStr">
        <is>
          <t>GOTLANDS LÄN</t>
        </is>
      </c>
      <c r="E104" t="inlineStr">
        <is>
          <t>GOTLAND</t>
        </is>
      </c>
      <c r="G104" t="n">
        <v>10.6</v>
      </c>
      <c r="H104" t="n">
        <v>3</v>
      </c>
      <c r="I104" t="n">
        <v>1</v>
      </c>
      <c r="J104" t="n">
        <v>3</v>
      </c>
      <c r="K104" t="n">
        <v>1</v>
      </c>
      <c r="L104" t="n">
        <v>0</v>
      </c>
      <c r="M104" t="n">
        <v>0</v>
      </c>
      <c r="N104" t="n">
        <v>0</v>
      </c>
      <c r="O104" t="n">
        <v>4</v>
      </c>
      <c r="P104" t="n">
        <v>1</v>
      </c>
      <c r="Q104" t="n">
        <v>5</v>
      </c>
      <c r="R104" s="2" t="inlineStr">
        <is>
          <t>Väddnätfjäril
Gulsparv
Rödvingetrast
Skugglosta
Strävlosta</t>
        </is>
      </c>
      <c r="S104">
        <f>HYPERLINK("https://klasma.github.io/Logging_0980/artfynd/A 43074-2022 artfynd.xlsx", "A 43074-2022")</f>
        <v/>
      </c>
      <c r="T104">
        <f>HYPERLINK("https://klasma.github.io/Logging_0980/kartor/A 43074-2022 karta.png", "A 43074-2022")</f>
        <v/>
      </c>
      <c r="V104">
        <f>HYPERLINK("https://klasma.github.io/Logging_0980/klagomål/A 43074-2022 FSC-klagomål.docx", "A 43074-2022")</f>
        <v/>
      </c>
      <c r="W104">
        <f>HYPERLINK("https://klasma.github.io/Logging_0980/klagomålsmail/A 43074-2022 FSC-klagomål mail.docx", "A 43074-2022")</f>
        <v/>
      </c>
      <c r="X104">
        <f>HYPERLINK("https://klasma.github.io/Logging_0980/tillsyn/A 43074-2022 tillsynsbegäran.docx", "A 43074-2022")</f>
        <v/>
      </c>
      <c r="Y104">
        <f>HYPERLINK("https://klasma.github.io/Logging_0980/tillsynsmail/A 43074-2022 tillsynsbegäran mail.docx", "A 43074-2022")</f>
        <v/>
      </c>
      <c r="Z104">
        <f>HYPERLINK("https://klasma.github.io/Logging_0980/fåglar/A 43074-2022 prioriterade fågelarter.docx", "A 43074-2022")</f>
        <v/>
      </c>
    </row>
    <row r="105" ht="15" customHeight="1">
      <c r="A105" t="inlineStr">
        <is>
          <t>A 44944-2022</t>
        </is>
      </c>
      <c r="B105" s="1" t="n">
        <v>44841</v>
      </c>
      <c r="C105" s="1" t="n">
        <v>45852</v>
      </c>
      <c r="D105" t="inlineStr">
        <is>
          <t>GOTLANDS LÄN</t>
        </is>
      </c>
      <c r="E105" t="inlineStr">
        <is>
          <t>GOTLAND</t>
        </is>
      </c>
      <c r="G105" t="n">
        <v>2.8</v>
      </c>
      <c r="H105" t="n">
        <v>0</v>
      </c>
      <c r="I105" t="n">
        <v>3</v>
      </c>
      <c r="J105" t="n">
        <v>2</v>
      </c>
      <c r="K105" t="n">
        <v>0</v>
      </c>
      <c r="L105" t="n">
        <v>0</v>
      </c>
      <c r="M105" t="n">
        <v>0</v>
      </c>
      <c r="N105" t="n">
        <v>0</v>
      </c>
      <c r="O105" t="n">
        <v>2</v>
      </c>
      <c r="P105" t="n">
        <v>0</v>
      </c>
      <c r="Q105" t="n">
        <v>5</v>
      </c>
      <c r="R105" s="2" t="inlineStr">
        <is>
          <t>Denisespindling
Odörspindling
Anisspindling
Fjällig taggsvamp s.str.
Rödgul trumpetsvamp</t>
        </is>
      </c>
      <c r="S105">
        <f>HYPERLINK("https://klasma.github.io/Logging_0980/artfynd/A 44944-2022 artfynd.xlsx", "A 44944-2022")</f>
        <v/>
      </c>
      <c r="T105">
        <f>HYPERLINK("https://klasma.github.io/Logging_0980/kartor/A 44944-2022 karta.png", "A 44944-2022")</f>
        <v/>
      </c>
      <c r="V105">
        <f>HYPERLINK("https://klasma.github.io/Logging_0980/klagomål/A 44944-2022 FSC-klagomål.docx", "A 44944-2022")</f>
        <v/>
      </c>
      <c r="W105">
        <f>HYPERLINK("https://klasma.github.io/Logging_0980/klagomålsmail/A 44944-2022 FSC-klagomål mail.docx", "A 44944-2022")</f>
        <v/>
      </c>
      <c r="X105">
        <f>HYPERLINK("https://klasma.github.io/Logging_0980/tillsyn/A 44944-2022 tillsynsbegäran.docx", "A 44944-2022")</f>
        <v/>
      </c>
      <c r="Y105">
        <f>HYPERLINK("https://klasma.github.io/Logging_0980/tillsynsmail/A 44944-2022 tillsynsbegäran mail.docx", "A 44944-2022")</f>
        <v/>
      </c>
    </row>
    <row r="106" ht="15" customHeight="1">
      <c r="A106" t="inlineStr">
        <is>
          <t>A 54055-2022</t>
        </is>
      </c>
      <c r="B106" s="1" t="n">
        <v>44881</v>
      </c>
      <c r="C106" s="1" t="n">
        <v>45852</v>
      </c>
      <c r="D106" t="inlineStr">
        <is>
          <t>GOTLANDS LÄN</t>
        </is>
      </c>
      <c r="E106" t="inlineStr">
        <is>
          <t>GOTLAND</t>
        </is>
      </c>
      <c r="G106" t="n">
        <v>4.6</v>
      </c>
      <c r="H106" t="n">
        <v>0</v>
      </c>
      <c r="I106" t="n">
        <v>3</v>
      </c>
      <c r="J106" t="n">
        <v>1</v>
      </c>
      <c r="K106" t="n">
        <v>1</v>
      </c>
      <c r="L106" t="n">
        <v>0</v>
      </c>
      <c r="M106" t="n">
        <v>0</v>
      </c>
      <c r="N106" t="n">
        <v>0</v>
      </c>
      <c r="O106" t="n">
        <v>2</v>
      </c>
      <c r="P106" t="n">
        <v>1</v>
      </c>
      <c r="Q106" t="n">
        <v>5</v>
      </c>
      <c r="R106" s="2" t="inlineStr">
        <is>
          <t>Duvspindling
Odörspindling
Diskvaxskivling
Kryddspindling
Olivspindling</t>
        </is>
      </c>
      <c r="S106">
        <f>HYPERLINK("https://klasma.github.io/Logging_0980/artfynd/A 54055-2022 artfynd.xlsx", "A 54055-2022")</f>
        <v/>
      </c>
      <c r="T106">
        <f>HYPERLINK("https://klasma.github.io/Logging_0980/kartor/A 54055-2022 karta.png", "A 54055-2022")</f>
        <v/>
      </c>
      <c r="V106">
        <f>HYPERLINK("https://klasma.github.io/Logging_0980/klagomål/A 54055-2022 FSC-klagomål.docx", "A 54055-2022")</f>
        <v/>
      </c>
      <c r="W106">
        <f>HYPERLINK("https://klasma.github.io/Logging_0980/klagomålsmail/A 54055-2022 FSC-klagomål mail.docx", "A 54055-2022")</f>
        <v/>
      </c>
      <c r="X106">
        <f>HYPERLINK("https://klasma.github.io/Logging_0980/tillsyn/A 54055-2022 tillsynsbegäran.docx", "A 54055-2022")</f>
        <v/>
      </c>
      <c r="Y106">
        <f>HYPERLINK("https://klasma.github.io/Logging_0980/tillsynsmail/A 54055-2022 tillsynsbegäran mail.docx", "A 54055-2022")</f>
        <v/>
      </c>
    </row>
    <row r="107" ht="15" customHeight="1">
      <c r="A107" t="inlineStr">
        <is>
          <t>A 39425-2023</t>
        </is>
      </c>
      <c r="B107" s="1" t="n">
        <v>45166</v>
      </c>
      <c r="C107" s="1" t="n">
        <v>45852</v>
      </c>
      <c r="D107" t="inlineStr">
        <is>
          <t>GOTLANDS LÄN</t>
        </is>
      </c>
      <c r="E107" t="inlineStr">
        <is>
          <t>GOTLAND</t>
        </is>
      </c>
      <c r="G107" t="n">
        <v>3.9</v>
      </c>
      <c r="H107" t="n">
        <v>1</v>
      </c>
      <c r="I107" t="n">
        <v>3</v>
      </c>
      <c r="J107" t="n">
        <v>0</v>
      </c>
      <c r="K107" t="n">
        <v>2</v>
      </c>
      <c r="L107" t="n">
        <v>0</v>
      </c>
      <c r="M107" t="n">
        <v>0</v>
      </c>
      <c r="N107" t="n">
        <v>0</v>
      </c>
      <c r="O107" t="n">
        <v>2</v>
      </c>
      <c r="P107" t="n">
        <v>2</v>
      </c>
      <c r="Q107" t="n">
        <v>5</v>
      </c>
      <c r="R107" s="2" t="inlineStr">
        <is>
          <t>Knärot
Violgubbe
Anisspindling
Rödgul trumpetsvamp
Svavelriska</t>
        </is>
      </c>
      <c r="S107">
        <f>HYPERLINK("https://klasma.github.io/Logging_0980/artfynd/A 39425-2023 artfynd.xlsx", "A 39425-2023")</f>
        <v/>
      </c>
      <c r="T107">
        <f>HYPERLINK("https://klasma.github.io/Logging_0980/kartor/A 39425-2023 karta.png", "A 39425-2023")</f>
        <v/>
      </c>
      <c r="U107">
        <f>HYPERLINK("https://klasma.github.io/Logging_0980/knärot/A 39425-2023 karta knärot.png", "A 39425-2023")</f>
        <v/>
      </c>
      <c r="V107">
        <f>HYPERLINK("https://klasma.github.io/Logging_0980/klagomål/A 39425-2023 FSC-klagomål.docx", "A 39425-2023")</f>
        <v/>
      </c>
      <c r="W107">
        <f>HYPERLINK("https://klasma.github.io/Logging_0980/klagomålsmail/A 39425-2023 FSC-klagomål mail.docx", "A 39425-2023")</f>
        <v/>
      </c>
      <c r="X107">
        <f>HYPERLINK("https://klasma.github.io/Logging_0980/tillsyn/A 39425-2023 tillsynsbegäran.docx", "A 39425-2023")</f>
        <v/>
      </c>
      <c r="Y107">
        <f>HYPERLINK("https://klasma.github.io/Logging_0980/tillsynsmail/A 39425-2023 tillsynsbegäran mail.docx", "A 39425-2023")</f>
        <v/>
      </c>
    </row>
    <row r="108" ht="15" customHeight="1">
      <c r="A108" t="inlineStr">
        <is>
          <t>A 48749-2023</t>
        </is>
      </c>
      <c r="B108" s="1" t="n">
        <v>45208</v>
      </c>
      <c r="C108" s="1" t="n">
        <v>45852</v>
      </c>
      <c r="D108" t="inlineStr">
        <is>
          <t>GOTLANDS LÄN</t>
        </is>
      </c>
      <c r="E108" t="inlineStr">
        <is>
          <t>GOTLAND</t>
        </is>
      </c>
      <c r="G108" t="n">
        <v>6.8</v>
      </c>
      <c r="H108" t="n">
        <v>2</v>
      </c>
      <c r="I108" t="n">
        <v>2</v>
      </c>
      <c r="J108" t="n">
        <v>2</v>
      </c>
      <c r="K108" t="n">
        <v>1</v>
      </c>
      <c r="L108" t="n">
        <v>0</v>
      </c>
      <c r="M108" t="n">
        <v>0</v>
      </c>
      <c r="N108" t="n">
        <v>0</v>
      </c>
      <c r="O108" t="n">
        <v>3</v>
      </c>
      <c r="P108" t="n">
        <v>1</v>
      </c>
      <c r="Q108" t="n">
        <v>5</v>
      </c>
      <c r="R108" s="2" t="inlineStr">
        <is>
          <t>Garderönn
Axveronika
Backtimjan
Murgröna
Skogsknipprot</t>
        </is>
      </c>
      <c r="S108">
        <f>HYPERLINK("https://klasma.github.io/Logging_0980/artfynd/A 48749-2023 artfynd.xlsx", "A 48749-2023")</f>
        <v/>
      </c>
      <c r="T108">
        <f>HYPERLINK("https://klasma.github.io/Logging_0980/kartor/A 48749-2023 karta.png", "A 48749-2023")</f>
        <v/>
      </c>
      <c r="V108">
        <f>HYPERLINK("https://klasma.github.io/Logging_0980/klagomål/A 48749-2023 FSC-klagomål.docx", "A 48749-2023")</f>
        <v/>
      </c>
      <c r="W108">
        <f>HYPERLINK("https://klasma.github.io/Logging_0980/klagomålsmail/A 48749-2023 FSC-klagomål mail.docx", "A 48749-2023")</f>
        <v/>
      </c>
      <c r="X108">
        <f>HYPERLINK("https://klasma.github.io/Logging_0980/tillsyn/A 48749-2023 tillsynsbegäran.docx", "A 48749-2023")</f>
        <v/>
      </c>
      <c r="Y108">
        <f>HYPERLINK("https://klasma.github.io/Logging_0980/tillsynsmail/A 48749-2023 tillsynsbegäran mail.docx", "A 48749-2023")</f>
        <v/>
      </c>
    </row>
    <row r="109" ht="15" customHeight="1">
      <c r="A109" t="inlineStr">
        <is>
          <t>A 32300-2024</t>
        </is>
      </c>
      <c r="B109" s="1" t="n">
        <v>45512</v>
      </c>
      <c r="C109" s="1" t="n">
        <v>45852</v>
      </c>
      <c r="D109" t="inlineStr">
        <is>
          <t>GOTLANDS LÄN</t>
        </is>
      </c>
      <c r="E109" t="inlineStr">
        <is>
          <t>GOTLAND</t>
        </is>
      </c>
      <c r="G109" t="n">
        <v>5.3</v>
      </c>
      <c r="H109" t="n">
        <v>3</v>
      </c>
      <c r="I109" t="n">
        <v>4</v>
      </c>
      <c r="J109" t="n">
        <v>0</v>
      </c>
      <c r="K109" t="n">
        <v>1</v>
      </c>
      <c r="L109" t="n">
        <v>0</v>
      </c>
      <c r="M109" t="n">
        <v>0</v>
      </c>
      <c r="N109" t="n">
        <v>0</v>
      </c>
      <c r="O109" t="n">
        <v>1</v>
      </c>
      <c r="P109" t="n">
        <v>1</v>
      </c>
      <c r="Q109" t="n">
        <v>5</v>
      </c>
      <c r="R109" s="2" t="inlineStr">
        <is>
          <t>Vit taggsvamp
Blå slemspindling
Flugblomster
Purpurknipprot
Tvåblad</t>
        </is>
      </c>
      <c r="S109">
        <f>HYPERLINK("https://klasma.github.io/Logging_0980/artfynd/A 32300-2024 artfynd.xlsx", "A 32300-2024")</f>
        <v/>
      </c>
      <c r="T109">
        <f>HYPERLINK("https://klasma.github.io/Logging_0980/kartor/A 32300-2024 karta.png", "A 32300-2024")</f>
        <v/>
      </c>
      <c r="V109">
        <f>HYPERLINK("https://klasma.github.io/Logging_0980/klagomål/A 32300-2024 FSC-klagomål.docx", "A 32300-2024")</f>
        <v/>
      </c>
      <c r="W109">
        <f>HYPERLINK("https://klasma.github.io/Logging_0980/klagomålsmail/A 32300-2024 FSC-klagomål mail.docx", "A 32300-2024")</f>
        <v/>
      </c>
      <c r="X109">
        <f>HYPERLINK("https://klasma.github.io/Logging_0980/tillsyn/A 32300-2024 tillsynsbegäran.docx", "A 32300-2024")</f>
        <v/>
      </c>
      <c r="Y109">
        <f>HYPERLINK("https://klasma.github.io/Logging_0980/tillsynsmail/A 32300-2024 tillsynsbegäran mail.docx", "A 32300-2024")</f>
        <v/>
      </c>
    </row>
    <row r="110" ht="15" customHeight="1">
      <c r="A110" t="inlineStr">
        <is>
          <t>A 32326-2024</t>
        </is>
      </c>
      <c r="B110" s="1" t="n">
        <v>45512</v>
      </c>
      <c r="C110" s="1" t="n">
        <v>45852</v>
      </c>
      <c r="D110" t="inlineStr">
        <is>
          <t>GOTLANDS LÄN</t>
        </is>
      </c>
      <c r="E110" t="inlineStr">
        <is>
          <t>GOTLAND</t>
        </is>
      </c>
      <c r="G110" t="n">
        <v>9.199999999999999</v>
      </c>
      <c r="H110" t="n">
        <v>3</v>
      </c>
      <c r="I110" t="n">
        <v>2</v>
      </c>
      <c r="J110" t="n">
        <v>2</v>
      </c>
      <c r="K110" t="n">
        <v>0</v>
      </c>
      <c r="L110" t="n">
        <v>0</v>
      </c>
      <c r="M110" t="n">
        <v>0</v>
      </c>
      <c r="N110" t="n">
        <v>0</v>
      </c>
      <c r="O110" t="n">
        <v>2</v>
      </c>
      <c r="P110" t="n">
        <v>0</v>
      </c>
      <c r="Q110" t="n">
        <v>5</v>
      </c>
      <c r="R110" s="2" t="inlineStr">
        <is>
          <t>Jordtistel
Svinrot
Purpurknipprot
Skogsknipprot
Brudsporre</t>
        </is>
      </c>
      <c r="S110">
        <f>HYPERLINK("https://klasma.github.io/Logging_0980/artfynd/A 32326-2024 artfynd.xlsx", "A 32326-2024")</f>
        <v/>
      </c>
      <c r="T110">
        <f>HYPERLINK("https://klasma.github.io/Logging_0980/kartor/A 32326-2024 karta.png", "A 32326-2024")</f>
        <v/>
      </c>
      <c r="V110">
        <f>HYPERLINK("https://klasma.github.io/Logging_0980/klagomål/A 32326-2024 FSC-klagomål.docx", "A 32326-2024")</f>
        <v/>
      </c>
      <c r="W110">
        <f>HYPERLINK("https://klasma.github.io/Logging_0980/klagomålsmail/A 32326-2024 FSC-klagomål mail.docx", "A 32326-2024")</f>
        <v/>
      </c>
      <c r="X110">
        <f>HYPERLINK("https://klasma.github.io/Logging_0980/tillsyn/A 32326-2024 tillsynsbegäran.docx", "A 32326-2024")</f>
        <v/>
      </c>
      <c r="Y110">
        <f>HYPERLINK("https://klasma.github.io/Logging_0980/tillsynsmail/A 32326-2024 tillsynsbegäran mail.docx", "A 32326-2024")</f>
        <v/>
      </c>
    </row>
    <row r="111" ht="15" customHeight="1">
      <c r="A111" t="inlineStr">
        <is>
          <t>A 34584-2024</t>
        </is>
      </c>
      <c r="B111" s="1" t="n">
        <v>45526</v>
      </c>
      <c r="C111" s="1" t="n">
        <v>45852</v>
      </c>
      <c r="D111" t="inlineStr">
        <is>
          <t>GOTLANDS LÄN</t>
        </is>
      </c>
      <c r="E111" t="inlineStr">
        <is>
          <t>GOTLAND</t>
        </is>
      </c>
      <c r="G111" t="n">
        <v>3.4</v>
      </c>
      <c r="H111" t="n">
        <v>3</v>
      </c>
      <c r="I111" t="n">
        <v>1</v>
      </c>
      <c r="J111" t="n">
        <v>3</v>
      </c>
      <c r="K111" t="n">
        <v>1</v>
      </c>
      <c r="L111" t="n">
        <v>0</v>
      </c>
      <c r="M111" t="n">
        <v>0</v>
      </c>
      <c r="N111" t="n">
        <v>0</v>
      </c>
      <c r="O111" t="n">
        <v>4</v>
      </c>
      <c r="P111" t="n">
        <v>1</v>
      </c>
      <c r="Q111" t="n">
        <v>5</v>
      </c>
      <c r="R111" s="2" t="inlineStr">
        <is>
          <t>Garderönn
Dårgräsfjäril
Spillkråka
Svinrot
Blåmossa</t>
        </is>
      </c>
      <c r="S111">
        <f>HYPERLINK("https://klasma.github.io/Logging_0980/artfynd/A 34584-2024 artfynd.xlsx", "A 34584-2024")</f>
        <v/>
      </c>
      <c r="T111">
        <f>HYPERLINK("https://klasma.github.io/Logging_0980/kartor/A 34584-2024 karta.png", "A 34584-2024")</f>
        <v/>
      </c>
      <c r="V111">
        <f>HYPERLINK("https://klasma.github.io/Logging_0980/klagomål/A 34584-2024 FSC-klagomål.docx", "A 34584-2024")</f>
        <v/>
      </c>
      <c r="W111">
        <f>HYPERLINK("https://klasma.github.io/Logging_0980/klagomålsmail/A 34584-2024 FSC-klagomål mail.docx", "A 34584-2024")</f>
        <v/>
      </c>
      <c r="X111">
        <f>HYPERLINK("https://klasma.github.io/Logging_0980/tillsyn/A 34584-2024 tillsynsbegäran.docx", "A 34584-2024")</f>
        <v/>
      </c>
      <c r="Y111">
        <f>HYPERLINK("https://klasma.github.io/Logging_0980/tillsynsmail/A 34584-2024 tillsynsbegäran mail.docx", "A 34584-2024")</f>
        <v/>
      </c>
      <c r="Z111">
        <f>HYPERLINK("https://klasma.github.io/Logging_0980/fåglar/A 34584-2024 prioriterade fågelarter.docx", "A 34584-2024")</f>
        <v/>
      </c>
    </row>
    <row r="112" ht="15" customHeight="1">
      <c r="A112" t="inlineStr">
        <is>
          <t>A 42936-2024</t>
        </is>
      </c>
      <c r="B112" s="1" t="n">
        <v>45567</v>
      </c>
      <c r="C112" s="1" t="n">
        <v>45852</v>
      </c>
      <c r="D112" t="inlineStr">
        <is>
          <t>GOTLANDS LÄN</t>
        </is>
      </c>
      <c r="E112" t="inlineStr">
        <is>
          <t>GOTLAND</t>
        </is>
      </c>
      <c r="G112" t="n">
        <v>3.4</v>
      </c>
      <c r="H112" t="n">
        <v>0</v>
      </c>
      <c r="I112" t="n">
        <v>3</v>
      </c>
      <c r="J112" t="n">
        <v>1</v>
      </c>
      <c r="K112" t="n">
        <v>1</v>
      </c>
      <c r="L112" t="n">
        <v>0</v>
      </c>
      <c r="M112" t="n">
        <v>0</v>
      </c>
      <c r="N112" t="n">
        <v>0</v>
      </c>
      <c r="O112" t="n">
        <v>2</v>
      </c>
      <c r="P112" t="n">
        <v>1</v>
      </c>
      <c r="Q112" t="n">
        <v>5</v>
      </c>
      <c r="R112" s="2" t="inlineStr">
        <is>
          <t>Vit taggsvamp
Äggspindling
Barrfagerspindling
Blå slemspindling
Svavelriska</t>
        </is>
      </c>
      <c r="S112">
        <f>HYPERLINK("https://klasma.github.io/Logging_0980/artfynd/A 42936-2024 artfynd.xlsx", "A 42936-2024")</f>
        <v/>
      </c>
      <c r="T112">
        <f>HYPERLINK("https://klasma.github.io/Logging_0980/kartor/A 42936-2024 karta.png", "A 42936-2024")</f>
        <v/>
      </c>
      <c r="V112">
        <f>HYPERLINK("https://klasma.github.io/Logging_0980/klagomål/A 42936-2024 FSC-klagomål.docx", "A 42936-2024")</f>
        <v/>
      </c>
      <c r="W112">
        <f>HYPERLINK("https://klasma.github.io/Logging_0980/klagomålsmail/A 42936-2024 FSC-klagomål mail.docx", "A 42936-2024")</f>
        <v/>
      </c>
      <c r="X112">
        <f>HYPERLINK("https://klasma.github.io/Logging_0980/tillsyn/A 42936-2024 tillsynsbegäran.docx", "A 42936-2024")</f>
        <v/>
      </c>
      <c r="Y112">
        <f>HYPERLINK("https://klasma.github.io/Logging_0980/tillsynsmail/A 42936-2024 tillsynsbegäran mail.docx", "A 42936-2024")</f>
        <v/>
      </c>
    </row>
    <row r="113" ht="15" customHeight="1">
      <c r="A113" t="inlineStr">
        <is>
          <t>A 45071-2024</t>
        </is>
      </c>
      <c r="B113" s="1" t="n">
        <v>45575</v>
      </c>
      <c r="C113" s="1" t="n">
        <v>45852</v>
      </c>
      <c r="D113" t="inlineStr">
        <is>
          <t>GOTLANDS LÄN</t>
        </is>
      </c>
      <c r="E113" t="inlineStr">
        <is>
          <t>GOTLAND</t>
        </is>
      </c>
      <c r="G113" t="n">
        <v>7.9</v>
      </c>
      <c r="H113" t="n">
        <v>0</v>
      </c>
      <c r="I113" t="n">
        <v>2</v>
      </c>
      <c r="J113" t="n">
        <v>1</v>
      </c>
      <c r="K113" t="n">
        <v>1</v>
      </c>
      <c r="L113" t="n">
        <v>0</v>
      </c>
      <c r="M113" t="n">
        <v>0</v>
      </c>
      <c r="N113" t="n">
        <v>0</v>
      </c>
      <c r="O113" t="n">
        <v>3</v>
      </c>
      <c r="P113" t="n">
        <v>1</v>
      </c>
      <c r="Q113" t="n">
        <v>5</v>
      </c>
      <c r="R113" s="2" t="inlineStr">
        <is>
          <t>Granrotsspindling
Odörspindling
Trollspindling
Besk kastanjemusseron
Blå slemspindling</t>
        </is>
      </c>
      <c r="S113">
        <f>HYPERLINK("https://klasma.github.io/Logging_0980/artfynd/A 45071-2024 artfynd.xlsx", "A 45071-2024")</f>
        <v/>
      </c>
      <c r="T113">
        <f>HYPERLINK("https://klasma.github.io/Logging_0980/kartor/A 45071-2024 karta.png", "A 45071-2024")</f>
        <v/>
      </c>
      <c r="V113">
        <f>HYPERLINK("https://klasma.github.io/Logging_0980/klagomål/A 45071-2024 FSC-klagomål.docx", "A 45071-2024")</f>
        <v/>
      </c>
      <c r="W113">
        <f>HYPERLINK("https://klasma.github.io/Logging_0980/klagomålsmail/A 45071-2024 FSC-klagomål mail.docx", "A 45071-2024")</f>
        <v/>
      </c>
      <c r="X113">
        <f>HYPERLINK("https://klasma.github.io/Logging_0980/tillsyn/A 45071-2024 tillsynsbegäran.docx", "A 45071-2024")</f>
        <v/>
      </c>
      <c r="Y113">
        <f>HYPERLINK("https://klasma.github.io/Logging_0980/tillsynsmail/A 45071-2024 tillsynsbegäran mail.docx", "A 45071-2024")</f>
        <v/>
      </c>
    </row>
    <row r="114" ht="15" customHeight="1">
      <c r="A114" t="inlineStr">
        <is>
          <t>A 16375-2025</t>
        </is>
      </c>
      <c r="B114" s="1" t="n">
        <v>45751</v>
      </c>
      <c r="C114" s="1" t="n">
        <v>45852</v>
      </c>
      <c r="D114" t="inlineStr">
        <is>
          <t>GOTLANDS LÄN</t>
        </is>
      </c>
      <c r="E114" t="inlineStr">
        <is>
          <t>GOTLAND</t>
        </is>
      </c>
      <c r="G114" t="n">
        <v>1.9</v>
      </c>
      <c r="H114" t="n">
        <v>3</v>
      </c>
      <c r="I114" t="n">
        <v>3</v>
      </c>
      <c r="J114" t="n">
        <v>1</v>
      </c>
      <c r="K114" t="n">
        <v>0</v>
      </c>
      <c r="L114" t="n">
        <v>1</v>
      </c>
      <c r="M114" t="n">
        <v>0</v>
      </c>
      <c r="N114" t="n">
        <v>0</v>
      </c>
      <c r="O114" t="n">
        <v>2</v>
      </c>
      <c r="P114" t="n">
        <v>1</v>
      </c>
      <c r="Q114" t="n">
        <v>5</v>
      </c>
      <c r="R114" s="2" t="inlineStr">
        <is>
          <t>Ask
Spillkråka
Blåmossa
Nästrot
Tvåblad</t>
        </is>
      </c>
      <c r="S114">
        <f>HYPERLINK("https://klasma.github.io/Logging_090980/artfynd/A 16375-2025 artfynd.xlsx", "A 16375-2025")</f>
        <v/>
      </c>
      <c r="T114">
        <f>HYPERLINK("https://klasma.github.io/Logging_090980/kartor/A 16375-2025 karta.png", "A 16375-2025")</f>
        <v/>
      </c>
      <c r="V114">
        <f>HYPERLINK("https://klasma.github.io/Logging_090980/klagomål/A 16375-2025 FSC-klagomål.docx", "A 16375-2025")</f>
        <v/>
      </c>
      <c r="W114">
        <f>HYPERLINK("https://klasma.github.io/Logging_090980/klagomålsmail/A 16375-2025 FSC-klagomål mail.docx", "A 16375-2025")</f>
        <v/>
      </c>
      <c r="X114">
        <f>HYPERLINK("https://klasma.github.io/Logging_090980/tillsyn/A 16375-2025 tillsynsbegäran.docx", "A 16375-2025")</f>
        <v/>
      </c>
      <c r="Y114">
        <f>HYPERLINK("https://klasma.github.io/Logging_090980/tillsynsmail/A 16375-2025 tillsynsbegäran mail.docx", "A 16375-2025")</f>
        <v/>
      </c>
      <c r="Z114">
        <f>HYPERLINK("https://klasma.github.io/Logging_090980/fåglar/A 16375-2025 prioriterade fågelarter.docx", "A 16375-2025")</f>
        <v/>
      </c>
    </row>
    <row r="115" ht="15" customHeight="1">
      <c r="A115" t="inlineStr">
        <is>
          <t>A 33728-2025</t>
        </is>
      </c>
      <c r="B115" s="1" t="n">
        <v>45842</v>
      </c>
      <c r="C115" s="1" t="n">
        <v>45852</v>
      </c>
      <c r="D115" t="inlineStr">
        <is>
          <t>GOTLANDS LÄN</t>
        </is>
      </c>
      <c r="E115" t="inlineStr">
        <is>
          <t>GOTLAND</t>
        </is>
      </c>
      <c r="G115" t="n">
        <v>9.5</v>
      </c>
      <c r="H115" t="n">
        <v>0</v>
      </c>
      <c r="I115" t="n">
        <v>2</v>
      </c>
      <c r="J115" t="n">
        <v>0</v>
      </c>
      <c r="K115" t="n">
        <v>2</v>
      </c>
      <c r="L115" t="n">
        <v>1</v>
      </c>
      <c r="M115" t="n">
        <v>0</v>
      </c>
      <c r="N115" t="n">
        <v>0</v>
      </c>
      <c r="O115" t="n">
        <v>3</v>
      </c>
      <c r="P115" t="n">
        <v>3</v>
      </c>
      <c r="Q115" t="n">
        <v>5</v>
      </c>
      <c r="R115" s="2" t="inlineStr">
        <is>
          <t>Sienamusseron
Läderdoftande fingersvamp
Mörkfjällig olivspindling
Olivspindling
Svavelriska</t>
        </is>
      </c>
      <c r="S115">
        <f>HYPERLINK("https://klasma.github.io/Logging_090980/artfynd/A 33728-2025 artfynd.xlsx", "A 33728-2025")</f>
        <v/>
      </c>
      <c r="T115">
        <f>HYPERLINK("https://klasma.github.io/Logging_090980/kartor/A 33728-2025 karta.png", "A 33728-2025")</f>
        <v/>
      </c>
      <c r="V115">
        <f>HYPERLINK("https://klasma.github.io/Logging_090980/klagomål/A 33728-2025 FSC-klagomål.docx", "A 33728-2025")</f>
        <v/>
      </c>
      <c r="W115">
        <f>HYPERLINK("https://klasma.github.io/Logging_090980/klagomålsmail/A 33728-2025 FSC-klagomål mail.docx", "A 33728-2025")</f>
        <v/>
      </c>
      <c r="X115">
        <f>HYPERLINK("https://klasma.github.io/Logging_090980/tillsyn/A 33728-2025 tillsynsbegäran.docx", "A 33728-2025")</f>
        <v/>
      </c>
      <c r="Y115">
        <f>HYPERLINK("https://klasma.github.io/Logging_090980/tillsynsmail/A 33728-2025 tillsynsbegäran mail.docx", "A 33728-2025")</f>
        <v/>
      </c>
    </row>
    <row r="116" ht="15" customHeight="1">
      <c r="A116" t="inlineStr">
        <is>
          <t>A 21537-2019</t>
        </is>
      </c>
      <c r="B116" s="1" t="n">
        <v>43580</v>
      </c>
      <c r="C116" s="1" t="n">
        <v>45852</v>
      </c>
      <c r="D116" t="inlineStr">
        <is>
          <t>GOTLANDS LÄN</t>
        </is>
      </c>
      <c r="E116" t="inlineStr">
        <is>
          <t>GOTLAND</t>
        </is>
      </c>
      <c r="G116" t="n">
        <v>5.3</v>
      </c>
      <c r="H116" t="n">
        <v>1</v>
      </c>
      <c r="I116" t="n">
        <v>4</v>
      </c>
      <c r="J116" t="n">
        <v>0</v>
      </c>
      <c r="K116" t="n">
        <v>0</v>
      </c>
      <c r="L116" t="n">
        <v>0</v>
      </c>
      <c r="M116" t="n">
        <v>0</v>
      </c>
      <c r="N116" t="n">
        <v>0</v>
      </c>
      <c r="O116" t="n">
        <v>0</v>
      </c>
      <c r="P116" t="n">
        <v>0</v>
      </c>
      <c r="Q116" t="n">
        <v>4</v>
      </c>
      <c r="R116" s="2" t="inlineStr">
        <is>
          <t>Blåmossa
Granbarkgnagare
Kattfotslav
Tvåblad</t>
        </is>
      </c>
      <c r="S116">
        <f>HYPERLINK("https://klasma.github.io/Logging_0980/artfynd/A 21537-2019 artfynd.xlsx", "A 21537-2019")</f>
        <v/>
      </c>
      <c r="T116">
        <f>HYPERLINK("https://klasma.github.io/Logging_0980/kartor/A 21537-2019 karta.png", "A 21537-2019")</f>
        <v/>
      </c>
      <c r="V116">
        <f>HYPERLINK("https://klasma.github.io/Logging_0980/klagomål/A 21537-2019 FSC-klagomål.docx", "A 21537-2019")</f>
        <v/>
      </c>
      <c r="W116">
        <f>HYPERLINK("https://klasma.github.io/Logging_0980/klagomålsmail/A 21537-2019 FSC-klagomål mail.docx", "A 21537-2019")</f>
        <v/>
      </c>
      <c r="X116">
        <f>HYPERLINK("https://klasma.github.io/Logging_0980/tillsyn/A 21537-2019 tillsynsbegäran.docx", "A 21537-2019")</f>
        <v/>
      </c>
      <c r="Y116">
        <f>HYPERLINK("https://klasma.github.io/Logging_0980/tillsynsmail/A 21537-2019 tillsynsbegäran mail.docx", "A 21537-2019")</f>
        <v/>
      </c>
    </row>
    <row r="117" ht="15" customHeight="1">
      <c r="A117" t="inlineStr">
        <is>
          <t>A 39839-2019</t>
        </is>
      </c>
      <c r="B117" s="1" t="n">
        <v>43689</v>
      </c>
      <c r="C117" s="1" t="n">
        <v>45852</v>
      </c>
      <c r="D117" t="inlineStr">
        <is>
          <t>GOTLANDS LÄN</t>
        </is>
      </c>
      <c r="E117" t="inlineStr">
        <is>
          <t>GOTLAND</t>
        </is>
      </c>
      <c r="G117" t="n">
        <v>18.9</v>
      </c>
      <c r="H117" t="n">
        <v>1</v>
      </c>
      <c r="I117" t="n">
        <v>1</v>
      </c>
      <c r="J117" t="n">
        <v>3</v>
      </c>
      <c r="K117" t="n">
        <v>0</v>
      </c>
      <c r="L117" t="n">
        <v>0</v>
      </c>
      <c r="M117" t="n">
        <v>0</v>
      </c>
      <c r="N117" t="n">
        <v>0</v>
      </c>
      <c r="O117" t="n">
        <v>3</v>
      </c>
      <c r="P117" t="n">
        <v>0</v>
      </c>
      <c r="Q117" t="n">
        <v>4</v>
      </c>
      <c r="R117" s="2" t="inlineStr">
        <is>
          <t>Apollofjäril
Hårig blombock
Sexfläckig bastardsvärmare
Åttafläckig praktbagge</t>
        </is>
      </c>
      <c r="S117">
        <f>HYPERLINK("https://klasma.github.io/Logging_0980/artfynd/A 39839-2019 artfynd.xlsx", "A 39839-2019")</f>
        <v/>
      </c>
      <c r="T117">
        <f>HYPERLINK("https://klasma.github.io/Logging_0980/kartor/A 39839-2019 karta.png", "A 39839-2019")</f>
        <v/>
      </c>
      <c r="V117">
        <f>HYPERLINK("https://klasma.github.io/Logging_0980/klagomål/A 39839-2019 FSC-klagomål.docx", "A 39839-2019")</f>
        <v/>
      </c>
      <c r="W117">
        <f>HYPERLINK("https://klasma.github.io/Logging_0980/klagomålsmail/A 39839-2019 FSC-klagomål mail.docx", "A 39839-2019")</f>
        <v/>
      </c>
      <c r="X117">
        <f>HYPERLINK("https://klasma.github.io/Logging_0980/tillsyn/A 39839-2019 tillsynsbegäran.docx", "A 39839-2019")</f>
        <v/>
      </c>
      <c r="Y117">
        <f>HYPERLINK("https://klasma.github.io/Logging_0980/tillsynsmail/A 39839-2019 tillsynsbegäran mail.docx", "A 39839-2019")</f>
        <v/>
      </c>
    </row>
    <row r="118" ht="15" customHeight="1">
      <c r="A118" t="inlineStr">
        <is>
          <t>A 64378-2020</t>
        </is>
      </c>
      <c r="B118" s="1" t="n">
        <v>44168</v>
      </c>
      <c r="C118" s="1" t="n">
        <v>45852</v>
      </c>
      <c r="D118" t="inlineStr">
        <is>
          <t>GOTLANDS LÄN</t>
        </is>
      </c>
      <c r="E118" t="inlineStr">
        <is>
          <t>GOTLAND</t>
        </is>
      </c>
      <c r="G118" t="n">
        <v>2.1</v>
      </c>
      <c r="H118" t="n">
        <v>0</v>
      </c>
      <c r="I118" t="n">
        <v>1</v>
      </c>
      <c r="J118" t="n">
        <v>0</v>
      </c>
      <c r="K118" t="n">
        <v>2</v>
      </c>
      <c r="L118" t="n">
        <v>1</v>
      </c>
      <c r="M118" t="n">
        <v>0</v>
      </c>
      <c r="N118" t="n">
        <v>0</v>
      </c>
      <c r="O118" t="n">
        <v>3</v>
      </c>
      <c r="P118" t="n">
        <v>3</v>
      </c>
      <c r="Q118" t="n">
        <v>4</v>
      </c>
      <c r="R118" s="2" t="inlineStr">
        <is>
          <t>Sienamusseron
Bitter taggsvamp
Duvspindling
Fjällig taggsvamp s.str.</t>
        </is>
      </c>
      <c r="S118">
        <f>HYPERLINK("https://klasma.github.io/Logging_0980/artfynd/A 64378-2020 artfynd.xlsx", "A 64378-2020")</f>
        <v/>
      </c>
      <c r="T118">
        <f>HYPERLINK("https://klasma.github.io/Logging_0980/kartor/A 64378-2020 karta.png", "A 64378-2020")</f>
        <v/>
      </c>
      <c r="V118">
        <f>HYPERLINK("https://klasma.github.io/Logging_0980/klagomål/A 64378-2020 FSC-klagomål.docx", "A 64378-2020")</f>
        <v/>
      </c>
      <c r="W118">
        <f>HYPERLINK("https://klasma.github.io/Logging_0980/klagomålsmail/A 64378-2020 FSC-klagomål mail.docx", "A 64378-2020")</f>
        <v/>
      </c>
      <c r="X118">
        <f>HYPERLINK("https://klasma.github.io/Logging_0980/tillsyn/A 64378-2020 tillsynsbegäran.docx", "A 64378-2020")</f>
        <v/>
      </c>
      <c r="Y118">
        <f>HYPERLINK("https://klasma.github.io/Logging_0980/tillsynsmail/A 64378-2020 tillsynsbegäran mail.docx", "A 64378-2020")</f>
        <v/>
      </c>
    </row>
    <row r="119" ht="15" customHeight="1">
      <c r="A119" t="inlineStr">
        <is>
          <t>A 2223-2021</t>
        </is>
      </c>
      <c r="B119" s="1" t="n">
        <v>44211</v>
      </c>
      <c r="C119" s="1" t="n">
        <v>45852</v>
      </c>
      <c r="D119" t="inlineStr">
        <is>
          <t>GOTLANDS LÄN</t>
        </is>
      </c>
      <c r="E119" t="inlineStr">
        <is>
          <t>GOTLAND</t>
        </is>
      </c>
      <c r="G119" t="n">
        <v>2.2</v>
      </c>
      <c r="H119" t="n">
        <v>2</v>
      </c>
      <c r="I119" t="n">
        <v>4</v>
      </c>
      <c r="J119" t="n">
        <v>0</v>
      </c>
      <c r="K119" t="n">
        <v>0</v>
      </c>
      <c r="L119" t="n">
        <v>0</v>
      </c>
      <c r="M119" t="n">
        <v>0</v>
      </c>
      <c r="N119" t="n">
        <v>0</v>
      </c>
      <c r="O119" t="n">
        <v>0</v>
      </c>
      <c r="P119" t="n">
        <v>0</v>
      </c>
      <c r="Q119" t="n">
        <v>4</v>
      </c>
      <c r="R119" s="2" t="inlineStr">
        <is>
          <t>Blåmossa
Granbarkgnagare
Nästrot
Tvåblad</t>
        </is>
      </c>
      <c r="S119">
        <f>HYPERLINK("https://klasma.github.io/Logging_0980/artfynd/A 2223-2021 artfynd.xlsx", "A 2223-2021")</f>
        <v/>
      </c>
      <c r="T119">
        <f>HYPERLINK("https://klasma.github.io/Logging_0980/kartor/A 2223-2021 karta.png", "A 2223-2021")</f>
        <v/>
      </c>
      <c r="V119">
        <f>HYPERLINK("https://klasma.github.io/Logging_0980/klagomål/A 2223-2021 FSC-klagomål.docx", "A 2223-2021")</f>
        <v/>
      </c>
      <c r="W119">
        <f>HYPERLINK("https://klasma.github.io/Logging_0980/klagomålsmail/A 2223-2021 FSC-klagomål mail.docx", "A 2223-2021")</f>
        <v/>
      </c>
      <c r="X119">
        <f>HYPERLINK("https://klasma.github.io/Logging_0980/tillsyn/A 2223-2021 tillsynsbegäran.docx", "A 2223-2021")</f>
        <v/>
      </c>
      <c r="Y119">
        <f>HYPERLINK("https://klasma.github.io/Logging_0980/tillsynsmail/A 2223-2021 tillsynsbegäran mail.docx", "A 2223-2021")</f>
        <v/>
      </c>
    </row>
    <row r="120" ht="15" customHeight="1">
      <c r="A120" t="inlineStr">
        <is>
          <t>A 29331-2021</t>
        </is>
      </c>
      <c r="B120" s="1" t="n">
        <v>44361</v>
      </c>
      <c r="C120" s="1" t="n">
        <v>45852</v>
      </c>
      <c r="D120" t="inlineStr">
        <is>
          <t>GOTLANDS LÄN</t>
        </is>
      </c>
      <c r="E120" t="inlineStr">
        <is>
          <t>GOTLAND</t>
        </is>
      </c>
      <c r="G120" t="n">
        <v>3.7</v>
      </c>
      <c r="H120" t="n">
        <v>1</v>
      </c>
      <c r="I120" t="n">
        <v>4</v>
      </c>
      <c r="J120" t="n">
        <v>0</v>
      </c>
      <c r="K120" t="n">
        <v>0</v>
      </c>
      <c r="L120" t="n">
        <v>0</v>
      </c>
      <c r="M120" t="n">
        <v>0</v>
      </c>
      <c r="N120" t="n">
        <v>0</v>
      </c>
      <c r="O120" t="n">
        <v>0</v>
      </c>
      <c r="P120" t="n">
        <v>0</v>
      </c>
      <c r="Q120" t="n">
        <v>4</v>
      </c>
      <c r="R120" s="2" t="inlineStr">
        <is>
          <t>Blåmossa
Granbarkgnagare
Kattfotslav
Tvåblad</t>
        </is>
      </c>
      <c r="S120">
        <f>HYPERLINK("https://klasma.github.io/Logging_0980/artfynd/A 29331-2021 artfynd.xlsx", "A 29331-2021")</f>
        <v/>
      </c>
      <c r="T120">
        <f>HYPERLINK("https://klasma.github.io/Logging_0980/kartor/A 29331-2021 karta.png", "A 29331-2021")</f>
        <v/>
      </c>
      <c r="V120">
        <f>HYPERLINK("https://klasma.github.io/Logging_0980/klagomål/A 29331-2021 FSC-klagomål.docx", "A 29331-2021")</f>
        <v/>
      </c>
      <c r="W120">
        <f>HYPERLINK("https://klasma.github.io/Logging_0980/klagomålsmail/A 29331-2021 FSC-klagomål mail.docx", "A 29331-2021")</f>
        <v/>
      </c>
      <c r="X120">
        <f>HYPERLINK("https://klasma.github.io/Logging_0980/tillsyn/A 29331-2021 tillsynsbegäran.docx", "A 29331-2021")</f>
        <v/>
      </c>
      <c r="Y120">
        <f>HYPERLINK("https://klasma.github.io/Logging_0980/tillsynsmail/A 29331-2021 tillsynsbegäran mail.docx", "A 29331-2021")</f>
        <v/>
      </c>
    </row>
    <row r="121" ht="15" customHeight="1">
      <c r="A121" t="inlineStr">
        <is>
          <t>A 58821-2021</t>
        </is>
      </c>
      <c r="B121" s="1" t="n">
        <v>44489</v>
      </c>
      <c r="C121" s="1" t="n">
        <v>45852</v>
      </c>
      <c r="D121" t="inlineStr">
        <is>
          <t>GOTLANDS LÄN</t>
        </is>
      </c>
      <c r="E121" t="inlineStr">
        <is>
          <t>GOTLAND</t>
        </is>
      </c>
      <c r="G121" t="n">
        <v>2.5</v>
      </c>
      <c r="H121" t="n">
        <v>3</v>
      </c>
      <c r="I121" t="n">
        <v>1</v>
      </c>
      <c r="J121" t="n">
        <v>3</v>
      </c>
      <c r="K121" t="n">
        <v>0</v>
      </c>
      <c r="L121" t="n">
        <v>0</v>
      </c>
      <c r="M121" t="n">
        <v>0</v>
      </c>
      <c r="N121" t="n">
        <v>0</v>
      </c>
      <c r="O121" t="n">
        <v>3</v>
      </c>
      <c r="P121" t="n">
        <v>0</v>
      </c>
      <c r="Q121" t="n">
        <v>4</v>
      </c>
      <c r="R121" s="2" t="inlineStr">
        <is>
          <t>Apollofjäril
Fläckig glansspinnare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44933-2022</t>
        </is>
      </c>
      <c r="B122" s="1" t="n">
        <v>44841</v>
      </c>
      <c r="C122" s="1" t="n">
        <v>45852</v>
      </c>
      <c r="D122" t="inlineStr">
        <is>
          <t>GOTLANDS LÄN</t>
        </is>
      </c>
      <c r="E122" t="inlineStr">
        <is>
          <t>GOTLAND</t>
        </is>
      </c>
      <c r="G122" t="n">
        <v>4.5</v>
      </c>
      <c r="H122" t="n">
        <v>1</v>
      </c>
      <c r="I122" t="n">
        <v>2</v>
      </c>
      <c r="J122" t="n">
        <v>2</v>
      </c>
      <c r="K122" t="n">
        <v>0</v>
      </c>
      <c r="L122" t="n">
        <v>0</v>
      </c>
      <c r="M122" t="n">
        <v>0</v>
      </c>
      <c r="N122" t="n">
        <v>0</v>
      </c>
      <c r="O122" t="n">
        <v>2</v>
      </c>
      <c r="P122" t="n">
        <v>0</v>
      </c>
      <c r="Q122" t="n">
        <v>4</v>
      </c>
      <c r="R122" s="2" t="inlineStr">
        <is>
          <t>Ekvaxskivling
Odörspindling
Skarp dropptaggsvamp
Skogsknipprot</t>
        </is>
      </c>
      <c r="S122">
        <f>HYPERLINK("https://klasma.github.io/Logging_0980/artfynd/A 44933-2022 artfynd.xlsx", "A 44933-2022")</f>
        <v/>
      </c>
      <c r="T122">
        <f>HYPERLINK("https://klasma.github.io/Logging_0980/kartor/A 44933-2022 karta.png", "A 44933-2022")</f>
        <v/>
      </c>
      <c r="V122">
        <f>HYPERLINK("https://klasma.github.io/Logging_0980/klagomål/A 44933-2022 FSC-klagomål.docx", "A 44933-2022")</f>
        <v/>
      </c>
      <c r="W122">
        <f>HYPERLINK("https://klasma.github.io/Logging_0980/klagomålsmail/A 44933-2022 FSC-klagomål mail.docx", "A 44933-2022")</f>
        <v/>
      </c>
      <c r="X122">
        <f>HYPERLINK("https://klasma.github.io/Logging_0980/tillsyn/A 44933-2022 tillsynsbegäran.docx", "A 44933-2022")</f>
        <v/>
      </c>
      <c r="Y122">
        <f>HYPERLINK("https://klasma.github.io/Logging_0980/tillsynsmail/A 44933-2022 tillsynsbegäran mail.docx", "A 44933-2022")</f>
        <v/>
      </c>
    </row>
    <row r="123" ht="15" customHeight="1">
      <c r="A123" t="inlineStr">
        <is>
          <t>A 47526-2022</t>
        </is>
      </c>
      <c r="B123" s="1" t="n">
        <v>44853</v>
      </c>
      <c r="C123" s="1" t="n">
        <v>45852</v>
      </c>
      <c r="D123" t="inlineStr">
        <is>
          <t>GOTLANDS LÄN</t>
        </is>
      </c>
      <c r="E123" t="inlineStr">
        <is>
          <t>GOTLAND</t>
        </is>
      </c>
      <c r="G123" t="n">
        <v>9.800000000000001</v>
      </c>
      <c r="H123" t="n">
        <v>3</v>
      </c>
      <c r="I123" t="n">
        <v>0</v>
      </c>
      <c r="J123" t="n">
        <v>2</v>
      </c>
      <c r="K123" t="n">
        <v>0</v>
      </c>
      <c r="L123" t="n">
        <v>0</v>
      </c>
      <c r="M123" t="n">
        <v>0</v>
      </c>
      <c r="N123" t="n">
        <v>0</v>
      </c>
      <c r="O123" t="n">
        <v>2</v>
      </c>
      <c r="P123" t="n">
        <v>0</v>
      </c>
      <c r="Q123" t="n">
        <v>4</v>
      </c>
      <c r="R123" s="2" t="inlineStr">
        <is>
          <t>Dårgräsfjäril
Svinrot
Sankt pers nycklar
Blåsippa</t>
        </is>
      </c>
      <c r="S123">
        <f>HYPERLINK("https://klasma.github.io/Logging_0980/artfynd/A 47526-2022 artfynd.xlsx", "A 47526-2022")</f>
        <v/>
      </c>
      <c r="T123">
        <f>HYPERLINK("https://klasma.github.io/Logging_0980/kartor/A 47526-2022 karta.png", "A 47526-2022")</f>
        <v/>
      </c>
      <c r="V123">
        <f>HYPERLINK("https://klasma.github.io/Logging_0980/klagomål/A 47526-2022 FSC-klagomål.docx", "A 47526-2022")</f>
        <v/>
      </c>
      <c r="W123">
        <f>HYPERLINK("https://klasma.github.io/Logging_0980/klagomålsmail/A 47526-2022 FSC-klagomål mail.docx", "A 47526-2022")</f>
        <v/>
      </c>
      <c r="X123">
        <f>HYPERLINK("https://klasma.github.io/Logging_0980/tillsyn/A 47526-2022 tillsynsbegäran.docx", "A 47526-2022")</f>
        <v/>
      </c>
      <c r="Y123">
        <f>HYPERLINK("https://klasma.github.io/Logging_0980/tillsynsmail/A 47526-2022 tillsynsbegäran mail.docx", "A 47526-2022")</f>
        <v/>
      </c>
    </row>
    <row r="124" ht="15" customHeight="1">
      <c r="A124" t="inlineStr">
        <is>
          <t>A 186-2023</t>
        </is>
      </c>
      <c r="B124" s="1" t="n">
        <v>44928</v>
      </c>
      <c r="C124" s="1" t="n">
        <v>45852</v>
      </c>
      <c r="D124" t="inlineStr">
        <is>
          <t>GOTLANDS LÄN</t>
        </is>
      </c>
      <c r="E124" t="inlineStr">
        <is>
          <t>GOTLAND</t>
        </is>
      </c>
      <c r="G124" t="n">
        <v>2.2</v>
      </c>
      <c r="H124" t="n">
        <v>2</v>
      </c>
      <c r="I124" t="n">
        <v>2</v>
      </c>
      <c r="J124" t="n">
        <v>0</v>
      </c>
      <c r="K124" t="n">
        <v>2</v>
      </c>
      <c r="L124" t="n">
        <v>0</v>
      </c>
      <c r="M124" t="n">
        <v>0</v>
      </c>
      <c r="N124" t="n">
        <v>0</v>
      </c>
      <c r="O124" t="n">
        <v>2</v>
      </c>
      <c r="P124" t="n">
        <v>2</v>
      </c>
      <c r="Q124" t="n">
        <v>4</v>
      </c>
      <c r="R124" s="2" t="inlineStr">
        <is>
          <t>Svartgrön spindling
Vit taggsvamp
Nästrot
Skogsknipprot</t>
        </is>
      </c>
      <c r="S124">
        <f>HYPERLINK("https://klasma.github.io/Logging_0980/artfynd/A 186-2023 artfynd.xlsx", "A 186-2023")</f>
        <v/>
      </c>
      <c r="T124">
        <f>HYPERLINK("https://klasma.github.io/Logging_0980/kartor/A 186-2023 karta.png", "A 186-2023")</f>
        <v/>
      </c>
      <c r="V124">
        <f>HYPERLINK("https://klasma.github.io/Logging_0980/klagomål/A 186-2023 FSC-klagomål.docx", "A 186-2023")</f>
        <v/>
      </c>
      <c r="W124">
        <f>HYPERLINK("https://klasma.github.io/Logging_0980/klagomålsmail/A 186-2023 FSC-klagomål mail.docx", "A 186-2023")</f>
        <v/>
      </c>
      <c r="X124">
        <f>HYPERLINK("https://klasma.github.io/Logging_0980/tillsyn/A 186-2023 tillsynsbegäran.docx", "A 186-2023")</f>
        <v/>
      </c>
      <c r="Y124">
        <f>HYPERLINK("https://klasma.github.io/Logging_0980/tillsynsmail/A 186-2023 tillsynsbegäran mail.docx", "A 186-2023")</f>
        <v/>
      </c>
    </row>
    <row r="125" ht="15" customHeight="1">
      <c r="A125" t="inlineStr">
        <is>
          <t>A 1971-2023</t>
        </is>
      </c>
      <c r="B125" s="1" t="n">
        <v>44939</v>
      </c>
      <c r="C125" s="1" t="n">
        <v>45852</v>
      </c>
      <c r="D125" t="inlineStr">
        <is>
          <t>GOTLANDS LÄN</t>
        </is>
      </c>
      <c r="E125" t="inlineStr">
        <is>
          <t>GOTLAND</t>
        </is>
      </c>
      <c r="G125" t="n">
        <v>5.5</v>
      </c>
      <c r="H125" t="n">
        <v>0</v>
      </c>
      <c r="I125" t="n">
        <v>2</v>
      </c>
      <c r="J125" t="n">
        <v>1</v>
      </c>
      <c r="K125" t="n">
        <v>1</v>
      </c>
      <c r="L125" t="n">
        <v>0</v>
      </c>
      <c r="M125" t="n">
        <v>0</v>
      </c>
      <c r="N125" t="n">
        <v>0</v>
      </c>
      <c r="O125" t="n">
        <v>2</v>
      </c>
      <c r="P125" t="n">
        <v>1</v>
      </c>
      <c r="Q125" t="n">
        <v>4</v>
      </c>
      <c r="R125" s="2" t="inlineStr">
        <is>
          <t>Gulsträngad fagerspindling
Svinrot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6159-2023</t>
        </is>
      </c>
      <c r="B126" s="1" t="n">
        <v>44964</v>
      </c>
      <c r="C126" s="1" t="n">
        <v>45852</v>
      </c>
      <c r="D126" t="inlineStr">
        <is>
          <t>GOTLANDS LÄN</t>
        </is>
      </c>
      <c r="E126" t="inlineStr">
        <is>
          <t>GOTLAND</t>
        </is>
      </c>
      <c r="G126" t="n">
        <v>2</v>
      </c>
      <c r="H126" t="n">
        <v>0</v>
      </c>
      <c r="I126" t="n">
        <v>2</v>
      </c>
      <c r="J126" t="n">
        <v>2</v>
      </c>
      <c r="K126" t="n">
        <v>0</v>
      </c>
      <c r="L126" t="n">
        <v>0</v>
      </c>
      <c r="M126" t="n">
        <v>0</v>
      </c>
      <c r="N126" t="n">
        <v>0</v>
      </c>
      <c r="O126" t="n">
        <v>2</v>
      </c>
      <c r="P126" t="n">
        <v>0</v>
      </c>
      <c r="Q126" t="n">
        <v>4</v>
      </c>
      <c r="R126" s="2" t="inlineStr">
        <is>
          <t>Dofttaggsvamp
Odörspindling
Anisspindling
Olivspindling</t>
        </is>
      </c>
      <c r="S126">
        <f>HYPERLINK("https://klasma.github.io/Logging_0980/artfynd/A 6159-2023 artfynd.xlsx", "A 6159-2023")</f>
        <v/>
      </c>
      <c r="T126">
        <f>HYPERLINK("https://klasma.github.io/Logging_0980/kartor/A 6159-2023 karta.png", "A 6159-2023")</f>
        <v/>
      </c>
      <c r="V126">
        <f>HYPERLINK("https://klasma.github.io/Logging_0980/klagomål/A 6159-2023 FSC-klagomål.docx", "A 6159-2023")</f>
        <v/>
      </c>
      <c r="W126">
        <f>HYPERLINK("https://klasma.github.io/Logging_0980/klagomålsmail/A 6159-2023 FSC-klagomål mail.docx", "A 6159-2023")</f>
        <v/>
      </c>
      <c r="X126">
        <f>HYPERLINK("https://klasma.github.io/Logging_0980/tillsyn/A 6159-2023 tillsynsbegäran.docx", "A 6159-2023")</f>
        <v/>
      </c>
      <c r="Y126">
        <f>HYPERLINK("https://klasma.github.io/Logging_0980/tillsynsmail/A 6159-2023 tillsynsbegäran mail.docx", "A 6159-2023")</f>
        <v/>
      </c>
    </row>
    <row r="127" ht="15" customHeight="1">
      <c r="A127" t="inlineStr">
        <is>
          <t>A 8265-2023</t>
        </is>
      </c>
      <c r="B127" s="1" t="n">
        <v>44974</v>
      </c>
      <c r="C127" s="1" t="n">
        <v>45852</v>
      </c>
      <c r="D127" t="inlineStr">
        <is>
          <t>GOTLANDS LÄN</t>
        </is>
      </c>
      <c r="E127" t="inlineStr">
        <is>
          <t>GOTLAND</t>
        </is>
      </c>
      <c r="G127" t="n">
        <v>3.3</v>
      </c>
      <c r="H127" t="n">
        <v>4</v>
      </c>
      <c r="I127" t="n">
        <v>3</v>
      </c>
      <c r="J127" t="n">
        <v>0</v>
      </c>
      <c r="K127" t="n">
        <v>0</v>
      </c>
      <c r="L127" t="n">
        <v>0</v>
      </c>
      <c r="M127" t="n">
        <v>0</v>
      </c>
      <c r="N127" t="n">
        <v>0</v>
      </c>
      <c r="O127" t="n">
        <v>0</v>
      </c>
      <c r="P127" t="n">
        <v>0</v>
      </c>
      <c r="Q127" t="n">
        <v>4</v>
      </c>
      <c r="R127" s="2" t="inlineStr">
        <is>
          <t>Flugblomster
Purpurknipprot
Tvåblad
Salepsrot</t>
        </is>
      </c>
      <c r="S127">
        <f>HYPERLINK("https://klasma.github.io/Logging_0980/artfynd/A 8265-2023 artfynd.xlsx", "A 8265-2023")</f>
        <v/>
      </c>
      <c r="T127">
        <f>HYPERLINK("https://klasma.github.io/Logging_0980/kartor/A 8265-2023 karta.png", "A 8265-2023")</f>
        <v/>
      </c>
      <c r="V127">
        <f>HYPERLINK("https://klasma.github.io/Logging_0980/klagomål/A 8265-2023 FSC-klagomål.docx", "A 8265-2023")</f>
        <v/>
      </c>
      <c r="W127">
        <f>HYPERLINK("https://klasma.github.io/Logging_0980/klagomålsmail/A 8265-2023 FSC-klagomål mail.docx", "A 8265-2023")</f>
        <v/>
      </c>
      <c r="X127">
        <f>HYPERLINK("https://klasma.github.io/Logging_0980/tillsyn/A 8265-2023 tillsynsbegäran.docx", "A 8265-2023")</f>
        <v/>
      </c>
      <c r="Y127">
        <f>HYPERLINK("https://klasma.github.io/Logging_0980/tillsynsmail/A 8265-2023 tillsynsbegäran mail.docx", "A 8265-2023")</f>
        <v/>
      </c>
    </row>
    <row r="128" ht="15" customHeight="1">
      <c r="A128" t="inlineStr">
        <is>
          <t>A 43197-2023</t>
        </is>
      </c>
      <c r="B128" s="1" t="n">
        <v>45183</v>
      </c>
      <c r="C128" s="1" t="n">
        <v>45852</v>
      </c>
      <c r="D128" t="inlineStr">
        <is>
          <t>GOTLANDS LÄN</t>
        </is>
      </c>
      <c r="E128" t="inlineStr">
        <is>
          <t>GOTLAND</t>
        </is>
      </c>
      <c r="G128" t="n">
        <v>3.7</v>
      </c>
      <c r="H128" t="n">
        <v>2</v>
      </c>
      <c r="I128" t="n">
        <v>1</v>
      </c>
      <c r="J128" t="n">
        <v>1</v>
      </c>
      <c r="K128" t="n">
        <v>1</v>
      </c>
      <c r="L128" t="n">
        <v>0</v>
      </c>
      <c r="M128" t="n">
        <v>0</v>
      </c>
      <c r="N128" t="n">
        <v>0</v>
      </c>
      <c r="O128" t="n">
        <v>2</v>
      </c>
      <c r="P128" t="n">
        <v>1</v>
      </c>
      <c r="Q128" t="n">
        <v>4</v>
      </c>
      <c r="R128" s="2" t="inlineStr">
        <is>
          <t>Allékantlav
Svinrot
Skogsknipprot
Revlummer</t>
        </is>
      </c>
      <c r="S128">
        <f>HYPERLINK("https://klasma.github.io/Logging_0980/artfynd/A 43197-2023 artfynd.xlsx", "A 43197-2023")</f>
        <v/>
      </c>
      <c r="T128">
        <f>HYPERLINK("https://klasma.github.io/Logging_0980/kartor/A 43197-2023 karta.png", "A 43197-2023")</f>
        <v/>
      </c>
      <c r="V128">
        <f>HYPERLINK("https://klasma.github.io/Logging_0980/klagomål/A 43197-2023 FSC-klagomål.docx", "A 43197-2023")</f>
        <v/>
      </c>
      <c r="W128">
        <f>HYPERLINK("https://klasma.github.io/Logging_0980/klagomålsmail/A 43197-2023 FSC-klagomål mail.docx", "A 43197-2023")</f>
        <v/>
      </c>
      <c r="X128">
        <f>HYPERLINK("https://klasma.github.io/Logging_0980/tillsyn/A 43197-2023 tillsynsbegäran.docx", "A 43197-2023")</f>
        <v/>
      </c>
      <c r="Y128">
        <f>HYPERLINK("https://klasma.github.io/Logging_0980/tillsynsmail/A 43197-2023 tillsynsbegäran mail.docx", "A 43197-2023")</f>
        <v/>
      </c>
    </row>
    <row r="129" ht="15" customHeight="1">
      <c r="A129" t="inlineStr">
        <is>
          <t>A 46969-2023</t>
        </is>
      </c>
      <c r="B129" s="1" t="n">
        <v>45195</v>
      </c>
      <c r="C129" s="1" t="n">
        <v>45852</v>
      </c>
      <c r="D129" t="inlineStr">
        <is>
          <t>GOTLANDS LÄN</t>
        </is>
      </c>
      <c r="E129" t="inlineStr">
        <is>
          <t>GOTLAND</t>
        </is>
      </c>
      <c r="G129" t="n">
        <v>7.3</v>
      </c>
      <c r="H129" t="n">
        <v>1</v>
      </c>
      <c r="I129" t="n">
        <v>1</v>
      </c>
      <c r="J129" t="n">
        <v>2</v>
      </c>
      <c r="K129" t="n">
        <v>0</v>
      </c>
      <c r="L129" t="n">
        <v>0</v>
      </c>
      <c r="M129" t="n">
        <v>0</v>
      </c>
      <c r="N129" t="n">
        <v>0</v>
      </c>
      <c r="O129" t="n">
        <v>2</v>
      </c>
      <c r="P129" t="n">
        <v>0</v>
      </c>
      <c r="Q129" t="n">
        <v>4</v>
      </c>
      <c r="R129" s="2" t="inlineStr">
        <is>
          <t>Backtimjan
Solvända
Svavelriska
Nattviol</t>
        </is>
      </c>
      <c r="S129">
        <f>HYPERLINK("https://klasma.github.io/Logging_0980/artfynd/A 46969-2023 artfynd.xlsx", "A 46969-2023")</f>
        <v/>
      </c>
      <c r="T129">
        <f>HYPERLINK("https://klasma.github.io/Logging_0980/kartor/A 46969-2023 karta.png", "A 46969-2023")</f>
        <v/>
      </c>
      <c r="V129">
        <f>HYPERLINK("https://klasma.github.io/Logging_0980/klagomål/A 46969-2023 FSC-klagomål.docx", "A 46969-2023")</f>
        <v/>
      </c>
      <c r="W129">
        <f>HYPERLINK("https://klasma.github.io/Logging_0980/klagomålsmail/A 46969-2023 FSC-klagomål mail.docx", "A 46969-2023")</f>
        <v/>
      </c>
      <c r="X129">
        <f>HYPERLINK("https://klasma.github.io/Logging_0980/tillsyn/A 46969-2023 tillsynsbegäran.docx", "A 46969-2023")</f>
        <v/>
      </c>
      <c r="Y129">
        <f>HYPERLINK("https://klasma.github.io/Logging_0980/tillsynsmail/A 46969-2023 tillsynsbegäran mail.docx", "A 46969-2023")</f>
        <v/>
      </c>
    </row>
    <row r="130" ht="15" customHeight="1">
      <c r="A130" t="inlineStr">
        <is>
          <t>A 45682-2023</t>
        </is>
      </c>
      <c r="B130" s="1" t="n">
        <v>45195</v>
      </c>
      <c r="C130" s="1" t="n">
        <v>45852</v>
      </c>
      <c r="D130" t="inlineStr">
        <is>
          <t>GOTLANDS LÄN</t>
        </is>
      </c>
      <c r="E130" t="inlineStr">
        <is>
          <t>GOTLAND</t>
        </is>
      </c>
      <c r="G130" t="n">
        <v>13.9</v>
      </c>
      <c r="H130" t="n">
        <v>2</v>
      </c>
      <c r="I130" t="n">
        <v>2</v>
      </c>
      <c r="J130" t="n">
        <v>1</v>
      </c>
      <c r="K130" t="n">
        <v>0</v>
      </c>
      <c r="L130" t="n">
        <v>0</v>
      </c>
      <c r="M130" t="n">
        <v>0</v>
      </c>
      <c r="N130" t="n">
        <v>0</v>
      </c>
      <c r="O130" t="n">
        <v>1</v>
      </c>
      <c r="P130" t="n">
        <v>0</v>
      </c>
      <c r="Q130" t="n">
        <v>4</v>
      </c>
      <c r="R130" s="2" t="inlineStr">
        <is>
          <t>Loppstarr
Flugblomster
Kalktallört
Dactylorhiza incarnata subsp. incarnata</t>
        </is>
      </c>
      <c r="S130">
        <f>HYPERLINK("https://klasma.github.io/Logging_0980/artfynd/A 45682-2023 artfynd.xlsx", "A 45682-2023")</f>
        <v/>
      </c>
      <c r="T130">
        <f>HYPERLINK("https://klasma.github.io/Logging_0980/kartor/A 45682-2023 karta.png", "A 45682-2023")</f>
        <v/>
      </c>
      <c r="V130">
        <f>HYPERLINK("https://klasma.github.io/Logging_0980/klagomål/A 45682-2023 FSC-klagomål.docx", "A 45682-2023")</f>
        <v/>
      </c>
      <c r="W130">
        <f>HYPERLINK("https://klasma.github.io/Logging_0980/klagomålsmail/A 45682-2023 FSC-klagomål mail.docx", "A 45682-2023")</f>
        <v/>
      </c>
      <c r="X130">
        <f>HYPERLINK("https://klasma.github.io/Logging_0980/tillsyn/A 45682-2023 tillsynsbegäran.docx", "A 45682-2023")</f>
        <v/>
      </c>
      <c r="Y130">
        <f>HYPERLINK("https://klasma.github.io/Logging_0980/tillsynsmail/A 45682-2023 tillsynsbegäran mail.docx", "A 45682-2023")</f>
        <v/>
      </c>
    </row>
    <row r="131" ht="15" customHeight="1">
      <c r="A131" t="inlineStr">
        <is>
          <t>A 54523-2023</t>
        </is>
      </c>
      <c r="B131" s="1" t="n">
        <v>45233</v>
      </c>
      <c r="C131" s="1" t="n">
        <v>45852</v>
      </c>
      <c r="D131" t="inlineStr">
        <is>
          <t>GOTLANDS LÄN</t>
        </is>
      </c>
      <c r="E131" t="inlineStr">
        <is>
          <t>GOTLAND</t>
        </is>
      </c>
      <c r="G131" t="n">
        <v>3.7</v>
      </c>
      <c r="H131" t="n">
        <v>2</v>
      </c>
      <c r="I131" t="n">
        <v>0</v>
      </c>
      <c r="J131" t="n">
        <v>1</v>
      </c>
      <c r="K131" t="n">
        <v>1</v>
      </c>
      <c r="L131" t="n">
        <v>0</v>
      </c>
      <c r="M131" t="n">
        <v>0</v>
      </c>
      <c r="N131" t="n">
        <v>0</v>
      </c>
      <c r="O131" t="n">
        <v>2</v>
      </c>
      <c r="P131" t="n">
        <v>1</v>
      </c>
      <c r="Q131" t="n">
        <v>4</v>
      </c>
      <c r="R131" s="2" t="inlineStr">
        <is>
          <t>Sommarklynne
Åkerkulla
Brudsporre
Kärrknipprot</t>
        </is>
      </c>
      <c r="S131">
        <f>HYPERLINK("https://klasma.github.io/Logging_0980/artfynd/A 54523-2023 artfynd.xlsx", "A 54523-2023")</f>
        <v/>
      </c>
      <c r="T131">
        <f>HYPERLINK("https://klasma.github.io/Logging_0980/kartor/A 54523-2023 karta.png", "A 54523-2023")</f>
        <v/>
      </c>
      <c r="V131">
        <f>HYPERLINK("https://klasma.github.io/Logging_0980/klagomål/A 54523-2023 FSC-klagomål.docx", "A 54523-2023")</f>
        <v/>
      </c>
      <c r="W131">
        <f>HYPERLINK("https://klasma.github.io/Logging_0980/klagomålsmail/A 54523-2023 FSC-klagomål mail.docx", "A 54523-2023")</f>
        <v/>
      </c>
      <c r="X131">
        <f>HYPERLINK("https://klasma.github.io/Logging_0980/tillsyn/A 54523-2023 tillsynsbegäran.docx", "A 54523-2023")</f>
        <v/>
      </c>
      <c r="Y131">
        <f>HYPERLINK("https://klasma.github.io/Logging_0980/tillsynsmail/A 54523-2023 tillsynsbegäran mail.docx", "A 54523-2023")</f>
        <v/>
      </c>
    </row>
    <row r="132" ht="15" customHeight="1">
      <c r="A132" t="inlineStr">
        <is>
          <t>A 5904-2024</t>
        </is>
      </c>
      <c r="B132" s="1" t="n">
        <v>45335</v>
      </c>
      <c r="C132" s="1" t="n">
        <v>45852</v>
      </c>
      <c r="D132" t="inlineStr">
        <is>
          <t>GOTLANDS LÄN</t>
        </is>
      </c>
      <c r="E132" t="inlineStr">
        <is>
          <t>GOTLAND</t>
        </is>
      </c>
      <c r="G132" t="n">
        <v>6.4</v>
      </c>
      <c r="H132" t="n">
        <v>1</v>
      </c>
      <c r="I132" t="n">
        <v>2</v>
      </c>
      <c r="J132" t="n">
        <v>1</v>
      </c>
      <c r="K132" t="n">
        <v>0</v>
      </c>
      <c r="L132" t="n">
        <v>0</v>
      </c>
      <c r="M132" t="n">
        <v>0</v>
      </c>
      <c r="N132" t="n">
        <v>0</v>
      </c>
      <c r="O132" t="n">
        <v>1</v>
      </c>
      <c r="P132" t="n">
        <v>0</v>
      </c>
      <c r="Q132" t="n">
        <v>4</v>
      </c>
      <c r="R132" s="2" t="inlineStr">
        <is>
          <t>Backstarr
Blåmossa
Kattfotslav
Sankt pers nycklar</t>
        </is>
      </c>
      <c r="S132">
        <f>HYPERLINK("https://klasma.github.io/Logging_0980/artfynd/A 5904-2024 artfynd.xlsx", "A 5904-2024")</f>
        <v/>
      </c>
      <c r="T132">
        <f>HYPERLINK("https://klasma.github.io/Logging_0980/kartor/A 5904-2024 karta.png", "A 5904-2024")</f>
        <v/>
      </c>
      <c r="V132">
        <f>HYPERLINK("https://klasma.github.io/Logging_0980/klagomål/A 5904-2024 FSC-klagomål.docx", "A 5904-2024")</f>
        <v/>
      </c>
      <c r="W132">
        <f>HYPERLINK("https://klasma.github.io/Logging_0980/klagomålsmail/A 5904-2024 FSC-klagomål mail.docx", "A 5904-2024")</f>
        <v/>
      </c>
      <c r="X132">
        <f>HYPERLINK("https://klasma.github.io/Logging_0980/tillsyn/A 5904-2024 tillsynsbegäran.docx", "A 5904-2024")</f>
        <v/>
      </c>
      <c r="Y132">
        <f>HYPERLINK("https://klasma.github.io/Logging_0980/tillsynsmail/A 5904-2024 tillsynsbegäran mail.docx", "A 5904-2024")</f>
        <v/>
      </c>
    </row>
    <row r="133" ht="15" customHeight="1">
      <c r="A133" t="inlineStr">
        <is>
          <t>A 25768-2024</t>
        </is>
      </c>
      <c r="B133" s="1" t="n">
        <v>45466</v>
      </c>
      <c r="C133" s="1" t="n">
        <v>45852</v>
      </c>
      <c r="D133" t="inlineStr">
        <is>
          <t>GOTLANDS LÄN</t>
        </is>
      </c>
      <c r="E133" t="inlineStr">
        <is>
          <t>GOTLAND</t>
        </is>
      </c>
      <c r="G133" t="n">
        <v>4.6</v>
      </c>
      <c r="H133" t="n">
        <v>4</v>
      </c>
      <c r="I133" t="n">
        <v>2</v>
      </c>
      <c r="J133" t="n">
        <v>0</v>
      </c>
      <c r="K133" t="n">
        <v>0</v>
      </c>
      <c r="L133" t="n">
        <v>0</v>
      </c>
      <c r="M133" t="n">
        <v>0</v>
      </c>
      <c r="N133" t="n">
        <v>0</v>
      </c>
      <c r="O133" t="n">
        <v>0</v>
      </c>
      <c r="P133" t="n">
        <v>0</v>
      </c>
      <c r="Q133" t="n">
        <v>4</v>
      </c>
      <c r="R133" s="2" t="inlineStr">
        <is>
          <t>Nästrot
Tvåblad
Fläcknycklar
Nattviol</t>
        </is>
      </c>
      <c r="S133">
        <f>HYPERLINK("https://klasma.github.io/Logging_0980/artfynd/A 25768-2024 artfynd.xlsx", "A 25768-2024")</f>
        <v/>
      </c>
      <c r="T133">
        <f>HYPERLINK("https://klasma.github.io/Logging_0980/kartor/A 25768-2024 karta.png", "A 25768-2024")</f>
        <v/>
      </c>
      <c r="V133">
        <f>HYPERLINK("https://klasma.github.io/Logging_0980/klagomål/A 25768-2024 FSC-klagomål.docx", "A 25768-2024")</f>
        <v/>
      </c>
      <c r="W133">
        <f>HYPERLINK("https://klasma.github.io/Logging_0980/klagomålsmail/A 25768-2024 FSC-klagomål mail.docx", "A 25768-2024")</f>
        <v/>
      </c>
      <c r="X133">
        <f>HYPERLINK("https://klasma.github.io/Logging_0980/tillsyn/A 25768-2024 tillsynsbegäran.docx", "A 25768-2024")</f>
        <v/>
      </c>
      <c r="Y133">
        <f>HYPERLINK("https://klasma.github.io/Logging_0980/tillsynsmail/A 25768-2024 tillsynsbegäran mail.docx", "A 25768-2024")</f>
        <v/>
      </c>
    </row>
    <row r="134" ht="15" customHeight="1">
      <c r="A134" t="inlineStr">
        <is>
          <t>A 34171-2024</t>
        </is>
      </c>
      <c r="B134" s="1" t="n">
        <v>45524</v>
      </c>
      <c r="C134" s="1" t="n">
        <v>45852</v>
      </c>
      <c r="D134" t="inlineStr">
        <is>
          <t>GOTLANDS LÄN</t>
        </is>
      </c>
      <c r="E134" t="inlineStr">
        <is>
          <t>GOTLAND</t>
        </is>
      </c>
      <c r="G134" t="n">
        <v>6.6</v>
      </c>
      <c r="H134" t="n">
        <v>0</v>
      </c>
      <c r="I134" t="n">
        <v>1</v>
      </c>
      <c r="J134" t="n">
        <v>1</v>
      </c>
      <c r="K134" t="n">
        <v>1</v>
      </c>
      <c r="L134" t="n">
        <v>1</v>
      </c>
      <c r="M134" t="n">
        <v>0</v>
      </c>
      <c r="N134" t="n">
        <v>0</v>
      </c>
      <c r="O134" t="n">
        <v>3</v>
      </c>
      <c r="P134" t="n">
        <v>2</v>
      </c>
      <c r="Q134" t="n">
        <v>4</v>
      </c>
      <c r="R134" s="2" t="inlineStr">
        <is>
          <t>Ädellav
Mörk kraterlav
Orangepudrad klotterlav
Strävlosta</t>
        </is>
      </c>
      <c r="S134">
        <f>HYPERLINK("https://klasma.github.io/Logging_0980/artfynd/A 34171-2024 artfynd.xlsx", "A 34171-2024")</f>
        <v/>
      </c>
      <c r="T134">
        <f>HYPERLINK("https://klasma.github.io/Logging_0980/kartor/A 34171-2024 karta.png", "A 34171-2024")</f>
        <v/>
      </c>
      <c r="V134">
        <f>HYPERLINK("https://klasma.github.io/Logging_0980/klagomål/A 34171-2024 FSC-klagomål.docx", "A 34171-2024")</f>
        <v/>
      </c>
      <c r="W134">
        <f>HYPERLINK("https://klasma.github.io/Logging_0980/klagomålsmail/A 34171-2024 FSC-klagomål mail.docx", "A 34171-2024")</f>
        <v/>
      </c>
      <c r="X134">
        <f>HYPERLINK("https://klasma.github.io/Logging_0980/tillsyn/A 34171-2024 tillsynsbegäran.docx", "A 34171-2024")</f>
        <v/>
      </c>
      <c r="Y134">
        <f>HYPERLINK("https://klasma.github.io/Logging_0980/tillsynsmail/A 34171-2024 tillsynsbegäran mail.docx", "A 34171-2024")</f>
        <v/>
      </c>
    </row>
    <row r="135" ht="15" customHeight="1">
      <c r="A135" t="inlineStr">
        <is>
          <t>A 48025-2024</t>
        </is>
      </c>
      <c r="B135" s="1" t="n">
        <v>45589</v>
      </c>
      <c r="C135" s="1" t="n">
        <v>45852</v>
      </c>
      <c r="D135" t="inlineStr">
        <is>
          <t>GOTLANDS LÄN</t>
        </is>
      </c>
      <c r="E135" t="inlineStr">
        <is>
          <t>GOTLAND</t>
        </is>
      </c>
      <c r="G135" t="n">
        <v>7.8</v>
      </c>
      <c r="H135" t="n">
        <v>0</v>
      </c>
      <c r="I135" t="n">
        <v>1</v>
      </c>
      <c r="J135" t="n">
        <v>0</v>
      </c>
      <c r="K135" t="n">
        <v>2</v>
      </c>
      <c r="L135" t="n">
        <v>1</v>
      </c>
      <c r="M135" t="n">
        <v>0</v>
      </c>
      <c r="N135" t="n">
        <v>0</v>
      </c>
      <c r="O135" t="n">
        <v>3</v>
      </c>
      <c r="P135" t="n">
        <v>3</v>
      </c>
      <c r="Q135" t="n">
        <v>4</v>
      </c>
      <c r="R135" s="2" t="inlineStr">
        <is>
          <t>Ädellav
Mörk kraterlav
Violettfläckig spindling
Kattfotslav</t>
        </is>
      </c>
      <c r="S135">
        <f>HYPERLINK("https://klasma.github.io/Logging_0980/artfynd/A 48025-2024 artfynd.xlsx", "A 48025-2024")</f>
        <v/>
      </c>
      <c r="T135">
        <f>HYPERLINK("https://klasma.github.io/Logging_0980/kartor/A 48025-2024 karta.png", "A 48025-2024")</f>
        <v/>
      </c>
      <c r="V135">
        <f>HYPERLINK("https://klasma.github.io/Logging_0980/klagomål/A 48025-2024 FSC-klagomål.docx", "A 48025-2024")</f>
        <v/>
      </c>
      <c r="W135">
        <f>HYPERLINK("https://klasma.github.io/Logging_0980/klagomålsmail/A 48025-2024 FSC-klagomål mail.docx", "A 48025-2024")</f>
        <v/>
      </c>
      <c r="X135">
        <f>HYPERLINK("https://klasma.github.io/Logging_0980/tillsyn/A 48025-2024 tillsynsbegäran.docx", "A 48025-2024")</f>
        <v/>
      </c>
      <c r="Y135">
        <f>HYPERLINK("https://klasma.github.io/Logging_0980/tillsynsmail/A 48025-2024 tillsynsbegäran mail.docx", "A 48025-2024")</f>
        <v/>
      </c>
    </row>
    <row r="136" ht="15" customHeight="1">
      <c r="A136" t="inlineStr">
        <is>
          <t>A 56717-2024</t>
        </is>
      </c>
      <c r="B136" s="1" t="n">
        <v>45628</v>
      </c>
      <c r="C136" s="1" t="n">
        <v>45852</v>
      </c>
      <c r="D136" t="inlineStr">
        <is>
          <t>GOTLANDS LÄN</t>
        </is>
      </c>
      <c r="E136" t="inlineStr">
        <is>
          <t>GOTLAND</t>
        </is>
      </c>
      <c r="G136" t="n">
        <v>9.699999999999999</v>
      </c>
      <c r="H136" t="n">
        <v>0</v>
      </c>
      <c r="I136" t="n">
        <v>2</v>
      </c>
      <c r="J136" t="n">
        <v>2</v>
      </c>
      <c r="K136" t="n">
        <v>0</v>
      </c>
      <c r="L136" t="n">
        <v>0</v>
      </c>
      <c r="M136" t="n">
        <v>0</v>
      </c>
      <c r="N136" t="n">
        <v>0</v>
      </c>
      <c r="O136" t="n">
        <v>2</v>
      </c>
      <c r="P136" t="n">
        <v>0</v>
      </c>
      <c r="Q136" t="n">
        <v>4</v>
      </c>
      <c r="R136" s="2" t="inlineStr">
        <is>
          <t>Ekvaxskivling
Odörspindling
Fjällig taggsvamp s.str.
Kattfotslav</t>
        </is>
      </c>
      <c r="S136">
        <f>HYPERLINK("https://klasma.github.io/Logging_0980/artfynd/A 56717-2024 artfynd.xlsx", "A 56717-2024")</f>
        <v/>
      </c>
      <c r="T136">
        <f>HYPERLINK("https://klasma.github.io/Logging_0980/kartor/A 56717-2024 karta.png", "A 56717-2024")</f>
        <v/>
      </c>
      <c r="V136">
        <f>HYPERLINK("https://klasma.github.io/Logging_0980/klagomål/A 56717-2024 FSC-klagomål.docx", "A 56717-2024")</f>
        <v/>
      </c>
      <c r="W136">
        <f>HYPERLINK("https://klasma.github.io/Logging_0980/klagomålsmail/A 56717-2024 FSC-klagomål mail.docx", "A 56717-2024")</f>
        <v/>
      </c>
      <c r="X136">
        <f>HYPERLINK("https://klasma.github.io/Logging_0980/tillsyn/A 56717-2024 tillsynsbegäran.docx", "A 56717-2024")</f>
        <v/>
      </c>
      <c r="Y136">
        <f>HYPERLINK("https://klasma.github.io/Logging_0980/tillsynsmail/A 56717-2024 tillsynsbegäran mail.docx", "A 56717-2024")</f>
        <v/>
      </c>
    </row>
    <row r="137" ht="15" customHeight="1">
      <c r="A137" t="inlineStr">
        <is>
          <t>A 58191-2024</t>
        </is>
      </c>
      <c r="B137" s="1" t="n">
        <v>45632</v>
      </c>
      <c r="C137" s="1" t="n">
        <v>45852</v>
      </c>
      <c r="D137" t="inlineStr">
        <is>
          <t>GOTLANDS LÄN</t>
        </is>
      </c>
      <c r="E137" t="inlineStr">
        <is>
          <t>GOTLAND</t>
        </is>
      </c>
      <c r="G137" t="n">
        <v>14.2</v>
      </c>
      <c r="H137" t="n">
        <v>3</v>
      </c>
      <c r="I137" t="n">
        <v>0</v>
      </c>
      <c r="J137" t="n">
        <v>4</v>
      </c>
      <c r="K137" t="n">
        <v>0</v>
      </c>
      <c r="L137" t="n">
        <v>0</v>
      </c>
      <c r="M137" t="n">
        <v>0</v>
      </c>
      <c r="N137" t="n">
        <v>0</v>
      </c>
      <c r="O137" t="n">
        <v>4</v>
      </c>
      <c r="P137" t="n">
        <v>0</v>
      </c>
      <c r="Q137" t="n">
        <v>4</v>
      </c>
      <c r="R137" s="2" t="inlineStr">
        <is>
          <t>Björktrast
Crepis tectorum subsp. tectorum
Duvhök
Spillkråka</t>
        </is>
      </c>
      <c r="S137">
        <f>HYPERLINK("https://klasma.github.io/Logging_0980/artfynd/A 58191-2024 artfynd.xlsx", "A 58191-2024")</f>
        <v/>
      </c>
      <c r="T137">
        <f>HYPERLINK("https://klasma.github.io/Logging_0980/kartor/A 58191-2024 karta.png", "A 58191-2024")</f>
        <v/>
      </c>
      <c r="V137">
        <f>HYPERLINK("https://klasma.github.io/Logging_0980/klagomål/A 58191-2024 FSC-klagomål.docx", "A 58191-2024")</f>
        <v/>
      </c>
      <c r="W137">
        <f>HYPERLINK("https://klasma.github.io/Logging_0980/klagomålsmail/A 58191-2024 FSC-klagomål mail.docx", "A 58191-2024")</f>
        <v/>
      </c>
      <c r="X137">
        <f>HYPERLINK("https://klasma.github.io/Logging_0980/tillsyn/A 58191-2024 tillsynsbegäran.docx", "A 58191-2024")</f>
        <v/>
      </c>
      <c r="Y137">
        <f>HYPERLINK("https://klasma.github.io/Logging_0980/tillsynsmail/A 58191-2024 tillsynsbegäran mail.docx", "A 58191-2024")</f>
        <v/>
      </c>
      <c r="Z137">
        <f>HYPERLINK("https://klasma.github.io/Logging_0980/fåglar/A 58191-2024 prioriterade fågelarter.docx", "A 58191-2024")</f>
        <v/>
      </c>
    </row>
    <row r="138" ht="15" customHeight="1">
      <c r="A138" t="inlineStr">
        <is>
          <t>A 2485-2025</t>
        </is>
      </c>
      <c r="B138" s="1" t="n">
        <v>45673</v>
      </c>
      <c r="C138" s="1" t="n">
        <v>45852</v>
      </c>
      <c r="D138" t="inlineStr">
        <is>
          <t>GOTLANDS LÄN</t>
        </is>
      </c>
      <c r="E138" t="inlineStr">
        <is>
          <t>GOTLAND</t>
        </is>
      </c>
      <c r="G138" t="n">
        <v>5</v>
      </c>
      <c r="H138" t="n">
        <v>2</v>
      </c>
      <c r="I138" t="n">
        <v>2</v>
      </c>
      <c r="J138" t="n">
        <v>0</v>
      </c>
      <c r="K138" t="n">
        <v>2</v>
      </c>
      <c r="L138" t="n">
        <v>0</v>
      </c>
      <c r="M138" t="n">
        <v>0</v>
      </c>
      <c r="N138" t="n">
        <v>0</v>
      </c>
      <c r="O138" t="n">
        <v>2</v>
      </c>
      <c r="P138" t="n">
        <v>2</v>
      </c>
      <c r="Q138" t="n">
        <v>4</v>
      </c>
      <c r="R138" s="2" t="inlineStr">
        <is>
          <t>Gotlandsmåra
Skogskorn
Nästrot
Skogsknipprot</t>
        </is>
      </c>
      <c r="S138">
        <f>HYPERLINK("https://klasma.github.io/Logging_0980/artfynd/A 2485-2025 artfynd.xlsx", "A 2485-2025")</f>
        <v/>
      </c>
      <c r="T138">
        <f>HYPERLINK("https://klasma.github.io/Logging_0980/kartor/A 2485-2025 karta.png", "A 2485-2025")</f>
        <v/>
      </c>
      <c r="V138">
        <f>HYPERLINK("https://klasma.github.io/Logging_0980/klagomål/A 2485-2025 FSC-klagomål.docx", "A 2485-2025")</f>
        <v/>
      </c>
      <c r="W138">
        <f>HYPERLINK("https://klasma.github.io/Logging_0980/klagomålsmail/A 2485-2025 FSC-klagomål mail.docx", "A 2485-2025")</f>
        <v/>
      </c>
      <c r="X138">
        <f>HYPERLINK("https://klasma.github.io/Logging_0980/tillsyn/A 2485-2025 tillsynsbegäran.docx", "A 2485-2025")</f>
        <v/>
      </c>
      <c r="Y138">
        <f>HYPERLINK("https://klasma.github.io/Logging_0980/tillsynsmail/A 2485-2025 tillsynsbegäran mail.docx", "A 2485-2025")</f>
        <v/>
      </c>
    </row>
    <row r="139" ht="15" customHeight="1">
      <c r="A139" t="inlineStr">
        <is>
          <t>A 60700-2019</t>
        </is>
      </c>
      <c r="B139" s="1" t="n">
        <v>43781</v>
      </c>
      <c r="C139" s="1" t="n">
        <v>45852</v>
      </c>
      <c r="D139" t="inlineStr">
        <is>
          <t>GOTLANDS LÄN</t>
        </is>
      </c>
      <c r="E139" t="inlineStr">
        <is>
          <t>GOTLAND</t>
        </is>
      </c>
      <c r="G139" t="n">
        <v>4.3</v>
      </c>
      <c r="H139" t="n">
        <v>0</v>
      </c>
      <c r="I139" t="n">
        <v>2</v>
      </c>
      <c r="J139" t="n">
        <v>1</v>
      </c>
      <c r="K139" t="n">
        <v>0</v>
      </c>
      <c r="L139" t="n">
        <v>0</v>
      </c>
      <c r="M139" t="n">
        <v>0</v>
      </c>
      <c r="N139" t="n">
        <v>0</v>
      </c>
      <c r="O139" t="n">
        <v>1</v>
      </c>
      <c r="P139" t="n">
        <v>0</v>
      </c>
      <c r="Q139" t="n">
        <v>3</v>
      </c>
      <c r="R139" s="2" t="inlineStr">
        <is>
          <t>Tallticka
Blåmossa
Kattfotslav</t>
        </is>
      </c>
      <c r="S139">
        <f>HYPERLINK("https://klasma.github.io/Logging_0980/artfynd/A 60700-2019 artfynd.xlsx", "A 60700-2019")</f>
        <v/>
      </c>
      <c r="T139">
        <f>HYPERLINK("https://klasma.github.io/Logging_0980/kartor/A 60700-2019 karta.png", "A 60700-2019")</f>
        <v/>
      </c>
      <c r="V139">
        <f>HYPERLINK("https://klasma.github.io/Logging_0980/klagomål/A 60700-2019 FSC-klagomål.docx", "A 60700-2019")</f>
        <v/>
      </c>
      <c r="W139">
        <f>HYPERLINK("https://klasma.github.io/Logging_0980/klagomålsmail/A 60700-2019 FSC-klagomål mail.docx", "A 60700-2019")</f>
        <v/>
      </c>
      <c r="X139">
        <f>HYPERLINK("https://klasma.github.io/Logging_0980/tillsyn/A 60700-2019 tillsynsbegäran.docx", "A 60700-2019")</f>
        <v/>
      </c>
      <c r="Y139">
        <f>HYPERLINK("https://klasma.github.io/Logging_0980/tillsynsmail/A 60700-2019 tillsynsbegäran mail.docx", "A 60700-2019")</f>
        <v/>
      </c>
    </row>
    <row r="140" ht="15" customHeight="1">
      <c r="A140" t="inlineStr">
        <is>
          <t>A 66053-2019</t>
        </is>
      </c>
      <c r="B140" s="1" t="n">
        <v>43806</v>
      </c>
      <c r="C140" s="1" t="n">
        <v>45852</v>
      </c>
      <c r="D140" t="inlineStr">
        <is>
          <t>GOTLANDS LÄN</t>
        </is>
      </c>
      <c r="E140" t="inlineStr">
        <is>
          <t>GOTLAND</t>
        </is>
      </c>
      <c r="G140" t="n">
        <v>58.6</v>
      </c>
      <c r="H140" t="n">
        <v>2</v>
      </c>
      <c r="I140" t="n">
        <v>0</v>
      </c>
      <c r="J140" t="n">
        <v>1</v>
      </c>
      <c r="K140" t="n">
        <v>2</v>
      </c>
      <c r="L140" t="n">
        <v>0</v>
      </c>
      <c r="M140" t="n">
        <v>0</v>
      </c>
      <c r="N140" t="n">
        <v>0</v>
      </c>
      <c r="O140" t="n">
        <v>3</v>
      </c>
      <c r="P140" t="n">
        <v>2</v>
      </c>
      <c r="Q140" t="n">
        <v>3</v>
      </c>
      <c r="R140" s="2" t="inlineStr">
        <is>
          <t>Falsk guldskivlav
Garderönn
Apollofjäril</t>
        </is>
      </c>
      <c r="S140">
        <f>HYPERLINK("https://klasma.github.io/Logging_0980/artfynd/A 66053-2019 artfynd.xlsx", "A 66053-2019")</f>
        <v/>
      </c>
      <c r="T140">
        <f>HYPERLINK("https://klasma.github.io/Logging_0980/kartor/A 66053-2019 karta.png", "A 66053-2019")</f>
        <v/>
      </c>
      <c r="V140">
        <f>HYPERLINK("https://klasma.github.io/Logging_0980/klagomål/A 66053-2019 FSC-klagomål.docx", "A 66053-2019")</f>
        <v/>
      </c>
      <c r="W140">
        <f>HYPERLINK("https://klasma.github.io/Logging_0980/klagomålsmail/A 66053-2019 FSC-klagomål mail.docx", "A 66053-2019")</f>
        <v/>
      </c>
      <c r="X140">
        <f>HYPERLINK("https://klasma.github.io/Logging_0980/tillsyn/A 66053-2019 tillsynsbegäran.docx", "A 66053-2019")</f>
        <v/>
      </c>
      <c r="Y140">
        <f>HYPERLINK("https://klasma.github.io/Logging_0980/tillsynsmail/A 66053-2019 tillsynsbegäran mail.docx", "A 66053-2019")</f>
        <v/>
      </c>
    </row>
    <row r="141" ht="15" customHeight="1">
      <c r="A141" t="inlineStr">
        <is>
          <t>A 2536-2020</t>
        </is>
      </c>
      <c r="B141" s="1" t="n">
        <v>43847</v>
      </c>
      <c r="C141" s="1" t="n">
        <v>45852</v>
      </c>
      <c r="D141" t="inlineStr">
        <is>
          <t>GOTLANDS LÄN</t>
        </is>
      </c>
      <c r="E141" t="inlineStr">
        <is>
          <t>GOTLAND</t>
        </is>
      </c>
      <c r="G141" t="n">
        <v>4.2</v>
      </c>
      <c r="H141" t="n">
        <v>1</v>
      </c>
      <c r="I141" t="n">
        <v>0</v>
      </c>
      <c r="J141" t="n">
        <v>2</v>
      </c>
      <c r="K141" t="n">
        <v>0</v>
      </c>
      <c r="L141" t="n">
        <v>0</v>
      </c>
      <c r="M141" t="n">
        <v>0</v>
      </c>
      <c r="N141" t="n">
        <v>0</v>
      </c>
      <c r="O141" t="n">
        <v>2</v>
      </c>
      <c r="P141" t="n">
        <v>0</v>
      </c>
      <c r="Q141" t="n">
        <v>3</v>
      </c>
      <c r="R141" s="2" t="inlineStr">
        <is>
          <t>Backklöver
Svinrot
Blåsippa</t>
        </is>
      </c>
      <c r="S141">
        <f>HYPERLINK("https://klasma.github.io/Logging_0980/artfynd/A 2536-2020 artfynd.xlsx", "A 2536-2020")</f>
        <v/>
      </c>
      <c r="T141">
        <f>HYPERLINK("https://klasma.github.io/Logging_0980/kartor/A 2536-2020 karta.png", "A 2536-2020")</f>
        <v/>
      </c>
      <c r="V141">
        <f>HYPERLINK("https://klasma.github.io/Logging_0980/klagomål/A 2536-2020 FSC-klagomål.docx", "A 2536-2020")</f>
        <v/>
      </c>
      <c r="W141">
        <f>HYPERLINK("https://klasma.github.io/Logging_0980/klagomålsmail/A 2536-2020 FSC-klagomål mail.docx", "A 2536-2020")</f>
        <v/>
      </c>
      <c r="X141">
        <f>HYPERLINK("https://klasma.github.io/Logging_0980/tillsyn/A 2536-2020 tillsynsbegäran.docx", "A 2536-2020")</f>
        <v/>
      </c>
      <c r="Y141">
        <f>HYPERLINK("https://klasma.github.io/Logging_0980/tillsynsmail/A 2536-2020 tillsynsbegäran mail.docx", "A 2536-2020")</f>
        <v/>
      </c>
    </row>
    <row r="142" ht="15" customHeight="1">
      <c r="A142" t="inlineStr">
        <is>
          <t>A 3218-2020</t>
        </is>
      </c>
      <c r="B142" s="1" t="n">
        <v>43851</v>
      </c>
      <c r="C142" s="1" t="n">
        <v>45852</v>
      </c>
      <c r="D142" t="inlineStr">
        <is>
          <t>GOTLANDS LÄN</t>
        </is>
      </c>
      <c r="E142" t="inlineStr">
        <is>
          <t>GOTLAND</t>
        </is>
      </c>
      <c r="G142" t="n">
        <v>7.8</v>
      </c>
      <c r="H142" t="n">
        <v>3</v>
      </c>
      <c r="I142" t="n">
        <v>0</v>
      </c>
      <c r="J142" t="n">
        <v>0</v>
      </c>
      <c r="K142" t="n">
        <v>0</v>
      </c>
      <c r="L142" t="n">
        <v>0</v>
      </c>
      <c r="M142" t="n">
        <v>0</v>
      </c>
      <c r="N142" t="n">
        <v>0</v>
      </c>
      <c r="O142" t="n">
        <v>0</v>
      </c>
      <c r="P142" t="n">
        <v>0</v>
      </c>
      <c r="Q142" t="n">
        <v>3</v>
      </c>
      <c r="R142" s="2" t="inlineStr">
        <is>
          <t>Åkergroda
Mindre vattensalamander
Vanlig padda</t>
        </is>
      </c>
      <c r="S142">
        <f>HYPERLINK("https://klasma.github.io/Logging_0980/artfynd/A 3218-2020 artfynd.xlsx", "A 3218-2020")</f>
        <v/>
      </c>
      <c r="T142">
        <f>HYPERLINK("https://klasma.github.io/Logging_0980/kartor/A 3218-2020 karta.png", "A 3218-2020")</f>
        <v/>
      </c>
      <c r="V142">
        <f>HYPERLINK("https://klasma.github.io/Logging_0980/klagomål/A 3218-2020 FSC-klagomål.docx", "A 3218-2020")</f>
        <v/>
      </c>
      <c r="W142">
        <f>HYPERLINK("https://klasma.github.io/Logging_0980/klagomålsmail/A 3218-2020 FSC-klagomål mail.docx", "A 3218-2020")</f>
        <v/>
      </c>
      <c r="X142">
        <f>HYPERLINK("https://klasma.github.io/Logging_0980/tillsyn/A 3218-2020 tillsynsbegäran.docx", "A 3218-2020")</f>
        <v/>
      </c>
      <c r="Y142">
        <f>HYPERLINK("https://klasma.github.io/Logging_0980/tillsynsmail/A 3218-2020 tillsynsbegäran mail.docx", "A 3218-2020")</f>
        <v/>
      </c>
    </row>
    <row r="143" ht="15" customHeight="1">
      <c r="A143" t="inlineStr">
        <is>
          <t>A 7156-2020</t>
        </is>
      </c>
      <c r="B143" s="1" t="n">
        <v>43870</v>
      </c>
      <c r="C143" s="1" t="n">
        <v>45852</v>
      </c>
      <c r="D143" t="inlineStr">
        <is>
          <t>GOTLANDS LÄN</t>
        </is>
      </c>
      <c r="E143" t="inlineStr">
        <is>
          <t>GOTLAND</t>
        </is>
      </c>
      <c r="G143" t="n">
        <v>1.5</v>
      </c>
      <c r="H143" t="n">
        <v>1</v>
      </c>
      <c r="I143" t="n">
        <v>0</v>
      </c>
      <c r="J143" t="n">
        <v>2</v>
      </c>
      <c r="K143" t="n">
        <v>0</v>
      </c>
      <c r="L143" t="n">
        <v>0</v>
      </c>
      <c r="M143" t="n">
        <v>0</v>
      </c>
      <c r="N143" t="n">
        <v>0</v>
      </c>
      <c r="O143" t="n">
        <v>2</v>
      </c>
      <c r="P143" t="n">
        <v>0</v>
      </c>
      <c r="Q143" t="n">
        <v>3</v>
      </c>
      <c r="R143" s="2" t="inlineStr">
        <is>
          <t>Bolmört
Solvända
Sankt pers nycklar</t>
        </is>
      </c>
      <c r="S143">
        <f>HYPERLINK("https://klasma.github.io/Logging_0980/artfynd/A 7156-2020 artfynd.xlsx", "A 7156-2020")</f>
        <v/>
      </c>
      <c r="T143">
        <f>HYPERLINK("https://klasma.github.io/Logging_0980/kartor/A 7156-2020 karta.png", "A 7156-2020")</f>
        <v/>
      </c>
      <c r="V143">
        <f>HYPERLINK("https://klasma.github.io/Logging_0980/klagomål/A 7156-2020 FSC-klagomål.docx", "A 7156-2020")</f>
        <v/>
      </c>
      <c r="W143">
        <f>HYPERLINK("https://klasma.github.io/Logging_0980/klagomålsmail/A 7156-2020 FSC-klagomål mail.docx", "A 7156-2020")</f>
        <v/>
      </c>
      <c r="X143">
        <f>HYPERLINK("https://klasma.github.io/Logging_0980/tillsyn/A 7156-2020 tillsynsbegäran.docx", "A 7156-2020")</f>
        <v/>
      </c>
      <c r="Y143">
        <f>HYPERLINK("https://klasma.github.io/Logging_0980/tillsynsmail/A 7156-2020 tillsynsbegäran mail.docx", "A 7156-2020")</f>
        <v/>
      </c>
    </row>
    <row r="144" ht="15" customHeight="1">
      <c r="A144" t="inlineStr">
        <is>
          <t>A 10707-2020</t>
        </is>
      </c>
      <c r="B144" s="1" t="n">
        <v>43888</v>
      </c>
      <c r="C144" s="1" t="n">
        <v>45852</v>
      </c>
      <c r="D144" t="inlineStr">
        <is>
          <t>GOTLANDS LÄN</t>
        </is>
      </c>
      <c r="E144" t="inlineStr">
        <is>
          <t>GOTLAND</t>
        </is>
      </c>
      <c r="F144" t="inlineStr">
        <is>
          <t>Övriga statliga verk och myndigheter</t>
        </is>
      </c>
      <c r="G144" t="n">
        <v>27.7</v>
      </c>
      <c r="H144" t="n">
        <v>0</v>
      </c>
      <c r="I144" t="n">
        <v>0</v>
      </c>
      <c r="J144" t="n">
        <v>3</v>
      </c>
      <c r="K144" t="n">
        <v>0</v>
      </c>
      <c r="L144" t="n">
        <v>0</v>
      </c>
      <c r="M144" t="n">
        <v>0</v>
      </c>
      <c r="N144" t="n">
        <v>0</v>
      </c>
      <c r="O144" t="n">
        <v>3</v>
      </c>
      <c r="P144" t="n">
        <v>0</v>
      </c>
      <c r="Q144" t="n">
        <v>3</v>
      </c>
      <c r="R144" s="2" t="inlineStr">
        <is>
          <t>Grådådra
Mindre blåvinge
Ängsnätfjäril</t>
        </is>
      </c>
      <c r="S144">
        <f>HYPERLINK("https://klasma.github.io/Logging_0980/artfynd/A 10707-2020 artfynd.xlsx", "A 10707-2020")</f>
        <v/>
      </c>
      <c r="T144">
        <f>HYPERLINK("https://klasma.github.io/Logging_0980/kartor/A 10707-2020 karta.png", "A 10707-2020")</f>
        <v/>
      </c>
      <c r="V144">
        <f>HYPERLINK("https://klasma.github.io/Logging_0980/klagomål/A 10707-2020 FSC-klagomål.docx", "A 10707-2020")</f>
        <v/>
      </c>
      <c r="W144">
        <f>HYPERLINK("https://klasma.github.io/Logging_0980/klagomålsmail/A 10707-2020 FSC-klagomål mail.docx", "A 10707-2020")</f>
        <v/>
      </c>
      <c r="X144">
        <f>HYPERLINK("https://klasma.github.io/Logging_0980/tillsyn/A 10707-2020 tillsynsbegäran.docx", "A 10707-2020")</f>
        <v/>
      </c>
      <c r="Y144">
        <f>HYPERLINK("https://klasma.github.io/Logging_0980/tillsynsmail/A 10707-2020 tillsynsbegäran mail.docx", "A 10707-2020")</f>
        <v/>
      </c>
    </row>
    <row r="145" ht="15" customHeight="1">
      <c r="A145" t="inlineStr">
        <is>
          <t>A 55029-2020</t>
        </is>
      </c>
      <c r="B145" s="1" t="n">
        <v>44130</v>
      </c>
      <c r="C145" s="1" t="n">
        <v>45852</v>
      </c>
      <c r="D145" t="inlineStr">
        <is>
          <t>GOTLANDS LÄN</t>
        </is>
      </c>
      <c r="E145" t="inlineStr">
        <is>
          <t>GOTLAND</t>
        </is>
      </c>
      <c r="G145" t="n">
        <v>6.9</v>
      </c>
      <c r="H145" t="n">
        <v>1</v>
      </c>
      <c r="I145" t="n">
        <v>2</v>
      </c>
      <c r="J145" t="n">
        <v>1</v>
      </c>
      <c r="K145" t="n">
        <v>0</v>
      </c>
      <c r="L145" t="n">
        <v>0</v>
      </c>
      <c r="M145" t="n">
        <v>0</v>
      </c>
      <c r="N145" t="n">
        <v>0</v>
      </c>
      <c r="O145" t="n">
        <v>1</v>
      </c>
      <c r="P145" t="n">
        <v>0</v>
      </c>
      <c r="Q145" t="n">
        <v>3</v>
      </c>
      <c r="R145" s="2" t="inlineStr">
        <is>
          <t>Dårgräsfjäril
Anisspindling
Granbarkgnagare</t>
        </is>
      </c>
      <c r="S145">
        <f>HYPERLINK("https://klasma.github.io/Logging_0980/artfynd/A 55029-2020 artfynd.xlsx", "A 55029-2020")</f>
        <v/>
      </c>
      <c r="T145">
        <f>HYPERLINK("https://klasma.github.io/Logging_0980/kartor/A 55029-2020 karta.png", "A 55029-2020")</f>
        <v/>
      </c>
      <c r="V145">
        <f>HYPERLINK("https://klasma.github.io/Logging_0980/klagomål/A 55029-2020 FSC-klagomål.docx", "A 55029-2020")</f>
        <v/>
      </c>
      <c r="W145">
        <f>HYPERLINK("https://klasma.github.io/Logging_0980/klagomålsmail/A 55029-2020 FSC-klagomål mail.docx", "A 55029-2020")</f>
        <v/>
      </c>
      <c r="X145">
        <f>HYPERLINK("https://klasma.github.io/Logging_0980/tillsyn/A 55029-2020 tillsynsbegäran.docx", "A 55029-2020")</f>
        <v/>
      </c>
      <c r="Y145">
        <f>HYPERLINK("https://klasma.github.io/Logging_0980/tillsynsmail/A 55029-2020 tillsynsbegäran mail.docx", "A 55029-2020")</f>
        <v/>
      </c>
    </row>
    <row r="146" ht="15" customHeight="1">
      <c r="A146" t="inlineStr">
        <is>
          <t>A 62326-2020</t>
        </is>
      </c>
      <c r="B146" s="1" t="n">
        <v>44160</v>
      </c>
      <c r="C146" s="1" t="n">
        <v>45852</v>
      </c>
      <c r="D146" t="inlineStr">
        <is>
          <t>GOTLANDS LÄN</t>
        </is>
      </c>
      <c r="E146" t="inlineStr">
        <is>
          <t>GOTLAND</t>
        </is>
      </c>
      <c r="G146" t="n">
        <v>7.4</v>
      </c>
      <c r="H146" t="n">
        <v>1</v>
      </c>
      <c r="I146" t="n">
        <v>3</v>
      </c>
      <c r="J146" t="n">
        <v>0</v>
      </c>
      <c r="K146" t="n">
        <v>0</v>
      </c>
      <c r="L146" t="n">
        <v>0</v>
      </c>
      <c r="M146" t="n">
        <v>0</v>
      </c>
      <c r="N146" t="n">
        <v>0</v>
      </c>
      <c r="O146" t="n">
        <v>0</v>
      </c>
      <c r="P146" t="n">
        <v>0</v>
      </c>
      <c r="Q146" t="n">
        <v>3</v>
      </c>
      <c r="R146" s="2" t="inlineStr">
        <is>
          <t>Anisspindling
Blåmossa
Skogsknipprot</t>
        </is>
      </c>
      <c r="S146">
        <f>HYPERLINK("https://klasma.github.io/Logging_0980/artfynd/A 62326-2020 artfynd.xlsx", "A 62326-2020")</f>
        <v/>
      </c>
      <c r="T146">
        <f>HYPERLINK("https://klasma.github.io/Logging_0980/kartor/A 62326-2020 karta.png", "A 62326-2020")</f>
        <v/>
      </c>
      <c r="V146">
        <f>HYPERLINK("https://klasma.github.io/Logging_0980/klagomål/A 62326-2020 FSC-klagomål.docx", "A 62326-2020")</f>
        <v/>
      </c>
      <c r="W146">
        <f>HYPERLINK("https://klasma.github.io/Logging_0980/klagomålsmail/A 62326-2020 FSC-klagomål mail.docx", "A 62326-2020")</f>
        <v/>
      </c>
      <c r="X146">
        <f>HYPERLINK("https://klasma.github.io/Logging_0980/tillsyn/A 62326-2020 tillsynsbegäran.docx", "A 62326-2020")</f>
        <v/>
      </c>
      <c r="Y146">
        <f>HYPERLINK("https://klasma.github.io/Logging_0980/tillsynsmail/A 62326-2020 tillsynsbegäran mail.docx", "A 62326-2020")</f>
        <v/>
      </c>
    </row>
    <row r="147" ht="15" customHeight="1">
      <c r="A147" t="inlineStr">
        <is>
          <t>A 2332-2021</t>
        </is>
      </c>
      <c r="B147" s="1" t="n">
        <v>44214</v>
      </c>
      <c r="C147" s="1" t="n">
        <v>45852</v>
      </c>
      <c r="D147" t="inlineStr">
        <is>
          <t>GOTLANDS LÄN</t>
        </is>
      </c>
      <c r="E147" t="inlineStr">
        <is>
          <t>GOTLAND</t>
        </is>
      </c>
      <c r="G147" t="n">
        <v>2.3</v>
      </c>
      <c r="H147" t="n">
        <v>2</v>
      </c>
      <c r="I147" t="n">
        <v>0</v>
      </c>
      <c r="J147" t="n">
        <v>1</v>
      </c>
      <c r="K147" t="n">
        <v>0</v>
      </c>
      <c r="L147" t="n">
        <v>0</v>
      </c>
      <c r="M147" t="n">
        <v>0</v>
      </c>
      <c r="N147" t="n">
        <v>0</v>
      </c>
      <c r="O147" t="n">
        <v>1</v>
      </c>
      <c r="P147" t="n">
        <v>0</v>
      </c>
      <c r="Q147" t="n">
        <v>3</v>
      </c>
      <c r="R147" s="2" t="inlineStr">
        <is>
          <t>Korpnopping
Sankt pers nycklar
Blåsippa</t>
        </is>
      </c>
      <c r="S147">
        <f>HYPERLINK("https://klasma.github.io/Logging_0980/artfynd/A 2332-2021 artfynd.xlsx", "A 2332-2021")</f>
        <v/>
      </c>
      <c r="T147">
        <f>HYPERLINK("https://klasma.github.io/Logging_0980/kartor/A 2332-2021 karta.png", "A 2332-2021")</f>
        <v/>
      </c>
      <c r="V147">
        <f>HYPERLINK("https://klasma.github.io/Logging_0980/klagomål/A 2332-2021 FSC-klagomål.docx", "A 2332-2021")</f>
        <v/>
      </c>
      <c r="W147">
        <f>HYPERLINK("https://klasma.github.io/Logging_0980/klagomålsmail/A 2332-2021 FSC-klagomål mail.docx", "A 2332-2021")</f>
        <v/>
      </c>
      <c r="X147">
        <f>HYPERLINK("https://klasma.github.io/Logging_0980/tillsyn/A 2332-2021 tillsynsbegäran.docx", "A 2332-2021")</f>
        <v/>
      </c>
      <c r="Y147">
        <f>HYPERLINK("https://klasma.github.io/Logging_0980/tillsynsmail/A 2332-2021 tillsynsbegäran mail.docx", "A 2332-2021")</f>
        <v/>
      </c>
    </row>
    <row r="148" ht="15" customHeight="1">
      <c r="A148" t="inlineStr">
        <is>
          <t>A 12519-2021</t>
        </is>
      </c>
      <c r="B148" s="1" t="n">
        <v>44269</v>
      </c>
      <c r="C148" s="1" t="n">
        <v>45852</v>
      </c>
      <c r="D148" t="inlineStr">
        <is>
          <t>GOTLANDS LÄN</t>
        </is>
      </c>
      <c r="E148" t="inlineStr">
        <is>
          <t>GOTLAND</t>
        </is>
      </c>
      <c r="F148" t="inlineStr">
        <is>
          <t>Kyrkan</t>
        </is>
      </c>
      <c r="G148" t="n">
        <v>3.4</v>
      </c>
      <c r="H148" t="n">
        <v>0</v>
      </c>
      <c r="I148" t="n">
        <v>2</v>
      </c>
      <c r="J148" t="n">
        <v>1</v>
      </c>
      <c r="K148" t="n">
        <v>0</v>
      </c>
      <c r="L148" t="n">
        <v>0</v>
      </c>
      <c r="M148" t="n">
        <v>0</v>
      </c>
      <c r="N148" t="n">
        <v>0</v>
      </c>
      <c r="O148" t="n">
        <v>1</v>
      </c>
      <c r="P148" t="n">
        <v>0</v>
      </c>
      <c r="Q148" t="n">
        <v>3</v>
      </c>
      <c r="R148" s="2" t="inlineStr">
        <is>
          <t>Loppstarr
Rödgul trumpetsvamp
Vågbandad barkbock</t>
        </is>
      </c>
      <c r="S148">
        <f>HYPERLINK("https://klasma.github.io/Logging_0980/artfynd/A 12519-2021 artfynd.xlsx", "A 12519-2021")</f>
        <v/>
      </c>
      <c r="T148">
        <f>HYPERLINK("https://klasma.github.io/Logging_0980/kartor/A 12519-2021 karta.png", "A 12519-2021")</f>
        <v/>
      </c>
      <c r="V148">
        <f>HYPERLINK("https://klasma.github.io/Logging_0980/klagomål/A 12519-2021 FSC-klagomål.docx", "A 12519-2021")</f>
        <v/>
      </c>
      <c r="W148">
        <f>HYPERLINK("https://klasma.github.io/Logging_0980/klagomålsmail/A 12519-2021 FSC-klagomål mail.docx", "A 12519-2021")</f>
        <v/>
      </c>
      <c r="X148">
        <f>HYPERLINK("https://klasma.github.io/Logging_0980/tillsyn/A 12519-2021 tillsynsbegäran.docx", "A 12519-2021")</f>
        <v/>
      </c>
      <c r="Y148">
        <f>HYPERLINK("https://klasma.github.io/Logging_0980/tillsynsmail/A 12519-2021 tillsynsbegäran mail.docx", "A 12519-2021")</f>
        <v/>
      </c>
    </row>
    <row r="149" ht="15" customHeight="1">
      <c r="A149" t="inlineStr">
        <is>
          <t>A 32666-2021</t>
        </is>
      </c>
      <c r="B149" s="1" t="n">
        <v>44375</v>
      </c>
      <c r="C149" s="1" t="n">
        <v>45852</v>
      </c>
      <c r="D149" t="inlineStr">
        <is>
          <t>GOTLANDS LÄN</t>
        </is>
      </c>
      <c r="E149" t="inlineStr">
        <is>
          <t>GOTLAND</t>
        </is>
      </c>
      <c r="G149" t="n">
        <v>0.9</v>
      </c>
      <c r="H149" t="n">
        <v>1</v>
      </c>
      <c r="I149" t="n">
        <v>2</v>
      </c>
      <c r="J149" t="n">
        <v>0</v>
      </c>
      <c r="K149" t="n">
        <v>1</v>
      </c>
      <c r="L149" t="n">
        <v>0</v>
      </c>
      <c r="M149" t="n">
        <v>0</v>
      </c>
      <c r="N149" t="n">
        <v>0</v>
      </c>
      <c r="O149" t="n">
        <v>1</v>
      </c>
      <c r="P149" t="n">
        <v>1</v>
      </c>
      <c r="Q149" t="n">
        <v>3</v>
      </c>
      <c r="R149" s="2" t="inlineStr">
        <is>
          <t>Skogskorn
Myskmadra
Vit skogslilja</t>
        </is>
      </c>
      <c r="S149">
        <f>HYPERLINK("https://klasma.github.io/Logging_0980/artfynd/A 32666-2021 artfynd.xlsx", "A 32666-2021")</f>
        <v/>
      </c>
      <c r="T149">
        <f>HYPERLINK("https://klasma.github.io/Logging_0980/kartor/A 32666-2021 karta.png", "A 32666-2021")</f>
        <v/>
      </c>
      <c r="V149">
        <f>HYPERLINK("https://klasma.github.io/Logging_0980/klagomål/A 32666-2021 FSC-klagomål.docx", "A 32666-2021")</f>
        <v/>
      </c>
      <c r="W149">
        <f>HYPERLINK("https://klasma.github.io/Logging_0980/klagomålsmail/A 32666-2021 FSC-klagomål mail.docx", "A 32666-2021")</f>
        <v/>
      </c>
      <c r="X149">
        <f>HYPERLINK("https://klasma.github.io/Logging_0980/tillsyn/A 32666-2021 tillsynsbegäran.docx", "A 32666-2021")</f>
        <v/>
      </c>
      <c r="Y149">
        <f>HYPERLINK("https://klasma.github.io/Logging_0980/tillsynsmail/A 32666-2021 tillsynsbegäran mail.docx", "A 32666-2021")</f>
        <v/>
      </c>
    </row>
    <row r="150" ht="15" customHeight="1">
      <c r="A150" t="inlineStr">
        <is>
          <t>A 32718-2021</t>
        </is>
      </c>
      <c r="B150" s="1" t="n">
        <v>44375</v>
      </c>
      <c r="C150" s="1" t="n">
        <v>45852</v>
      </c>
      <c r="D150" t="inlineStr">
        <is>
          <t>GOTLANDS LÄN</t>
        </is>
      </c>
      <c r="E150" t="inlineStr">
        <is>
          <t>GOTLAND</t>
        </is>
      </c>
      <c r="G150" t="n">
        <v>2.1</v>
      </c>
      <c r="H150" t="n">
        <v>0</v>
      </c>
      <c r="I150" t="n">
        <v>1</v>
      </c>
      <c r="J150" t="n">
        <v>1</v>
      </c>
      <c r="K150" t="n">
        <v>1</v>
      </c>
      <c r="L150" t="n">
        <v>0</v>
      </c>
      <c r="M150" t="n">
        <v>0</v>
      </c>
      <c r="N150" t="n">
        <v>0</v>
      </c>
      <c r="O150" t="n">
        <v>2</v>
      </c>
      <c r="P150" t="n">
        <v>1</v>
      </c>
      <c r="Q150" t="n">
        <v>3</v>
      </c>
      <c r="R150" s="2" t="inlineStr">
        <is>
          <t>Skogskorn
Skugglosta
Strävlosta</t>
        </is>
      </c>
      <c r="S150">
        <f>HYPERLINK("https://klasma.github.io/Logging_0980/artfynd/A 32718-2021 artfynd.xlsx", "A 32718-2021")</f>
        <v/>
      </c>
      <c r="T150">
        <f>HYPERLINK("https://klasma.github.io/Logging_0980/kartor/A 32718-2021 karta.png", "A 32718-2021")</f>
        <v/>
      </c>
      <c r="V150">
        <f>HYPERLINK("https://klasma.github.io/Logging_0980/klagomål/A 32718-2021 FSC-klagomål.docx", "A 32718-2021")</f>
        <v/>
      </c>
      <c r="W150">
        <f>HYPERLINK("https://klasma.github.io/Logging_0980/klagomålsmail/A 32718-2021 FSC-klagomål mail.docx", "A 32718-2021")</f>
        <v/>
      </c>
      <c r="X150">
        <f>HYPERLINK("https://klasma.github.io/Logging_0980/tillsyn/A 32718-2021 tillsynsbegäran.docx", "A 32718-2021")</f>
        <v/>
      </c>
      <c r="Y150">
        <f>HYPERLINK("https://klasma.github.io/Logging_0980/tillsynsmail/A 32718-2021 tillsynsbegäran mail.docx", "A 32718-2021")</f>
        <v/>
      </c>
    </row>
    <row r="151" ht="15" customHeight="1">
      <c r="A151" t="inlineStr">
        <is>
          <t>A 44323-2021</t>
        </is>
      </c>
      <c r="B151" s="1" t="n">
        <v>44434</v>
      </c>
      <c r="C151" s="1" t="n">
        <v>45852</v>
      </c>
      <c r="D151" t="inlineStr">
        <is>
          <t>GOTLANDS LÄN</t>
        </is>
      </c>
      <c r="E151" t="inlineStr">
        <is>
          <t>GOTLAND</t>
        </is>
      </c>
      <c r="G151" t="n">
        <v>7.5</v>
      </c>
      <c r="H151" t="n">
        <v>1</v>
      </c>
      <c r="I151" t="n">
        <v>3</v>
      </c>
      <c r="J151" t="n">
        <v>0</v>
      </c>
      <c r="K151" t="n">
        <v>0</v>
      </c>
      <c r="L151" t="n">
        <v>0</v>
      </c>
      <c r="M151" t="n">
        <v>0</v>
      </c>
      <c r="N151" t="n">
        <v>0</v>
      </c>
      <c r="O151" t="n">
        <v>0</v>
      </c>
      <c r="P151" t="n">
        <v>0</v>
      </c>
      <c r="Q151" t="n">
        <v>3</v>
      </c>
      <c r="R151" s="2" t="inlineStr">
        <is>
          <t>Anisspindling
Barrfagerspindling
Skogsknipprot</t>
        </is>
      </c>
      <c r="S151">
        <f>HYPERLINK("https://klasma.github.io/Logging_0980/artfynd/A 44323-2021 artfynd.xlsx", "A 44323-2021")</f>
        <v/>
      </c>
      <c r="T151">
        <f>HYPERLINK("https://klasma.github.io/Logging_0980/kartor/A 44323-2021 karta.png", "A 44323-2021")</f>
        <v/>
      </c>
      <c r="V151">
        <f>HYPERLINK("https://klasma.github.io/Logging_0980/klagomål/A 44323-2021 FSC-klagomål.docx", "A 44323-2021")</f>
        <v/>
      </c>
      <c r="W151">
        <f>HYPERLINK("https://klasma.github.io/Logging_0980/klagomålsmail/A 44323-2021 FSC-klagomål mail.docx", "A 44323-2021")</f>
        <v/>
      </c>
      <c r="X151">
        <f>HYPERLINK("https://klasma.github.io/Logging_0980/tillsyn/A 44323-2021 tillsynsbegäran.docx", "A 44323-2021")</f>
        <v/>
      </c>
      <c r="Y151">
        <f>HYPERLINK("https://klasma.github.io/Logging_0980/tillsynsmail/A 44323-2021 tillsynsbegäran mail.docx", "A 44323-2021")</f>
        <v/>
      </c>
    </row>
    <row r="152" ht="15" customHeight="1">
      <c r="A152" t="inlineStr">
        <is>
          <t>A 53552-2021</t>
        </is>
      </c>
      <c r="B152" s="1" t="n">
        <v>44468</v>
      </c>
      <c r="C152" s="1" t="n">
        <v>45852</v>
      </c>
      <c r="D152" t="inlineStr">
        <is>
          <t>GOTLANDS LÄN</t>
        </is>
      </c>
      <c r="E152" t="inlineStr">
        <is>
          <t>GOTLAND</t>
        </is>
      </c>
      <c r="G152" t="n">
        <v>6.2</v>
      </c>
      <c r="H152" t="n">
        <v>2</v>
      </c>
      <c r="I152" t="n">
        <v>0</v>
      </c>
      <c r="J152" t="n">
        <v>1</v>
      </c>
      <c r="K152" t="n">
        <v>0</v>
      </c>
      <c r="L152" t="n">
        <v>0</v>
      </c>
      <c r="M152" t="n">
        <v>0</v>
      </c>
      <c r="N152" t="n">
        <v>0</v>
      </c>
      <c r="O152" t="n">
        <v>1</v>
      </c>
      <c r="P152" t="n">
        <v>0</v>
      </c>
      <c r="Q152" t="n">
        <v>3</v>
      </c>
      <c r="R152" s="2" t="inlineStr">
        <is>
          <t>Bredbrämad bastardsvärmare
Grönvit nattviol
Gullviva</t>
        </is>
      </c>
      <c r="S152">
        <f>HYPERLINK("https://klasma.github.io/Logging_0980/artfynd/A 53552-2021 artfynd.xlsx", "A 53552-2021")</f>
        <v/>
      </c>
      <c r="T152">
        <f>HYPERLINK("https://klasma.github.io/Logging_0980/kartor/A 53552-2021 karta.png", "A 53552-2021")</f>
        <v/>
      </c>
      <c r="V152">
        <f>HYPERLINK("https://klasma.github.io/Logging_0980/klagomål/A 53552-2021 FSC-klagomål.docx", "A 53552-2021")</f>
        <v/>
      </c>
      <c r="W152">
        <f>HYPERLINK("https://klasma.github.io/Logging_0980/klagomålsmail/A 53552-2021 FSC-klagomål mail.docx", "A 53552-2021")</f>
        <v/>
      </c>
      <c r="X152">
        <f>HYPERLINK("https://klasma.github.io/Logging_0980/tillsyn/A 53552-2021 tillsynsbegäran.docx", "A 53552-2021")</f>
        <v/>
      </c>
      <c r="Y152">
        <f>HYPERLINK("https://klasma.github.io/Logging_0980/tillsynsmail/A 53552-2021 tillsynsbegäran mail.docx", "A 53552-2021")</f>
        <v/>
      </c>
    </row>
    <row r="153" ht="15" customHeight="1">
      <c r="A153" t="inlineStr">
        <is>
          <t>A 13499-2022</t>
        </is>
      </c>
      <c r="B153" s="1" t="n">
        <v>44647</v>
      </c>
      <c r="C153" s="1" t="n">
        <v>45852</v>
      </c>
      <c r="D153" t="inlineStr">
        <is>
          <t>GOTLANDS LÄN</t>
        </is>
      </c>
      <c r="E153" t="inlineStr">
        <is>
          <t>GOTLAND</t>
        </is>
      </c>
      <c r="G153" t="n">
        <v>6.8</v>
      </c>
      <c r="H153" t="n">
        <v>3</v>
      </c>
      <c r="I153" t="n">
        <v>0</v>
      </c>
      <c r="J153" t="n">
        <v>1</v>
      </c>
      <c r="K153" t="n">
        <v>0</v>
      </c>
      <c r="L153" t="n">
        <v>0</v>
      </c>
      <c r="M153" t="n">
        <v>0</v>
      </c>
      <c r="N153" t="n">
        <v>0</v>
      </c>
      <c r="O153" t="n">
        <v>1</v>
      </c>
      <c r="P153" t="n">
        <v>0</v>
      </c>
      <c r="Q153" t="n">
        <v>3</v>
      </c>
      <c r="R153" s="2" t="inlineStr">
        <is>
          <t>Spillkråka
Sankt pers nycklar
Blåsippa</t>
        </is>
      </c>
      <c r="S153">
        <f>HYPERLINK("https://klasma.github.io/Logging_0980/artfynd/A 13499-2022 artfynd.xlsx", "A 13499-2022")</f>
        <v/>
      </c>
      <c r="T153">
        <f>HYPERLINK("https://klasma.github.io/Logging_0980/kartor/A 13499-2022 karta.png", "A 13499-2022")</f>
        <v/>
      </c>
      <c r="V153">
        <f>HYPERLINK("https://klasma.github.io/Logging_0980/klagomål/A 13499-2022 FSC-klagomål.docx", "A 13499-2022")</f>
        <v/>
      </c>
      <c r="W153">
        <f>HYPERLINK("https://klasma.github.io/Logging_0980/klagomålsmail/A 13499-2022 FSC-klagomål mail.docx", "A 13499-2022")</f>
        <v/>
      </c>
      <c r="X153">
        <f>HYPERLINK("https://klasma.github.io/Logging_0980/tillsyn/A 13499-2022 tillsynsbegäran.docx", "A 13499-2022")</f>
        <v/>
      </c>
      <c r="Y153">
        <f>HYPERLINK("https://klasma.github.io/Logging_0980/tillsynsmail/A 13499-2022 tillsynsbegäran mail.docx", "A 13499-2022")</f>
        <v/>
      </c>
      <c r="Z153">
        <f>HYPERLINK("https://klasma.github.io/Logging_0980/fåglar/A 13499-2022 prioriterade fågelarter.docx", "A 13499-2022")</f>
        <v/>
      </c>
    </row>
    <row r="154" ht="15" customHeight="1">
      <c r="A154" t="inlineStr">
        <is>
          <t>A 43013-2022</t>
        </is>
      </c>
      <c r="B154" s="1" t="n">
        <v>44833</v>
      </c>
      <c r="C154" s="1" t="n">
        <v>45852</v>
      </c>
      <c r="D154" t="inlineStr">
        <is>
          <t>GOTLANDS LÄN</t>
        </is>
      </c>
      <c r="E154" t="inlineStr">
        <is>
          <t>GOTLAND</t>
        </is>
      </c>
      <c r="G154" t="n">
        <v>9.300000000000001</v>
      </c>
      <c r="H154" t="n">
        <v>0</v>
      </c>
      <c r="I154" t="n">
        <v>2</v>
      </c>
      <c r="J154" t="n">
        <v>0</v>
      </c>
      <c r="K154" t="n">
        <v>1</v>
      </c>
      <c r="L154" t="n">
        <v>0</v>
      </c>
      <c r="M154" t="n">
        <v>0</v>
      </c>
      <c r="N154" t="n">
        <v>0</v>
      </c>
      <c r="O154" t="n">
        <v>1</v>
      </c>
      <c r="P154" t="n">
        <v>1</v>
      </c>
      <c r="Q154" t="n">
        <v>3</v>
      </c>
      <c r="R154" s="2" t="inlineStr">
        <is>
          <t>Violettfläckig spindling
Anisspindling
Blå slemspindling</t>
        </is>
      </c>
      <c r="S154">
        <f>HYPERLINK("https://klasma.github.io/Logging_0980/artfynd/A 43013-2022 artfynd.xlsx", "A 43013-2022")</f>
        <v/>
      </c>
      <c r="T154">
        <f>HYPERLINK("https://klasma.github.io/Logging_0980/kartor/A 43013-2022 karta.png", "A 43013-2022")</f>
        <v/>
      </c>
      <c r="V154">
        <f>HYPERLINK("https://klasma.github.io/Logging_0980/klagomål/A 43013-2022 FSC-klagomål.docx", "A 43013-2022")</f>
        <v/>
      </c>
      <c r="W154">
        <f>HYPERLINK("https://klasma.github.io/Logging_0980/klagomålsmail/A 43013-2022 FSC-klagomål mail.docx", "A 43013-2022")</f>
        <v/>
      </c>
      <c r="X154">
        <f>HYPERLINK("https://klasma.github.io/Logging_0980/tillsyn/A 43013-2022 tillsynsbegäran.docx", "A 43013-2022")</f>
        <v/>
      </c>
      <c r="Y154">
        <f>HYPERLINK("https://klasma.github.io/Logging_0980/tillsynsmail/A 43013-2022 tillsynsbegäran mail.docx", "A 43013-2022")</f>
        <v/>
      </c>
    </row>
    <row r="155" ht="15" customHeight="1">
      <c r="A155" t="inlineStr">
        <is>
          <t>A 44913-2022</t>
        </is>
      </c>
      <c r="B155" s="1" t="n">
        <v>44841</v>
      </c>
      <c r="C155" s="1" t="n">
        <v>45852</v>
      </c>
      <c r="D155" t="inlineStr">
        <is>
          <t>GOTLANDS LÄN</t>
        </is>
      </c>
      <c r="E155" t="inlineStr">
        <is>
          <t>GOTLAND</t>
        </is>
      </c>
      <c r="G155" t="n">
        <v>8.800000000000001</v>
      </c>
      <c r="H155" t="n">
        <v>1</v>
      </c>
      <c r="I155" t="n">
        <v>1</v>
      </c>
      <c r="J155" t="n">
        <v>1</v>
      </c>
      <c r="K155" t="n">
        <v>0</v>
      </c>
      <c r="L155" t="n">
        <v>0</v>
      </c>
      <c r="M155" t="n">
        <v>0</v>
      </c>
      <c r="N155" t="n">
        <v>0</v>
      </c>
      <c r="O155" t="n">
        <v>1</v>
      </c>
      <c r="P155" t="n">
        <v>0</v>
      </c>
      <c r="Q155" t="n">
        <v>3</v>
      </c>
      <c r="R155" s="2" t="inlineStr">
        <is>
          <t>Odörspindling
Granbarkgnagare
Kärrknipprot</t>
        </is>
      </c>
      <c r="S155">
        <f>HYPERLINK("https://klasma.github.io/Logging_0980/artfynd/A 44913-2022 artfynd.xlsx", "A 44913-2022")</f>
        <v/>
      </c>
      <c r="T155">
        <f>HYPERLINK("https://klasma.github.io/Logging_0980/kartor/A 44913-2022 karta.png", "A 44913-2022")</f>
        <v/>
      </c>
      <c r="V155">
        <f>HYPERLINK("https://klasma.github.io/Logging_0980/klagomål/A 44913-2022 FSC-klagomål.docx", "A 44913-2022")</f>
        <v/>
      </c>
      <c r="W155">
        <f>HYPERLINK("https://klasma.github.io/Logging_0980/klagomålsmail/A 44913-2022 FSC-klagomål mail.docx", "A 44913-2022")</f>
        <v/>
      </c>
      <c r="X155">
        <f>HYPERLINK("https://klasma.github.io/Logging_0980/tillsyn/A 44913-2022 tillsynsbegäran.docx", "A 44913-2022")</f>
        <v/>
      </c>
      <c r="Y155">
        <f>HYPERLINK("https://klasma.github.io/Logging_0980/tillsynsmail/A 44913-2022 tillsynsbegäran mail.docx", "A 44913-2022")</f>
        <v/>
      </c>
    </row>
    <row r="156" ht="15" customHeight="1">
      <c r="A156" t="inlineStr">
        <is>
          <t>A 17982-2023</t>
        </is>
      </c>
      <c r="B156" s="1" t="n">
        <v>45040</v>
      </c>
      <c r="C156" s="1" t="n">
        <v>45852</v>
      </c>
      <c r="D156" t="inlineStr">
        <is>
          <t>GOTLANDS LÄN</t>
        </is>
      </c>
      <c r="E156" t="inlineStr">
        <is>
          <t>GOTLAND</t>
        </is>
      </c>
      <c r="G156" t="n">
        <v>2.2</v>
      </c>
      <c r="H156" t="n">
        <v>0</v>
      </c>
      <c r="I156" t="n">
        <v>0</v>
      </c>
      <c r="J156" t="n">
        <v>2</v>
      </c>
      <c r="K156" t="n">
        <v>0</v>
      </c>
      <c r="L156" t="n">
        <v>0</v>
      </c>
      <c r="M156" t="n">
        <v>1</v>
      </c>
      <c r="N156" t="n">
        <v>0</v>
      </c>
      <c r="O156" t="n">
        <v>3</v>
      </c>
      <c r="P156" t="n">
        <v>1</v>
      </c>
      <c r="Q156" t="n">
        <v>3</v>
      </c>
      <c r="R156" s="2" t="inlineStr">
        <is>
          <t>Lundalm
Krusfrö
Ängsskära</t>
        </is>
      </c>
      <c r="S156">
        <f>HYPERLINK("https://klasma.github.io/Logging_0980/artfynd/A 17982-2023 artfynd.xlsx", "A 17982-2023")</f>
        <v/>
      </c>
      <c r="T156">
        <f>HYPERLINK("https://klasma.github.io/Logging_0980/kartor/A 17982-2023 karta.png", "A 17982-2023")</f>
        <v/>
      </c>
      <c r="V156">
        <f>HYPERLINK("https://klasma.github.io/Logging_0980/klagomål/A 17982-2023 FSC-klagomål.docx", "A 17982-2023")</f>
        <v/>
      </c>
      <c r="W156">
        <f>HYPERLINK("https://klasma.github.io/Logging_0980/klagomålsmail/A 17982-2023 FSC-klagomål mail.docx", "A 17982-2023")</f>
        <v/>
      </c>
      <c r="X156">
        <f>HYPERLINK("https://klasma.github.io/Logging_0980/tillsyn/A 17982-2023 tillsynsbegäran.docx", "A 17982-2023")</f>
        <v/>
      </c>
      <c r="Y156">
        <f>HYPERLINK("https://klasma.github.io/Logging_0980/tillsynsmail/A 17982-2023 tillsynsbegäran mail.docx", "A 17982-2023")</f>
        <v/>
      </c>
    </row>
    <row r="157" ht="15" customHeight="1">
      <c r="A157" t="inlineStr">
        <is>
          <t>A 27041-2023</t>
        </is>
      </c>
      <c r="B157" s="1" t="n">
        <v>45095</v>
      </c>
      <c r="C157" s="1" t="n">
        <v>45852</v>
      </c>
      <c r="D157" t="inlineStr">
        <is>
          <t>GOTLANDS LÄN</t>
        </is>
      </c>
      <c r="E157" t="inlineStr">
        <is>
          <t>GOTLAND</t>
        </is>
      </c>
      <c r="G157" t="n">
        <v>5.3</v>
      </c>
      <c r="H157" t="n">
        <v>0</v>
      </c>
      <c r="I157" t="n">
        <v>2</v>
      </c>
      <c r="J157" t="n">
        <v>1</v>
      </c>
      <c r="K157" t="n">
        <v>0</v>
      </c>
      <c r="L157" t="n">
        <v>0</v>
      </c>
      <c r="M157" t="n">
        <v>0</v>
      </c>
      <c r="N157" t="n">
        <v>0</v>
      </c>
      <c r="O157" t="n">
        <v>1</v>
      </c>
      <c r="P157" t="n">
        <v>0</v>
      </c>
      <c r="Q157" t="n">
        <v>3</v>
      </c>
      <c r="R157" s="2" t="inlineStr">
        <is>
          <t>Odörspindling
Anisspindling
Besk kastanjemusseron</t>
        </is>
      </c>
      <c r="S157">
        <f>HYPERLINK("https://klasma.github.io/Logging_0980/artfynd/A 27041-2023 artfynd.xlsx", "A 27041-2023")</f>
        <v/>
      </c>
      <c r="T157">
        <f>HYPERLINK("https://klasma.github.io/Logging_0980/kartor/A 27041-2023 karta.png", "A 27041-2023")</f>
        <v/>
      </c>
      <c r="V157">
        <f>HYPERLINK("https://klasma.github.io/Logging_0980/klagomål/A 27041-2023 FSC-klagomål.docx", "A 27041-2023")</f>
        <v/>
      </c>
      <c r="W157">
        <f>HYPERLINK("https://klasma.github.io/Logging_0980/klagomålsmail/A 27041-2023 FSC-klagomål mail.docx", "A 27041-2023")</f>
        <v/>
      </c>
      <c r="X157">
        <f>HYPERLINK("https://klasma.github.io/Logging_0980/tillsyn/A 27041-2023 tillsynsbegäran.docx", "A 27041-2023")</f>
        <v/>
      </c>
      <c r="Y157">
        <f>HYPERLINK("https://klasma.github.io/Logging_0980/tillsynsmail/A 27041-2023 tillsynsbegäran mail.docx", "A 27041-2023")</f>
        <v/>
      </c>
    </row>
    <row r="158" ht="15" customHeight="1">
      <c r="A158" t="inlineStr">
        <is>
          <t>A 12315-2024</t>
        </is>
      </c>
      <c r="B158" s="1" t="n">
        <v>45378</v>
      </c>
      <c r="C158" s="1" t="n">
        <v>45852</v>
      </c>
      <c r="D158" t="inlineStr">
        <is>
          <t>GOTLANDS LÄN</t>
        </is>
      </c>
      <c r="E158" t="inlineStr">
        <is>
          <t>GOTLAND</t>
        </is>
      </c>
      <c r="G158" t="n">
        <v>6</v>
      </c>
      <c r="H158" t="n">
        <v>3</v>
      </c>
      <c r="I158" t="n">
        <v>1</v>
      </c>
      <c r="J158" t="n">
        <v>1</v>
      </c>
      <c r="K158" t="n">
        <v>0</v>
      </c>
      <c r="L158" t="n">
        <v>0</v>
      </c>
      <c r="M158" t="n">
        <v>0</v>
      </c>
      <c r="N158" t="n">
        <v>0</v>
      </c>
      <c r="O158" t="n">
        <v>1</v>
      </c>
      <c r="P158" t="n">
        <v>0</v>
      </c>
      <c r="Q158" t="n">
        <v>3</v>
      </c>
      <c r="R158" s="2" t="inlineStr">
        <is>
          <t>Buskskvätta
Tvåblad
Fläcknycklar</t>
        </is>
      </c>
      <c r="S158">
        <f>HYPERLINK("https://klasma.github.io/Logging_0980/artfynd/A 12315-2024 artfynd.xlsx", "A 12315-2024")</f>
        <v/>
      </c>
      <c r="T158">
        <f>HYPERLINK("https://klasma.github.io/Logging_0980/kartor/A 12315-2024 karta.png", "A 12315-2024")</f>
        <v/>
      </c>
      <c r="V158">
        <f>HYPERLINK("https://klasma.github.io/Logging_0980/klagomål/A 12315-2024 FSC-klagomål.docx", "A 12315-2024")</f>
        <v/>
      </c>
      <c r="W158">
        <f>HYPERLINK("https://klasma.github.io/Logging_0980/klagomålsmail/A 12315-2024 FSC-klagomål mail.docx", "A 12315-2024")</f>
        <v/>
      </c>
      <c r="X158">
        <f>HYPERLINK("https://klasma.github.io/Logging_0980/tillsyn/A 12315-2024 tillsynsbegäran.docx", "A 12315-2024")</f>
        <v/>
      </c>
      <c r="Y158">
        <f>HYPERLINK("https://klasma.github.io/Logging_0980/tillsynsmail/A 12315-2024 tillsynsbegäran mail.docx", "A 12315-2024")</f>
        <v/>
      </c>
      <c r="Z158">
        <f>HYPERLINK("https://klasma.github.io/Logging_0980/fåglar/A 12315-2024 prioriterade fågelarter.docx", "A 12315-2024")</f>
        <v/>
      </c>
    </row>
    <row r="159" ht="15" customHeight="1">
      <c r="A159" t="inlineStr">
        <is>
          <t>A 16542-2024</t>
        </is>
      </c>
      <c r="B159" s="1" t="n">
        <v>45408</v>
      </c>
      <c r="C159" s="1" t="n">
        <v>45852</v>
      </c>
      <c r="D159" t="inlineStr">
        <is>
          <t>GOTLANDS LÄN</t>
        </is>
      </c>
      <c r="E159" t="inlineStr">
        <is>
          <t>GOTLAND</t>
        </is>
      </c>
      <c r="G159" t="n">
        <v>1.6</v>
      </c>
      <c r="H159" t="n">
        <v>2</v>
      </c>
      <c r="I159" t="n">
        <v>2</v>
      </c>
      <c r="J159" t="n">
        <v>1</v>
      </c>
      <c r="K159" t="n">
        <v>0</v>
      </c>
      <c r="L159" t="n">
        <v>0</v>
      </c>
      <c r="M159" t="n">
        <v>0</v>
      </c>
      <c r="N159" t="n">
        <v>0</v>
      </c>
      <c r="O159" t="n">
        <v>1</v>
      </c>
      <c r="P159" t="n">
        <v>0</v>
      </c>
      <c r="Q159" t="n">
        <v>3</v>
      </c>
      <c r="R159" s="2" t="inlineStr">
        <is>
          <t>Tallticka
Nästrot
Tvåblad</t>
        </is>
      </c>
      <c r="S159">
        <f>HYPERLINK("https://klasma.github.io/Logging_0980/artfynd/A 16542-2024 artfynd.xlsx", "A 16542-2024")</f>
        <v/>
      </c>
      <c r="T159">
        <f>HYPERLINK("https://klasma.github.io/Logging_0980/kartor/A 16542-2024 karta.png", "A 16542-2024")</f>
        <v/>
      </c>
      <c r="V159">
        <f>HYPERLINK("https://klasma.github.io/Logging_0980/klagomål/A 16542-2024 FSC-klagomål.docx", "A 16542-2024")</f>
        <v/>
      </c>
      <c r="W159">
        <f>HYPERLINK("https://klasma.github.io/Logging_0980/klagomålsmail/A 16542-2024 FSC-klagomål mail.docx", "A 16542-2024")</f>
        <v/>
      </c>
      <c r="X159">
        <f>HYPERLINK("https://klasma.github.io/Logging_0980/tillsyn/A 16542-2024 tillsynsbegäran.docx", "A 16542-2024")</f>
        <v/>
      </c>
      <c r="Y159">
        <f>HYPERLINK("https://klasma.github.io/Logging_0980/tillsynsmail/A 16542-2024 tillsynsbegäran mail.docx", "A 16542-2024")</f>
        <v/>
      </c>
    </row>
    <row r="160" ht="15" customHeight="1">
      <c r="A160" t="inlineStr">
        <is>
          <t>A 17975-2024</t>
        </is>
      </c>
      <c r="B160" s="1" t="n">
        <v>45419</v>
      </c>
      <c r="C160" s="1" t="n">
        <v>45852</v>
      </c>
      <c r="D160" t="inlineStr">
        <is>
          <t>GOTLANDS LÄN</t>
        </is>
      </c>
      <c r="E160" t="inlineStr">
        <is>
          <t>GOTLAND</t>
        </is>
      </c>
      <c r="G160" t="n">
        <v>7.9</v>
      </c>
      <c r="H160" t="n">
        <v>0</v>
      </c>
      <c r="I160" t="n">
        <v>1</v>
      </c>
      <c r="J160" t="n">
        <v>1</v>
      </c>
      <c r="K160" t="n">
        <v>0</v>
      </c>
      <c r="L160" t="n">
        <v>1</v>
      </c>
      <c r="M160" t="n">
        <v>0</v>
      </c>
      <c r="N160" t="n">
        <v>0</v>
      </c>
      <c r="O160" t="n">
        <v>2</v>
      </c>
      <c r="P160" t="n">
        <v>1</v>
      </c>
      <c r="Q160" t="n">
        <v>3</v>
      </c>
      <c r="R160" s="2" t="inlineStr">
        <is>
          <t>Ask
Skugglosta
Strävlosta</t>
        </is>
      </c>
      <c r="S160">
        <f>HYPERLINK("https://klasma.github.io/Logging_0980/artfynd/A 17975-2024 artfynd.xlsx", "A 17975-2024")</f>
        <v/>
      </c>
      <c r="T160">
        <f>HYPERLINK("https://klasma.github.io/Logging_0980/kartor/A 17975-2024 karta.png", "A 17975-2024")</f>
        <v/>
      </c>
      <c r="V160">
        <f>HYPERLINK("https://klasma.github.io/Logging_0980/klagomål/A 17975-2024 FSC-klagomål.docx", "A 17975-2024")</f>
        <v/>
      </c>
      <c r="W160">
        <f>HYPERLINK("https://klasma.github.io/Logging_0980/klagomålsmail/A 17975-2024 FSC-klagomål mail.docx", "A 17975-2024")</f>
        <v/>
      </c>
      <c r="X160">
        <f>HYPERLINK("https://klasma.github.io/Logging_0980/tillsyn/A 17975-2024 tillsynsbegäran.docx", "A 17975-2024")</f>
        <v/>
      </c>
      <c r="Y160">
        <f>HYPERLINK("https://klasma.github.io/Logging_0980/tillsynsmail/A 17975-2024 tillsynsbegäran mail.docx", "A 17975-2024")</f>
        <v/>
      </c>
    </row>
    <row r="161" ht="15" customHeight="1">
      <c r="A161" t="inlineStr">
        <is>
          <t>A 24345-2024</t>
        </is>
      </c>
      <c r="B161" s="1" t="n">
        <v>45457</v>
      </c>
      <c r="C161" s="1" t="n">
        <v>45852</v>
      </c>
      <c r="D161" t="inlineStr">
        <is>
          <t>GOTLANDS LÄN</t>
        </is>
      </c>
      <c r="E161" t="inlineStr">
        <is>
          <t>GOTLAND</t>
        </is>
      </c>
      <c r="G161" t="n">
        <v>5.2</v>
      </c>
      <c r="H161" t="n">
        <v>1</v>
      </c>
      <c r="I161" t="n">
        <v>1</v>
      </c>
      <c r="J161" t="n">
        <v>2</v>
      </c>
      <c r="K161" t="n">
        <v>0</v>
      </c>
      <c r="L161" t="n">
        <v>0</v>
      </c>
      <c r="M161" t="n">
        <v>0</v>
      </c>
      <c r="N161" t="n">
        <v>0</v>
      </c>
      <c r="O161" t="n">
        <v>2</v>
      </c>
      <c r="P161" t="n">
        <v>0</v>
      </c>
      <c r="Q161" t="n">
        <v>3</v>
      </c>
      <c r="R161" s="2" t="inlineStr">
        <is>
          <t>Backtimjan
Dårgräsfjäril
Rödgul trumpetsvamp</t>
        </is>
      </c>
      <c r="S161">
        <f>HYPERLINK("https://klasma.github.io/Logging_0980/artfynd/A 24345-2024 artfynd.xlsx", "A 24345-2024")</f>
        <v/>
      </c>
      <c r="T161">
        <f>HYPERLINK("https://klasma.github.io/Logging_0980/kartor/A 24345-2024 karta.png", "A 24345-2024")</f>
        <v/>
      </c>
      <c r="V161">
        <f>HYPERLINK("https://klasma.github.io/Logging_0980/klagomål/A 24345-2024 FSC-klagomål.docx", "A 24345-2024")</f>
        <v/>
      </c>
      <c r="W161">
        <f>HYPERLINK("https://klasma.github.io/Logging_0980/klagomålsmail/A 24345-2024 FSC-klagomål mail.docx", "A 24345-2024")</f>
        <v/>
      </c>
      <c r="X161">
        <f>HYPERLINK("https://klasma.github.io/Logging_0980/tillsyn/A 24345-2024 tillsynsbegäran.docx", "A 24345-2024")</f>
        <v/>
      </c>
      <c r="Y161">
        <f>HYPERLINK("https://klasma.github.io/Logging_0980/tillsynsmail/A 24345-2024 tillsynsbegäran mail.docx", "A 24345-2024")</f>
        <v/>
      </c>
    </row>
    <row r="162" ht="15" customHeight="1">
      <c r="A162" t="inlineStr">
        <is>
          <t>A 25981-2024</t>
        </is>
      </c>
      <c r="B162" s="1" t="n">
        <v>45467</v>
      </c>
      <c r="C162" s="1" t="n">
        <v>45852</v>
      </c>
      <c r="D162" t="inlineStr">
        <is>
          <t>GOTLANDS LÄN</t>
        </is>
      </c>
      <c r="E162" t="inlineStr">
        <is>
          <t>GOTLAND</t>
        </is>
      </c>
      <c r="G162" t="n">
        <v>5.9</v>
      </c>
      <c r="H162" t="n">
        <v>3</v>
      </c>
      <c r="I162" t="n">
        <v>2</v>
      </c>
      <c r="J162" t="n">
        <v>0</v>
      </c>
      <c r="K162" t="n">
        <v>0</v>
      </c>
      <c r="L162" t="n">
        <v>0</v>
      </c>
      <c r="M162" t="n">
        <v>0</v>
      </c>
      <c r="N162" t="n">
        <v>0</v>
      </c>
      <c r="O162" t="n">
        <v>0</v>
      </c>
      <c r="P162" t="n">
        <v>0</v>
      </c>
      <c r="Q162" t="n">
        <v>3</v>
      </c>
      <c r="R162" s="2" t="inlineStr">
        <is>
          <t>Purpurknipprot
Skogsknipprot
Fläcknycklar</t>
        </is>
      </c>
      <c r="S162">
        <f>HYPERLINK("https://klasma.github.io/Logging_0980/artfynd/A 25981-2024 artfynd.xlsx", "A 25981-2024")</f>
        <v/>
      </c>
      <c r="T162">
        <f>HYPERLINK("https://klasma.github.io/Logging_0980/kartor/A 25981-2024 karta.png", "A 25981-2024")</f>
        <v/>
      </c>
      <c r="V162">
        <f>HYPERLINK("https://klasma.github.io/Logging_0980/klagomål/A 25981-2024 FSC-klagomål.docx", "A 25981-2024")</f>
        <v/>
      </c>
      <c r="W162">
        <f>HYPERLINK("https://klasma.github.io/Logging_0980/klagomålsmail/A 25981-2024 FSC-klagomål mail.docx", "A 25981-2024")</f>
        <v/>
      </c>
      <c r="X162">
        <f>HYPERLINK("https://klasma.github.io/Logging_0980/tillsyn/A 25981-2024 tillsynsbegäran.docx", "A 25981-2024")</f>
        <v/>
      </c>
      <c r="Y162">
        <f>HYPERLINK("https://klasma.github.io/Logging_0980/tillsynsmail/A 25981-2024 tillsynsbegäran mail.docx", "A 25981-2024")</f>
        <v/>
      </c>
    </row>
    <row r="163" ht="15" customHeight="1">
      <c r="A163" t="inlineStr">
        <is>
          <t>A 54940-2024</t>
        </is>
      </c>
      <c r="B163" s="1" t="n">
        <v>45618</v>
      </c>
      <c r="C163" s="1" t="n">
        <v>45852</v>
      </c>
      <c r="D163" t="inlineStr">
        <is>
          <t>GOTLANDS LÄN</t>
        </is>
      </c>
      <c r="E163" t="inlineStr">
        <is>
          <t>GOTLAND</t>
        </is>
      </c>
      <c r="G163" t="n">
        <v>1.2</v>
      </c>
      <c r="H163" t="n">
        <v>2</v>
      </c>
      <c r="I163" t="n">
        <v>0</v>
      </c>
      <c r="J163" t="n">
        <v>1</v>
      </c>
      <c r="K163" t="n">
        <v>0</v>
      </c>
      <c r="L163" t="n">
        <v>0</v>
      </c>
      <c r="M163" t="n">
        <v>0</v>
      </c>
      <c r="N163" t="n">
        <v>0</v>
      </c>
      <c r="O163" t="n">
        <v>1</v>
      </c>
      <c r="P163" t="n">
        <v>0</v>
      </c>
      <c r="Q163" t="n">
        <v>3</v>
      </c>
      <c r="R163" s="2" t="inlineStr">
        <is>
          <t>Ängsstarr
Brudsporre
Dactylorhiza incarnata subsp. incarnata</t>
        </is>
      </c>
      <c r="S163">
        <f>HYPERLINK("https://klasma.github.io/Logging_0980/artfynd/A 54940-2024 artfynd.xlsx", "A 54940-2024")</f>
        <v/>
      </c>
      <c r="T163">
        <f>HYPERLINK("https://klasma.github.io/Logging_0980/kartor/A 54940-2024 karta.png", "A 54940-2024")</f>
        <v/>
      </c>
      <c r="V163">
        <f>HYPERLINK("https://klasma.github.io/Logging_0980/klagomål/A 54940-2024 FSC-klagomål.docx", "A 54940-2024")</f>
        <v/>
      </c>
      <c r="W163">
        <f>HYPERLINK("https://klasma.github.io/Logging_0980/klagomålsmail/A 54940-2024 FSC-klagomål mail.docx", "A 54940-2024")</f>
        <v/>
      </c>
      <c r="X163">
        <f>HYPERLINK("https://klasma.github.io/Logging_0980/tillsyn/A 54940-2024 tillsynsbegäran.docx", "A 54940-2024")</f>
        <v/>
      </c>
      <c r="Y163">
        <f>HYPERLINK("https://klasma.github.io/Logging_0980/tillsynsmail/A 54940-2024 tillsynsbegäran mail.docx", "A 54940-2024")</f>
        <v/>
      </c>
    </row>
    <row r="164" ht="15" customHeight="1">
      <c r="A164" t="inlineStr">
        <is>
          <t>A 2318-2025</t>
        </is>
      </c>
      <c r="B164" s="1" t="n">
        <v>45673</v>
      </c>
      <c r="C164" s="1" t="n">
        <v>45852</v>
      </c>
      <c r="D164" t="inlineStr">
        <is>
          <t>GOTLANDS LÄN</t>
        </is>
      </c>
      <c r="E164" t="inlineStr">
        <is>
          <t>GOTLAND</t>
        </is>
      </c>
      <c r="G164" t="n">
        <v>26.3</v>
      </c>
      <c r="H164" t="n">
        <v>0</v>
      </c>
      <c r="I164" t="n">
        <v>1</v>
      </c>
      <c r="J164" t="n">
        <v>1</v>
      </c>
      <c r="K164" t="n">
        <v>1</v>
      </c>
      <c r="L164" t="n">
        <v>0</v>
      </c>
      <c r="M164" t="n">
        <v>0</v>
      </c>
      <c r="N164" t="n">
        <v>0</v>
      </c>
      <c r="O164" t="n">
        <v>2</v>
      </c>
      <c r="P164" t="n">
        <v>1</v>
      </c>
      <c r="Q164" t="n">
        <v>3</v>
      </c>
      <c r="R164" s="2" t="inlineStr">
        <is>
          <t>Strandviol
Lunglav
Strävlosta</t>
        </is>
      </c>
      <c r="S164">
        <f>HYPERLINK("https://klasma.github.io/Logging_0980/artfynd/A 2318-2025 artfynd.xlsx", "A 2318-2025")</f>
        <v/>
      </c>
      <c r="T164">
        <f>HYPERLINK("https://klasma.github.io/Logging_0980/kartor/A 2318-2025 karta.png", "A 2318-2025")</f>
        <v/>
      </c>
      <c r="V164">
        <f>HYPERLINK("https://klasma.github.io/Logging_0980/klagomål/A 2318-2025 FSC-klagomål.docx", "A 2318-2025")</f>
        <v/>
      </c>
      <c r="W164">
        <f>HYPERLINK("https://klasma.github.io/Logging_0980/klagomålsmail/A 2318-2025 FSC-klagomål mail.docx", "A 2318-2025")</f>
        <v/>
      </c>
      <c r="X164">
        <f>HYPERLINK("https://klasma.github.io/Logging_0980/tillsyn/A 2318-2025 tillsynsbegäran.docx", "A 2318-2025")</f>
        <v/>
      </c>
      <c r="Y164">
        <f>HYPERLINK("https://klasma.github.io/Logging_0980/tillsynsmail/A 2318-2025 tillsynsbegäran mail.docx", "A 2318-2025")</f>
        <v/>
      </c>
    </row>
    <row r="165" ht="15" customHeight="1">
      <c r="A165" t="inlineStr">
        <is>
          <t>A 30490-2025</t>
        </is>
      </c>
      <c r="B165" s="1" t="n">
        <v>45830</v>
      </c>
      <c r="C165" s="1" t="n">
        <v>45852</v>
      </c>
      <c r="D165" t="inlineStr">
        <is>
          <t>GOTLANDS LÄN</t>
        </is>
      </c>
      <c r="E165" t="inlineStr">
        <is>
          <t>GOTLAND</t>
        </is>
      </c>
      <c r="G165" t="n">
        <v>7.9</v>
      </c>
      <c r="H165" t="n">
        <v>1</v>
      </c>
      <c r="I165" t="n">
        <v>0</v>
      </c>
      <c r="J165" t="n">
        <v>2</v>
      </c>
      <c r="K165" t="n">
        <v>0</v>
      </c>
      <c r="L165" t="n">
        <v>0</v>
      </c>
      <c r="M165" t="n">
        <v>0</v>
      </c>
      <c r="N165" t="n">
        <v>0</v>
      </c>
      <c r="O165" t="n">
        <v>2</v>
      </c>
      <c r="P165" t="n">
        <v>0</v>
      </c>
      <c r="Q165" t="n">
        <v>3</v>
      </c>
      <c r="R165" s="2" t="inlineStr">
        <is>
          <t>Klasefibbla
Majviva
Nattviol</t>
        </is>
      </c>
      <c r="S165">
        <f>HYPERLINK("https://klasma.github.io/Logging_090980/artfynd/A 30490-2025 artfynd.xlsx", "A 30490-2025")</f>
        <v/>
      </c>
      <c r="T165">
        <f>HYPERLINK("https://klasma.github.io/Logging_090980/kartor/A 30490-2025 karta.png", "A 30490-2025")</f>
        <v/>
      </c>
      <c r="V165">
        <f>HYPERLINK("https://klasma.github.io/Logging_090980/klagomål/A 30490-2025 FSC-klagomål.docx", "A 30490-2025")</f>
        <v/>
      </c>
      <c r="W165">
        <f>HYPERLINK("https://klasma.github.io/Logging_090980/klagomålsmail/A 30490-2025 FSC-klagomål mail.docx", "A 30490-2025")</f>
        <v/>
      </c>
      <c r="X165">
        <f>HYPERLINK("https://klasma.github.io/Logging_090980/tillsyn/A 30490-2025 tillsynsbegäran.docx", "A 30490-2025")</f>
        <v/>
      </c>
      <c r="Y165">
        <f>HYPERLINK("https://klasma.github.io/Logging_090980/tillsynsmail/A 30490-2025 tillsynsbegäran mail.docx", "A 30490-2025")</f>
        <v/>
      </c>
    </row>
    <row r="166" ht="15" customHeight="1">
      <c r="A166" t="inlineStr">
        <is>
          <t>A 21897-2019</t>
        </is>
      </c>
      <c r="B166" s="1" t="n">
        <v>43584</v>
      </c>
      <c r="C166" s="1" t="n">
        <v>45852</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45852</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45852</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45852</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45852</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45852</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45852</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45852</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45852</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45852</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45852</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45852</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45852</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45852</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45852</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45852</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45852</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45852</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45852</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45852</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45852</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45852</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45852</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45852</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45852</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45852</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45852</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45852</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45852</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45852</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45852</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45852</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45852</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45852</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45852</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45852</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45852</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45852</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45852</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45852</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45852</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45852</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45852</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45852</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45852</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45852</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45852</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45852</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45852</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45852</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45852</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45852</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45852</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45852</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45852</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45852</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45852</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45852</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45852</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45852</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45852</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45852</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45852</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45852</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45852</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45852</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45852</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45852</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45852</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45852</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45852</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45852</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45852</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45852</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45852</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45852</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45852</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45852</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45852</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45852</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45852</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45852</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45852</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45852</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45852</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45852</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45852</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45852</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45852</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45852</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45852</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45852</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45852</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45852</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45852</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45852</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45852</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45852</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45852</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45852</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45852</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45852</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45852</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45852</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45852</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45852</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45852</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45852</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45852</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45852</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45852</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45852</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45852</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45852</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45852</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45852</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45852</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45852</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45852</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45852</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45852</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45852</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45852</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45852</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45852</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45852</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45852</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45852</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45852</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45852</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45852</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45852</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45852</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45852</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45852</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45852</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45852</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45852</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45852</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45852</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45852</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45852</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45852</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45852</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45852</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45852</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45852</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45852</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45852</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45852</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45852</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45852</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45852</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45852</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45852</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45852</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45852</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45852</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45852</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45852</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45852</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45852</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45852</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45852</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45852</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45852</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45852</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45852</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45852</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45852</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45852</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45852</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45852</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45852</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45852</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45852</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45852</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45852</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45852</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45852</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45852</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45852</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45852</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45852</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45852</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45852</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45852</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45852</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45852</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45852</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45852</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45852</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45852</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45852</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45852</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45852</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45852</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45852</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45852</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45852</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45852</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45852</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45852</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45852</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45852</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45852</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45852</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45852</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45852</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45852</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45852</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45852</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45852</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45852</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45852</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45852</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45852</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45852</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45852</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45852</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45852</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45852</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45852</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45852</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45852</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45852</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45852</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45852</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45852</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45852</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45852</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45852</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45852</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45852</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45852</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45852</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45852</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45852</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45852</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45852</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45852</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45852</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45852</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45852</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45852</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45852</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45852</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45852</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45852</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45852</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45852</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45852</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45852</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45852</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45852</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45852</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45852</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45852</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45852</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45852</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45852</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45852</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45852</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45852</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45852</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45852</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45852</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45852</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45852</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45852</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45852</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45852</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45852</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45852</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45852</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45852</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45852</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45852</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45852</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45852</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45852</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45852</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45852</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45852</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45852</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45852</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45852</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45852</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45852</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45852</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45852</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45852</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45852</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45852</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45852</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45852</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45852</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45852</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45852</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45852</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45852</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45852</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45852</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45852</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45852</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45852</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45852</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45852</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45852</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45852</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45852</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45852</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45852</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45852</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45852</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45852</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45852</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45852</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45852</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45852</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45852</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45852</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45852</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45852</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45852</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45852</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45852</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45852</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45852</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45852</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45852</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45852</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45852</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45852</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45852</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45852</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45852</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45852</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45852</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45852</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45852</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45852</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45852</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45852</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45852</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45852</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45852</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45852</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45852</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45852</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45852</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45852</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45852</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45852</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45852</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45852</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45852</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45852</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45852</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45852</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45852</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45852</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45852</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45852</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45852</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45852</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45852</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45852</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45852</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45852</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45852</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45852</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45852</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45852</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45852</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45852</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45852</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45852</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45852</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45852</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45852</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45852</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45852</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45852</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45852</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45852</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45852</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45852</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45852</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45852</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45852</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45852</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45852</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45852</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45852</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45852</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45852</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45852</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45852</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45852</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45852</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45852</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45852</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45852</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45852</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45852</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45852</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45852</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45852</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45852</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45852</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45852</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45852</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45852</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45852</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45852</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45852</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45852</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45852</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45852</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45852</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45852</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45852</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45852</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45852</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45852</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45852</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45852</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45852</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45852</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45852</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45852</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45852</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45852</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45852</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45852</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45852</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45852</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45852</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45852</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45852</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45852</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45852</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45852</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45852</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45852</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45852</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45852</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45852</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45852</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45852</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45852</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45852</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45852</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45852</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45852</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45852</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45852</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45852</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45852</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45852</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45852</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45852</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45852</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45852</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45852</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45852</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45852</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45852</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45852</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45852</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45852</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45852</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45852</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45852</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45852</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45852</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45852</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45852</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45852</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45852</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45852</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45852</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45852</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45852</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45852</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45852</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45852</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45852</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45852</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45852</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45852</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45852</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45852</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45852</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45852</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45852</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45852</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45852</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45852</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45852</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45852</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45852</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45852</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45852</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45852</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45852</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45852</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45852</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45852</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45852</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45852</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45852</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45852</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45852</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45852</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45852</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45852</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45852</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45852</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45852</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45852</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45852</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45852</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45852</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45852</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45852</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45852</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45852</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45852</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45852</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45852</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45852</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45852</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45852</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45852</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45852</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45852</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45852</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45852</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45852</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45852</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45852</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45852</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45852</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45852</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45852</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45852</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45852</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45852</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45852</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45852</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45852</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45852</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45852</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45852</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45852</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45852</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45852</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45852</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45852</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45852</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45852</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45852</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45852</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45852</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45852</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45852</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45852</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45852</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45852</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45852</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45852</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45852</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45852</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45852</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45852</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45852</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45852</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45852</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45852</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45852</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45852</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45852</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45852</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45852</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45852</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45852</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45852</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45852</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45852</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45852</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45852</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45852</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45852</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45852</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45852</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45852</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45852</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45852</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45852</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45852</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45852</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45852</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45852</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45852</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45852</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45852</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45852</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45852</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45852</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45852</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45852</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45852</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45852</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45852</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45852</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45852</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45852</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45852</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45852</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45852</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45852</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45852</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45852</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45852</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45852</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45852</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45852</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45852</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45852</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45852</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45852</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45852</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45852</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45852</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45852</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45852</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45852</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45852</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45852</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45852</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45852</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45852</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45852</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45852</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45852</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45852</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45852</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45852</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45852</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45852</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45852</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45852</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45852</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45852</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45852</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45852</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45852</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45852</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45852</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45852</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45852</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45852</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45852</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45852</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45852</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45852</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45852</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45852</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45852</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45852</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45852</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45852</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45852</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45852</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45852</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45852</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45852</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45852</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45852</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45852</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45852</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45852</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45852</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45852</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45852</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45852</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45852</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45852</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45852</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45852</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45852</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45852</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45852</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45852</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45852</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45852</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45852</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45852</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45852</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45852</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45852</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45852</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45852</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45852</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45852</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45852</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45852</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45852</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45852</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45852</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45852</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45852</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45852</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45852</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45852</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45852</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45852</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45852</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45852</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45852</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45852</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45852</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45852</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45852</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45852</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45852</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45852</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45852</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45852</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45852</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45852</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45852</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45852</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45852</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45852</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45852</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45852</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45852</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45852</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45852</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45852</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45852</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45852</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45852</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45852</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45852</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45852</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45852</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45852</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45852</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45852</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45852</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45852</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45852</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45852</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45852</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45852</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45852</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45852</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45852</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45852</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45852</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45852</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45852</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45852</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45852</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45852</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45852</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45852</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45852</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45852</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45852</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45852</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45852</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45852</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45852</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45852</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45852</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45852</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45852</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45852</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45852</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45852</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45852</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45852</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45852</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45852</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45852</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45852</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45852</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45852</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45852</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45852</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45852</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45852</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45852</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45852</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45852</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45852</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45852</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45852</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45852</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45852</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45852</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45852</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45852</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45852</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45852</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45852</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45852</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45852</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45852</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45852</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45852</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45852</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45852</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45852</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45852</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45852</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45852</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45852</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45852</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45852</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45852</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45852</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45852</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45852</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45852</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45852</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45852</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45852</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45852</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45852</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45852</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45852</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45852</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45852</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45852</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45852</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45852</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45852</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45852</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45852</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45852</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45852</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45852</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45852</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45852</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45852</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45852</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45852</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45852</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45852</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45852</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45852</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45852</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45852</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45852</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45852</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45852</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45852</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45852</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45852</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45852</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45852</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45852</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45852</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45852</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45852</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45852</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45852</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45852</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45852</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45852</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45852</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45852</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45852</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45852</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45852</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45852</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45852</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45852</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45852</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45852</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45852</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45852</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45852</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45852</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45852</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45852</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45852</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45852</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45852</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45852</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45852</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45852</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45852</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45852</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45852</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45852</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45852</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45852</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45852</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45852</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45852</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45852</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45852</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45852</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45852</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45852</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45852</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45852</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45852</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45852</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45852</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45852</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45852</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45852</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45852</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45852</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45852</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45852</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45852</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45852</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45852</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45852</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45852</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45852</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45852</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45852</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45852</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45852</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45852</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45852</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45852</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45852</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45852</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45852</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45852</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45852</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45852</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45852</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45852</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45852</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45852</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45852</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45852</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45852</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45852</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45852</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45852</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45852</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45852</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45852</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45852</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45852</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45852</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45852</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45852</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45852</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45852</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45852</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45852</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45852</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45852</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45852</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45852</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45852</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45852</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45852</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45852</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45852</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45852</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45852</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45852</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45852</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45852</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45852</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45852</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45852</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45852</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45852</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45852</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45852</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45852</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45852</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45852</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45852</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45852</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45852</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45852</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45852</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32378-2025</t>
        </is>
      </c>
      <c r="B1160" s="1" t="n">
        <v>45837</v>
      </c>
      <c r="C1160" s="1" t="n">
        <v>45852</v>
      </c>
      <c r="D1160" t="inlineStr">
        <is>
          <t>GOTLANDS LÄN</t>
        </is>
      </c>
      <c r="E1160" t="inlineStr">
        <is>
          <t>GOTLAND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45852</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32686-2025</t>
        </is>
      </c>
      <c r="B1162" s="1" t="n">
        <v>45838</v>
      </c>
      <c r="C1162" s="1" t="n">
        <v>45852</v>
      </c>
      <c r="D1162" t="inlineStr">
        <is>
          <t>GOTLANDS LÄN</t>
        </is>
      </c>
      <c r="E1162" t="inlineStr">
        <is>
          <t>GOTLAND</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32467-2025</t>
        </is>
      </c>
      <c r="B1163" s="1" t="n">
        <v>45838</v>
      </c>
      <c r="C1163" s="1" t="n">
        <v>45852</v>
      </c>
      <c r="D1163" t="inlineStr">
        <is>
          <t>GOTLANDS LÄN</t>
        </is>
      </c>
      <c r="E1163" t="inlineStr">
        <is>
          <t>GOTLAND</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33078-2025</t>
        </is>
      </c>
      <c r="B1164" s="1" t="n">
        <v>45840</v>
      </c>
      <c r="C1164" s="1" t="n">
        <v>45852</v>
      </c>
      <c r="D1164" t="inlineStr">
        <is>
          <t>GOTLANDS LÄN</t>
        </is>
      </c>
      <c r="E1164" t="inlineStr">
        <is>
          <t>GOTLAND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33007-2025</t>
        </is>
      </c>
      <c r="B1165" s="1" t="n">
        <v>45840</v>
      </c>
      <c r="C1165" s="1" t="n">
        <v>45852</v>
      </c>
      <c r="D1165" t="inlineStr">
        <is>
          <t>GOTLANDS LÄN</t>
        </is>
      </c>
      <c r="E1165" t="inlineStr">
        <is>
          <t>GOTLAND</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33011-2025</t>
        </is>
      </c>
      <c r="B1166" s="1" t="n">
        <v>45840</v>
      </c>
      <c r="C1166" s="1" t="n">
        <v>45852</v>
      </c>
      <c r="D1166" t="inlineStr">
        <is>
          <t>GOTLANDS LÄN</t>
        </is>
      </c>
      <c r="E1166" t="inlineStr">
        <is>
          <t>GOTLAND</t>
        </is>
      </c>
      <c r="G1166" t="n">
        <v>1.7</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45852</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2025-07-14T19:43:17Z</dcterms:created>
  <dcterms:modified xmlns:dcterms="http://purl.org/dc/terms/" xmlns:xsi="http://www.w3.org/2001/XMLSchema-instance" xsi:type="dcterms:W3CDTF">2025-07-14T19:43:18Z</dcterms:modified>
</cp:coreProperties>
</file>